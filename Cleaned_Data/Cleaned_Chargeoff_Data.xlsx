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Samuel\Desktop\R-scripts-and-data\MATH3190\Final\Cleaned_Data\"/>
    </mc:Choice>
  </mc:AlternateContent>
  <xr:revisionPtr revIDLastSave="0" documentId="8_{B190D906-175D-4BE2-9E88-F759E379830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age1_1" sheetId="1" r:id="rId1"/>
    <sheet name="export" sheetId="3" r:id="rId2"/>
    <sheet name="Things that won't output to.csv" sheetId="2" r:id="rId3"/>
  </sheets>
  <definedNames>
    <definedName name="_xlnm._FilterDatabase" localSheetId="0" hidden="1">Page1_1!$A$1:$O$3443</definedName>
    <definedName name="ConstantDateCutoff">'Things that won''t output to.csv'!$A$2</definedName>
    <definedName name="lo">'Things that won''t output to.csv'!$A$2</definedName>
  </definedName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43" i="1" l="1"/>
  <c r="E3442" i="1"/>
  <c r="E3441" i="1"/>
  <c r="E3439" i="1"/>
  <c r="E3438" i="1"/>
  <c r="E3437" i="1"/>
  <c r="E3434" i="1"/>
  <c r="E3433" i="1"/>
  <c r="E3431" i="1"/>
  <c r="E3430" i="1"/>
  <c r="E3429" i="1"/>
  <c r="E3428" i="1"/>
  <c r="E3427" i="1"/>
  <c r="E3426" i="1"/>
  <c r="E3425" i="1"/>
  <c r="E3424" i="1"/>
  <c r="E3422" i="1"/>
  <c r="E3421" i="1"/>
  <c r="E3420" i="1"/>
  <c r="E3419" i="1"/>
  <c r="E3418" i="1"/>
  <c r="E3417" i="1"/>
  <c r="E3416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1" i="1"/>
  <c r="E3390" i="1"/>
  <c r="E3389" i="1"/>
  <c r="E3388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2" i="1"/>
  <c r="E3361" i="1"/>
  <c r="E3360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6" i="1"/>
  <c r="E3335" i="1"/>
  <c r="E3334" i="1"/>
  <c r="E3332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1" i="1"/>
  <c r="E3290" i="1"/>
  <c r="E3289" i="1"/>
  <c r="E328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55" i="1"/>
  <c r="E2452" i="1"/>
  <c r="E2451" i="1"/>
  <c r="E2449" i="1"/>
  <c r="E2448" i="1"/>
  <c r="E2447" i="1"/>
  <c r="E2445" i="1"/>
  <c r="E2444" i="1"/>
  <c r="E2443" i="1"/>
  <c r="E2442" i="1"/>
  <c r="E2440" i="1"/>
  <c r="E2439" i="1"/>
  <c r="E2438" i="1"/>
  <c r="E2437" i="1"/>
  <c r="E2436" i="1"/>
  <c r="E2434" i="1"/>
  <c r="E2430" i="1"/>
  <c r="E2424" i="1"/>
  <c r="E2423" i="1"/>
  <c r="E2422" i="1"/>
  <c r="E2413" i="1"/>
  <c r="E2412" i="1"/>
  <c r="E2411" i="1"/>
  <c r="E2410" i="1"/>
  <c r="E2409" i="1"/>
  <c r="E2408" i="1"/>
  <c r="E2407" i="1"/>
  <c r="E2406" i="1"/>
  <c r="E2405" i="1"/>
  <c r="E2404" i="1"/>
  <c r="E2403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1" i="1"/>
  <c r="E2370" i="1"/>
  <c r="E2369" i="1"/>
  <c r="E2368" i="1"/>
  <c r="E2367" i="1"/>
  <c r="E2366" i="1"/>
  <c r="E2365" i="1"/>
  <c r="E2364" i="1"/>
  <c r="E2363" i="1"/>
  <c r="E2362" i="1"/>
  <c r="E2361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34" i="1"/>
  <c r="E2332" i="1"/>
  <c r="E2331" i="1"/>
  <c r="E2330" i="1"/>
  <c r="M2330" i="1" s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2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M2154" i="1" s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M2082" i="1" s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M1954" i="1" s="1"/>
  <c r="E1953" i="1"/>
  <c r="E1952" i="1"/>
  <c r="E1951" i="1"/>
  <c r="E1950" i="1"/>
  <c r="E1949" i="1"/>
  <c r="E1948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89" i="1"/>
  <c r="E1188" i="1"/>
  <c r="E1187" i="1"/>
  <c r="E1186" i="1"/>
  <c r="E1184" i="1"/>
  <c r="E1183" i="1"/>
  <c r="E1180" i="1"/>
  <c r="E1179" i="1"/>
  <c r="E1178" i="1"/>
  <c r="E1177" i="1"/>
  <c r="E1176" i="1"/>
  <c r="E1175" i="1"/>
  <c r="E1173" i="1"/>
  <c r="E1172" i="1"/>
  <c r="E1171" i="1"/>
  <c r="E1170" i="1"/>
  <c r="E1169" i="1"/>
  <c r="E1168" i="1"/>
  <c r="E1167" i="1"/>
  <c r="E1166" i="1"/>
  <c r="E1165" i="1"/>
  <c r="E1164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596" i="1"/>
  <c r="E595" i="1"/>
  <c r="E594" i="1"/>
  <c r="E593" i="1"/>
  <c r="E592" i="1"/>
  <c r="E591" i="1"/>
  <c r="E590" i="1"/>
  <c r="E589" i="1"/>
  <c r="E588" i="1"/>
  <c r="E587" i="1"/>
  <c r="E586" i="1"/>
  <c r="E580" i="1"/>
  <c r="E579" i="1"/>
  <c r="E578" i="1"/>
  <c r="E577" i="1"/>
  <c r="E576" i="1"/>
  <c r="E575" i="1"/>
  <c r="E574" i="1"/>
  <c r="E573" i="1"/>
  <c r="E572" i="1"/>
  <c r="E568" i="1"/>
  <c r="E567" i="1"/>
  <c r="E566" i="1"/>
  <c r="E565" i="1"/>
  <c r="E564" i="1"/>
  <c r="E563" i="1"/>
  <c r="E562" i="1"/>
  <c r="E561" i="1"/>
  <c r="E559" i="1"/>
  <c r="E558" i="1"/>
  <c r="E557" i="1"/>
  <c r="E556" i="1"/>
  <c r="E555" i="1"/>
  <c r="E554" i="1"/>
  <c r="E552" i="1"/>
  <c r="E551" i="1"/>
  <c r="E550" i="1"/>
  <c r="E549" i="1"/>
  <c r="E548" i="1"/>
  <c r="E547" i="1"/>
  <c r="E546" i="1"/>
  <c r="E545" i="1"/>
  <c r="E544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4" i="1"/>
  <c r="E503" i="1"/>
  <c r="E502" i="1"/>
  <c r="E500" i="1"/>
  <c r="E498" i="1"/>
  <c r="E497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39" i="1"/>
  <c r="E438" i="1"/>
  <c r="E437" i="1"/>
  <c r="E435" i="1"/>
  <c r="E434" i="1"/>
  <c r="E432" i="1"/>
  <c r="E431" i="1"/>
  <c r="E430" i="1"/>
  <c r="E429" i="1"/>
  <c r="E424" i="1"/>
  <c r="E423" i="1"/>
  <c r="E422" i="1"/>
  <c r="E419" i="1"/>
  <c r="E418" i="1"/>
  <c r="E417" i="1"/>
  <c r="E416" i="1"/>
  <c r="E415" i="1"/>
  <c r="E413" i="1"/>
  <c r="E412" i="1"/>
  <c r="E411" i="1"/>
  <c r="E410" i="1"/>
  <c r="E408" i="1"/>
  <c r="E407" i="1"/>
  <c r="E406" i="1"/>
  <c r="E372" i="1"/>
  <c r="E371" i="1"/>
  <c r="E370" i="1"/>
  <c r="E369" i="1"/>
  <c r="E368" i="1"/>
  <c r="E367" i="1"/>
  <c r="E366" i="1"/>
  <c r="E365" i="1"/>
  <c r="E364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P3443" i="1"/>
  <c r="P3442" i="1"/>
  <c r="P3441" i="1"/>
  <c r="P3439" i="1"/>
  <c r="P3438" i="1"/>
  <c r="P3437" i="1"/>
  <c r="P3434" i="1"/>
  <c r="P3433" i="1"/>
  <c r="P3431" i="1"/>
  <c r="P3430" i="1"/>
  <c r="P3429" i="1"/>
  <c r="P3428" i="1"/>
  <c r="P3427" i="1"/>
  <c r="P3426" i="1"/>
  <c r="P3425" i="1"/>
  <c r="P3424" i="1"/>
  <c r="P3422" i="1"/>
  <c r="P3421" i="1"/>
  <c r="P3420" i="1"/>
  <c r="P3419" i="1"/>
  <c r="P3418" i="1"/>
  <c r="P3417" i="1"/>
  <c r="P3416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1" i="1"/>
  <c r="P3390" i="1"/>
  <c r="P3389" i="1"/>
  <c r="P3388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2" i="1"/>
  <c r="P3361" i="1"/>
  <c r="P3360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6" i="1"/>
  <c r="P3335" i="1"/>
  <c r="P3334" i="1"/>
  <c r="P3333" i="1"/>
  <c r="P3332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1" i="1"/>
  <c r="P3290" i="1"/>
  <c r="P3289" i="1"/>
  <c r="P328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55" i="1"/>
  <c r="P2452" i="1"/>
  <c r="P2451" i="1"/>
  <c r="P2449" i="1"/>
  <c r="P2448" i="1"/>
  <c r="P2447" i="1"/>
  <c r="P2445" i="1"/>
  <c r="P2444" i="1"/>
  <c r="P2443" i="1"/>
  <c r="P2442" i="1"/>
  <c r="P2440" i="1"/>
  <c r="P2439" i="1"/>
  <c r="P2438" i="1"/>
  <c r="P2437" i="1"/>
  <c r="P2436" i="1"/>
  <c r="P2434" i="1"/>
  <c r="P2430" i="1"/>
  <c r="P2424" i="1"/>
  <c r="P2423" i="1"/>
  <c r="P2422" i="1"/>
  <c r="P2413" i="1"/>
  <c r="P2412" i="1"/>
  <c r="P2411" i="1"/>
  <c r="P2410" i="1"/>
  <c r="P2409" i="1"/>
  <c r="P2408" i="1"/>
  <c r="P2407" i="1"/>
  <c r="P2406" i="1"/>
  <c r="P2405" i="1"/>
  <c r="P2404" i="1"/>
  <c r="P2403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1" i="1"/>
  <c r="P2370" i="1"/>
  <c r="P2369" i="1"/>
  <c r="P2368" i="1"/>
  <c r="P2367" i="1"/>
  <c r="P2366" i="1"/>
  <c r="P2365" i="1"/>
  <c r="P2364" i="1"/>
  <c r="P2363" i="1"/>
  <c r="P2362" i="1"/>
  <c r="P2361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34" i="1"/>
  <c r="P2332" i="1"/>
  <c r="P2331" i="1"/>
  <c r="P2330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2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89" i="1"/>
  <c r="P1188" i="1"/>
  <c r="P1187" i="1"/>
  <c r="P1186" i="1"/>
  <c r="P1184" i="1"/>
  <c r="P1183" i="1"/>
  <c r="P1180" i="1"/>
  <c r="P1179" i="1"/>
  <c r="P1178" i="1"/>
  <c r="P1177" i="1"/>
  <c r="P1176" i="1"/>
  <c r="P1175" i="1"/>
  <c r="P1173" i="1"/>
  <c r="P1172" i="1"/>
  <c r="P1171" i="1"/>
  <c r="P1170" i="1"/>
  <c r="P1169" i="1"/>
  <c r="P1168" i="1"/>
  <c r="P1167" i="1"/>
  <c r="P1166" i="1"/>
  <c r="P1165" i="1"/>
  <c r="P1164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596" i="1"/>
  <c r="P595" i="1"/>
  <c r="P594" i="1"/>
  <c r="P593" i="1"/>
  <c r="P592" i="1"/>
  <c r="P591" i="1"/>
  <c r="P590" i="1"/>
  <c r="P589" i="1"/>
  <c r="P588" i="1"/>
  <c r="P587" i="1"/>
  <c r="P586" i="1"/>
  <c r="P580" i="1"/>
  <c r="P579" i="1"/>
  <c r="P578" i="1"/>
  <c r="P577" i="1"/>
  <c r="P576" i="1"/>
  <c r="P575" i="1"/>
  <c r="P574" i="1"/>
  <c r="P573" i="1"/>
  <c r="P572" i="1"/>
  <c r="P568" i="1"/>
  <c r="P567" i="1"/>
  <c r="P566" i="1"/>
  <c r="P565" i="1"/>
  <c r="P564" i="1"/>
  <c r="P563" i="1"/>
  <c r="P562" i="1"/>
  <c r="P561" i="1"/>
  <c r="P559" i="1"/>
  <c r="P558" i="1"/>
  <c r="P557" i="1"/>
  <c r="P556" i="1"/>
  <c r="P555" i="1"/>
  <c r="P554" i="1"/>
  <c r="P552" i="1"/>
  <c r="P551" i="1"/>
  <c r="P550" i="1"/>
  <c r="P549" i="1"/>
  <c r="P548" i="1"/>
  <c r="P547" i="1"/>
  <c r="P546" i="1"/>
  <c r="P545" i="1"/>
  <c r="P544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4" i="1"/>
  <c r="P503" i="1"/>
  <c r="P502" i="1"/>
  <c r="P500" i="1"/>
  <c r="P498" i="1"/>
  <c r="P497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39" i="1"/>
  <c r="P438" i="1"/>
  <c r="P437" i="1"/>
  <c r="P435" i="1"/>
  <c r="P434" i="1"/>
  <c r="P432" i="1"/>
  <c r="P431" i="1"/>
  <c r="P430" i="1"/>
  <c r="P429" i="1"/>
  <c r="P424" i="1"/>
  <c r="P423" i="1"/>
  <c r="P422" i="1"/>
  <c r="P419" i="1"/>
  <c r="P418" i="1"/>
  <c r="P417" i="1"/>
  <c r="P416" i="1"/>
  <c r="P415" i="1"/>
  <c r="P413" i="1"/>
  <c r="P412" i="1"/>
  <c r="P411" i="1"/>
  <c r="P410" i="1"/>
  <c r="P408" i="1"/>
  <c r="P407" i="1"/>
  <c r="P406" i="1"/>
  <c r="P372" i="1"/>
  <c r="P371" i="1"/>
  <c r="P370" i="1"/>
  <c r="P369" i="1"/>
  <c r="P368" i="1"/>
  <c r="P367" i="1"/>
  <c r="P366" i="1"/>
  <c r="P365" i="1"/>
  <c r="P364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6" i="1"/>
  <c r="H7" i="1"/>
  <c r="H8" i="1"/>
  <c r="H9" i="1"/>
  <c r="H10" i="1"/>
  <c r="H11" i="1"/>
  <c r="H12" i="1"/>
  <c r="H13" i="1"/>
  <c r="H14" i="1"/>
  <c r="H15" i="1"/>
  <c r="H16" i="1"/>
  <c r="H3" i="1"/>
  <c r="H4" i="1"/>
  <c r="H5" i="1"/>
  <c r="H2" i="1"/>
  <c r="E219" i="1"/>
  <c r="E271" i="1"/>
  <c r="E306" i="1"/>
  <c r="E362" i="1"/>
  <c r="E363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9" i="1"/>
  <c r="E414" i="1"/>
  <c r="E420" i="1"/>
  <c r="E421" i="1"/>
  <c r="E425" i="1"/>
  <c r="E426" i="1"/>
  <c r="E427" i="1"/>
  <c r="E428" i="1"/>
  <c r="E433" i="1"/>
  <c r="E436" i="1"/>
  <c r="E440" i="1"/>
  <c r="E489" i="1"/>
  <c r="E490" i="1"/>
  <c r="E491" i="1"/>
  <c r="E492" i="1"/>
  <c r="E493" i="1"/>
  <c r="E494" i="1"/>
  <c r="E495" i="1"/>
  <c r="E496" i="1"/>
  <c r="E499" i="1"/>
  <c r="E501" i="1"/>
  <c r="E505" i="1"/>
  <c r="E506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53" i="1"/>
  <c r="E560" i="1"/>
  <c r="E569" i="1"/>
  <c r="E570" i="1"/>
  <c r="E571" i="1"/>
  <c r="E581" i="1"/>
  <c r="E582" i="1"/>
  <c r="E583" i="1"/>
  <c r="E584" i="1"/>
  <c r="E585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790" i="1"/>
  <c r="E791" i="1"/>
  <c r="E913" i="1"/>
  <c r="E1150" i="1"/>
  <c r="E1163" i="1"/>
  <c r="E1174" i="1"/>
  <c r="E1181" i="1"/>
  <c r="E1182" i="1"/>
  <c r="E1185" i="1"/>
  <c r="E1190" i="1"/>
  <c r="E1699" i="1"/>
  <c r="E1919" i="1"/>
  <c r="E1947" i="1"/>
  <c r="E1998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65" i="1"/>
  <c r="E2296" i="1"/>
  <c r="E2297" i="1"/>
  <c r="E2298" i="1"/>
  <c r="E2299" i="1"/>
  <c r="E2300" i="1"/>
  <c r="E2301" i="1"/>
  <c r="E2302" i="1"/>
  <c r="E2303" i="1"/>
  <c r="E2304" i="1"/>
  <c r="E2305" i="1"/>
  <c r="E2306" i="1"/>
  <c r="M2306" i="1" s="1"/>
  <c r="E2307" i="1"/>
  <c r="E2308" i="1"/>
  <c r="E2309" i="1"/>
  <c r="E2310" i="1"/>
  <c r="E2311" i="1"/>
  <c r="E2313" i="1"/>
  <c r="E2327" i="1"/>
  <c r="E2328" i="1"/>
  <c r="E2329" i="1"/>
  <c r="E2333" i="1"/>
  <c r="E2335" i="1"/>
  <c r="E2336" i="1"/>
  <c r="E2337" i="1"/>
  <c r="E2338" i="1"/>
  <c r="E2339" i="1"/>
  <c r="E2340" i="1"/>
  <c r="E2341" i="1"/>
  <c r="E2342" i="1"/>
  <c r="E2358" i="1"/>
  <c r="E2359" i="1"/>
  <c r="E2360" i="1"/>
  <c r="E2372" i="1"/>
  <c r="E2373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14" i="1"/>
  <c r="E2415" i="1"/>
  <c r="E2416" i="1"/>
  <c r="E2417" i="1"/>
  <c r="E2418" i="1"/>
  <c r="E2419" i="1"/>
  <c r="E2420" i="1"/>
  <c r="E2421" i="1"/>
  <c r="E2425" i="1"/>
  <c r="E2426" i="1"/>
  <c r="E2427" i="1"/>
  <c r="E2428" i="1"/>
  <c r="E2429" i="1"/>
  <c r="E2431" i="1"/>
  <c r="E2432" i="1"/>
  <c r="E2433" i="1"/>
  <c r="E2435" i="1"/>
  <c r="E2441" i="1"/>
  <c r="E2446" i="1"/>
  <c r="E2450" i="1"/>
  <c r="E2453" i="1"/>
  <c r="E2454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M2682" i="1" s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M2778" i="1" s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M2818" i="1" s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M2874" i="1" s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M2946" i="1" s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M2970" i="1" s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M3058" i="1" s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M3194" i="1" s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92" i="1"/>
  <c r="E3311" i="1"/>
  <c r="M3314" i="1"/>
  <c r="E3330" i="1"/>
  <c r="E3331" i="1"/>
  <c r="E3333" i="1"/>
  <c r="E3337" i="1"/>
  <c r="E3356" i="1"/>
  <c r="E3357" i="1"/>
  <c r="E3358" i="1"/>
  <c r="E3359" i="1"/>
  <c r="E3363" i="1"/>
  <c r="E3364" i="1"/>
  <c r="E3365" i="1"/>
  <c r="E3366" i="1"/>
  <c r="E3387" i="1"/>
  <c r="E3392" i="1"/>
  <c r="E3393" i="1"/>
  <c r="E3394" i="1"/>
  <c r="E3413" i="1"/>
  <c r="E3414" i="1"/>
  <c r="E3415" i="1"/>
  <c r="E3423" i="1"/>
  <c r="E3432" i="1"/>
  <c r="E3435" i="1"/>
  <c r="E3436" i="1"/>
  <c r="E3440" i="1"/>
  <c r="M2218" i="1" l="1"/>
  <c r="M3410" i="1"/>
  <c r="M3315" i="1"/>
  <c r="M3251" i="1"/>
  <c r="M1507" i="1"/>
  <c r="M1467" i="1"/>
  <c r="M1355" i="1"/>
  <c r="M1187" i="1"/>
  <c r="M1147" i="1"/>
  <c r="M995" i="1"/>
  <c r="M955" i="1"/>
  <c r="M867" i="1"/>
  <c r="M603" i="1"/>
  <c r="M491" i="1"/>
  <c r="M251" i="1"/>
  <c r="M43" i="1"/>
  <c r="M3411" i="1"/>
  <c r="M1795" i="1"/>
  <c r="M1659" i="1"/>
  <c r="M1371" i="1"/>
  <c r="M1091" i="1"/>
  <c r="M843" i="1"/>
  <c r="M731" i="1"/>
  <c r="M619" i="1"/>
  <c r="M531" i="1"/>
  <c r="M451" i="1"/>
  <c r="M227" i="1"/>
  <c r="M187" i="1"/>
  <c r="M91" i="1"/>
  <c r="M75" i="1"/>
  <c r="M10" i="1"/>
  <c r="M3443" i="1"/>
  <c r="M3347" i="1"/>
  <c r="M1699" i="1"/>
  <c r="M963" i="1"/>
  <c r="M779" i="1"/>
  <c r="M467" i="1"/>
  <c r="M419" i="1"/>
  <c r="M355" i="1"/>
  <c r="M299" i="1"/>
  <c r="M211" i="1"/>
  <c r="M131" i="1"/>
  <c r="M27" i="1"/>
  <c r="M1794" i="1"/>
  <c r="M1602" i="1"/>
  <c r="M1434" i="1"/>
  <c r="M1402" i="1"/>
  <c r="M1330" i="1"/>
  <c r="M1234" i="1"/>
  <c r="M1210" i="1"/>
  <c r="M1114" i="1"/>
  <c r="M1050" i="1"/>
  <c r="M1026" i="1"/>
  <c r="M970" i="1"/>
  <c r="M890" i="1"/>
  <c r="M842" i="1"/>
  <c r="M818" i="1"/>
  <c r="M786" i="1"/>
  <c r="M762" i="1"/>
  <c r="M706" i="1"/>
  <c r="M658" i="1"/>
  <c r="M626" i="1"/>
  <c r="M594" i="1"/>
  <c r="M570" i="1"/>
  <c r="M522" i="1"/>
  <c r="M498" i="1"/>
  <c r="M410" i="1"/>
  <c r="M378" i="1"/>
  <c r="M282" i="1"/>
  <c r="M1898" i="1"/>
  <c r="M1810" i="1"/>
  <c r="M1586" i="1"/>
  <c r="M1482" i="1"/>
  <c r="M1418" i="1"/>
  <c r="M1370" i="1"/>
  <c r="M1346" i="1"/>
  <c r="M1298" i="1"/>
  <c r="M1274" i="1"/>
  <c r="M1226" i="1"/>
  <c r="M1178" i="1"/>
  <c r="M1138" i="1"/>
  <c r="M1098" i="1"/>
  <c r="M1042" i="1"/>
  <c r="M954" i="1"/>
  <c r="M882" i="1"/>
  <c r="M858" i="1"/>
  <c r="M834" i="1"/>
  <c r="M770" i="1"/>
  <c r="M754" i="1"/>
  <c r="M698" i="1"/>
  <c r="M586" i="1"/>
  <c r="M530" i="1"/>
  <c r="M514" i="1"/>
  <c r="M482" i="1"/>
  <c r="M458" i="1"/>
  <c r="M434" i="1"/>
  <c r="M418" i="1"/>
  <c r="M386" i="1"/>
  <c r="M354" i="1"/>
  <c r="M346" i="1"/>
  <c r="M330" i="1"/>
  <c r="M322" i="1"/>
  <c r="M314" i="1"/>
  <c r="M290" i="1"/>
  <c r="M274" i="1"/>
  <c r="M250" i="1"/>
  <c r="M242" i="1"/>
  <c r="M226" i="1"/>
  <c r="M218" i="1"/>
  <c r="M178" i="1"/>
  <c r="M154" i="1"/>
  <c r="M146" i="1"/>
  <c r="M138" i="1"/>
  <c r="M122" i="1"/>
  <c r="M114" i="1"/>
  <c r="M90" i="1"/>
  <c r="M82" i="1"/>
  <c r="M66" i="1"/>
  <c r="M58" i="1"/>
  <c r="M34" i="1"/>
  <c r="M18" i="1"/>
  <c r="M3303" i="1"/>
  <c r="M3111" i="1"/>
  <c r="M2975" i="1"/>
  <c r="M2735" i="1"/>
  <c r="M2599" i="1"/>
  <c r="M2175" i="1"/>
  <c r="M2111" i="1"/>
  <c r="M1983" i="1"/>
  <c r="M1919" i="1"/>
  <c r="M1775" i="1"/>
  <c r="M1431" i="1"/>
  <c r="M1391" i="1"/>
  <c r="M1319" i="1"/>
  <c r="M1263" i="1"/>
  <c r="M1199" i="1"/>
  <c r="M1175" i="1"/>
  <c r="M1079" i="1"/>
  <c r="M1007" i="1"/>
  <c r="M959" i="1"/>
  <c r="M919" i="1"/>
  <c r="M871" i="1"/>
  <c r="M831" i="1"/>
  <c r="M735" i="1"/>
  <c r="M703" i="1"/>
  <c r="M671" i="1"/>
  <c r="M615" i="1"/>
  <c r="M583" i="1"/>
  <c r="M543" i="1"/>
  <c r="M511" i="1"/>
  <c r="M487" i="1"/>
  <c r="M447" i="1"/>
  <c r="M415" i="1"/>
  <c r="M383" i="1"/>
  <c r="M327" i="1"/>
  <c r="M303" i="1"/>
  <c r="M247" i="1"/>
  <c r="M215" i="1"/>
  <c r="M191" i="1"/>
  <c r="M3431" i="1"/>
  <c r="M3399" i="1"/>
  <c r="M3335" i="1"/>
  <c r="M3031" i="1"/>
  <c r="M2919" i="1"/>
  <c r="M2655" i="1"/>
  <c r="M2543" i="1"/>
  <c r="M2223" i="1"/>
  <c r="M2135" i="1"/>
  <c r="M1871" i="1"/>
  <c r="M1759" i="1"/>
  <c r="M1695" i="1"/>
  <c r="M1663" i="1"/>
  <c r="M1567" i="1"/>
  <c r="M1527" i="1"/>
  <c r="M1471" i="1"/>
  <c r="M1335" i="1"/>
  <c r="M1215" i="1"/>
  <c r="M1151" i="1"/>
  <c r="M1127" i="1"/>
  <c r="M1063" i="1"/>
  <c r="M927" i="1"/>
  <c r="M895" i="1"/>
  <c r="M855" i="1"/>
  <c r="M799" i="1"/>
  <c r="M759" i="1"/>
  <c r="M743" i="1"/>
  <c r="M687" i="1"/>
  <c r="M663" i="1"/>
  <c r="M607" i="1"/>
  <c r="M567" i="1"/>
  <c r="M535" i="1"/>
  <c r="M503" i="1"/>
  <c r="M479" i="1"/>
  <c r="M439" i="1"/>
  <c r="M407" i="1"/>
  <c r="M367" i="1"/>
  <c r="M295" i="1"/>
  <c r="M263" i="1"/>
  <c r="M231" i="1"/>
  <c r="M175" i="1"/>
  <c r="M3398" i="1"/>
  <c r="M3222" i="1"/>
  <c r="M3142" i="1"/>
  <c r="M3030" i="1"/>
  <c r="M2918" i="1"/>
  <c r="M2846" i="1"/>
  <c r="M2790" i="1"/>
  <c r="M2766" i="1"/>
  <c r="M2726" i="1"/>
  <c r="M2678" i="1"/>
  <c r="M2654" i="1"/>
  <c r="M2526" i="1"/>
  <c r="M2486" i="1"/>
  <c r="M2470" i="1"/>
  <c r="M2390" i="1"/>
  <c r="M2334" i="1"/>
  <c r="M2246" i="1"/>
  <c r="M2238" i="1"/>
  <c r="M2134" i="1"/>
  <c r="M2110" i="1"/>
  <c r="M2070" i="1"/>
  <c r="M1998" i="1"/>
  <c r="M1982" i="1"/>
  <c r="M1958" i="1"/>
  <c r="M1870" i="1"/>
  <c r="M1846" i="1"/>
  <c r="M1510" i="1"/>
  <c r="M324" i="1"/>
  <c r="M3167" i="1"/>
  <c r="M3055" i="1"/>
  <c r="M2903" i="1"/>
  <c r="M2863" i="1"/>
  <c r="M2751" i="1"/>
  <c r="M2623" i="1"/>
  <c r="M2511" i="1"/>
  <c r="M2415" i="1"/>
  <c r="M2151" i="1"/>
  <c r="M2087" i="1"/>
  <c r="M1831" i="1"/>
  <c r="M1623" i="1"/>
  <c r="M1455" i="1"/>
  <c r="M1343" i="1"/>
  <c r="M1271" i="1"/>
  <c r="M1183" i="1"/>
  <c r="M1111" i="1"/>
  <c r="M1087" i="1"/>
  <c r="M1055" i="1"/>
  <c r="M991" i="1"/>
  <c r="M943" i="1"/>
  <c r="M879" i="1"/>
  <c r="M751" i="1"/>
  <c r="M695" i="1"/>
  <c r="M639" i="1"/>
  <c r="M575" i="1"/>
  <c r="M471" i="1"/>
  <c r="M431" i="1"/>
  <c r="M375" i="1"/>
  <c r="M311" i="1"/>
  <c r="M279" i="1"/>
  <c r="M199" i="1"/>
  <c r="M167" i="1"/>
  <c r="M3286" i="1"/>
  <c r="M3102" i="1"/>
  <c r="M2902" i="1"/>
  <c r="M666" i="1"/>
  <c r="M450" i="1"/>
  <c r="M351" i="1"/>
  <c r="M8" i="1"/>
  <c r="M152" i="1"/>
  <c r="M1491" i="1"/>
  <c r="M1051" i="1"/>
  <c r="M587" i="1"/>
  <c r="M3442" i="1"/>
  <c r="M2442" i="1"/>
  <c r="M1890" i="1"/>
  <c r="M1658" i="1"/>
  <c r="M1490" i="1"/>
  <c r="M1354" i="1"/>
  <c r="M1162" i="1"/>
  <c r="M1015" i="1"/>
  <c r="M807" i="1"/>
  <c r="M519" i="1"/>
  <c r="M3166" i="1"/>
  <c r="M3221" i="1"/>
  <c r="M3157" i="1"/>
  <c r="M3085" i="1"/>
  <c r="M3053" i="1"/>
  <c r="M3029" i="1"/>
  <c r="M2957" i="1"/>
  <c r="M2893" i="1"/>
  <c r="M2781" i="1"/>
  <c r="M2677" i="1"/>
  <c r="M2653" i="1"/>
  <c r="M2541" i="1"/>
  <c r="M2413" i="1"/>
  <c r="M2333" i="1"/>
  <c r="M2317" i="1"/>
  <c r="M2261" i="1"/>
  <c r="M2237" i="1"/>
  <c r="M2205" i="1"/>
  <c r="M2197" i="1"/>
  <c r="M2181" i="1"/>
  <c r="M2125" i="1"/>
  <c r="M2109" i="1"/>
  <c r="M2069" i="1"/>
  <c r="M2045" i="1"/>
  <c r="M1997" i="1"/>
  <c r="M1941" i="1"/>
  <c r="M1933" i="1"/>
  <c r="M1829" i="1"/>
  <c r="M1773" i="1"/>
  <c r="M1757" i="1"/>
  <c r="M162" i="1"/>
  <c r="M3380" i="1"/>
  <c r="M3348" i="1"/>
  <c r="M3284" i="1"/>
  <c r="M3252" i="1"/>
  <c r="M3212" i="1"/>
  <c r="M3196" i="1"/>
  <c r="M3156" i="1"/>
  <c r="M3084" i="1"/>
  <c r="M3012" i="1"/>
  <c r="M2948" i="1"/>
  <c r="M2892" i="1"/>
  <c r="M2820" i="1"/>
  <c r="M2540" i="1"/>
  <c r="M2516" i="1"/>
  <c r="M2468" i="1"/>
  <c r="M2444" i="1"/>
  <c r="M2404" i="1"/>
  <c r="M2308" i="1"/>
  <c r="M2260" i="1"/>
  <c r="M2196" i="1"/>
  <c r="M2108" i="1"/>
  <c r="M2092" i="1"/>
  <c r="M2068" i="1"/>
  <c r="M2004" i="1"/>
  <c r="M1956" i="1"/>
  <c r="M1900" i="1"/>
  <c r="M1772" i="1"/>
  <c r="M1749" i="1"/>
  <c r="M1653" i="1"/>
  <c r="M1637" i="1"/>
  <c r="M1621" i="1"/>
  <c r="M1565" i="1"/>
  <c r="M1453" i="1"/>
  <c r="M1445" i="1"/>
  <c r="M1429" i="1"/>
  <c r="M1357" i="1"/>
  <c r="M1333" i="1"/>
  <c r="M1317" i="1"/>
  <c r="M1269" i="1"/>
  <c r="M1261" i="1"/>
  <c r="M1245" i="1"/>
  <c r="M1237" i="1"/>
  <c r="M1141" i="1"/>
  <c r="M1125" i="1"/>
  <c r="M1109" i="1"/>
  <c r="M1053" i="1"/>
  <c r="M1037" i="1"/>
  <c r="M941" i="1"/>
  <c r="M933" i="1"/>
  <c r="M917" i="1"/>
  <c r="M845" i="1"/>
  <c r="M725" i="1"/>
  <c r="M661" i="1"/>
  <c r="M629" i="1"/>
  <c r="M605" i="1"/>
  <c r="M573" i="1"/>
  <c r="M549" i="1"/>
  <c r="M533" i="1"/>
  <c r="M509" i="1"/>
  <c r="M493" i="1"/>
  <c r="M477" i="1"/>
  <c r="M461" i="1"/>
  <c r="M437" i="1"/>
  <c r="M405" i="1"/>
  <c r="M341" i="1"/>
  <c r="M309" i="1"/>
  <c r="M293" i="1"/>
  <c r="M269" i="1"/>
  <c r="M253" i="1"/>
  <c r="M229" i="1"/>
  <c r="M173" i="1"/>
  <c r="M157" i="1"/>
  <c r="M141" i="1"/>
  <c r="M117" i="1"/>
  <c r="M53" i="1"/>
  <c r="M29" i="1"/>
  <c r="M25" i="1"/>
  <c r="M57" i="1"/>
  <c r="M81" i="1"/>
  <c r="M121" i="1"/>
  <c r="M265" i="1"/>
  <c r="M433" i="1"/>
  <c r="M497" i="1"/>
  <c r="M505" i="1"/>
  <c r="M569" i="1"/>
  <c r="M905" i="1"/>
  <c r="M1065" i="1"/>
  <c r="M1929" i="1"/>
  <c r="M2689" i="1"/>
  <c r="M453" i="1"/>
  <c r="M1756" i="1"/>
  <c r="M1732" i="1"/>
  <c r="M1700" i="1"/>
  <c r="M1636" i="1"/>
  <c r="M1580" i="1"/>
  <c r="M1564" i="1"/>
  <c r="M1540" i="1"/>
  <c r="M1492" i="1"/>
  <c r="M1452" i="1"/>
  <c r="M1428" i="1"/>
  <c r="M1372" i="1"/>
  <c r="M1356" i="1"/>
  <c r="M1260" i="1"/>
  <c r="M1244" i="1"/>
  <c r="M1220" i="1"/>
  <c r="M1188" i="1"/>
  <c r="M1124" i="1"/>
  <c r="M1068" i="1"/>
  <c r="M1036" i="1"/>
  <c r="M1028" i="1"/>
  <c r="M980" i="1"/>
  <c r="M940" i="1"/>
  <c r="M916" i="1"/>
  <c r="M860" i="1"/>
  <c r="M844" i="1"/>
  <c r="M812" i="1"/>
  <c r="M796" i="1"/>
  <c r="M780" i="1"/>
  <c r="M772" i="1"/>
  <c r="M748" i="1"/>
  <c r="M732" i="1"/>
  <c r="M724" i="1"/>
  <c r="M676" i="1"/>
  <c r="M660" i="1"/>
  <c r="M644" i="1"/>
  <c r="M628" i="1"/>
  <c r="M604" i="1"/>
  <c r="M532" i="1"/>
  <c r="M492" i="1"/>
  <c r="M476" i="1"/>
  <c r="M436" i="1"/>
  <c r="M420" i="1"/>
  <c r="M396" i="1"/>
  <c r="M364" i="1"/>
  <c r="M340" i="1"/>
  <c r="M300" i="1"/>
  <c r="M284" i="1"/>
  <c r="M268" i="1"/>
  <c r="M228" i="1"/>
  <c r="M196" i="1"/>
  <c r="M132" i="1"/>
  <c r="M28" i="1"/>
  <c r="M909" i="1"/>
  <c r="M1020" i="1"/>
  <c r="M2170" i="1"/>
  <c r="M794" i="1"/>
  <c r="M1321" i="1"/>
  <c r="M793" i="1"/>
  <c r="M681" i="1"/>
  <c r="M241" i="1"/>
  <c r="M9" i="1"/>
  <c r="M906" i="1"/>
  <c r="M3379" i="1"/>
  <c r="M1811" i="1"/>
  <c r="M1683" i="1"/>
  <c r="M1675" i="1"/>
  <c r="M1603" i="1"/>
  <c r="M1563" i="1"/>
  <c r="M1475" i="1"/>
  <c r="M1379" i="1"/>
  <c r="M1299" i="1"/>
  <c r="M1283" i="1"/>
  <c r="M1171" i="1"/>
  <c r="M1163" i="1"/>
  <c r="M979" i="1"/>
  <c r="M859" i="1"/>
  <c r="M827" i="1"/>
  <c r="M795" i="1"/>
  <c r="M547" i="1"/>
  <c r="M507" i="1"/>
  <c r="M395" i="1"/>
  <c r="M323" i="1"/>
  <c r="M283" i="1"/>
  <c r="M267" i="1"/>
  <c r="M163" i="1"/>
  <c r="M155" i="1"/>
  <c r="M11" i="1"/>
  <c r="M3274" i="1"/>
  <c r="M3210" i="1"/>
  <c r="M3138" i="1"/>
  <c r="M3082" i="1"/>
  <c r="M3002" i="1"/>
  <c r="M2762" i="1"/>
  <c r="M2626" i="1"/>
  <c r="M2594" i="1"/>
  <c r="M2570" i="1"/>
  <c r="M2498" i="1"/>
  <c r="M2458" i="1"/>
  <c r="M2362" i="1"/>
  <c r="M2290" i="1"/>
  <c r="M2050" i="1"/>
  <c r="M2026" i="1"/>
  <c r="M1914" i="1"/>
  <c r="M1818" i="1"/>
  <c r="M1738" i="1"/>
  <c r="M1674" i="1"/>
  <c r="M1626" i="1"/>
  <c r="M1530" i="1"/>
  <c r="M1466" i="1"/>
  <c r="M1458" i="1"/>
  <c r="M1394" i="1"/>
  <c r="M1322" i="1"/>
  <c r="M1306" i="1"/>
  <c r="M1282" i="1"/>
  <c r="M1202" i="1"/>
  <c r="M1146" i="1"/>
  <c r="M1090" i="1"/>
  <c r="M1074" i="1"/>
  <c r="M1034" i="1"/>
  <c r="M1018" i="1"/>
  <c r="M978" i="1"/>
  <c r="M922" i="1"/>
  <c r="M778" i="1"/>
  <c r="M714" i="1"/>
  <c r="M650" i="1"/>
  <c r="M634" i="1"/>
  <c r="M602" i="1"/>
  <c r="M562" i="1"/>
  <c r="M546" i="1"/>
  <c r="M466" i="1"/>
  <c r="M394" i="1"/>
  <c r="M258" i="1"/>
  <c r="M210" i="1"/>
  <c r="M186" i="1"/>
  <c r="M74" i="1"/>
  <c r="M50" i="1"/>
  <c r="M2256" i="1"/>
  <c r="M1296" i="1"/>
  <c r="M2791" i="1"/>
  <c r="M551" i="1"/>
  <c r="M343" i="1"/>
  <c r="M239" i="1"/>
  <c r="M159" i="1"/>
  <c r="M2358" i="1"/>
  <c r="M1974" i="1"/>
  <c r="M1942" i="1"/>
  <c r="M5" i="1"/>
  <c r="M1999" i="1"/>
  <c r="M1247" i="1"/>
  <c r="M823" i="1"/>
  <c r="M791" i="1"/>
  <c r="M2845" i="1"/>
  <c r="M2709" i="1"/>
  <c r="M2517" i="1"/>
  <c r="M2445" i="1"/>
  <c r="M2093" i="1"/>
  <c r="M1973" i="1"/>
  <c r="M1781" i="1"/>
  <c r="M1661" i="1"/>
  <c r="M1549" i="1"/>
  <c r="M677" i="1"/>
  <c r="M365" i="1"/>
  <c r="M101" i="1"/>
  <c r="M548" i="1"/>
  <c r="M2391" i="1"/>
  <c r="M1639" i="1"/>
  <c r="M1135" i="1"/>
  <c r="M623" i="1"/>
  <c r="M2581" i="1"/>
  <c r="M2836" i="1"/>
  <c r="M2708" i="1"/>
  <c r="M2636" i="1"/>
  <c r="M2572" i="1"/>
  <c r="M2268" i="1"/>
  <c r="M2236" i="1"/>
  <c r="M1916" i="1"/>
  <c r="M1676" i="1"/>
  <c r="M1548" i="1"/>
  <c r="M1164" i="1"/>
  <c r="M1052" i="1"/>
  <c r="M708" i="1"/>
  <c r="M684" i="1"/>
  <c r="M564" i="1"/>
  <c r="M460" i="1"/>
  <c r="M156" i="1"/>
  <c r="M116" i="1"/>
  <c r="M52" i="1"/>
  <c r="M12" i="1"/>
  <c r="M48" i="1"/>
  <c r="M56" i="1"/>
  <c r="M208" i="1"/>
  <c r="M288" i="1"/>
  <c r="M328" i="1"/>
  <c r="M392" i="1"/>
  <c r="M496" i="1"/>
  <c r="M608" i="1"/>
  <c r="M680" i="1"/>
  <c r="M968" i="1"/>
  <c r="M1040" i="1"/>
  <c r="M1104" i="1"/>
  <c r="M1120" i="1"/>
  <c r="M1256" i="1"/>
  <c r="M1376" i="1"/>
  <c r="M1472" i="1"/>
  <c r="M2320" i="1"/>
  <c r="M92" i="1"/>
  <c r="M16" i="1"/>
  <c r="M3415" i="1"/>
  <c r="M3383" i="1"/>
  <c r="M3359" i="1"/>
  <c r="M3327" i="1"/>
  <c r="M3287" i="1"/>
  <c r="M3239" i="1"/>
  <c r="M3079" i="1"/>
  <c r="M2847" i="1"/>
  <c r="M2815" i="1"/>
  <c r="M2719" i="1"/>
  <c r="M2687" i="1"/>
  <c r="M2663" i="1"/>
  <c r="M2575" i="1"/>
  <c r="M2551" i="1"/>
  <c r="M2527" i="1"/>
  <c r="M2503" i="1"/>
  <c r="M2463" i="1"/>
  <c r="M2359" i="1"/>
  <c r="M2319" i="1"/>
  <c r="M2279" i="1"/>
  <c r="M2255" i="1"/>
  <c r="M2231" i="1"/>
  <c r="M2119" i="1"/>
  <c r="M2095" i="1"/>
  <c r="M2063" i="1"/>
  <c r="M2047" i="1"/>
  <c r="M2023" i="1"/>
  <c r="M2015" i="1"/>
  <c r="M1991" i="1"/>
  <c r="M1967" i="1"/>
  <c r="M1943" i="1"/>
  <c r="M1927" i="1"/>
  <c r="M1855" i="1"/>
  <c r="M1823" i="1"/>
  <c r="M1751" i="1"/>
  <c r="M1727" i="1"/>
  <c r="M1687" i="1"/>
  <c r="M1615" i="1"/>
  <c r="M1591" i="1"/>
  <c r="M1575" i="1"/>
  <c r="M1551" i="1"/>
  <c r="M1543" i="1"/>
  <c r="M1511" i="1"/>
  <c r="M1463" i="1"/>
  <c r="M1439" i="1"/>
  <c r="M1407" i="1"/>
  <c r="M1303" i="1"/>
  <c r="M1279" i="1"/>
  <c r="M3438" i="1"/>
  <c r="M3406" i="1"/>
  <c r="M3382" i="1"/>
  <c r="M3358" i="1"/>
  <c r="M3334" i="1"/>
  <c r="M3326" i="1"/>
  <c r="M3294" i="1"/>
  <c r="M3278" i="1"/>
  <c r="M3246" i="1"/>
  <c r="M3214" i="1"/>
  <c r="M3190" i="1"/>
  <c r="M3182" i="1"/>
  <c r="M3158" i="1"/>
  <c r="M3134" i="1"/>
  <c r="M3110" i="1"/>
  <c r="M3086" i="1"/>
  <c r="M3070" i="1"/>
  <c r="M2990" i="1"/>
  <c r="M2966" i="1"/>
  <c r="M2942" i="1"/>
  <c r="M2878" i="1"/>
  <c r="M2870" i="1"/>
  <c r="M2854" i="1"/>
  <c r="M2838" i="1"/>
  <c r="M2814" i="1"/>
  <c r="M2798" i="1"/>
  <c r="M2782" i="1"/>
  <c r="M2758" i="1"/>
  <c r="M2742" i="1"/>
  <c r="M2718" i="1"/>
  <c r="M2670" i="1"/>
  <c r="M2646" i="1"/>
  <c r="M2606" i="1"/>
  <c r="M2582" i="1"/>
  <c r="M2478" i="1"/>
  <c r="M2454" i="1"/>
  <c r="M2438" i="1"/>
  <c r="M2430" i="1"/>
  <c r="M2414" i="1"/>
  <c r="M2406" i="1"/>
  <c r="M2398" i="1"/>
  <c r="M2382" i="1"/>
  <c r="M2374" i="1"/>
  <c r="M2366" i="1"/>
  <c r="M2350" i="1"/>
  <c r="M2326" i="1"/>
  <c r="M2310" i="1"/>
  <c r="M2294" i="1"/>
  <c r="M2278" i="1"/>
  <c r="M2270" i="1"/>
  <c r="M2262" i="1"/>
  <c r="M2254" i="1"/>
  <c r="M2230" i="1"/>
  <c r="M2222" i="1"/>
  <c r="M2206" i="1"/>
  <c r="M2190" i="1"/>
  <c r="M2174" i="1"/>
  <c r="M2158" i="1"/>
  <c r="M2142" i="1"/>
  <c r="M2126" i="1"/>
  <c r="M2102" i="1"/>
  <c r="M2046" i="1"/>
  <c r="M1990" i="1"/>
  <c r="M1934" i="1"/>
  <c r="M1910" i="1"/>
  <c r="M1862" i="1"/>
  <c r="M1838" i="1"/>
  <c r="M1822" i="1"/>
  <c r="M1798" i="1"/>
  <c r="M1774" i="1"/>
  <c r="M1742" i="1"/>
  <c r="M1726" i="1"/>
  <c r="M1710" i="1"/>
  <c r="M1686" i="1"/>
  <c r="M1662" i="1"/>
  <c r="M1638" i="1"/>
  <c r="M1622" i="1"/>
  <c r="M1598" i="1"/>
  <c r="M1574" i="1"/>
  <c r="M3437" i="1"/>
  <c r="M3405" i="1"/>
  <c r="M3381" i="1"/>
  <c r="M3333" i="1"/>
  <c r="M3293" i="1"/>
  <c r="M3173" i="1"/>
  <c r="M3133" i="1"/>
  <c r="M3101" i="1"/>
  <c r="M2997" i="1"/>
  <c r="M2973" i="1"/>
  <c r="M2933" i="1"/>
  <c r="M2901" i="1"/>
  <c r="M2877" i="1"/>
  <c r="M2829" i="1"/>
  <c r="M2821" i="1"/>
  <c r="M2789" i="1"/>
  <c r="M2749" i="1"/>
  <c r="M2725" i="1"/>
  <c r="M2693" i="1"/>
  <c r="M2669" i="1"/>
  <c r="M2613" i="1"/>
  <c r="M2501" i="1"/>
  <c r="M2461" i="1"/>
  <c r="M2429" i="1"/>
  <c r="M2381" i="1"/>
  <c r="M2285" i="1"/>
  <c r="M2253" i="1"/>
  <c r="M2221" i="1"/>
  <c r="M2189" i="1"/>
  <c r="M2149" i="1"/>
  <c r="M2053" i="1"/>
  <c r="M2013" i="1"/>
  <c r="M1909" i="1"/>
  <c r="M1869" i="1"/>
  <c r="M1837" i="1"/>
  <c r="M1797" i="1"/>
  <c r="M1741" i="1"/>
  <c r="M1709" i="1"/>
  <c r="M1685" i="1"/>
  <c r="M1669" i="1"/>
  <c r="M1645" i="1"/>
  <c r="M1605" i="1"/>
  <c r="M1573" i="1"/>
  <c r="M1541" i="1"/>
  <c r="M1501" i="1"/>
  <c r="M1397" i="1"/>
  <c r="M1293" i="1"/>
  <c r="M1181" i="1"/>
  <c r="M989" i="1"/>
  <c r="M813" i="1"/>
  <c r="M765" i="1"/>
  <c r="M733" i="1"/>
  <c r="M693" i="1"/>
  <c r="M669" i="1"/>
  <c r="M653" i="1"/>
  <c r="M613" i="1"/>
  <c r="M557" i="1"/>
  <c r="M469" i="1"/>
  <c r="M357" i="1"/>
  <c r="M333" i="1"/>
  <c r="M213" i="1"/>
  <c r="M189" i="1"/>
  <c r="M93" i="1"/>
  <c r="M13" i="1"/>
  <c r="M325" i="1"/>
  <c r="M1679" i="1"/>
  <c r="M3439" i="1"/>
  <c r="M3407" i="1"/>
  <c r="M3311" i="1"/>
  <c r="M3279" i="1"/>
  <c r="M3247" i="1"/>
  <c r="M3215" i="1"/>
  <c r="M3191" i="1"/>
  <c r="M3159" i="1"/>
  <c r="M3135" i="1"/>
  <c r="M3119" i="1"/>
  <c r="M3087" i="1"/>
  <c r="M3063" i="1"/>
  <c r="M3039" i="1"/>
  <c r="M3007" i="1"/>
  <c r="M2983" i="1"/>
  <c r="M2951" i="1"/>
  <c r="M2935" i="1"/>
  <c r="M2911" i="1"/>
  <c r="M2887" i="1"/>
  <c r="M2855" i="1"/>
  <c r="M2823" i="1"/>
  <c r="M2799" i="1"/>
  <c r="M2711" i="1"/>
  <c r="M2639" i="1"/>
  <c r="M2607" i="1"/>
  <c r="M2583" i="1"/>
  <c r="M2559" i="1"/>
  <c r="M2535" i="1"/>
  <c r="M2495" i="1"/>
  <c r="M2383" i="1"/>
  <c r="M2351" i="1"/>
  <c r="M2327" i="1"/>
  <c r="M2295" i="1"/>
  <c r="M2263" i="1"/>
  <c r="M2239" i="1"/>
  <c r="M2207" i="1"/>
  <c r="M2167" i="1"/>
  <c r="M1903" i="1"/>
  <c r="M3342" i="1"/>
  <c r="M3302" i="1"/>
  <c r="M3270" i="1"/>
  <c r="M3254" i="1"/>
  <c r="M3230" i="1"/>
  <c r="M3198" i="1"/>
  <c r="M3126" i="1"/>
  <c r="M3118" i="1"/>
  <c r="M3094" i="1"/>
  <c r="M3062" i="1"/>
  <c r="M3046" i="1"/>
  <c r="M3022" i="1"/>
  <c r="M2982" i="1"/>
  <c r="M2958" i="1"/>
  <c r="M2886" i="1"/>
  <c r="M2830" i="1"/>
  <c r="M2822" i="1"/>
  <c r="M2806" i="1"/>
  <c r="M2702" i="1"/>
  <c r="M2622" i="1"/>
  <c r="M2590" i="1"/>
  <c r="M2566" i="1"/>
  <c r="M2550" i="1"/>
  <c r="M2518" i="1"/>
  <c r="M2446" i="1"/>
  <c r="M2422" i="1"/>
  <c r="M2342" i="1"/>
  <c r="M2318" i="1"/>
  <c r="M2286" i="1"/>
  <c r="M2214" i="1"/>
  <c r="M2182" i="1"/>
  <c r="M2166" i="1"/>
  <c r="M2150" i="1"/>
  <c r="M2086" i="1"/>
  <c r="M2062" i="1"/>
  <c r="M2038" i="1"/>
  <c r="M2022" i="1"/>
  <c r="M2014" i="1"/>
  <c r="M2006" i="1"/>
  <c r="M1918" i="1"/>
  <c r="M1886" i="1"/>
  <c r="M1830" i="1"/>
  <c r="M1814" i="1"/>
  <c r="M1790" i="1"/>
  <c r="M1782" i="1"/>
  <c r="M1758" i="1"/>
  <c r="M1734" i="1"/>
  <c r="M1702" i="1"/>
  <c r="M1694" i="1"/>
  <c r="M1670" i="1"/>
  <c r="M1646" i="1"/>
  <c r="M1630" i="1"/>
  <c r="M1606" i="1"/>
  <c r="M1582" i="1"/>
  <c r="M1558" i="1"/>
  <c r="M1550" i="1"/>
  <c r="M1534" i="1"/>
  <c r="M1678" i="1"/>
  <c r="M3429" i="1"/>
  <c r="M3365" i="1"/>
  <c r="M3325" i="1"/>
  <c r="M3285" i="1"/>
  <c r="M3253" i="1"/>
  <c r="M3213" i="1"/>
  <c r="M3189" i="1"/>
  <c r="M3149" i="1"/>
  <c r="M3061" i="1"/>
  <c r="M3021" i="1"/>
  <c r="M2941" i="1"/>
  <c r="M2909" i="1"/>
  <c r="M2869" i="1"/>
  <c r="M2837" i="1"/>
  <c r="M2797" i="1"/>
  <c r="M2757" i="1"/>
  <c r="M2645" i="1"/>
  <c r="M2629" i="1"/>
  <c r="M2597" i="1"/>
  <c r="M2565" i="1"/>
  <c r="M2533" i="1"/>
  <c r="M2493" i="1"/>
  <c r="M2477" i="1"/>
  <c r="M2453" i="1"/>
  <c r="M2421" i="1"/>
  <c r="M2389" i="1"/>
  <c r="M2357" i="1"/>
  <c r="M2325" i="1"/>
  <c r="M2173" i="1"/>
  <c r="M2101" i="1"/>
  <c r="M2077" i="1"/>
  <c r="M2037" i="1"/>
  <c r="M1957" i="1"/>
  <c r="M1917" i="1"/>
  <c r="M1877" i="1"/>
  <c r="M1845" i="1"/>
  <c r="M1733" i="1"/>
  <c r="M1717" i="1"/>
  <c r="M1693" i="1"/>
  <c r="M1629" i="1"/>
  <c r="M1597" i="1"/>
  <c r="M1581" i="1"/>
  <c r="M1533" i="1"/>
  <c r="M1493" i="1"/>
  <c r="M1389" i="1"/>
  <c r="M1365" i="1"/>
  <c r="M1285" i="1"/>
  <c r="M1213" i="1"/>
  <c r="M1197" i="1"/>
  <c r="M1133" i="1"/>
  <c r="M1093" i="1"/>
  <c r="M1077" i="1"/>
  <c r="M1045" i="1"/>
  <c r="M1021" i="1"/>
  <c r="M981" i="1"/>
  <c r="M965" i="1"/>
  <c r="M949" i="1"/>
  <c r="M925" i="1"/>
  <c r="M893" i="1"/>
  <c r="M861" i="1"/>
  <c r="M821" i="1"/>
  <c r="M781" i="1"/>
  <c r="M749" i="1"/>
  <c r="M709" i="1"/>
  <c r="M645" i="1"/>
  <c r="M621" i="1"/>
  <c r="M589" i="1"/>
  <c r="M429" i="1"/>
  <c r="M397" i="1"/>
  <c r="M373" i="1"/>
  <c r="M317" i="1"/>
  <c r="M301" i="1"/>
  <c r="M285" i="1"/>
  <c r="M261" i="1"/>
  <c r="M245" i="1"/>
  <c r="M221" i="1"/>
  <c r="M205" i="1"/>
  <c r="M181" i="1"/>
  <c r="M149" i="1"/>
  <c r="M133" i="1"/>
  <c r="M109" i="1"/>
  <c r="M3436" i="1"/>
  <c r="M3404" i="1"/>
  <c r="M3324" i="1"/>
  <c r="M3300" i="1"/>
  <c r="M3268" i="1"/>
  <c r="M3236" i="1"/>
  <c r="M3052" i="1"/>
  <c r="M3036" i="1"/>
  <c r="M3004" i="1"/>
  <c r="M2996" i="1"/>
  <c r="M2980" i="1"/>
  <c r="M2956" i="1"/>
  <c r="M2932" i="1"/>
  <c r="M2900" i="1"/>
  <c r="M2812" i="1"/>
  <c r="M2780" i="1"/>
  <c r="M2756" i="1"/>
  <c r="M2732" i="1"/>
  <c r="M2716" i="1"/>
  <c r="M2692" i="1"/>
  <c r="M2676" i="1"/>
  <c r="M2660" i="1"/>
  <c r="M2644" i="1"/>
  <c r="M2628" i="1"/>
  <c r="M2612" i="1"/>
  <c r="M2596" i="1"/>
  <c r="M2580" i="1"/>
  <c r="M2564" i="1"/>
  <c r="M2548" i="1"/>
  <c r="M2532" i="1"/>
  <c r="M2508" i="1"/>
  <c r="M2492" i="1"/>
  <c r="M2476" i="1"/>
  <c r="M2460" i="1"/>
  <c r="M2380" i="1"/>
  <c r="M2356" i="1"/>
  <c r="M2316" i="1"/>
  <c r="M2292" i="1"/>
  <c r="M2252" i="1"/>
  <c r="M2172" i="1"/>
  <c r="M2148" i="1"/>
  <c r="M2052" i="1"/>
  <c r="M2028" i="1"/>
  <c r="M1988" i="1"/>
  <c r="M1980" i="1"/>
  <c r="M1964" i="1"/>
  <c r="M1940" i="1"/>
  <c r="M1868" i="1"/>
  <c r="M1836" i="1"/>
  <c r="M1804" i="1"/>
  <c r="M1740" i="1"/>
  <c r="M1660" i="1"/>
  <c r="M1628" i="1"/>
  <c r="M1596" i="1"/>
  <c r="M1516" i="1"/>
  <c r="M1500" i="1"/>
  <c r="M1412" i="1"/>
  <c r="M1388" i="1"/>
  <c r="M1364" i="1"/>
  <c r="M1340" i="1"/>
  <c r="M1308" i="1"/>
  <c r="M1276" i="1"/>
  <c r="M1204" i="1"/>
  <c r="M1180" i="1"/>
  <c r="M1108" i="1"/>
  <c r="M1092" i="1"/>
  <c r="M1084" i="1"/>
  <c r="M1076" i="1"/>
  <c r="M1012" i="1"/>
  <c r="M1004" i="1"/>
  <c r="M996" i="1"/>
  <c r="M988" i="1"/>
  <c r="M972" i="1"/>
  <c r="M932" i="1"/>
  <c r="M924" i="1"/>
  <c r="M852" i="1"/>
  <c r="M836" i="1"/>
  <c r="M804" i="1"/>
  <c r="M740" i="1"/>
  <c r="M700" i="1"/>
  <c r="M668" i="1"/>
  <c r="M652" i="1"/>
  <c r="M636" i="1"/>
  <c r="M620" i="1"/>
  <c r="M612" i="1"/>
  <c r="M596" i="1"/>
  <c r="M588" i="1"/>
  <c r="M580" i="1"/>
  <c r="M572" i="1"/>
  <c r="M556" i="1"/>
  <c r="M540" i="1"/>
  <c r="M524" i="1"/>
  <c r="M516" i="1"/>
  <c r="M508" i="1"/>
  <c r="M500" i="1"/>
  <c r="M468" i="1"/>
  <c r="M428" i="1"/>
  <c r="M412" i="1"/>
  <c r="M404" i="1"/>
  <c r="M388" i="1"/>
  <c r="M380" i="1"/>
  <c r="M372" i="1"/>
  <c r="M356" i="1"/>
  <c r="M348" i="1"/>
  <c r="M332" i="1"/>
  <c r="M316" i="1"/>
  <c r="M308" i="1"/>
  <c r="M292" i="1"/>
  <c r="M276" i="1"/>
  <c r="M260" i="1"/>
  <c r="M252" i="1"/>
  <c r="M244" i="1"/>
  <c r="M236" i="1"/>
  <c r="M220" i="1"/>
  <c r="M212" i="1"/>
  <c r="M204" i="1"/>
  <c r="M188" i="1"/>
  <c r="M180" i="1"/>
  <c r="M172" i="1"/>
  <c r="M164" i="1"/>
  <c r="M148" i="1"/>
  <c r="M140" i="1"/>
  <c r="M124" i="1"/>
  <c r="M108" i="1"/>
  <c r="M100" i="1"/>
  <c r="M84" i="1"/>
  <c r="M76" i="1"/>
  <c r="M68" i="1"/>
  <c r="M60" i="1"/>
  <c r="M44" i="1"/>
  <c r="M36" i="1"/>
  <c r="M20" i="1"/>
  <c r="M4" i="1"/>
  <c r="M165" i="1"/>
  <c r="M1339" i="1"/>
  <c r="M1703" i="1"/>
  <c r="M2332" i="1"/>
  <c r="M3423" i="1"/>
  <c r="M3391" i="1"/>
  <c r="M3367" i="1"/>
  <c r="M3343" i="1"/>
  <c r="M3319" i="1"/>
  <c r="M3295" i="1"/>
  <c r="M3263" i="1"/>
  <c r="M3231" i="1"/>
  <c r="M3207" i="1"/>
  <c r="M3175" i="1"/>
  <c r="M3143" i="1"/>
  <c r="M3103" i="1"/>
  <c r="M3023" i="1"/>
  <c r="M2999" i="1"/>
  <c r="M2959" i="1"/>
  <c r="M2871" i="1"/>
  <c r="M2831" i="1"/>
  <c r="M2807" i="1"/>
  <c r="M2783" i="1"/>
  <c r="M2767" i="1"/>
  <c r="M2743" i="1"/>
  <c r="M2703" i="1"/>
  <c r="M2679" i="1"/>
  <c r="M2647" i="1"/>
  <c r="M2631" i="1"/>
  <c r="M2615" i="1"/>
  <c r="M2519" i="1"/>
  <c r="M2487" i="1"/>
  <c r="M2471" i="1"/>
  <c r="M2447" i="1"/>
  <c r="M2431" i="1"/>
  <c r="M2407" i="1"/>
  <c r="M2375" i="1"/>
  <c r="M2343" i="1"/>
  <c r="M2303" i="1"/>
  <c r="M2271" i="1"/>
  <c r="M2247" i="1"/>
  <c r="M2215" i="1"/>
  <c r="M2191" i="1"/>
  <c r="M2159" i="1"/>
  <c r="M2079" i="1"/>
  <c r="M2055" i="1"/>
  <c r="M2031" i="1"/>
  <c r="M2007" i="1"/>
  <c r="M1975" i="1"/>
  <c r="M1951" i="1"/>
  <c r="M1935" i="1"/>
  <c r="M1911" i="1"/>
  <c r="M1887" i="1"/>
  <c r="M1807" i="1"/>
  <c r="M1735" i="1"/>
  <c r="M1671" i="1"/>
  <c r="M1655" i="1"/>
  <c r="M1647" i="1"/>
  <c r="M1631" i="1"/>
  <c r="M1607" i="1"/>
  <c r="M1599" i="1"/>
  <c r="M1583" i="1"/>
  <c r="M1559" i="1"/>
  <c r="M1535" i="1"/>
  <c r="M1519" i="1"/>
  <c r="M1495" i="1"/>
  <c r="M1479" i="1"/>
  <c r="M1367" i="1"/>
  <c r="M1327" i="1"/>
  <c r="M1311" i="1"/>
  <c r="M1287" i="1"/>
  <c r="M3430" i="1"/>
  <c r="M3366" i="1"/>
  <c r="M3318" i="1"/>
  <c r="M3150" i="1"/>
  <c r="M2998" i="1"/>
  <c r="M2614" i="1"/>
  <c r="M3421" i="1"/>
  <c r="M3397" i="1"/>
  <c r="M3349" i="1"/>
  <c r="M3317" i="1"/>
  <c r="M3277" i="1"/>
  <c r="M3245" i="1"/>
  <c r="M3093" i="1"/>
  <c r="M3077" i="1"/>
  <c r="M3045" i="1"/>
  <c r="M2989" i="1"/>
  <c r="M2925" i="1"/>
  <c r="M2885" i="1"/>
  <c r="M2853" i="1"/>
  <c r="M2813" i="1"/>
  <c r="M2773" i="1"/>
  <c r="M2741" i="1"/>
  <c r="M2717" i="1"/>
  <c r="M2685" i="1"/>
  <c r="M2637" i="1"/>
  <c r="M2589" i="1"/>
  <c r="M2405" i="1"/>
  <c r="M2365" i="1"/>
  <c r="M2349" i="1"/>
  <c r="M2309" i="1"/>
  <c r="M2141" i="1"/>
  <c r="M2117" i="1"/>
  <c r="M2085" i="1"/>
  <c r="M2061" i="1"/>
  <c r="M2029" i="1"/>
  <c r="M2005" i="1"/>
  <c r="M1981" i="1"/>
  <c r="M1949" i="1"/>
  <c r="M1901" i="1"/>
  <c r="M1861" i="1"/>
  <c r="M1813" i="1"/>
  <c r="M1701" i="1"/>
  <c r="M1525" i="1"/>
  <c r="M1413" i="1"/>
  <c r="M1381" i="1"/>
  <c r="M1349" i="1"/>
  <c r="M1229" i="1"/>
  <c r="M1101" i="1"/>
  <c r="M997" i="1"/>
  <c r="M957" i="1"/>
  <c r="M877" i="1"/>
  <c r="M837" i="1"/>
  <c r="M797" i="1"/>
  <c r="M773" i="1"/>
  <c r="M741" i="1"/>
  <c r="M717" i="1"/>
  <c r="M637" i="1"/>
  <c r="M597" i="1"/>
  <c r="M525" i="1"/>
  <c r="M501" i="1"/>
  <c r="M413" i="1"/>
  <c r="M381" i="1"/>
  <c r="M349" i="1"/>
  <c r="M197" i="1"/>
  <c r="M125" i="1"/>
  <c r="M45" i="1"/>
  <c r="M3412" i="1"/>
  <c r="M3388" i="1"/>
  <c r="M3356" i="1"/>
  <c r="M3260" i="1"/>
  <c r="M3188" i="1"/>
  <c r="M3164" i="1"/>
  <c r="M3132" i="1"/>
  <c r="M3100" i="1"/>
  <c r="M3068" i="1"/>
  <c r="M3044" i="1"/>
  <c r="M3020" i="1"/>
  <c r="M2988" i="1"/>
  <c r="M2964" i="1"/>
  <c r="M2940" i="1"/>
  <c r="M2916" i="1"/>
  <c r="M2884" i="1"/>
  <c r="M2852" i="1"/>
  <c r="M2788" i="1"/>
  <c r="M2604" i="1"/>
  <c r="M1932" i="1"/>
  <c r="M1908" i="1"/>
  <c r="M1876" i="1"/>
  <c r="M1844" i="1"/>
  <c r="M1812" i="1"/>
  <c r="M1684" i="1"/>
  <c r="M1652" i="1"/>
  <c r="M1620" i="1"/>
  <c r="M1588" i="1"/>
  <c r="M1508" i="1"/>
  <c r="M1484" i="1"/>
  <c r="M1404" i="1"/>
  <c r="M1380" i="1"/>
  <c r="M1348" i="1"/>
  <c r="M1316" i="1"/>
  <c r="M1292" i="1"/>
  <c r="M1268" i="1"/>
  <c r="M1252" i="1"/>
  <c r="M1228" i="1"/>
  <c r="M1132" i="1"/>
  <c r="M1044" i="1"/>
  <c r="M452" i="1"/>
  <c r="M3427" i="1"/>
  <c r="M3403" i="1"/>
  <c r="M3331" i="1"/>
  <c r="M3291" i="1"/>
  <c r="M3211" i="1"/>
  <c r="M3187" i="1"/>
  <c r="M3163" i="1"/>
  <c r="M3147" i="1"/>
  <c r="M3123" i="1"/>
  <c r="M3099" i="1"/>
  <c r="M3075" i="1"/>
  <c r="M3051" i="1"/>
  <c r="M3019" i="1"/>
  <c r="M2995" i="1"/>
  <c r="M2963" i="1"/>
  <c r="M2939" i="1"/>
  <c r="M2915" i="1"/>
  <c r="M2891" i="1"/>
  <c r="M2867" i="1"/>
  <c r="M2843" i="1"/>
  <c r="M2819" i="1"/>
  <c r="M2787" i="1"/>
  <c r="M2763" i="1"/>
  <c r="M2731" i="1"/>
  <c r="M2707" i="1"/>
  <c r="M2683" i="1"/>
  <c r="M2659" i="1"/>
  <c r="M2635" i="1"/>
  <c r="M2603" i="1"/>
  <c r="M2579" i="1"/>
  <c r="M2555" i="1"/>
  <c r="M2523" i="1"/>
  <c r="M2491" i="1"/>
  <c r="M2475" i="1"/>
  <c r="M2451" i="1"/>
  <c r="M2419" i="1"/>
  <c r="M2395" i="1"/>
  <c r="M2371" i="1"/>
  <c r="M2347" i="1"/>
  <c r="M2323" i="1"/>
  <c r="M2299" i="1"/>
  <c r="M2275" i="1"/>
  <c r="M2251" i="1"/>
  <c r="M2227" i="1"/>
  <c r="M2187" i="1"/>
  <c r="M2163" i="1"/>
  <c r="M2139" i="1"/>
  <c r="M2115" i="1"/>
  <c r="M2075" i="1"/>
  <c r="M2051" i="1"/>
  <c r="M2035" i="1"/>
  <c r="M2019" i="1"/>
  <c r="M1995" i="1"/>
  <c r="M1979" i="1"/>
  <c r="M1963" i="1"/>
  <c r="M1955" i="1"/>
  <c r="M1931" i="1"/>
  <c r="M1915" i="1"/>
  <c r="M1899" i="1"/>
  <c r="M1883" i="1"/>
  <c r="M1867" i="1"/>
  <c r="M1843" i="1"/>
  <c r="M1803" i="1"/>
  <c r="M1787" i="1"/>
  <c r="M1771" i="1"/>
  <c r="M1747" i="1"/>
  <c r="M1731" i="1"/>
  <c r="M1707" i="1"/>
  <c r="M1643" i="1"/>
  <c r="M1635" i="1"/>
  <c r="M1619" i="1"/>
  <c r="M1611" i="1"/>
  <c r="M1547" i="1"/>
  <c r="M1531" i="1"/>
  <c r="M1515" i="1"/>
  <c r="M1451" i="1"/>
  <c r="M1435" i="1"/>
  <c r="M1419" i="1"/>
  <c r="M1403" i="1"/>
  <c r="M1395" i="1"/>
  <c r="M1387" i="1"/>
  <c r="M1331" i="1"/>
  <c r="M1323" i="1"/>
  <c r="M1315" i="1"/>
  <c r="M1307" i="1"/>
  <c r="M1291" i="1"/>
  <c r="M1275" i="1"/>
  <c r="M1267" i="1"/>
  <c r="M1259" i="1"/>
  <c r="M1251" i="1"/>
  <c r="M1243" i="1"/>
  <c r="M1235" i="1"/>
  <c r="M1227" i="1"/>
  <c r="M1219" i="1"/>
  <c r="M1211" i="1"/>
  <c r="M1203" i="1"/>
  <c r="M1195" i="1"/>
  <c r="M1179" i="1"/>
  <c r="M1139" i="1"/>
  <c r="M1131" i="1"/>
  <c r="M1123" i="1"/>
  <c r="M1115" i="1"/>
  <c r="M1107" i="1"/>
  <c r="M1099" i="1"/>
  <c r="M1083" i="1"/>
  <c r="M1075" i="1"/>
  <c r="M1067" i="1"/>
  <c r="M1059" i="1"/>
  <c r="M1043" i="1"/>
  <c r="M1035" i="1"/>
  <c r="M1027" i="1"/>
  <c r="M1019" i="1"/>
  <c r="M1011" i="1"/>
  <c r="M1003" i="1"/>
  <c r="M987" i="1"/>
  <c r="M971" i="1"/>
  <c r="M947" i="1"/>
  <c r="M939" i="1"/>
  <c r="M931" i="1"/>
  <c r="M923" i="1"/>
  <c r="M915" i="1"/>
  <c r="M907" i="1"/>
  <c r="M899" i="1"/>
  <c r="M891" i="1"/>
  <c r="M883" i="1"/>
  <c r="M875" i="1"/>
  <c r="M851" i="1"/>
  <c r="M835" i="1"/>
  <c r="M819" i="1"/>
  <c r="M811" i="1"/>
  <c r="M803" i="1"/>
  <c r="M787" i="1"/>
  <c r="M771" i="1"/>
  <c r="M763" i="1"/>
  <c r="M755" i="1"/>
  <c r="M747" i="1"/>
  <c r="M739" i="1"/>
  <c r="M723" i="1"/>
  <c r="M715" i="1"/>
  <c r="M707" i="1"/>
  <c r="M699" i="1"/>
  <c r="M691" i="1"/>
  <c r="M683" i="1"/>
  <c r="M675" i="1"/>
  <c r="M667" i="1"/>
  <c r="M651" i="1"/>
  <c r="M643" i="1"/>
  <c r="M635" i="1"/>
  <c r="M627" i="1"/>
  <c r="M611" i="1"/>
  <c r="M595" i="1"/>
  <c r="M579" i="1"/>
  <c r="M571" i="1"/>
  <c r="M563" i="1"/>
  <c r="M555" i="1"/>
  <c r="M539" i="1"/>
  <c r="M523" i="1"/>
  <c r="M515" i="1"/>
  <c r="M499" i="1"/>
  <c r="M483" i="1"/>
  <c r="M475" i="1"/>
  <c r="M459" i="1"/>
  <c r="M443" i="1"/>
  <c r="M427" i="1"/>
  <c r="M411" i="1"/>
  <c r="M403" i="1"/>
  <c r="M387" i="1"/>
  <c r="M379" i="1"/>
  <c r="M371" i="1"/>
  <c r="M363" i="1"/>
  <c r="M347" i="1"/>
  <c r="M339" i="1"/>
  <c r="M331" i="1"/>
  <c r="M315" i="1"/>
  <c r="M307" i="1"/>
  <c r="M291" i="1"/>
  <c r="M275" i="1"/>
  <c r="M259" i="1"/>
  <c r="M243" i="1"/>
  <c r="M235" i="1"/>
  <c r="M219" i="1"/>
  <c r="M203" i="1"/>
  <c r="M195" i="1"/>
  <c r="M179" i="1"/>
  <c r="M171" i="1"/>
  <c r="M147" i="1"/>
  <c r="M139" i="1"/>
  <c r="M123" i="1"/>
  <c r="M115" i="1"/>
  <c r="M107" i="1"/>
  <c r="M99" i="1"/>
  <c r="M83" i="1"/>
  <c r="M59" i="1"/>
  <c r="M51" i="1"/>
  <c r="M35" i="1"/>
  <c r="M19" i="1"/>
  <c r="M3" i="1"/>
  <c r="M77" i="1"/>
  <c r="M659" i="1"/>
  <c r="M892" i="1"/>
  <c r="M1157" i="1"/>
  <c r="M3375" i="1"/>
  <c r="M3351" i="1"/>
  <c r="M3271" i="1"/>
  <c r="M3255" i="1"/>
  <c r="M3223" i="1"/>
  <c r="M3199" i="1"/>
  <c r="M3183" i="1"/>
  <c r="M3151" i="1"/>
  <c r="M3127" i="1"/>
  <c r="M3095" i="1"/>
  <c r="M3071" i="1"/>
  <c r="M3047" i="1"/>
  <c r="M3015" i="1"/>
  <c r="M2991" i="1"/>
  <c r="M2967" i="1"/>
  <c r="M2943" i="1"/>
  <c r="M2927" i="1"/>
  <c r="M2895" i="1"/>
  <c r="M2879" i="1"/>
  <c r="M2839" i="1"/>
  <c r="M2775" i="1"/>
  <c r="M2759" i="1"/>
  <c r="M2727" i="1"/>
  <c r="M2695" i="1"/>
  <c r="M2671" i="1"/>
  <c r="M2591" i="1"/>
  <c r="M2567" i="1"/>
  <c r="M2479" i="1"/>
  <c r="M2455" i="1"/>
  <c r="M2439" i="1"/>
  <c r="M2423" i="1"/>
  <c r="M2399" i="1"/>
  <c r="M2367" i="1"/>
  <c r="M2335" i="1"/>
  <c r="M2311" i="1"/>
  <c r="M2287" i="1"/>
  <c r="M2199" i="1"/>
  <c r="M2183" i="1"/>
  <c r="M2143" i="1"/>
  <c r="M2127" i="1"/>
  <c r="M2103" i="1"/>
  <c r="M2071" i="1"/>
  <c r="M2039" i="1"/>
  <c r="M1959" i="1"/>
  <c r="M1895" i="1"/>
  <c r="M1879" i="1"/>
  <c r="M1863" i="1"/>
  <c r="M1847" i="1"/>
  <c r="M1839" i="1"/>
  <c r="M1815" i="1"/>
  <c r="M1799" i="1"/>
  <c r="M1791" i="1"/>
  <c r="M1783" i="1"/>
  <c r="M1767" i="1"/>
  <c r="M1743" i="1"/>
  <c r="M1719" i="1"/>
  <c r="M1711" i="1"/>
  <c r="M1503" i="1"/>
  <c r="M1487" i="1"/>
  <c r="M1447" i="1"/>
  <c r="M1423" i="1"/>
  <c r="M1415" i="1"/>
  <c r="M1399" i="1"/>
  <c r="M1383" i="1"/>
  <c r="M1375" i="1"/>
  <c r="M1359" i="1"/>
  <c r="M1351" i="1"/>
  <c r="M1295" i="1"/>
  <c r="M3414" i="1"/>
  <c r="M3390" i="1"/>
  <c r="M3350" i="1"/>
  <c r="M3310" i="1"/>
  <c r="M3262" i="1"/>
  <c r="M3014" i="1"/>
  <c r="M2638" i="1"/>
  <c r="M3413" i="1"/>
  <c r="M3373" i="1"/>
  <c r="M3341" i="1"/>
  <c r="M3301" i="1"/>
  <c r="M3261" i="1"/>
  <c r="M3229" i="1"/>
  <c r="M3197" i="1"/>
  <c r="M3165" i="1"/>
  <c r="M3117" i="1"/>
  <c r="M3005" i="1"/>
  <c r="M2965" i="1"/>
  <c r="M2861" i="1"/>
  <c r="M2621" i="1"/>
  <c r="M2605" i="1"/>
  <c r="M2573" i="1"/>
  <c r="M2549" i="1"/>
  <c r="M2509" i="1"/>
  <c r="M2469" i="1"/>
  <c r="M2437" i="1"/>
  <c r="M2397" i="1"/>
  <c r="M2373" i="1"/>
  <c r="M2341" i="1"/>
  <c r="M2293" i="1"/>
  <c r="M2277" i="1"/>
  <c r="M2245" i="1"/>
  <c r="M2229" i="1"/>
  <c r="M2213" i="1"/>
  <c r="M2165" i="1"/>
  <c r="M2133" i="1"/>
  <c r="M1885" i="1"/>
  <c r="M1805" i="1"/>
  <c r="M1789" i="1"/>
  <c r="M1765" i="1"/>
  <c r="M1677" i="1"/>
  <c r="M1589" i="1"/>
  <c r="M1557" i="1"/>
  <c r="M1517" i="1"/>
  <c r="M1485" i="1"/>
  <c r="M1461" i="1"/>
  <c r="M1421" i="1"/>
  <c r="M1325" i="1"/>
  <c r="M1301" i="1"/>
  <c r="M1277" i="1"/>
  <c r="M1253" i="1"/>
  <c r="M1205" i="1"/>
  <c r="M1173" i="1"/>
  <c r="M1149" i="1"/>
  <c r="M1117" i="1"/>
  <c r="M1085" i="1"/>
  <c r="M1061" i="1"/>
  <c r="M1013" i="1"/>
  <c r="M901" i="1"/>
  <c r="M869" i="1"/>
  <c r="M829" i="1"/>
  <c r="M789" i="1"/>
  <c r="M757" i="1"/>
  <c r="M701" i="1"/>
  <c r="M541" i="1"/>
  <c r="M517" i="1"/>
  <c r="M485" i="1"/>
  <c r="M445" i="1"/>
  <c r="M277" i="1"/>
  <c r="M85" i="1"/>
  <c r="M61" i="1"/>
  <c r="M21" i="1"/>
  <c r="M3420" i="1"/>
  <c r="M3396" i="1"/>
  <c r="M3372" i="1"/>
  <c r="M3340" i="1"/>
  <c r="M3308" i="1"/>
  <c r="M3276" i="1"/>
  <c r="M3244" i="1"/>
  <c r="M3172" i="1"/>
  <c r="M3140" i="1"/>
  <c r="M3116" i="1"/>
  <c r="M3092" i="1"/>
  <c r="M3060" i="1"/>
  <c r="M3028" i="1"/>
  <c r="M2972" i="1"/>
  <c r="M2868" i="1"/>
  <c r="M2844" i="1"/>
  <c r="M2828" i="1"/>
  <c r="M2804" i="1"/>
  <c r="M2764" i="1"/>
  <c r="M2740" i="1"/>
  <c r="M2724" i="1"/>
  <c r="M2700" i="1"/>
  <c r="M2588" i="1"/>
  <c r="M2524" i="1"/>
  <c r="M2452" i="1"/>
  <c r="M2436" i="1"/>
  <c r="M2420" i="1"/>
  <c r="M2396" i="1"/>
  <c r="M2372" i="1"/>
  <c r="M2348" i="1"/>
  <c r="M2340" i="1"/>
  <c r="M2324" i="1"/>
  <c r="M2300" i="1"/>
  <c r="M2244" i="1"/>
  <c r="M2228" i="1"/>
  <c r="M2204" i="1"/>
  <c r="M2180" i="1"/>
  <c r="M2156" i="1"/>
  <c r="M2132" i="1"/>
  <c r="M2124" i="1"/>
  <c r="M2116" i="1"/>
  <c r="M2100" i="1"/>
  <c r="M2084" i="1"/>
  <c r="M2060" i="1"/>
  <c r="M2036" i="1"/>
  <c r="M2012" i="1"/>
  <c r="M1972" i="1"/>
  <c r="M1884" i="1"/>
  <c r="M1852" i="1"/>
  <c r="M1820" i="1"/>
  <c r="M1788" i="1"/>
  <c r="M1716" i="1"/>
  <c r="M1668" i="1"/>
  <c r="M1644" i="1"/>
  <c r="M1604" i="1"/>
  <c r="M1532" i="1"/>
  <c r="M1436" i="1"/>
  <c r="M1332" i="1"/>
  <c r="M1300" i="1"/>
  <c r="M1236" i="1"/>
  <c r="M484" i="1"/>
  <c r="M3395" i="1"/>
  <c r="M3387" i="1"/>
  <c r="M3371" i="1"/>
  <c r="M3363" i="1"/>
  <c r="M3339" i="1"/>
  <c r="M3323" i="1"/>
  <c r="M3307" i="1"/>
  <c r="M3275" i="1"/>
  <c r="M3259" i="1"/>
  <c r="M3243" i="1"/>
  <c r="M3219" i="1"/>
  <c r="M3195" i="1"/>
  <c r="M3171" i="1"/>
  <c r="M3139" i="1"/>
  <c r="M3115" i="1"/>
  <c r="M3091" i="1"/>
  <c r="M3059" i="1"/>
  <c r="M3035" i="1"/>
  <c r="M3003" i="1"/>
  <c r="M2979" i="1"/>
  <c r="M2955" i="1"/>
  <c r="M2931" i="1"/>
  <c r="M2907" i="1"/>
  <c r="M2875" i="1"/>
  <c r="M2851" i="1"/>
  <c r="M2827" i="1"/>
  <c r="M2803" i="1"/>
  <c r="M2771" i="1"/>
  <c r="M2747" i="1"/>
  <c r="M2723" i="1"/>
  <c r="M2699" i="1"/>
  <c r="M2667" i="1"/>
  <c r="M2643" i="1"/>
  <c r="M2619" i="1"/>
  <c r="M2595" i="1"/>
  <c r="M2571" i="1"/>
  <c r="M2539" i="1"/>
  <c r="M2515" i="1"/>
  <c r="M2499" i="1"/>
  <c r="M2467" i="1"/>
  <c r="M2443" i="1"/>
  <c r="M2411" i="1"/>
  <c r="M2387" i="1"/>
  <c r="M2363" i="1"/>
  <c r="M2331" i="1"/>
  <c r="M2315" i="1"/>
  <c r="M2291" i="1"/>
  <c r="M2267" i="1"/>
  <c r="M2243" i="1"/>
  <c r="M2211" i="1"/>
  <c r="M2195" i="1"/>
  <c r="M2171" i="1"/>
  <c r="M2147" i="1"/>
  <c r="M2107" i="1"/>
  <c r="M2011" i="1"/>
  <c r="M1755" i="1"/>
  <c r="M67" i="1"/>
  <c r="M3434" i="1"/>
  <c r="M3426" i="1"/>
  <c r="M3418" i="1"/>
  <c r="M3402" i="1"/>
  <c r="M3394" i="1"/>
  <c r="M3386" i="1"/>
  <c r="M3378" i="1"/>
  <c r="M3370" i="1"/>
  <c r="M3362" i="1"/>
  <c r="M3354" i="1"/>
  <c r="M3346" i="1"/>
  <c r="M3338" i="1"/>
  <c r="M3330" i="1"/>
  <c r="M3322" i="1"/>
  <c r="M3306" i="1"/>
  <c r="M3298" i="1"/>
  <c r="M3290" i="1"/>
  <c r="M3282" i="1"/>
  <c r="M3266" i="1"/>
  <c r="M3258" i="1"/>
  <c r="M3250" i="1"/>
  <c r="M3242" i="1"/>
  <c r="M3234" i="1"/>
  <c r="M3226" i="1"/>
  <c r="M3218" i="1"/>
  <c r="M3202" i="1"/>
  <c r="M3186" i="1"/>
  <c r="M3178" i="1"/>
  <c r="M3170" i="1"/>
  <c r="M3162" i="1"/>
  <c r="M3154" i="1"/>
  <c r="M3146" i="1"/>
  <c r="M3130" i="1"/>
  <c r="M3122" i="1"/>
  <c r="M3114" i="1"/>
  <c r="M3106" i="1"/>
  <c r="M3098" i="1"/>
  <c r="M3090" i="1"/>
  <c r="M3074" i="1"/>
  <c r="M3066" i="1"/>
  <c r="M3050" i="1"/>
  <c r="M3042" i="1"/>
  <c r="M3034" i="1"/>
  <c r="M3026" i="1"/>
  <c r="M3018" i="1"/>
  <c r="M3010" i="1"/>
  <c r="M2994" i="1"/>
  <c r="M2986" i="1"/>
  <c r="M2978" i="1"/>
  <c r="M2962" i="1"/>
  <c r="M2954" i="1"/>
  <c r="M2938" i="1"/>
  <c r="M2930" i="1"/>
  <c r="M2922" i="1"/>
  <c r="M2914" i="1"/>
  <c r="M2906" i="1"/>
  <c r="M2898" i="1"/>
  <c r="M2890" i="1"/>
  <c r="M2882" i="1"/>
  <c r="M2866" i="1"/>
  <c r="M2858" i="1"/>
  <c r="M2850" i="1"/>
  <c r="M2842" i="1"/>
  <c r="M2834" i="1"/>
  <c r="M2826" i="1"/>
  <c r="M2810" i="1"/>
  <c r="M2802" i="1"/>
  <c r="M2794" i="1"/>
  <c r="M2786" i="1"/>
  <c r="M2770" i="1"/>
  <c r="M2754" i="1"/>
  <c r="M2746" i="1"/>
  <c r="M2738" i="1"/>
  <c r="M2730" i="1"/>
  <c r="M2722" i="1"/>
  <c r="M2714" i="1"/>
  <c r="M2706" i="1"/>
  <c r="M2698" i="1"/>
  <c r="M2674" i="1"/>
  <c r="M2658" i="1"/>
  <c r="M2642" i="1"/>
  <c r="M2634" i="1"/>
  <c r="M2618" i="1"/>
  <c r="M2554" i="1"/>
  <c r="M2538" i="1"/>
  <c r="M2522" i="1"/>
  <c r="M2514" i="1"/>
  <c r="M2506" i="1"/>
  <c r="M2490" i="1"/>
  <c r="M2482" i="1"/>
  <c r="M2474" i="1"/>
  <c r="M2466" i="1"/>
  <c r="M2418" i="1"/>
  <c r="M2402" i="1"/>
  <c r="M2314" i="1"/>
  <c r="M2298" i="1"/>
  <c r="M2282" i="1"/>
  <c r="M2266" i="1"/>
  <c r="M2194" i="1"/>
  <c r="M2146" i="1"/>
  <c r="M2138" i="1"/>
  <c r="M2130" i="1"/>
  <c r="M2122" i="1"/>
  <c r="M2114" i="1"/>
  <c r="M2106" i="1"/>
  <c r="M2098" i="1"/>
  <c r="M2090" i="1"/>
  <c r="M2074" i="1"/>
  <c r="M2066" i="1"/>
  <c r="M2058" i="1"/>
  <c r="M2042" i="1"/>
  <c r="M2034" i="1"/>
  <c r="M2018" i="1"/>
  <c r="M2010" i="1"/>
  <c r="M2002" i="1"/>
  <c r="M1994" i="1"/>
  <c r="M1978" i="1"/>
  <c r="M1970" i="1"/>
  <c r="M1962" i="1"/>
  <c r="M1946" i="1"/>
  <c r="M1938" i="1"/>
  <c r="M1930" i="1"/>
  <c r="M1922" i="1"/>
  <c r="M1906" i="1"/>
  <c r="M1882" i="1"/>
  <c r="M1874" i="1"/>
  <c r="M1866" i="1"/>
  <c r="M1858" i="1"/>
  <c r="M1850" i="1"/>
  <c r="M1842" i="1"/>
  <c r="M1834" i="1"/>
  <c r="M1826" i="1"/>
  <c r="M1802" i="1"/>
  <c r="M1786" i="1"/>
  <c r="M1778" i="1"/>
  <c r="M1770" i="1"/>
  <c r="M1762" i="1"/>
  <c r="M1754" i="1"/>
  <c r="M1746" i="1"/>
  <c r="M1730" i="1"/>
  <c r="M1722" i="1"/>
  <c r="M1714" i="1"/>
  <c r="M1706" i="1"/>
  <c r="M1698" i="1"/>
  <c r="M1690" i="1"/>
  <c r="M1682" i="1"/>
  <c r="M1666" i="1"/>
  <c r="M1650" i="1"/>
  <c r="M1642" i="1"/>
  <c r="M1634" i="1"/>
  <c r="M1618" i="1"/>
  <c r="M1610" i="1"/>
  <c r="M1594" i="1"/>
  <c r="M1578" i="1"/>
  <c r="M1570" i="1"/>
  <c r="M1562" i="1"/>
  <c r="M1554" i="1"/>
  <c r="M1546" i="1"/>
  <c r="M1538" i="1"/>
  <c r="M1468" i="1"/>
  <c r="M1948" i="1"/>
  <c r="M3422" i="1"/>
  <c r="M3374" i="1"/>
  <c r="M3238" i="1"/>
  <c r="M3206" i="1"/>
  <c r="M3174" i="1"/>
  <c r="M3078" i="1"/>
  <c r="M3054" i="1"/>
  <c r="M3038" i="1"/>
  <c r="M3006" i="1"/>
  <c r="M2974" i="1"/>
  <c r="M2950" i="1"/>
  <c r="M2934" i="1"/>
  <c r="M2926" i="1"/>
  <c r="M2910" i="1"/>
  <c r="M2894" i="1"/>
  <c r="M2862" i="1"/>
  <c r="M2774" i="1"/>
  <c r="M2750" i="1"/>
  <c r="M2734" i="1"/>
  <c r="M2710" i="1"/>
  <c r="M2694" i="1"/>
  <c r="M2686" i="1"/>
  <c r="M2662" i="1"/>
  <c r="M2630" i="1"/>
  <c r="M2598" i="1"/>
  <c r="M2574" i="1"/>
  <c r="M2558" i="1"/>
  <c r="M2542" i="1"/>
  <c r="M2534" i="1"/>
  <c r="M2510" i="1"/>
  <c r="M2502" i="1"/>
  <c r="M2494" i="1"/>
  <c r="M2462" i="1"/>
  <c r="M2302" i="1"/>
  <c r="M2198" i="1"/>
  <c r="M2118" i="1"/>
  <c r="M2094" i="1"/>
  <c r="M2078" i="1"/>
  <c r="M2054" i="1"/>
  <c r="M2030" i="1"/>
  <c r="M1966" i="1"/>
  <c r="M1926" i="1"/>
  <c r="M1902" i="1"/>
  <c r="M1894" i="1"/>
  <c r="M1878" i="1"/>
  <c r="M1854" i="1"/>
  <c r="M1806" i="1"/>
  <c r="M1766" i="1"/>
  <c r="M1750" i="1"/>
  <c r="M1718" i="1"/>
  <c r="M1654" i="1"/>
  <c r="M1614" i="1"/>
  <c r="M1590" i="1"/>
  <c r="M1566" i="1"/>
  <c r="M1542" i="1"/>
  <c r="M3389" i="1"/>
  <c r="M3357" i="1"/>
  <c r="M3309" i="1"/>
  <c r="M3269" i="1"/>
  <c r="M3237" i="1"/>
  <c r="M3205" i="1"/>
  <c r="M3181" i="1"/>
  <c r="M3141" i="1"/>
  <c r="M3125" i="1"/>
  <c r="M3109" i="1"/>
  <c r="M3069" i="1"/>
  <c r="M3037" i="1"/>
  <c r="M3013" i="1"/>
  <c r="M2981" i="1"/>
  <c r="M2949" i="1"/>
  <c r="M2917" i="1"/>
  <c r="M2805" i="1"/>
  <c r="M2765" i="1"/>
  <c r="M2733" i="1"/>
  <c r="M2701" i="1"/>
  <c r="M2661" i="1"/>
  <c r="M2557" i="1"/>
  <c r="M2525" i="1"/>
  <c r="M2485" i="1"/>
  <c r="M2301" i="1"/>
  <c r="M2269" i="1"/>
  <c r="M2157" i="1"/>
  <c r="M2021" i="1"/>
  <c r="M1989" i="1"/>
  <c r="M1965" i="1"/>
  <c r="M1925" i="1"/>
  <c r="M1893" i="1"/>
  <c r="M1853" i="1"/>
  <c r="M1821" i="1"/>
  <c r="M1725" i="1"/>
  <c r="M1613" i="1"/>
  <c r="M1509" i="1"/>
  <c r="M1477" i="1"/>
  <c r="M1469" i="1"/>
  <c r="M1437" i="1"/>
  <c r="M1405" i="1"/>
  <c r="M1373" i="1"/>
  <c r="M1341" i="1"/>
  <c r="M1309" i="1"/>
  <c r="M1221" i="1"/>
  <c r="M1189" i="1"/>
  <c r="M1165" i="1"/>
  <c r="M1069" i="1"/>
  <c r="M1029" i="1"/>
  <c r="M1005" i="1"/>
  <c r="M973" i="1"/>
  <c r="M885" i="1"/>
  <c r="M853" i="1"/>
  <c r="M805" i="1"/>
  <c r="M685" i="1"/>
  <c r="M581" i="1"/>
  <c r="M565" i="1"/>
  <c r="M421" i="1"/>
  <c r="M389" i="1"/>
  <c r="M69" i="1"/>
  <c r="M37" i="1"/>
  <c r="M2" i="1"/>
  <c r="M3428" i="1"/>
  <c r="M3364" i="1"/>
  <c r="M3332" i="1"/>
  <c r="M3316" i="1"/>
  <c r="M3292" i="1"/>
  <c r="M3228" i="1"/>
  <c r="M3220" i="1"/>
  <c r="M3204" i="1"/>
  <c r="M3180" i="1"/>
  <c r="M3148" i="1"/>
  <c r="M3124" i="1"/>
  <c r="M3108" i="1"/>
  <c r="M3076" i="1"/>
  <c r="M2924" i="1"/>
  <c r="M2908" i="1"/>
  <c r="M2876" i="1"/>
  <c r="M2860" i="1"/>
  <c r="M2796" i="1"/>
  <c r="M2772" i="1"/>
  <c r="M2748" i="1"/>
  <c r="M2684" i="1"/>
  <c r="M2668" i="1"/>
  <c r="M2652" i="1"/>
  <c r="M2620" i="1"/>
  <c r="M2556" i="1"/>
  <c r="M2500" i="1"/>
  <c r="M2484" i="1"/>
  <c r="M2428" i="1"/>
  <c r="M2412" i="1"/>
  <c r="M2388" i="1"/>
  <c r="M2364" i="1"/>
  <c r="M2284" i="1"/>
  <c r="M2276" i="1"/>
  <c r="M2220" i="1"/>
  <c r="M2212" i="1"/>
  <c r="M2188" i="1"/>
  <c r="M2164" i="1"/>
  <c r="M2140" i="1"/>
  <c r="M2076" i="1"/>
  <c r="M2044" i="1"/>
  <c r="M2020" i="1"/>
  <c r="M1996" i="1"/>
  <c r="M1924" i="1"/>
  <c r="M1892" i="1"/>
  <c r="M1860" i="1"/>
  <c r="M1828" i="1"/>
  <c r="M1796" i="1"/>
  <c r="M1780" i="1"/>
  <c r="M1764" i="1"/>
  <c r="M1748" i="1"/>
  <c r="M1724" i="1"/>
  <c r="M1708" i="1"/>
  <c r="M1692" i="1"/>
  <c r="M1612" i="1"/>
  <c r="M1572" i="1"/>
  <c r="M1556" i="1"/>
  <c r="M1524" i="1"/>
  <c r="M1476" i="1"/>
  <c r="M1460" i="1"/>
  <c r="M1444" i="1"/>
  <c r="M1420" i="1"/>
  <c r="M1396" i="1"/>
  <c r="M1324" i="1"/>
  <c r="M1284" i="1"/>
  <c r="M1212" i="1"/>
  <c r="M1196" i="1"/>
  <c r="M1172" i="1"/>
  <c r="M1156" i="1"/>
  <c r="M1148" i="1"/>
  <c r="M1140" i="1"/>
  <c r="M1116" i="1"/>
  <c r="M1100" i="1"/>
  <c r="M1060" i="1"/>
  <c r="M964" i="1"/>
  <c r="M956" i="1"/>
  <c r="M948" i="1"/>
  <c r="M908" i="1"/>
  <c r="M900" i="1"/>
  <c r="M884" i="1"/>
  <c r="M876" i="1"/>
  <c r="M868" i="1"/>
  <c r="M828" i="1"/>
  <c r="M820" i="1"/>
  <c r="M788" i="1"/>
  <c r="M764" i="1"/>
  <c r="M756" i="1"/>
  <c r="M716" i="1"/>
  <c r="M692" i="1"/>
  <c r="M444" i="1"/>
  <c r="M3435" i="1"/>
  <c r="M3419" i="1"/>
  <c r="M3355" i="1"/>
  <c r="M3299" i="1"/>
  <c r="M3283" i="1"/>
  <c r="M3267" i="1"/>
  <c r="M3235" i="1"/>
  <c r="M3227" i="1"/>
  <c r="M3203" i="1"/>
  <c r="M3179" i="1"/>
  <c r="M3155" i="1"/>
  <c r="M3131" i="1"/>
  <c r="M3107" i="1"/>
  <c r="M3083" i="1"/>
  <c r="M3067" i="1"/>
  <c r="M3043" i="1"/>
  <c r="M3027" i="1"/>
  <c r="M3011" i="1"/>
  <c r="M2987" i="1"/>
  <c r="M2971" i="1"/>
  <c r="M2947" i="1"/>
  <c r="M2923" i="1"/>
  <c r="M2899" i="1"/>
  <c r="M2883" i="1"/>
  <c r="M2859" i="1"/>
  <c r="M2835" i="1"/>
  <c r="M2811" i="1"/>
  <c r="M2795" i="1"/>
  <c r="M2779" i="1"/>
  <c r="M2755" i="1"/>
  <c r="M2739" i="1"/>
  <c r="M2715" i="1"/>
  <c r="M2691" i="1"/>
  <c r="M2675" i="1"/>
  <c r="M2651" i="1"/>
  <c r="M2627" i="1"/>
  <c r="M2611" i="1"/>
  <c r="M2587" i="1"/>
  <c r="M2563" i="1"/>
  <c r="M2547" i="1"/>
  <c r="M2531" i="1"/>
  <c r="M2507" i="1"/>
  <c r="M2483" i="1"/>
  <c r="M2459" i="1"/>
  <c r="M2435" i="1"/>
  <c r="M2427" i="1"/>
  <c r="M2403" i="1"/>
  <c r="M2379" i="1"/>
  <c r="M2355" i="1"/>
  <c r="M2339" i="1"/>
  <c r="M2307" i="1"/>
  <c r="M2283" i="1"/>
  <c r="M2259" i="1"/>
  <c r="M2235" i="1"/>
  <c r="M2219" i="1"/>
  <c r="M2203" i="1"/>
  <c r="M2179" i="1"/>
  <c r="M2155" i="1"/>
  <c r="M2131" i="1"/>
  <c r="M2123" i="1"/>
  <c r="M2099" i="1"/>
  <c r="M2091" i="1"/>
  <c r="M2083" i="1"/>
  <c r="M2067" i="1"/>
  <c r="M2059" i="1"/>
  <c r="M2043" i="1"/>
  <c r="M2027" i="1"/>
  <c r="M2003" i="1"/>
  <c r="M1987" i="1"/>
  <c r="M1971" i="1"/>
  <c r="M1947" i="1"/>
  <c r="M1939" i="1"/>
  <c r="M1923" i="1"/>
  <c r="M1907" i="1"/>
  <c r="M1891" i="1"/>
  <c r="M1875" i="1"/>
  <c r="M1859" i="1"/>
  <c r="M1851" i="1"/>
  <c r="M1835" i="1"/>
  <c r="M1827" i="1"/>
  <c r="M1819" i="1"/>
  <c r="M1779" i="1"/>
  <c r="M1763" i="1"/>
  <c r="M1739" i="1"/>
  <c r="M1723" i="1"/>
  <c r="M1715" i="1"/>
  <c r="M1691" i="1"/>
  <c r="M1667" i="1"/>
  <c r="M1651" i="1"/>
  <c r="M1627" i="1"/>
  <c r="M1595" i="1"/>
  <c r="M1587" i="1"/>
  <c r="M1579" i="1"/>
  <c r="M1571" i="1"/>
  <c r="M1555" i="1"/>
  <c r="M1539" i="1"/>
  <c r="M1523" i="1"/>
  <c r="M1499" i="1"/>
  <c r="M1483" i="1"/>
  <c r="M1459" i="1"/>
  <c r="M1443" i="1"/>
  <c r="M1427" i="1"/>
  <c r="M1411" i="1"/>
  <c r="M1363" i="1"/>
  <c r="M1347" i="1"/>
  <c r="M1155" i="1"/>
  <c r="M2666" i="1"/>
  <c r="M2650" i="1"/>
  <c r="M2610" i="1"/>
  <c r="M2602" i="1"/>
  <c r="M2586" i="1"/>
  <c r="M2578" i="1"/>
  <c r="M2562" i="1"/>
  <c r="M2546" i="1"/>
  <c r="M2530" i="1"/>
  <c r="M2450" i="1"/>
  <c r="M2434" i="1"/>
  <c r="M2426" i="1"/>
  <c r="M2410" i="1"/>
  <c r="M2394" i="1"/>
  <c r="M2386" i="1"/>
  <c r="M2378" i="1"/>
  <c r="M2370" i="1"/>
  <c r="M2354" i="1"/>
  <c r="M2346" i="1"/>
  <c r="M2338" i="1"/>
  <c r="M2322" i="1"/>
  <c r="M2274" i="1"/>
  <c r="M2258" i="1"/>
  <c r="M2250" i="1"/>
  <c r="M2242" i="1"/>
  <c r="M2234" i="1"/>
  <c r="M2226" i="1"/>
  <c r="M2210" i="1"/>
  <c r="M2202" i="1"/>
  <c r="M2186" i="1"/>
  <c r="M2178" i="1"/>
  <c r="M2162" i="1"/>
  <c r="M1986" i="1"/>
  <c r="M1257" i="1"/>
  <c r="M1105" i="1"/>
  <c r="M617" i="1"/>
  <c r="M237" i="1"/>
  <c r="M435" i="1"/>
  <c r="M1950" i="1"/>
  <c r="M2690" i="1"/>
  <c r="M1522" i="1"/>
  <c r="M1514" i="1"/>
  <c r="M1506" i="1"/>
  <c r="M1498" i="1"/>
  <c r="M1474" i="1"/>
  <c r="M1450" i="1"/>
  <c r="M1442" i="1"/>
  <c r="M1426" i="1"/>
  <c r="M1386" i="1"/>
  <c r="M1378" i="1"/>
  <c r="M1362" i="1"/>
  <c r="M1338" i="1"/>
  <c r="M1314" i="1"/>
  <c r="M1290" i="1"/>
  <c r="M1266" i="1"/>
  <c r="M1258" i="1"/>
  <c r="M1250" i="1"/>
  <c r="M1218" i="1"/>
  <c r="M1194" i="1"/>
  <c r="M1186" i="1"/>
  <c r="M1170" i="1"/>
  <c r="M1154" i="1"/>
  <c r="M1130" i="1"/>
  <c r="M1122" i="1"/>
  <c r="M1106" i="1"/>
  <c r="M1082" i="1"/>
  <c r="M1066" i="1"/>
  <c r="M1058" i="1"/>
  <c r="M1010" i="1"/>
  <c r="M1002" i="1"/>
  <c r="M994" i="1"/>
  <c r="M962" i="1"/>
  <c r="M946" i="1"/>
  <c r="M938" i="1"/>
  <c r="M930" i="1"/>
  <c r="M914" i="1"/>
  <c r="M898" i="1"/>
  <c r="M874" i="1"/>
  <c r="M866" i="1"/>
  <c r="M850" i="1"/>
  <c r="M826" i="1"/>
  <c r="M810" i="1"/>
  <c r="M802" i="1"/>
  <c r="M746" i="1"/>
  <c r="M738" i="1"/>
  <c r="M730" i="1"/>
  <c r="M690" i="1"/>
  <c r="M682" i="1"/>
  <c r="M674" i="1"/>
  <c r="M642" i="1"/>
  <c r="M610" i="1"/>
  <c r="M578" i="1"/>
  <c r="M554" i="1"/>
  <c r="M538" i="1"/>
  <c r="M490" i="1"/>
  <c r="M474" i="1"/>
  <c r="M442" i="1"/>
  <c r="M426" i="1"/>
  <c r="M402" i="1"/>
  <c r="M370" i="1"/>
  <c r="M362" i="1"/>
  <c r="M338" i="1"/>
  <c r="M306" i="1"/>
  <c r="M298" i="1"/>
  <c r="M234" i="1"/>
  <c r="M202" i="1"/>
  <c r="M170" i="1"/>
  <c r="M130" i="1"/>
  <c r="M106" i="1"/>
  <c r="M98" i="1"/>
  <c r="M42" i="1"/>
  <c r="M26" i="1"/>
  <c r="M722" i="1"/>
  <c r="M2449" i="1"/>
  <c r="M3441" i="1"/>
  <c r="M3433" i="1"/>
  <c r="M3425" i="1"/>
  <c r="M3417" i="1"/>
  <c r="M3409" i="1"/>
  <c r="M3401" i="1"/>
  <c r="M3393" i="1"/>
  <c r="M3385" i="1"/>
  <c r="M3377" i="1"/>
  <c r="M3369" i="1"/>
  <c r="M3361" i="1"/>
  <c r="M3353" i="1"/>
  <c r="M3345" i="1"/>
  <c r="M3337" i="1"/>
  <c r="M3329" i="1"/>
  <c r="M3321" i="1"/>
  <c r="M3313" i="1"/>
  <c r="M3305" i="1"/>
  <c r="M3297" i="1"/>
  <c r="M3289" i="1"/>
  <c r="M3281" i="1"/>
  <c r="M3273" i="1"/>
  <c r="M3265" i="1"/>
  <c r="M3257" i="1"/>
  <c r="M3249" i="1"/>
  <c r="M3241" i="1"/>
  <c r="M3233" i="1"/>
  <c r="M3225" i="1"/>
  <c r="M3217" i="1"/>
  <c r="M3209" i="1"/>
  <c r="M3201" i="1"/>
  <c r="M3193" i="1"/>
  <c r="M3185" i="1"/>
  <c r="M3177" i="1"/>
  <c r="M3169" i="1"/>
  <c r="M3161" i="1"/>
  <c r="M3153" i="1"/>
  <c r="M3145" i="1"/>
  <c r="M3137" i="1"/>
  <c r="M3129" i="1"/>
  <c r="M3121" i="1"/>
  <c r="M3113" i="1"/>
  <c r="M3105" i="1"/>
  <c r="M3097" i="1"/>
  <c r="M3089" i="1"/>
  <c r="M3081" i="1"/>
  <c r="M3073" i="1"/>
  <c r="M3065" i="1"/>
  <c r="M3057" i="1"/>
  <c r="M3049" i="1"/>
  <c r="M3041" i="1"/>
  <c r="M3033" i="1"/>
  <c r="M3025" i="1"/>
  <c r="M3017" i="1"/>
  <c r="M3009" i="1"/>
  <c r="M3001" i="1"/>
  <c r="M2993" i="1"/>
  <c r="M2985" i="1"/>
  <c r="M2977" i="1"/>
  <c r="M2969" i="1"/>
  <c r="M2961" i="1"/>
  <c r="M2953" i="1"/>
  <c r="M2945" i="1"/>
  <c r="M2937" i="1"/>
  <c r="M2929" i="1"/>
  <c r="M2921" i="1"/>
  <c r="M2913" i="1"/>
  <c r="M2905" i="1"/>
  <c r="M2897" i="1"/>
  <c r="M2889" i="1"/>
  <c r="M2881" i="1"/>
  <c r="M2873" i="1"/>
  <c r="M2865" i="1"/>
  <c r="M2857" i="1"/>
  <c r="M2849" i="1"/>
  <c r="M2841" i="1"/>
  <c r="M2833" i="1"/>
  <c r="M2825" i="1"/>
  <c r="M2817" i="1"/>
  <c r="M2809" i="1"/>
  <c r="M2801" i="1"/>
  <c r="M2793" i="1"/>
  <c r="M2785" i="1"/>
  <c r="M2777" i="1"/>
  <c r="M2769" i="1"/>
  <c r="M2761" i="1"/>
  <c r="M2753" i="1"/>
  <c r="M2745" i="1"/>
  <c r="M2737" i="1"/>
  <c r="M2729" i="1"/>
  <c r="M2721" i="1"/>
  <c r="M2713" i="1"/>
  <c r="M2705" i="1"/>
  <c r="M2697" i="1"/>
  <c r="M2681" i="1"/>
  <c r="M2673" i="1"/>
  <c r="M2665" i="1"/>
  <c r="M2657" i="1"/>
  <c r="M2649" i="1"/>
  <c r="M2641" i="1"/>
  <c r="M2633" i="1"/>
  <c r="M2625" i="1"/>
  <c r="M2617" i="1"/>
  <c r="M2609" i="1"/>
  <c r="M2601" i="1"/>
  <c r="M2593" i="1"/>
  <c r="M2585" i="1"/>
  <c r="M2577" i="1"/>
  <c r="M2569" i="1"/>
  <c r="M2561" i="1"/>
  <c r="M2553" i="1"/>
  <c r="M2545" i="1"/>
  <c r="M2537" i="1"/>
  <c r="M2529" i="1"/>
  <c r="M2521" i="1"/>
  <c r="M2513" i="1"/>
  <c r="M2505" i="1"/>
  <c r="M2497" i="1"/>
  <c r="M2489" i="1"/>
  <c r="M2481" i="1"/>
  <c r="M2473" i="1"/>
  <c r="M2457" i="1"/>
  <c r="M2441" i="1"/>
  <c r="M2433" i="1"/>
  <c r="M2425" i="1"/>
  <c r="M2417" i="1"/>
  <c r="M2409" i="1"/>
  <c r="M2401" i="1"/>
  <c r="M2393" i="1"/>
  <c r="M2385" i="1"/>
  <c r="M2377" i="1"/>
  <c r="M2369" i="1"/>
  <c r="M2361" i="1"/>
  <c r="M2353" i="1"/>
  <c r="M2345" i="1"/>
  <c r="M2337" i="1"/>
  <c r="M2329" i="1"/>
  <c r="M2321" i="1"/>
  <c r="M2313" i="1"/>
  <c r="M2305" i="1"/>
  <c r="M2297" i="1"/>
  <c r="M2289" i="1"/>
  <c r="M2281" i="1"/>
  <c r="M2273" i="1"/>
  <c r="M2265" i="1"/>
  <c r="M2257" i="1"/>
  <c r="M2249" i="1"/>
  <c r="M2241" i="1"/>
  <c r="M2233" i="1"/>
  <c r="M2225" i="1"/>
  <c r="M2217" i="1"/>
  <c r="M2209" i="1"/>
  <c r="M2201" i="1"/>
  <c r="M2193" i="1"/>
  <c r="M2185" i="1"/>
  <c r="M2177" i="1"/>
  <c r="M2169" i="1"/>
  <c r="M2161" i="1"/>
  <c r="M2153" i="1"/>
  <c r="M2145" i="1"/>
  <c r="M2137" i="1"/>
  <c r="M2129" i="1"/>
  <c r="M2121" i="1"/>
  <c r="M2113" i="1"/>
  <c r="M2105" i="1"/>
  <c r="M2097" i="1"/>
  <c r="M2089" i="1"/>
  <c r="M2081" i="1"/>
  <c r="M2073" i="1"/>
  <c r="M2065" i="1"/>
  <c r="M2057" i="1"/>
  <c r="M2049" i="1"/>
  <c r="M2041" i="1"/>
  <c r="M2033" i="1"/>
  <c r="M2025" i="1"/>
  <c r="M2017" i="1"/>
  <c r="M2009" i="1"/>
  <c r="M2001" i="1"/>
  <c r="M1993" i="1"/>
  <c r="M1985" i="1"/>
  <c r="M1977" i="1"/>
  <c r="M1969" i="1"/>
  <c r="M1961" i="1"/>
  <c r="M1953" i="1"/>
  <c r="M1945" i="1"/>
  <c r="M1937" i="1"/>
  <c r="M1921" i="1"/>
  <c r="M1913" i="1"/>
  <c r="M1905" i="1"/>
  <c r="M1897" i="1"/>
  <c r="M1889" i="1"/>
  <c r="M1881" i="1"/>
  <c r="M1873" i="1"/>
  <c r="M1865" i="1"/>
  <c r="M1857" i="1"/>
  <c r="M1849" i="1"/>
  <c r="M1841" i="1"/>
  <c r="M1833" i="1"/>
  <c r="M1825" i="1"/>
  <c r="M1817" i="1"/>
  <c r="M1809" i="1"/>
  <c r="M1801" i="1"/>
  <c r="M1793" i="1"/>
  <c r="M1785" i="1"/>
  <c r="M1777" i="1"/>
  <c r="M1769" i="1"/>
  <c r="M1761" i="1"/>
  <c r="M1753" i="1"/>
  <c r="M1745" i="1"/>
  <c r="M1737" i="1"/>
  <c r="M1729" i="1"/>
  <c r="M1721" i="1"/>
  <c r="M1713" i="1"/>
  <c r="M1705" i="1"/>
  <c r="M1697" i="1"/>
  <c r="M1689" i="1"/>
  <c r="M1681" i="1"/>
  <c r="M1673" i="1"/>
  <c r="M1665" i="1"/>
  <c r="M1657" i="1"/>
  <c r="M1649" i="1"/>
  <c r="M1641" i="1"/>
  <c r="M1633" i="1"/>
  <c r="M1625" i="1"/>
  <c r="M1617" i="1"/>
  <c r="M1609" i="1"/>
  <c r="M1601" i="1"/>
  <c r="M1593" i="1"/>
  <c r="M1585" i="1"/>
  <c r="M1577" i="1"/>
  <c r="M1569" i="1"/>
  <c r="M1561" i="1"/>
  <c r="M1553" i="1"/>
  <c r="M1545" i="1"/>
  <c r="M1537" i="1"/>
  <c r="M1529" i="1"/>
  <c r="M1521" i="1"/>
  <c r="M1513" i="1"/>
  <c r="M1505" i="1"/>
  <c r="M1497" i="1"/>
  <c r="M1489" i="1"/>
  <c r="M1481" i="1"/>
  <c r="M1473" i="1"/>
  <c r="M1465" i="1"/>
  <c r="M1457" i="1"/>
  <c r="M1449" i="1"/>
  <c r="M1441" i="1"/>
  <c r="M1433" i="1"/>
  <c r="M1425" i="1"/>
  <c r="M1417" i="1"/>
  <c r="M1409" i="1"/>
  <c r="M1401" i="1"/>
  <c r="M1393" i="1"/>
  <c r="M1385" i="1"/>
  <c r="M1377" i="1"/>
  <c r="M1369" i="1"/>
  <c r="M1361" i="1"/>
  <c r="M1353" i="1"/>
  <c r="M1345" i="1"/>
  <c r="M1337" i="1"/>
  <c r="M1329" i="1"/>
  <c r="M1313" i="1"/>
  <c r="M1305" i="1"/>
  <c r="M1297" i="1"/>
  <c r="M1289" i="1"/>
  <c r="M1281" i="1"/>
  <c r="M1273" i="1"/>
  <c r="M1265" i="1"/>
  <c r="M1249" i="1"/>
  <c r="M1241" i="1"/>
  <c r="M1233" i="1"/>
  <c r="M1225" i="1"/>
  <c r="M1217" i="1"/>
  <c r="M1209" i="1"/>
  <c r="M1201" i="1"/>
  <c r="M1193" i="1"/>
  <c r="M1185" i="1"/>
  <c r="M1177" i="1"/>
  <c r="M1169" i="1"/>
  <c r="M1161" i="1"/>
  <c r="M1153" i="1"/>
  <c r="M1145" i="1"/>
  <c r="M1137" i="1"/>
  <c r="M1129" i="1"/>
  <c r="M1121" i="1"/>
  <c r="M1113" i="1"/>
  <c r="M1097" i="1"/>
  <c r="M1089" i="1"/>
  <c r="M1081" i="1"/>
  <c r="M1073" i="1"/>
  <c r="M1057" i="1"/>
  <c r="M1049" i="1"/>
  <c r="M1041" i="1"/>
  <c r="M1033" i="1"/>
  <c r="M1025" i="1"/>
  <c r="M1017" i="1"/>
  <c r="M1009" i="1"/>
  <c r="M1001" i="1"/>
  <c r="M993" i="1"/>
  <c r="M985" i="1"/>
  <c r="M977" i="1"/>
  <c r="M969" i="1"/>
  <c r="M961" i="1"/>
  <c r="M953" i="1"/>
  <c r="M945" i="1"/>
  <c r="M937" i="1"/>
  <c r="M929" i="1"/>
  <c r="M921" i="1"/>
  <c r="M913" i="1"/>
  <c r="M897" i="1"/>
  <c r="M889" i="1"/>
  <c r="M881" i="1"/>
  <c r="M873" i="1"/>
  <c r="M865" i="1"/>
  <c r="M857" i="1"/>
  <c r="M849" i="1"/>
  <c r="M841" i="1"/>
  <c r="M833" i="1"/>
  <c r="M825" i="1"/>
  <c r="M817" i="1"/>
  <c r="M809" i="1"/>
  <c r="M801" i="1"/>
  <c r="M785" i="1"/>
  <c r="M777" i="1"/>
  <c r="M769" i="1"/>
  <c r="M761" i="1"/>
  <c r="M753" i="1"/>
  <c r="M745" i="1"/>
  <c r="M737" i="1"/>
  <c r="M729" i="1"/>
  <c r="M721" i="1"/>
  <c r="M713" i="1"/>
  <c r="M705" i="1"/>
  <c r="M697" i="1"/>
  <c r="M689" i="1"/>
  <c r="M673" i="1"/>
  <c r="M665" i="1"/>
  <c r="M657" i="1"/>
  <c r="M649" i="1"/>
  <c r="M641" i="1"/>
  <c r="M633" i="1"/>
  <c r="M625" i="1"/>
  <c r="M425" i="1"/>
  <c r="M393" i="1"/>
  <c r="M361" i="1"/>
  <c r="M209" i="1"/>
  <c r="M185" i="1"/>
  <c r="M145" i="1"/>
  <c r="M194" i="1"/>
  <c r="M266" i="1"/>
  <c r="M1242" i="1"/>
  <c r="M2720" i="1"/>
  <c r="M1720" i="1"/>
  <c r="M1288" i="1"/>
  <c r="M1152" i="1"/>
  <c r="M1072" i="1"/>
  <c r="M936" i="1"/>
  <c r="M864" i="1"/>
  <c r="M576" i="1"/>
  <c r="M464" i="1"/>
  <c r="M264" i="1"/>
  <c r="M144" i="1"/>
  <c r="M104" i="1"/>
  <c r="M72" i="1"/>
  <c r="M2465" i="1"/>
  <c r="M1255" i="1"/>
  <c r="M1239" i="1"/>
  <c r="M1231" i="1"/>
  <c r="M1223" i="1"/>
  <c r="M1207" i="1"/>
  <c r="M1191" i="1"/>
  <c r="M1167" i="1"/>
  <c r="M1159" i="1"/>
  <c r="M1143" i="1"/>
  <c r="M1119" i="1"/>
  <c r="M1103" i="1"/>
  <c r="M1095" i="1"/>
  <c r="M1071" i="1"/>
  <c r="M1047" i="1"/>
  <c r="M1039" i="1"/>
  <c r="M1031" i="1"/>
  <c r="M1023" i="1"/>
  <c r="M999" i="1"/>
  <c r="M983" i="1"/>
  <c r="M975" i="1"/>
  <c r="M967" i="1"/>
  <c r="M951" i="1"/>
  <c r="M935" i="1"/>
  <c r="M911" i="1"/>
  <c r="M903" i="1"/>
  <c r="M887" i="1"/>
  <c r="M863" i="1"/>
  <c r="M847" i="1"/>
  <c r="M839" i="1"/>
  <c r="M815" i="1"/>
  <c r="M783" i="1"/>
  <c r="M775" i="1"/>
  <c r="M767" i="1"/>
  <c r="M727" i="1"/>
  <c r="M719" i="1"/>
  <c r="M711" i="1"/>
  <c r="M679" i="1"/>
  <c r="M655" i="1"/>
  <c r="M647" i="1"/>
  <c r="M631" i="1"/>
  <c r="M599" i="1"/>
  <c r="M591" i="1"/>
  <c r="M559" i="1"/>
  <c r="M527" i="1"/>
  <c r="M495" i="1"/>
  <c r="M463" i="1"/>
  <c r="M455" i="1"/>
  <c r="M423" i="1"/>
  <c r="M399" i="1"/>
  <c r="M391" i="1"/>
  <c r="M359" i="1"/>
  <c r="M335" i="1"/>
  <c r="M319" i="1"/>
  <c r="M287" i="1"/>
  <c r="M271" i="1"/>
  <c r="M255" i="1"/>
  <c r="M223" i="1"/>
  <c r="M207" i="1"/>
  <c r="M183" i="1"/>
  <c r="M151" i="1"/>
  <c r="M143" i="1"/>
  <c r="M506" i="1"/>
  <c r="M618" i="1"/>
  <c r="M986" i="1"/>
  <c r="M1410" i="1"/>
  <c r="M289" i="1"/>
  <c r="M752" i="1"/>
  <c r="M1864" i="1"/>
  <c r="M2000" i="1"/>
  <c r="M2160" i="1"/>
  <c r="M1432" i="1"/>
  <c r="M2368" i="1"/>
  <c r="M609" i="1"/>
  <c r="M601" i="1"/>
  <c r="M593" i="1"/>
  <c r="M585" i="1"/>
  <c r="M577" i="1"/>
  <c r="M561" i="1"/>
  <c r="M553" i="1"/>
  <c r="M545" i="1"/>
  <c r="M537" i="1"/>
  <c r="M529" i="1"/>
  <c r="M521" i="1"/>
  <c r="M513" i="1"/>
  <c r="M489" i="1"/>
  <c r="M481" i="1"/>
  <c r="M473" i="1"/>
  <c r="M465" i="1"/>
  <c r="M457" i="1"/>
  <c r="M449" i="1"/>
  <c r="M441" i="1"/>
  <c r="M417" i="1"/>
  <c r="M409" i="1"/>
  <c r="M401" i="1"/>
  <c r="M385" i="1"/>
  <c r="M377" i="1"/>
  <c r="M369" i="1"/>
  <c r="M353" i="1"/>
  <c r="M345" i="1"/>
  <c r="M337" i="1"/>
  <c r="M329" i="1"/>
  <c r="M321" i="1"/>
  <c r="M313" i="1"/>
  <c r="M305" i="1"/>
  <c r="M297" i="1"/>
  <c r="M281" i="1"/>
  <c r="M273" i="1"/>
  <c r="M257" i="1"/>
  <c r="M249" i="1"/>
  <c r="M233" i="1"/>
  <c r="M225" i="1"/>
  <c r="M217" i="1"/>
  <c r="M201" i="1"/>
  <c r="M193" i="1"/>
  <c r="M177" i="1"/>
  <c r="M169" i="1"/>
  <c r="M161" i="1"/>
  <c r="M153" i="1"/>
  <c r="M137" i="1"/>
  <c r="M129" i="1"/>
  <c r="M113" i="1"/>
  <c r="M105" i="1"/>
  <c r="M97" i="1"/>
  <c r="M89" i="1"/>
  <c r="M73" i="1"/>
  <c r="M65" i="1"/>
  <c r="M49" i="1"/>
  <c r="M41" i="1"/>
  <c r="M33" i="1"/>
  <c r="M17" i="1"/>
  <c r="M3440" i="1"/>
  <c r="M3432" i="1"/>
  <c r="M3424" i="1"/>
  <c r="M3416" i="1"/>
  <c r="M3408" i="1"/>
  <c r="M3400" i="1"/>
  <c r="M3392" i="1"/>
  <c r="M3384" i="1"/>
  <c r="M3376" i="1"/>
  <c r="M3368" i="1"/>
  <c r="M3360" i="1"/>
  <c r="M3352" i="1"/>
  <c r="M3344" i="1"/>
  <c r="M3336" i="1"/>
  <c r="M3328" i="1"/>
  <c r="M3320" i="1"/>
  <c r="M3312" i="1"/>
  <c r="M3304" i="1"/>
  <c r="M3296" i="1"/>
  <c r="M3288" i="1"/>
  <c r="M3280" i="1"/>
  <c r="M3272" i="1"/>
  <c r="M3264" i="1"/>
  <c r="M3256" i="1"/>
  <c r="M3248" i="1"/>
  <c r="M3240" i="1"/>
  <c r="M3232" i="1"/>
  <c r="M3224" i="1"/>
  <c r="M3216" i="1"/>
  <c r="M3208" i="1"/>
  <c r="M3200" i="1"/>
  <c r="M3192" i="1"/>
  <c r="M3184" i="1"/>
  <c r="M3176" i="1"/>
  <c r="M3168" i="1"/>
  <c r="M3160" i="1"/>
  <c r="M3152" i="1"/>
  <c r="M3144" i="1"/>
  <c r="M3136" i="1"/>
  <c r="M3128" i="1"/>
  <c r="M3120" i="1"/>
  <c r="M3112" i="1"/>
  <c r="M3104" i="1"/>
  <c r="M3096" i="1"/>
  <c r="M3088" i="1"/>
  <c r="M3080" i="1"/>
  <c r="M3072" i="1"/>
  <c r="M3064" i="1"/>
  <c r="M3056" i="1"/>
  <c r="M3048" i="1"/>
  <c r="M3040" i="1"/>
  <c r="M3032" i="1"/>
  <c r="M3024" i="1"/>
  <c r="M3016" i="1"/>
  <c r="M3008" i="1"/>
  <c r="M3000" i="1"/>
  <c r="M2992" i="1"/>
  <c r="M2984" i="1"/>
  <c r="M2976" i="1"/>
  <c r="M2968" i="1"/>
  <c r="M2960" i="1"/>
  <c r="M2952" i="1"/>
  <c r="M2944" i="1"/>
  <c r="M2936" i="1"/>
  <c r="M2928" i="1"/>
  <c r="M2920" i="1"/>
  <c r="M2912" i="1"/>
  <c r="M2904" i="1"/>
  <c r="M2896" i="1"/>
  <c r="M2888" i="1"/>
  <c r="M2880" i="1"/>
  <c r="M2872" i="1"/>
  <c r="M2864" i="1"/>
  <c r="M2856" i="1"/>
  <c r="M2848" i="1"/>
  <c r="M2840" i="1"/>
  <c r="M2832" i="1"/>
  <c r="M2824" i="1"/>
  <c r="M2816" i="1"/>
  <c r="M2808" i="1"/>
  <c r="M2800" i="1"/>
  <c r="M2792" i="1"/>
  <c r="M2784" i="1"/>
  <c r="M2776" i="1"/>
  <c r="M2768" i="1"/>
  <c r="M2760" i="1"/>
  <c r="M2752" i="1"/>
  <c r="M2744" i="1"/>
  <c r="M2736" i="1"/>
  <c r="M2728" i="1"/>
  <c r="M2712" i="1"/>
  <c r="M2704" i="1"/>
  <c r="M2696" i="1"/>
  <c r="M2688" i="1"/>
  <c r="M2680" i="1"/>
  <c r="M2672" i="1"/>
  <c r="M2664" i="1"/>
  <c r="M2656" i="1"/>
  <c r="M2648" i="1"/>
  <c r="M2640" i="1"/>
  <c r="M2632" i="1"/>
  <c r="M2624" i="1"/>
  <c r="M2616" i="1"/>
  <c r="M2608" i="1"/>
  <c r="M2600" i="1"/>
  <c r="M2592" i="1"/>
  <c r="M2584" i="1"/>
  <c r="M2576" i="1"/>
  <c r="M2568" i="1"/>
  <c r="M2560" i="1"/>
  <c r="M2552" i="1"/>
  <c r="M2544" i="1"/>
  <c r="M2536" i="1"/>
  <c r="M2528" i="1"/>
  <c r="M2520" i="1"/>
  <c r="M2512" i="1"/>
  <c r="M2504" i="1"/>
  <c r="M2496" i="1"/>
  <c r="M2488" i="1"/>
  <c r="M2480" i="1"/>
  <c r="M2472" i="1"/>
  <c r="M2464" i="1"/>
  <c r="M2456" i="1"/>
  <c r="M2448" i="1"/>
  <c r="M2432" i="1"/>
  <c r="M2424" i="1"/>
  <c r="M2416" i="1"/>
  <c r="M2408" i="1"/>
  <c r="M2400" i="1"/>
  <c r="M2392" i="1"/>
  <c r="M2384" i="1"/>
  <c r="M2376" i="1"/>
  <c r="M2360" i="1"/>
  <c r="M2352" i="1"/>
  <c r="M2344" i="1"/>
  <c r="M2336" i="1"/>
  <c r="M2328" i="1"/>
  <c r="M2312" i="1"/>
  <c r="M2304" i="1"/>
  <c r="M2296" i="1"/>
  <c r="M2288" i="1"/>
  <c r="M2280" i="1"/>
  <c r="M2272" i="1"/>
  <c r="M2264" i="1"/>
  <c r="M2248" i="1"/>
  <c r="M2240" i="1"/>
  <c r="M2232" i="1"/>
  <c r="M2224" i="1"/>
  <c r="M2216" i="1"/>
  <c r="M2208" i="1"/>
  <c r="M2200" i="1"/>
  <c r="M2192" i="1"/>
  <c r="M2184" i="1"/>
  <c r="M2176" i="1"/>
  <c r="M2168" i="1"/>
  <c r="M2152" i="1"/>
  <c r="M2144" i="1"/>
  <c r="M2136" i="1"/>
  <c r="M2128" i="1"/>
  <c r="M2120" i="1"/>
  <c r="M2112" i="1"/>
  <c r="M2104" i="1"/>
  <c r="M2096" i="1"/>
  <c r="M2088" i="1"/>
  <c r="M2080" i="1"/>
  <c r="M2072" i="1"/>
  <c r="M2064" i="1"/>
  <c r="M2056" i="1"/>
  <c r="M2048" i="1"/>
  <c r="M2040" i="1"/>
  <c r="M2032" i="1"/>
  <c r="M2024" i="1"/>
  <c r="M2016" i="1"/>
  <c r="M2008" i="1"/>
  <c r="M1992" i="1"/>
  <c r="M1984" i="1"/>
  <c r="M1976" i="1"/>
  <c r="M1968" i="1"/>
  <c r="M1960" i="1"/>
  <c r="M1952" i="1"/>
  <c r="M1944" i="1"/>
  <c r="M1936" i="1"/>
  <c r="M1920" i="1"/>
  <c r="M1912" i="1"/>
  <c r="M1904" i="1"/>
  <c r="M1896" i="1"/>
  <c r="M1888" i="1"/>
  <c r="M1880" i="1"/>
  <c r="M1872" i="1"/>
  <c r="M1856" i="1"/>
  <c r="M1848" i="1"/>
  <c r="M1840" i="1"/>
  <c r="M1832" i="1"/>
  <c r="M1824" i="1"/>
  <c r="M1816" i="1"/>
  <c r="M1808" i="1"/>
  <c r="M1800" i="1"/>
  <c r="M1792" i="1"/>
  <c r="M1784" i="1"/>
  <c r="M1776" i="1"/>
  <c r="M1768" i="1"/>
  <c r="M1760" i="1"/>
  <c r="M1752" i="1"/>
  <c r="M1744" i="1"/>
  <c r="M1736" i="1"/>
  <c r="M1728" i="1"/>
  <c r="M1712" i="1"/>
  <c r="M1704" i="1"/>
  <c r="M1696" i="1"/>
  <c r="M1688" i="1"/>
  <c r="M1680" i="1"/>
  <c r="M1672" i="1"/>
  <c r="M1664" i="1"/>
  <c r="M1656" i="1"/>
  <c r="M1648" i="1"/>
  <c r="M1640" i="1"/>
  <c r="M1632" i="1"/>
  <c r="M1624" i="1"/>
  <c r="M1616" i="1"/>
  <c r="M1608" i="1"/>
  <c r="M1600" i="1"/>
  <c r="M1592" i="1"/>
  <c r="M1584" i="1"/>
  <c r="M1576" i="1"/>
  <c r="M1568" i="1"/>
  <c r="M1560" i="1"/>
  <c r="M1552" i="1"/>
  <c r="M1544" i="1"/>
  <c r="M1536" i="1"/>
  <c r="M1528" i="1"/>
  <c r="M1520" i="1"/>
  <c r="M1512" i="1"/>
  <c r="M1504" i="1"/>
  <c r="M1496" i="1"/>
  <c r="M1488" i="1"/>
  <c r="M1480" i="1"/>
  <c r="M1464" i="1"/>
  <c r="M1456" i="1"/>
  <c r="M1448" i="1"/>
  <c r="M1440" i="1"/>
  <c r="M1424" i="1"/>
  <c r="M1416" i="1"/>
  <c r="M1408" i="1"/>
  <c r="M1400" i="1"/>
  <c r="M1392" i="1"/>
  <c r="M1384" i="1"/>
  <c r="M1368" i="1"/>
  <c r="M1360" i="1"/>
  <c r="M1352" i="1"/>
  <c r="M1344" i="1"/>
  <c r="M1336" i="1"/>
  <c r="M1328" i="1"/>
  <c r="M1320" i="1"/>
  <c r="M1312" i="1"/>
  <c r="M1304" i="1"/>
  <c r="M1280" i="1"/>
  <c r="M1272" i="1"/>
  <c r="M1264" i="1"/>
  <c r="M1248" i="1"/>
  <c r="M1240" i="1"/>
  <c r="M1232" i="1"/>
  <c r="M1224" i="1"/>
  <c r="M1216" i="1"/>
  <c r="M1208" i="1"/>
  <c r="M1200" i="1"/>
  <c r="M1192" i="1"/>
  <c r="M1184" i="1"/>
  <c r="M1176" i="1"/>
  <c r="M1168" i="1"/>
  <c r="M1160" i="1"/>
  <c r="M1144" i="1"/>
  <c r="M1136" i="1"/>
  <c r="M1128" i="1"/>
  <c r="M1112" i="1"/>
  <c r="M1096" i="1"/>
  <c r="M1088" i="1"/>
  <c r="M1080" i="1"/>
  <c r="M1064" i="1"/>
  <c r="M1056" i="1"/>
  <c r="M1048" i="1"/>
  <c r="M1032" i="1"/>
  <c r="M1024" i="1"/>
  <c r="M1016" i="1"/>
  <c r="M1008" i="1"/>
  <c r="M1000" i="1"/>
  <c r="M992" i="1"/>
  <c r="M984" i="1"/>
  <c r="M976" i="1"/>
  <c r="M960" i="1"/>
  <c r="M952" i="1"/>
  <c r="M944" i="1"/>
  <c r="M928" i="1"/>
  <c r="M920" i="1"/>
  <c r="M912" i="1"/>
  <c r="M904" i="1"/>
  <c r="M896" i="1"/>
  <c r="M888" i="1"/>
  <c r="M880" i="1"/>
  <c r="M872" i="1"/>
  <c r="M856" i="1"/>
  <c r="M848" i="1"/>
  <c r="M840" i="1"/>
  <c r="M832" i="1"/>
  <c r="M824" i="1"/>
  <c r="M816" i="1"/>
  <c r="M808" i="1"/>
  <c r="M800" i="1"/>
  <c r="M792" i="1"/>
  <c r="M784" i="1"/>
  <c r="M776" i="1"/>
  <c r="M768" i="1"/>
  <c r="M760" i="1"/>
  <c r="M744" i="1"/>
  <c r="M736" i="1"/>
  <c r="M728" i="1"/>
  <c r="M720" i="1"/>
  <c r="M712" i="1"/>
  <c r="M704" i="1"/>
  <c r="M696" i="1"/>
  <c r="M688" i="1"/>
  <c r="M672" i="1"/>
  <c r="M664" i="1"/>
  <c r="M656" i="1"/>
  <c r="M648" i="1"/>
  <c r="M640" i="1"/>
  <c r="M632" i="1"/>
  <c r="M624" i="1"/>
  <c r="M616" i="1"/>
  <c r="M600" i="1"/>
  <c r="M592" i="1"/>
  <c r="M584" i="1"/>
  <c r="M568" i="1"/>
  <c r="M560" i="1"/>
  <c r="M552" i="1"/>
  <c r="M544" i="1"/>
  <c r="M536" i="1"/>
  <c r="M528" i="1"/>
  <c r="M520" i="1"/>
  <c r="M512" i="1"/>
  <c r="M504" i="1"/>
  <c r="M488" i="1"/>
  <c r="M480" i="1"/>
  <c r="M472" i="1"/>
  <c r="M456" i="1"/>
  <c r="M448" i="1"/>
  <c r="M440" i="1"/>
  <c r="M432" i="1"/>
  <c r="M424" i="1"/>
  <c r="M416" i="1"/>
  <c r="M408" i="1"/>
  <c r="M400" i="1"/>
  <c r="M384" i="1"/>
  <c r="M376" i="1"/>
  <c r="M368" i="1"/>
  <c r="M360" i="1"/>
  <c r="M352" i="1"/>
  <c r="M344" i="1"/>
  <c r="M336" i="1"/>
  <c r="M320" i="1"/>
  <c r="M312" i="1"/>
  <c r="M304" i="1"/>
  <c r="M296" i="1"/>
  <c r="M280" i="1"/>
  <c r="M272" i="1"/>
  <c r="M256" i="1"/>
  <c r="M248" i="1"/>
  <c r="M240" i="1"/>
  <c r="M232" i="1"/>
  <c r="M224" i="1"/>
  <c r="M200" i="1"/>
  <c r="M192" i="1"/>
  <c r="M184" i="1"/>
  <c r="M176" i="1"/>
  <c r="M168" i="1"/>
  <c r="M160" i="1"/>
  <c r="M136" i="1"/>
  <c r="M128" i="1"/>
  <c r="M120" i="1"/>
  <c r="M112" i="1"/>
  <c r="M96" i="1"/>
  <c r="M88" i="1"/>
  <c r="M80" i="1"/>
  <c r="M64" i="1"/>
  <c r="M40" i="1"/>
  <c r="M32" i="1"/>
  <c r="M24" i="1"/>
  <c r="M216" i="1"/>
  <c r="M1928" i="1"/>
  <c r="M2440" i="1"/>
  <c r="M135" i="1"/>
  <c r="M127" i="1"/>
  <c r="M119" i="1"/>
  <c r="M111" i="1"/>
  <c r="M103" i="1"/>
  <c r="M95" i="1"/>
  <c r="M87" i="1"/>
  <c r="M79" i="1"/>
  <c r="M71" i="1"/>
  <c r="M63" i="1"/>
  <c r="M55" i="1"/>
  <c r="M47" i="1"/>
  <c r="M39" i="1"/>
  <c r="M31" i="1"/>
  <c r="M23" i="1"/>
  <c r="M15" i="1"/>
  <c r="M7" i="1"/>
  <c r="M1526" i="1"/>
  <c r="M1518" i="1"/>
  <c r="M1502" i="1"/>
  <c r="M1494" i="1"/>
  <c r="M1486" i="1"/>
  <c r="M1478" i="1"/>
  <c r="M1470" i="1"/>
  <c r="M1462" i="1"/>
  <c r="M1454" i="1"/>
  <c r="M1446" i="1"/>
  <c r="M1438" i="1"/>
  <c r="M1430" i="1"/>
  <c r="M1422" i="1"/>
  <c r="M1414" i="1"/>
  <c r="M1406" i="1"/>
  <c r="M1398" i="1"/>
  <c r="M1390" i="1"/>
  <c r="M1382" i="1"/>
  <c r="M1374" i="1"/>
  <c r="M1366" i="1"/>
  <c r="M1358" i="1"/>
  <c r="M1350" i="1"/>
  <c r="M1342" i="1"/>
  <c r="M1334" i="1"/>
  <c r="M1326" i="1"/>
  <c r="M1318" i="1"/>
  <c r="M1310" i="1"/>
  <c r="M1302" i="1"/>
  <c r="M1294" i="1"/>
  <c r="M1286" i="1"/>
  <c r="M1278" i="1"/>
  <c r="M1270" i="1"/>
  <c r="M1262" i="1"/>
  <c r="M1254" i="1"/>
  <c r="M1246" i="1"/>
  <c r="M1238" i="1"/>
  <c r="M1230" i="1"/>
  <c r="M1222" i="1"/>
  <c r="M1214" i="1"/>
  <c r="M1206" i="1"/>
  <c r="M1198" i="1"/>
  <c r="M1190" i="1"/>
  <c r="M1182" i="1"/>
  <c r="M1174" i="1"/>
  <c r="M1166" i="1"/>
  <c r="M1158" i="1"/>
  <c r="M1150" i="1"/>
  <c r="M1142" i="1"/>
  <c r="M1134" i="1"/>
  <c r="M1126" i="1"/>
  <c r="M1118" i="1"/>
  <c r="M1110" i="1"/>
  <c r="M1102" i="1"/>
  <c r="M1094" i="1"/>
  <c r="M1086" i="1"/>
  <c r="M1078" i="1"/>
  <c r="M1070" i="1"/>
  <c r="M1062" i="1"/>
  <c r="M1054" i="1"/>
  <c r="M1046" i="1"/>
  <c r="M1038" i="1"/>
  <c r="M1030" i="1"/>
  <c r="M1022" i="1"/>
  <c r="M1014" i="1"/>
  <c r="M1006" i="1"/>
  <c r="M998" i="1"/>
  <c r="M990" i="1"/>
  <c r="M982" i="1"/>
  <c r="M974" i="1"/>
  <c r="M966" i="1"/>
  <c r="M958" i="1"/>
  <c r="M950" i="1"/>
  <c r="M942" i="1"/>
  <c r="M934" i="1"/>
  <c r="M926" i="1"/>
  <c r="M918" i="1"/>
  <c r="M910" i="1"/>
  <c r="M902" i="1"/>
  <c r="M894" i="1"/>
  <c r="M886" i="1"/>
  <c r="M878" i="1"/>
  <c r="M870" i="1"/>
  <c r="M862" i="1"/>
  <c r="M854" i="1"/>
  <c r="M846" i="1"/>
  <c r="M838" i="1"/>
  <c r="M830" i="1"/>
  <c r="M822" i="1"/>
  <c r="M814" i="1"/>
  <c r="M806" i="1"/>
  <c r="M798" i="1"/>
  <c r="M790" i="1"/>
  <c r="M782" i="1"/>
  <c r="M774" i="1"/>
  <c r="M766" i="1"/>
  <c r="M758" i="1"/>
  <c r="M750" i="1"/>
  <c r="M742" i="1"/>
  <c r="M734" i="1"/>
  <c r="M726" i="1"/>
  <c r="M718" i="1"/>
  <c r="M710" i="1"/>
  <c r="M702" i="1"/>
  <c r="M694" i="1"/>
  <c r="M686" i="1"/>
  <c r="M678" i="1"/>
  <c r="M670" i="1"/>
  <c r="M662" i="1"/>
  <c r="M654" i="1"/>
  <c r="M646" i="1"/>
  <c r="M638" i="1"/>
  <c r="M630" i="1"/>
  <c r="M622" i="1"/>
  <c r="M614" i="1"/>
  <c r="M606" i="1"/>
  <c r="M598" i="1"/>
  <c r="M590" i="1"/>
  <c r="M582" i="1"/>
  <c r="M574" i="1"/>
  <c r="M566" i="1"/>
  <c r="M558" i="1"/>
  <c r="M550" i="1"/>
  <c r="M542" i="1"/>
  <c r="M534" i="1"/>
  <c r="M526" i="1"/>
  <c r="M518" i="1"/>
  <c r="M510" i="1"/>
  <c r="M502" i="1"/>
  <c r="M494" i="1"/>
  <c r="M486" i="1"/>
  <c r="M478" i="1"/>
  <c r="M470" i="1"/>
  <c r="M462" i="1"/>
  <c r="M454" i="1"/>
  <c r="M446" i="1"/>
  <c r="M438" i="1"/>
  <c r="M430" i="1"/>
  <c r="M422" i="1"/>
  <c r="M414" i="1"/>
  <c r="M406" i="1"/>
  <c r="M398" i="1"/>
  <c r="M390" i="1"/>
  <c r="M382" i="1"/>
  <c r="M374" i="1"/>
  <c r="M366" i="1"/>
  <c r="M358" i="1"/>
  <c r="M350" i="1"/>
  <c r="M342" i="1"/>
  <c r="M334" i="1"/>
  <c r="M326" i="1"/>
  <c r="M318" i="1"/>
  <c r="M310" i="1"/>
  <c r="M302" i="1"/>
  <c r="M294" i="1"/>
  <c r="M286" i="1"/>
  <c r="M278" i="1"/>
  <c r="M270" i="1"/>
  <c r="M262" i="1"/>
  <c r="M254" i="1"/>
  <c r="M246" i="1"/>
  <c r="M238" i="1"/>
  <c r="M230" i="1"/>
  <c r="M222" i="1"/>
  <c r="M214" i="1"/>
  <c r="M206" i="1"/>
  <c r="M198" i="1"/>
  <c r="M190" i="1"/>
  <c r="M182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</calcChain>
</file>

<file path=xl/sharedStrings.xml><?xml version="1.0" encoding="utf-8"?>
<sst xmlns="http://schemas.openxmlformats.org/spreadsheetml/2006/main" count="11443" uniqueCount="51">
  <si>
    <t>Product</t>
  </si>
  <si>
    <t>CC</t>
  </si>
  <si>
    <t>Commercial/Ind.(not prime sec RE)CL</t>
  </si>
  <si>
    <t>Agricultural/Other Lns to Farms -CL</t>
  </si>
  <si>
    <t>SBA - Equipment</t>
  </si>
  <si>
    <t>Comm Constr 1-4 Fmly RE &amp; Land Dev</t>
  </si>
  <si>
    <t>FSA-Non Real Estate</t>
  </si>
  <si>
    <t>Non-Farm/Non-Residential Proprty-RE</t>
  </si>
  <si>
    <t>1st Mort(1-4 Fmly Res/Non Disclose)</t>
  </si>
  <si>
    <t>Vehicles (Consumer) - IL</t>
  </si>
  <si>
    <t>B &amp; I Non Real Estate</t>
  </si>
  <si>
    <t>CI</t>
  </si>
  <si>
    <t>Recreational Vehicles (Consumer) IL</t>
  </si>
  <si>
    <t>Dealer Loan (Consumer) - IL</t>
  </si>
  <si>
    <t>Interest Only Home Equity</t>
  </si>
  <si>
    <t>Surecash</t>
  </si>
  <si>
    <t>Statement/Unsecured (Consumer) -IL</t>
  </si>
  <si>
    <t>Jr Mort(1-4 Fmly Res/Non Disclose)</t>
  </si>
  <si>
    <t>SBA - Real Estate</t>
  </si>
  <si>
    <t>Consumer Loan - Other - IL</t>
  </si>
  <si>
    <t>Mobile Home (Prmry Res)(Consumer)IL</t>
  </si>
  <si>
    <t>PRIMARY HELOC W/TEN YEAR REPAYMENT</t>
  </si>
  <si>
    <t>Chargeoff Surecash/Visa</t>
  </si>
  <si>
    <t>Farmland - RE</t>
  </si>
  <si>
    <t>CR</t>
  </si>
  <si>
    <t>Jr Mort.(1-4 Fmly Res Prop) -RE</t>
  </si>
  <si>
    <t>1st Mort.(1-4 Fmly Res Prop)Consume</t>
  </si>
  <si>
    <t>Consumer Construction Home Loan</t>
  </si>
  <si>
    <t>LAND &amp; LOTS - COMMERCIAL PURPOSE</t>
  </si>
  <si>
    <t>SBA - 504</t>
  </si>
  <si>
    <t>Home Equity 97</t>
  </si>
  <si>
    <t>LAND &amp; LOTS - CONSUMER PURPOSE</t>
  </si>
  <si>
    <t>FSA- Real Estate</t>
  </si>
  <si>
    <t>NON-PRIMARY HELOC W/10 YR REPAYMNT</t>
  </si>
  <si>
    <t>Interest Only Home Equity Rentals</t>
  </si>
  <si>
    <t>Effective_Monthly_Intrest_Rate</t>
  </si>
  <si>
    <t>Time_To_Maturity</t>
  </si>
  <si>
    <t>Time_to_Charge_Off</t>
  </si>
  <si>
    <t>Monthly_Payment</t>
  </si>
  <si>
    <t>Original_Loan_Amount</t>
  </si>
  <si>
    <t>Total_Chargeoff</t>
  </si>
  <si>
    <t>LTD_Recovery_Amount</t>
  </si>
  <si>
    <t>Charge_Off_Date</t>
  </si>
  <si>
    <t>Current_Maturity_Date</t>
  </si>
  <si>
    <t>Original_Maturity_Date</t>
  </si>
  <si>
    <t>Original_Note_Date</t>
  </si>
  <si>
    <t>Account_Number</t>
  </si>
  <si>
    <t>Application_Code</t>
  </si>
  <si>
    <t>Is_Censored</t>
  </si>
  <si>
    <t>constant date cutoff</t>
  </si>
  <si>
    <t>Effective_Annual_Interest_Rate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</si>
</sst>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#0"/>
    <numFmt numFmtId="165" formatCode="m/d/yy"/>
    <numFmt numFmtId="166" formatCode="[$$-409]#,##0.00;\([$$-409]#,##0.00\)"/>
    <numFmt numFmtId="167" formatCode="0.00000%"/>
    <numFmt numFmtId="168" formatCode="0.000000"/>
    <numFmt numFmtId="169" formatCode="0.0000000000000"/>
  </numFmts>
  <fonts count="3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right" vertical="top"/>
    </xf>
    <xf numFmtId="167" fontId="1" fillId="0" borderId="2" xfId="1" applyNumberFormat="1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8" fontId="1" fillId="0" borderId="2" xfId="1" applyNumberFormat="1" applyFont="1" applyBorder="1" applyAlignment="1">
      <alignment horizontal="left" vertical="top"/>
    </xf>
    <xf numFmtId="14" fontId="0" fillId="0" borderId="0" xfId="0" applyNumberFormat="1"/>
    <xf numFmtId="1" fontId="1" fillId="0" borderId="2" xfId="0" applyNumberFormat="1" applyFon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center" vertical="top"/>
    </xf>
    <xf numFmtId="2" fontId="1" fillId="0" borderId="2" xfId="0" applyNumberFormat="1" applyFont="1" applyBorder="1" applyAlignment="1">
      <alignment horizontal="right" vertical="top"/>
    </xf>
    <xf numFmtId="2" fontId="0" fillId="0" borderId="0" xfId="0" applyNumberFormat="1"/>
    <xf numFmtId="2" fontId="1" fillId="0" borderId="2" xfId="1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168" fontId="1" fillId="2" borderId="1" xfId="0" applyNumberFormat="1" applyFont="1" applyFill="1" applyBorder="1" applyAlignment="1">
      <alignment horizontal="center" vertical="top"/>
    </xf>
    <xf numFmtId="168" fontId="1" fillId="0" borderId="2" xfId="1" applyNumberFormat="1" applyFont="1" applyBorder="1" applyAlignment="1">
      <alignment horizontal="left" vertical="top"/>
    </xf>
    <xf numFmtId="168" fontId="0" fillId="0" borderId="0" xfId="0" applyNumberFormat="1"/>
    <xf numFmtId="169" fontId="1" fillId="2" borderId="1" xfId="0" applyNumberFormat="1" applyFont="1" applyFill="1" applyBorder="1" applyAlignment="1">
      <alignment horizontal="center" vertical="top"/>
    </xf>
    <xf numFmtId="169" fontId="1" fillId="0" borderId="2" xfId="1" applyNumberFormat="1" applyFont="1" applyBorder="1" applyAlignment="1">
      <alignment horizontal="left" vertical="top"/>
    </xf>
    <xf numFmtId="169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P3443"/>
  <sheetViews>
    <sheetView topLeftCell="A3402" zoomScale="72" workbookViewId="0">
      <selection sqref="A1:P3443"/>
    </sheetView>
  </sheetViews>
  <sheetFormatPr defaultRowHeight="12.75" customHeight="1" x14ac:dyDescent="0.25"/>
  <cols>
    <col min="1" max="2" width="18.77734375" bestFit="1" customWidth="1"/>
    <col min="3" max="3" width="45.33203125" bestFit="1" customWidth="1"/>
    <col min="4" max="4" width="35" style="19" bestFit="1" customWidth="1"/>
    <col min="5" max="5" width="33" style="22" customWidth="1"/>
    <col min="6" max="6" width="20.109375" bestFit="1" customWidth="1"/>
    <col min="7" max="7" width="22.6640625" bestFit="1" customWidth="1"/>
    <col min="8" max="8" width="33.109375" style="14" customWidth="1"/>
    <col min="9" max="9" width="22.6640625" bestFit="1" customWidth="1"/>
    <col min="10" max="10" width="17.5546875" bestFit="1" customWidth="1"/>
    <col min="11" max="11" width="20.109375" style="14" bestFit="1" customWidth="1"/>
    <col min="12" max="12" width="22.6640625" style="14" bestFit="1" customWidth="1"/>
    <col min="13" max="13" width="20.109375" style="14" bestFit="1" customWidth="1"/>
    <col min="14" max="14" width="17.5546875" style="14" bestFit="1" customWidth="1"/>
    <col min="15" max="15" width="23.88671875" style="14" bestFit="1" customWidth="1"/>
    <col min="16" max="16" width="22.33203125" customWidth="1"/>
  </cols>
  <sheetData>
    <row r="1" spans="1:16" ht="18.75" customHeight="1" thickBot="1" x14ac:dyDescent="0.3">
      <c r="A1" s="1" t="s">
        <v>47</v>
      </c>
      <c r="B1" s="1" t="s">
        <v>46</v>
      </c>
      <c r="C1" s="1" t="s">
        <v>0</v>
      </c>
      <c r="D1" s="17" t="s">
        <v>50</v>
      </c>
      <c r="E1" s="20" t="s">
        <v>35</v>
      </c>
      <c r="F1" s="1" t="s">
        <v>45</v>
      </c>
      <c r="G1" s="1" t="s">
        <v>44</v>
      </c>
      <c r="H1" s="12" t="s">
        <v>36</v>
      </c>
      <c r="I1" s="1" t="s">
        <v>43</v>
      </c>
      <c r="J1" s="1" t="s">
        <v>42</v>
      </c>
      <c r="K1" s="12" t="s">
        <v>37</v>
      </c>
      <c r="L1" s="12" t="s">
        <v>39</v>
      </c>
      <c r="M1" s="12" t="s">
        <v>38</v>
      </c>
      <c r="N1" s="12" t="s">
        <v>40</v>
      </c>
      <c r="O1" s="12" t="s">
        <v>41</v>
      </c>
      <c r="P1" s="1" t="s">
        <v>48</v>
      </c>
    </row>
    <row r="2" spans="1:16" ht="18.75" customHeight="1" thickBot="1" x14ac:dyDescent="0.3">
      <c r="A2" s="3" t="s">
        <v>1</v>
      </c>
      <c r="B2" s="4">
        <v>493891</v>
      </c>
      <c r="C2" s="3" t="s">
        <v>2</v>
      </c>
      <c r="D2" s="18">
        <v>9.2200000000000004E-2</v>
      </c>
      <c r="E2" s="21">
        <f>(1+D2)^(1/12)-1</f>
        <v>7.3765747621890032E-3</v>
      </c>
      <c r="F2" s="5">
        <v>35363</v>
      </c>
      <c r="G2" s="5">
        <v>37220</v>
      </c>
      <c r="H2" s="16">
        <f>G2-F2</f>
        <v>1857</v>
      </c>
      <c r="I2" s="5">
        <v>37710</v>
      </c>
      <c r="J2" s="5">
        <v>36249</v>
      </c>
      <c r="K2" s="16">
        <f>J2-F2</f>
        <v>886</v>
      </c>
      <c r="L2" s="13">
        <v>13672.25</v>
      </c>
      <c r="M2" s="15">
        <f t="shared" ref="M2:M65" si="0">-PMT(E2,(H2/30),L2)</f>
        <v>275.92764218180719</v>
      </c>
      <c r="N2" s="13">
        <v>8777.0300000000007</v>
      </c>
      <c r="O2" s="13">
        <v>4197.09</v>
      </c>
      <c r="P2" s="11">
        <f t="shared" ref="P2:P65" si="1">IF((G2)&gt;(ConstantDateCutoff),1,0)</f>
        <v>0</v>
      </c>
    </row>
    <row r="3" spans="1:16" ht="18.75" customHeight="1" thickBot="1" x14ac:dyDescent="0.3">
      <c r="A3" s="3" t="s">
        <v>1</v>
      </c>
      <c r="B3" s="4">
        <v>404077</v>
      </c>
      <c r="C3" s="3" t="s">
        <v>3</v>
      </c>
      <c r="D3" s="18">
        <v>7.4999999999999997E-2</v>
      </c>
      <c r="E3" s="21">
        <f t="shared" ref="E3:E66" si="2">(1+D3)^(1/12)-1</f>
        <v>6.0449190242917172E-3</v>
      </c>
      <c r="F3" s="5">
        <v>33784</v>
      </c>
      <c r="G3" s="5">
        <v>36251</v>
      </c>
      <c r="H3" s="16">
        <f t="shared" ref="H3:H66" si="3">G3-F3</f>
        <v>2467</v>
      </c>
      <c r="I3" s="5">
        <v>36576</v>
      </c>
      <c r="J3" s="5">
        <v>36523</v>
      </c>
      <c r="K3" s="16">
        <f t="shared" ref="K3:K66" si="4">J3-F3</f>
        <v>2739</v>
      </c>
      <c r="L3" s="13">
        <v>63051</v>
      </c>
      <c r="M3" s="15">
        <f t="shared" si="0"/>
        <v>975.29392259162319</v>
      </c>
      <c r="N3" s="13">
        <v>26558.85</v>
      </c>
      <c r="O3" s="13">
        <v>0</v>
      </c>
      <c r="P3" s="11">
        <f t="shared" si="1"/>
        <v>0</v>
      </c>
    </row>
    <row r="4" spans="1:16" ht="18.75" customHeight="1" thickBot="1" x14ac:dyDescent="0.3">
      <c r="A4" s="3" t="s">
        <v>1</v>
      </c>
      <c r="B4" s="4">
        <v>984797</v>
      </c>
      <c r="C4" s="3" t="s">
        <v>3</v>
      </c>
      <c r="D4" s="18">
        <v>0.11</v>
      </c>
      <c r="E4" s="21">
        <f t="shared" si="2"/>
        <v>8.7345938235519061E-3</v>
      </c>
      <c r="F4" s="5">
        <v>34562</v>
      </c>
      <c r="G4" s="5">
        <v>35156</v>
      </c>
      <c r="H4" s="16">
        <f t="shared" si="3"/>
        <v>594</v>
      </c>
      <c r="I4" s="5">
        <v>37266</v>
      </c>
      <c r="J4" s="5">
        <v>36795</v>
      </c>
      <c r="K4" s="16">
        <f t="shared" si="4"/>
        <v>2233</v>
      </c>
      <c r="L4" s="13">
        <v>6050</v>
      </c>
      <c r="M4" s="15">
        <f t="shared" si="0"/>
        <v>334.06813431596362</v>
      </c>
      <c r="N4" s="13">
        <v>4200.5600000000004</v>
      </c>
      <c r="O4" s="13">
        <v>0</v>
      </c>
      <c r="P4" s="11">
        <f t="shared" si="1"/>
        <v>0</v>
      </c>
    </row>
    <row r="5" spans="1:16" ht="18.75" customHeight="1" thickBot="1" x14ac:dyDescent="0.3">
      <c r="A5" s="3" t="s">
        <v>1</v>
      </c>
      <c r="B5" s="4">
        <v>509174</v>
      </c>
      <c r="C5" s="3" t="s">
        <v>3</v>
      </c>
      <c r="D5" s="18">
        <v>7.7499999999999999E-2</v>
      </c>
      <c r="E5" s="21">
        <f t="shared" si="2"/>
        <v>6.2396814612857288E-3</v>
      </c>
      <c r="F5" s="5">
        <v>34652</v>
      </c>
      <c r="G5" s="5">
        <v>35742</v>
      </c>
      <c r="H5" s="16">
        <f t="shared" si="3"/>
        <v>1090</v>
      </c>
      <c r="I5" s="5">
        <v>36707</v>
      </c>
      <c r="J5" s="5">
        <v>36697</v>
      </c>
      <c r="K5" s="16">
        <f t="shared" si="4"/>
        <v>2045</v>
      </c>
      <c r="L5" s="13">
        <v>70715</v>
      </c>
      <c r="M5" s="15">
        <f t="shared" si="0"/>
        <v>2181.272829323836</v>
      </c>
      <c r="N5" s="13">
        <v>50875.49</v>
      </c>
      <c r="O5" s="13">
        <v>11882.78</v>
      </c>
      <c r="P5" s="11">
        <f t="shared" si="1"/>
        <v>0</v>
      </c>
    </row>
    <row r="6" spans="1:16" ht="18.75" customHeight="1" thickBot="1" x14ac:dyDescent="0.3">
      <c r="A6" s="3" t="s">
        <v>1</v>
      </c>
      <c r="B6" s="4">
        <v>149513</v>
      </c>
      <c r="C6" s="3" t="s">
        <v>2</v>
      </c>
      <c r="D6" s="18">
        <v>0.11749999999999999</v>
      </c>
      <c r="E6" s="21">
        <f t="shared" si="2"/>
        <v>9.300823618865417E-3</v>
      </c>
      <c r="F6" s="5">
        <v>35447</v>
      </c>
      <c r="G6" s="5">
        <v>36356</v>
      </c>
      <c r="H6" s="16">
        <f t="shared" si="3"/>
        <v>909</v>
      </c>
      <c r="I6" s="5">
        <v>36356</v>
      </c>
      <c r="J6" s="5">
        <v>36068</v>
      </c>
      <c r="K6" s="16">
        <f t="shared" si="4"/>
        <v>621</v>
      </c>
      <c r="L6" s="13">
        <v>7061</v>
      </c>
      <c r="M6" s="15">
        <f t="shared" si="0"/>
        <v>268.48807182659613</v>
      </c>
      <c r="N6" s="13">
        <v>4249.07</v>
      </c>
      <c r="O6" s="13">
        <v>600</v>
      </c>
      <c r="P6" s="11">
        <f t="shared" si="1"/>
        <v>0</v>
      </c>
    </row>
    <row r="7" spans="1:16" ht="18.75" customHeight="1" thickBot="1" x14ac:dyDescent="0.3">
      <c r="A7" s="3" t="s">
        <v>1</v>
      </c>
      <c r="B7" s="4">
        <v>820348</v>
      </c>
      <c r="C7" s="3" t="s">
        <v>2</v>
      </c>
      <c r="D7" s="18">
        <v>7.2499999999999995E-2</v>
      </c>
      <c r="E7" s="21">
        <f t="shared" si="2"/>
        <v>5.8497409526456767E-3</v>
      </c>
      <c r="F7" s="5">
        <v>35629</v>
      </c>
      <c r="G7" s="5">
        <v>35721</v>
      </c>
      <c r="H7" s="16">
        <f t="shared" si="3"/>
        <v>92</v>
      </c>
      <c r="I7" s="5">
        <v>36063</v>
      </c>
      <c r="J7" s="5">
        <v>36136</v>
      </c>
      <c r="K7" s="16">
        <f t="shared" si="4"/>
        <v>507</v>
      </c>
      <c r="L7" s="13">
        <v>35102.5</v>
      </c>
      <c r="M7" s="15">
        <f t="shared" si="0"/>
        <v>11582.890620352133</v>
      </c>
      <c r="N7" s="13">
        <v>5000</v>
      </c>
      <c r="O7" s="13">
        <v>0</v>
      </c>
      <c r="P7" s="11">
        <f t="shared" si="1"/>
        <v>0</v>
      </c>
    </row>
    <row r="8" spans="1:16" ht="18.75" customHeight="1" thickBot="1" x14ac:dyDescent="0.3">
      <c r="A8" s="3" t="s">
        <v>1</v>
      </c>
      <c r="B8" s="4">
        <v>208084</v>
      </c>
      <c r="C8" s="3" t="s">
        <v>2</v>
      </c>
      <c r="D8" s="18">
        <v>0.12</v>
      </c>
      <c r="E8" s="21">
        <f t="shared" si="2"/>
        <v>9.4887929345830457E-3</v>
      </c>
      <c r="F8" s="5">
        <v>35747</v>
      </c>
      <c r="G8" s="5">
        <v>35959</v>
      </c>
      <c r="H8" s="16">
        <f t="shared" si="3"/>
        <v>212</v>
      </c>
      <c r="I8" s="5">
        <v>35959</v>
      </c>
      <c r="J8" s="5">
        <v>36137</v>
      </c>
      <c r="K8" s="16">
        <f t="shared" si="4"/>
        <v>390</v>
      </c>
      <c r="L8" s="13">
        <v>25069.88</v>
      </c>
      <c r="M8" s="15">
        <f t="shared" si="0"/>
        <v>3684.6937106648934</v>
      </c>
      <c r="N8" s="13">
        <v>16406.939999999999</v>
      </c>
      <c r="O8" s="13">
        <v>0</v>
      </c>
      <c r="P8" s="11">
        <f t="shared" si="1"/>
        <v>0</v>
      </c>
    </row>
    <row r="9" spans="1:16" ht="18.75" customHeight="1" thickBot="1" x14ac:dyDescent="0.3">
      <c r="A9" s="3" t="s">
        <v>1</v>
      </c>
      <c r="B9" s="4">
        <v>71175</v>
      </c>
      <c r="C9" s="3" t="s">
        <v>2</v>
      </c>
      <c r="D9" s="18">
        <v>8.7499999999999994E-2</v>
      </c>
      <c r="E9" s="21">
        <f t="shared" si="2"/>
        <v>7.0146116041400752E-3</v>
      </c>
      <c r="F9" s="5">
        <v>35758</v>
      </c>
      <c r="G9" s="5">
        <v>36123</v>
      </c>
      <c r="H9" s="16">
        <f t="shared" si="3"/>
        <v>365</v>
      </c>
      <c r="I9" s="5">
        <v>36312</v>
      </c>
      <c r="J9" s="5">
        <v>37057</v>
      </c>
      <c r="K9" s="16">
        <f t="shared" si="4"/>
        <v>1299</v>
      </c>
      <c r="L9" s="13">
        <v>25175</v>
      </c>
      <c r="M9" s="15">
        <f t="shared" si="0"/>
        <v>2165.974690743335</v>
      </c>
      <c r="N9" s="13">
        <v>25064.98</v>
      </c>
      <c r="O9" s="13">
        <v>13434.67</v>
      </c>
      <c r="P9" s="11">
        <f t="shared" si="1"/>
        <v>0</v>
      </c>
    </row>
    <row r="10" spans="1:16" ht="18.75" customHeight="1" thickBot="1" x14ac:dyDescent="0.3">
      <c r="A10" s="3" t="s">
        <v>1</v>
      </c>
      <c r="B10" s="4">
        <v>868061</v>
      </c>
      <c r="C10" s="3" t="s">
        <v>2</v>
      </c>
      <c r="D10" s="18">
        <v>0.11</v>
      </c>
      <c r="E10" s="21">
        <f t="shared" si="2"/>
        <v>8.7345938235519061E-3</v>
      </c>
      <c r="F10" s="5">
        <v>35831</v>
      </c>
      <c r="G10" s="5">
        <v>35861</v>
      </c>
      <c r="H10" s="16">
        <f t="shared" si="3"/>
        <v>30</v>
      </c>
      <c r="I10" s="5">
        <v>36341</v>
      </c>
      <c r="J10" s="5">
        <v>36878</v>
      </c>
      <c r="K10" s="16">
        <f t="shared" si="4"/>
        <v>1047</v>
      </c>
      <c r="L10" s="13">
        <v>11045</v>
      </c>
      <c r="M10" s="15">
        <f t="shared" si="0"/>
        <v>11141.473588781129</v>
      </c>
      <c r="N10" s="13">
        <v>11045</v>
      </c>
      <c r="O10" s="13">
        <v>0</v>
      </c>
      <c r="P10" s="11">
        <f t="shared" si="1"/>
        <v>0</v>
      </c>
    </row>
    <row r="11" spans="1:16" ht="18.75" customHeight="1" thickBot="1" x14ac:dyDescent="0.3">
      <c r="A11" s="3" t="s">
        <v>1</v>
      </c>
      <c r="B11" s="4">
        <v>354235</v>
      </c>
      <c r="C11" s="3" t="s">
        <v>2</v>
      </c>
      <c r="D11" s="18">
        <v>8.5000000000000006E-2</v>
      </c>
      <c r="E11" s="21">
        <f t="shared" si="2"/>
        <v>6.8214933659622723E-3</v>
      </c>
      <c r="F11" s="5">
        <v>36185</v>
      </c>
      <c r="G11" s="5">
        <v>38367</v>
      </c>
      <c r="H11" s="16">
        <f t="shared" si="3"/>
        <v>2182</v>
      </c>
      <c r="I11" s="5">
        <v>38534</v>
      </c>
      <c r="J11" s="5">
        <v>37704</v>
      </c>
      <c r="K11" s="16">
        <f t="shared" si="4"/>
        <v>1519</v>
      </c>
      <c r="L11" s="13">
        <v>25919.5</v>
      </c>
      <c r="M11" s="15">
        <f t="shared" si="0"/>
        <v>453.23837127879699</v>
      </c>
      <c r="N11" s="13">
        <v>12000</v>
      </c>
      <c r="O11" s="13">
        <v>434.4</v>
      </c>
      <c r="P11" s="11">
        <f t="shared" si="1"/>
        <v>0</v>
      </c>
    </row>
    <row r="12" spans="1:16" ht="18.75" customHeight="1" thickBot="1" x14ac:dyDescent="0.3">
      <c r="A12" s="3" t="s">
        <v>1</v>
      </c>
      <c r="B12" s="4">
        <v>372878</v>
      </c>
      <c r="C12" s="3" t="s">
        <v>2</v>
      </c>
      <c r="D12" s="18">
        <v>7.4999999999999997E-2</v>
      </c>
      <c r="E12" s="21">
        <f t="shared" si="2"/>
        <v>6.0449190242917172E-3</v>
      </c>
      <c r="F12" s="5">
        <v>36397</v>
      </c>
      <c r="G12" s="5">
        <v>38231</v>
      </c>
      <c r="H12" s="16">
        <f t="shared" si="3"/>
        <v>1834</v>
      </c>
      <c r="I12" s="5">
        <v>38292</v>
      </c>
      <c r="J12" s="5">
        <v>38250</v>
      </c>
      <c r="K12" s="16">
        <f t="shared" si="4"/>
        <v>1853</v>
      </c>
      <c r="L12" s="13">
        <v>56280</v>
      </c>
      <c r="M12" s="15">
        <f t="shared" si="0"/>
        <v>1103.9162059808343</v>
      </c>
      <c r="N12" s="13">
        <v>39710.11</v>
      </c>
      <c r="O12" s="13">
        <v>17500</v>
      </c>
      <c r="P12" s="11">
        <f t="shared" si="1"/>
        <v>0</v>
      </c>
    </row>
    <row r="13" spans="1:16" ht="18.75" customHeight="1" thickBot="1" x14ac:dyDescent="0.3">
      <c r="A13" s="3" t="s">
        <v>1</v>
      </c>
      <c r="B13" s="4">
        <v>239384</v>
      </c>
      <c r="C13" s="3" t="s">
        <v>2</v>
      </c>
      <c r="D13" s="18">
        <v>8.2500000000000004E-2</v>
      </c>
      <c r="E13" s="21">
        <f t="shared" si="2"/>
        <v>6.6279668043680573E-3</v>
      </c>
      <c r="F13" s="5">
        <v>36481</v>
      </c>
      <c r="G13" s="5">
        <v>37960</v>
      </c>
      <c r="H13" s="16">
        <f t="shared" si="3"/>
        <v>1479</v>
      </c>
      <c r="I13" s="5">
        <v>38718</v>
      </c>
      <c r="J13" s="5">
        <v>37439</v>
      </c>
      <c r="K13" s="16">
        <f t="shared" si="4"/>
        <v>958</v>
      </c>
      <c r="L13" s="13">
        <v>16207.5</v>
      </c>
      <c r="M13" s="15">
        <f t="shared" si="0"/>
        <v>386.46252129980911</v>
      </c>
      <c r="N13" s="13">
        <v>10117.76</v>
      </c>
      <c r="O13" s="13">
        <v>50</v>
      </c>
      <c r="P13" s="11">
        <f t="shared" si="1"/>
        <v>0</v>
      </c>
    </row>
    <row r="14" spans="1:16" ht="18.75" customHeight="1" thickBot="1" x14ac:dyDescent="0.3">
      <c r="A14" s="3" t="s">
        <v>1</v>
      </c>
      <c r="B14" s="4">
        <v>923634</v>
      </c>
      <c r="C14" s="3" t="s">
        <v>2</v>
      </c>
      <c r="D14" s="18">
        <v>0.105</v>
      </c>
      <c r="E14" s="21">
        <f t="shared" si="2"/>
        <v>8.355155683635207E-3</v>
      </c>
      <c r="F14" s="5">
        <v>36683</v>
      </c>
      <c r="G14" s="5">
        <v>38504</v>
      </c>
      <c r="H14" s="16">
        <f t="shared" si="3"/>
        <v>1821</v>
      </c>
      <c r="I14" s="5">
        <v>38504</v>
      </c>
      <c r="J14" s="5">
        <v>37256</v>
      </c>
      <c r="K14" s="16">
        <f t="shared" si="4"/>
        <v>573</v>
      </c>
      <c r="L14" s="13">
        <v>21100</v>
      </c>
      <c r="M14" s="15">
        <f t="shared" si="0"/>
        <v>444.596680166704</v>
      </c>
      <c r="N14" s="13">
        <v>16000</v>
      </c>
      <c r="O14" s="13">
        <v>100</v>
      </c>
      <c r="P14" s="11">
        <f t="shared" si="1"/>
        <v>0</v>
      </c>
    </row>
    <row r="15" spans="1:16" ht="18.75" customHeight="1" thickBot="1" x14ac:dyDescent="0.3">
      <c r="A15" s="3" t="s">
        <v>1</v>
      </c>
      <c r="B15" s="4">
        <v>999598</v>
      </c>
      <c r="C15" s="3" t="s">
        <v>2</v>
      </c>
      <c r="D15" s="18">
        <v>8.7499999999999994E-2</v>
      </c>
      <c r="E15" s="21">
        <f t="shared" si="2"/>
        <v>7.0146116041400752E-3</v>
      </c>
      <c r="F15" s="5">
        <v>36776</v>
      </c>
      <c r="G15" s="5">
        <v>36898</v>
      </c>
      <c r="H15" s="16">
        <f t="shared" si="3"/>
        <v>122</v>
      </c>
      <c r="I15" s="5">
        <v>37871</v>
      </c>
      <c r="J15" s="5">
        <v>37957</v>
      </c>
      <c r="K15" s="16">
        <f t="shared" si="4"/>
        <v>1181</v>
      </c>
      <c r="L15" s="13">
        <v>20100</v>
      </c>
      <c r="M15" s="15">
        <f t="shared" si="0"/>
        <v>5030.7688836113666</v>
      </c>
      <c r="N15" s="13">
        <v>20058.38</v>
      </c>
      <c r="O15" s="13">
        <v>7945.21</v>
      </c>
      <c r="P15" s="11">
        <f t="shared" si="1"/>
        <v>0</v>
      </c>
    </row>
    <row r="16" spans="1:16" ht="18.75" customHeight="1" thickBot="1" x14ac:dyDescent="0.3">
      <c r="A16" s="3" t="s">
        <v>1</v>
      </c>
      <c r="B16" s="4">
        <v>648394</v>
      </c>
      <c r="C16" s="3" t="s">
        <v>2</v>
      </c>
      <c r="D16" s="18">
        <v>0.11</v>
      </c>
      <c r="E16" s="21">
        <f t="shared" si="2"/>
        <v>8.7345938235519061E-3</v>
      </c>
      <c r="F16" s="5">
        <v>36887</v>
      </c>
      <c r="G16" s="5">
        <v>36982</v>
      </c>
      <c r="H16" s="16">
        <f t="shared" si="3"/>
        <v>95</v>
      </c>
      <c r="I16" s="5">
        <v>37437</v>
      </c>
      <c r="J16" s="5">
        <v>37439</v>
      </c>
      <c r="K16" s="16">
        <f t="shared" si="4"/>
        <v>552</v>
      </c>
      <c r="L16" s="13">
        <v>54084.46</v>
      </c>
      <c r="M16" s="15">
        <f t="shared" si="0"/>
        <v>17391.072462334996</v>
      </c>
      <c r="N16" s="13">
        <v>36979.5</v>
      </c>
      <c r="O16" s="13">
        <v>10837.21</v>
      </c>
      <c r="P16" s="11">
        <f t="shared" si="1"/>
        <v>0</v>
      </c>
    </row>
    <row r="17" spans="1:16" ht="18.75" customHeight="1" thickBot="1" x14ac:dyDescent="0.3">
      <c r="A17" s="3" t="s">
        <v>1</v>
      </c>
      <c r="B17" s="4">
        <v>274658</v>
      </c>
      <c r="C17" s="3" t="s">
        <v>2</v>
      </c>
      <c r="D17" s="18">
        <v>8.5000000000000006E-2</v>
      </c>
      <c r="E17" s="21">
        <f t="shared" si="2"/>
        <v>6.8214933659622723E-3</v>
      </c>
      <c r="F17" s="5">
        <v>37000</v>
      </c>
      <c r="G17" s="5">
        <v>38838</v>
      </c>
      <c r="H17" s="16">
        <f t="shared" si="3"/>
        <v>1838</v>
      </c>
      <c r="I17" s="5">
        <v>38838</v>
      </c>
      <c r="J17" s="5">
        <v>37704</v>
      </c>
      <c r="K17" s="16">
        <f t="shared" si="4"/>
        <v>704</v>
      </c>
      <c r="L17" s="13">
        <v>29810</v>
      </c>
      <c r="M17" s="15">
        <f t="shared" si="0"/>
        <v>596.93125667377706</v>
      </c>
      <c r="N17" s="13">
        <v>27543.8</v>
      </c>
      <c r="O17" s="13">
        <v>0</v>
      </c>
      <c r="P17" s="11">
        <f t="shared" si="1"/>
        <v>0</v>
      </c>
    </row>
    <row r="18" spans="1:16" ht="18.75" customHeight="1" thickBot="1" x14ac:dyDescent="0.3">
      <c r="A18" s="3" t="s">
        <v>1</v>
      </c>
      <c r="B18" s="4">
        <v>81829</v>
      </c>
      <c r="C18" s="3" t="s">
        <v>2</v>
      </c>
      <c r="D18" s="18">
        <v>0.1</v>
      </c>
      <c r="E18" s="21">
        <f t="shared" si="2"/>
        <v>7.9741404289037643E-3</v>
      </c>
      <c r="F18" s="5">
        <v>37224</v>
      </c>
      <c r="G18" s="5">
        <v>39071</v>
      </c>
      <c r="H18" s="16">
        <f t="shared" si="3"/>
        <v>1847</v>
      </c>
      <c r="I18" s="5">
        <v>39161</v>
      </c>
      <c r="J18" s="5">
        <v>37959</v>
      </c>
      <c r="K18" s="16">
        <f t="shared" si="4"/>
        <v>735</v>
      </c>
      <c r="L18" s="13">
        <v>27015.97</v>
      </c>
      <c r="M18" s="15">
        <f t="shared" si="0"/>
        <v>557.01405086055422</v>
      </c>
      <c r="N18" s="13">
        <v>22685.119999999999</v>
      </c>
      <c r="O18" s="13">
        <v>4644.8900000000003</v>
      </c>
      <c r="P18" s="11">
        <f t="shared" si="1"/>
        <v>0</v>
      </c>
    </row>
    <row r="19" spans="1:16" ht="18.75" customHeight="1" thickBot="1" x14ac:dyDescent="0.3">
      <c r="A19" s="3" t="s">
        <v>1</v>
      </c>
      <c r="B19" s="4">
        <v>635249</v>
      </c>
      <c r="C19" s="3" t="s">
        <v>4</v>
      </c>
      <c r="D19" s="18">
        <v>9.5000000000000001E-2</v>
      </c>
      <c r="E19" s="21">
        <f t="shared" si="2"/>
        <v>7.5915342905825689E-3</v>
      </c>
      <c r="F19" s="5">
        <v>37348</v>
      </c>
      <c r="G19" s="5">
        <v>39887</v>
      </c>
      <c r="H19" s="16">
        <f t="shared" si="3"/>
        <v>2539</v>
      </c>
      <c r="I19" s="5">
        <v>39887</v>
      </c>
      <c r="J19" s="5">
        <v>38252</v>
      </c>
      <c r="K19" s="16">
        <f t="shared" si="4"/>
        <v>904</v>
      </c>
      <c r="L19" s="13">
        <v>50000</v>
      </c>
      <c r="M19" s="15">
        <f t="shared" si="0"/>
        <v>802.92118796515979</v>
      </c>
      <c r="N19" s="13">
        <v>45539.34</v>
      </c>
      <c r="O19" s="13">
        <v>0</v>
      </c>
      <c r="P19" s="11">
        <f t="shared" si="1"/>
        <v>0</v>
      </c>
    </row>
    <row r="20" spans="1:16" ht="18.75" customHeight="1" thickBot="1" x14ac:dyDescent="0.3">
      <c r="A20" s="3" t="s">
        <v>1</v>
      </c>
      <c r="B20" s="4">
        <v>809455</v>
      </c>
      <c r="C20" s="3" t="s">
        <v>2</v>
      </c>
      <c r="D20" s="18">
        <v>8.7499999999999994E-2</v>
      </c>
      <c r="E20" s="21">
        <f t="shared" si="2"/>
        <v>7.0146116041400752E-3</v>
      </c>
      <c r="F20" s="5">
        <v>37540</v>
      </c>
      <c r="G20" s="5">
        <v>37636</v>
      </c>
      <c r="H20" s="16">
        <f t="shared" si="3"/>
        <v>96</v>
      </c>
      <c r="I20" s="5">
        <v>38017</v>
      </c>
      <c r="J20" s="5">
        <v>37959</v>
      </c>
      <c r="K20" s="16">
        <f t="shared" si="4"/>
        <v>419</v>
      </c>
      <c r="L20" s="13">
        <v>15062</v>
      </c>
      <c r="M20" s="15">
        <f t="shared" si="0"/>
        <v>4776.388198366034</v>
      </c>
      <c r="N20" s="13">
        <v>8656.92</v>
      </c>
      <c r="O20" s="13">
        <v>3167.54</v>
      </c>
      <c r="P20" s="11">
        <f t="shared" si="1"/>
        <v>0</v>
      </c>
    </row>
    <row r="21" spans="1:16" ht="18.75" customHeight="1" thickBot="1" x14ac:dyDescent="0.3">
      <c r="A21" s="3" t="s">
        <v>1</v>
      </c>
      <c r="B21" s="4">
        <v>9356</v>
      </c>
      <c r="C21" s="3" t="s">
        <v>4</v>
      </c>
      <c r="D21" s="18">
        <v>0.10249999999999999</v>
      </c>
      <c r="E21" s="21">
        <f t="shared" si="2"/>
        <v>8.1648460519010424E-3</v>
      </c>
      <c r="F21" s="5">
        <v>37956</v>
      </c>
      <c r="G21" s="5">
        <v>38322</v>
      </c>
      <c r="H21" s="16">
        <f t="shared" si="3"/>
        <v>366</v>
      </c>
      <c r="I21" s="5">
        <v>40025</v>
      </c>
      <c r="J21" s="5">
        <v>39855</v>
      </c>
      <c r="K21" s="16">
        <f t="shared" si="4"/>
        <v>1899</v>
      </c>
      <c r="L21" s="13">
        <v>50000</v>
      </c>
      <c r="M21" s="15">
        <f t="shared" si="0"/>
        <v>4322.5648497799157</v>
      </c>
      <c r="N21" s="13">
        <v>13000</v>
      </c>
      <c r="O21" s="13">
        <v>0</v>
      </c>
      <c r="P21" s="11">
        <f t="shared" si="1"/>
        <v>0</v>
      </c>
    </row>
    <row r="22" spans="1:16" ht="18.75" customHeight="1" thickBot="1" x14ac:dyDescent="0.3">
      <c r="A22" s="3" t="s">
        <v>1</v>
      </c>
      <c r="B22" s="4">
        <v>391121</v>
      </c>
      <c r="C22" s="3" t="s">
        <v>2</v>
      </c>
      <c r="D22" s="18">
        <v>8.7499999999999994E-2</v>
      </c>
      <c r="E22" s="21">
        <f t="shared" si="2"/>
        <v>7.0146116041400752E-3</v>
      </c>
      <c r="F22" s="5">
        <v>38071</v>
      </c>
      <c r="G22" s="5">
        <v>38436</v>
      </c>
      <c r="H22" s="16">
        <f t="shared" si="3"/>
        <v>365</v>
      </c>
      <c r="I22" s="5">
        <v>40422</v>
      </c>
      <c r="J22" s="5">
        <v>40532</v>
      </c>
      <c r="K22" s="16">
        <f t="shared" si="4"/>
        <v>2461</v>
      </c>
      <c r="L22" s="13">
        <v>21303.71</v>
      </c>
      <c r="M22" s="15">
        <f t="shared" si="0"/>
        <v>1832.9015562635823</v>
      </c>
      <c r="N22" s="13">
        <v>10644.63</v>
      </c>
      <c r="O22" s="13">
        <v>1200</v>
      </c>
      <c r="P22" s="11">
        <f t="shared" si="1"/>
        <v>0</v>
      </c>
    </row>
    <row r="23" spans="1:16" ht="18.75" customHeight="1" thickBot="1" x14ac:dyDescent="0.3">
      <c r="A23" s="3" t="s">
        <v>1</v>
      </c>
      <c r="B23" s="4">
        <v>737781</v>
      </c>
      <c r="C23" s="3" t="s">
        <v>2</v>
      </c>
      <c r="D23" s="18">
        <v>8.7499999999999994E-2</v>
      </c>
      <c r="E23" s="21">
        <f t="shared" si="2"/>
        <v>7.0146116041400752E-3</v>
      </c>
      <c r="F23" s="5">
        <v>38251</v>
      </c>
      <c r="G23" s="5">
        <v>38630</v>
      </c>
      <c r="H23" s="16">
        <f t="shared" si="3"/>
        <v>379</v>
      </c>
      <c r="I23" s="5">
        <v>38630</v>
      </c>
      <c r="J23" s="5">
        <v>38335</v>
      </c>
      <c r="K23" s="16">
        <f t="shared" si="4"/>
        <v>84</v>
      </c>
      <c r="L23" s="13">
        <v>3906.79</v>
      </c>
      <c r="M23" s="15">
        <f t="shared" si="0"/>
        <v>324.2318956485741</v>
      </c>
      <c r="N23" s="13">
        <v>3906.79</v>
      </c>
      <c r="O23" s="13">
        <v>436.18</v>
      </c>
      <c r="P23" s="11">
        <f t="shared" si="1"/>
        <v>0</v>
      </c>
    </row>
    <row r="24" spans="1:16" ht="18.75" customHeight="1" thickBot="1" x14ac:dyDescent="0.3">
      <c r="A24" s="3" t="s">
        <v>1</v>
      </c>
      <c r="B24" s="4">
        <v>158907</v>
      </c>
      <c r="C24" s="3" t="s">
        <v>2</v>
      </c>
      <c r="D24" s="18">
        <v>8.5000000000000006E-2</v>
      </c>
      <c r="E24" s="21">
        <f t="shared" si="2"/>
        <v>6.8214933659622723E-3</v>
      </c>
      <c r="F24" s="5">
        <v>38331</v>
      </c>
      <c r="G24" s="5">
        <v>39076</v>
      </c>
      <c r="H24" s="16">
        <f t="shared" si="3"/>
        <v>745</v>
      </c>
      <c r="I24" s="5">
        <v>39076</v>
      </c>
      <c r="J24" s="5">
        <v>39069</v>
      </c>
      <c r="K24" s="16">
        <f t="shared" si="4"/>
        <v>738</v>
      </c>
      <c r="L24" s="13">
        <v>2920.91</v>
      </c>
      <c r="M24" s="15">
        <f t="shared" si="0"/>
        <v>128.26392705274733</v>
      </c>
      <c r="N24" s="13">
        <v>2040.18</v>
      </c>
      <c r="O24" s="13">
        <v>0</v>
      </c>
      <c r="P24" s="11">
        <f t="shared" si="1"/>
        <v>0</v>
      </c>
    </row>
    <row r="25" spans="1:16" ht="18.75" customHeight="1" thickBot="1" x14ac:dyDescent="0.3">
      <c r="A25" s="3" t="s">
        <v>1</v>
      </c>
      <c r="B25" s="4">
        <v>895172</v>
      </c>
      <c r="C25" s="3" t="s">
        <v>2</v>
      </c>
      <c r="D25" s="18">
        <v>7.7499999999999999E-2</v>
      </c>
      <c r="E25" s="21">
        <f t="shared" si="2"/>
        <v>6.2396814612857288E-3</v>
      </c>
      <c r="F25" s="5">
        <v>38461</v>
      </c>
      <c r="G25" s="5">
        <v>40288</v>
      </c>
      <c r="H25" s="16">
        <f t="shared" si="3"/>
        <v>1827</v>
      </c>
      <c r="I25" s="5">
        <v>40288</v>
      </c>
      <c r="J25" s="5">
        <v>40078</v>
      </c>
      <c r="K25" s="16">
        <f t="shared" si="4"/>
        <v>1617</v>
      </c>
      <c r="L25" s="13">
        <v>51824.5</v>
      </c>
      <c r="M25" s="15">
        <f t="shared" si="0"/>
        <v>1025.497118538327</v>
      </c>
      <c r="N25" s="13">
        <v>12509.55</v>
      </c>
      <c r="O25" s="13">
        <v>14249.5</v>
      </c>
      <c r="P25" s="11">
        <f t="shared" si="1"/>
        <v>0</v>
      </c>
    </row>
    <row r="26" spans="1:16" ht="18.75" customHeight="1" thickBot="1" x14ac:dyDescent="0.3">
      <c r="A26" s="3" t="s">
        <v>1</v>
      </c>
      <c r="B26" s="4">
        <v>692790</v>
      </c>
      <c r="C26" s="3" t="s">
        <v>4</v>
      </c>
      <c r="D26" s="18">
        <v>9.7500000000000003E-2</v>
      </c>
      <c r="E26" s="21">
        <f t="shared" si="2"/>
        <v>7.7830370878799737E-3</v>
      </c>
      <c r="F26" s="5">
        <v>38595</v>
      </c>
      <c r="G26" s="5">
        <v>40422</v>
      </c>
      <c r="H26" s="16">
        <f t="shared" si="3"/>
        <v>1827</v>
      </c>
      <c r="I26" s="5">
        <v>40422</v>
      </c>
      <c r="J26" s="5">
        <v>39433</v>
      </c>
      <c r="K26" s="16">
        <f t="shared" si="4"/>
        <v>838</v>
      </c>
      <c r="L26" s="13">
        <v>50000</v>
      </c>
      <c r="M26" s="15">
        <f t="shared" si="0"/>
        <v>1034.0398460596837</v>
      </c>
      <c r="N26" s="13">
        <v>7434.83</v>
      </c>
      <c r="O26" s="13">
        <v>3559.46</v>
      </c>
      <c r="P26" s="11">
        <f t="shared" si="1"/>
        <v>0</v>
      </c>
    </row>
    <row r="27" spans="1:16" ht="18.75" customHeight="1" thickBot="1" x14ac:dyDescent="0.3">
      <c r="A27" s="3" t="s">
        <v>1</v>
      </c>
      <c r="B27" s="4">
        <v>731149</v>
      </c>
      <c r="C27" s="3" t="s">
        <v>2</v>
      </c>
      <c r="D27" s="18">
        <v>8.7499999999999994E-2</v>
      </c>
      <c r="E27" s="21">
        <f t="shared" si="2"/>
        <v>7.0146116041400752E-3</v>
      </c>
      <c r="F27" s="5">
        <v>38684</v>
      </c>
      <c r="G27" s="5">
        <v>39431</v>
      </c>
      <c r="H27" s="16">
        <f t="shared" si="3"/>
        <v>747</v>
      </c>
      <c r="I27" s="5">
        <v>40071</v>
      </c>
      <c r="J27" s="5">
        <v>40168</v>
      </c>
      <c r="K27" s="16">
        <f t="shared" si="4"/>
        <v>1484</v>
      </c>
      <c r="L27" s="13">
        <v>66108.539999999994</v>
      </c>
      <c r="M27" s="15">
        <f t="shared" si="0"/>
        <v>2902.8479442703201</v>
      </c>
      <c r="N27" s="13">
        <v>46510.79</v>
      </c>
      <c r="O27" s="13">
        <v>0</v>
      </c>
      <c r="P27" s="11">
        <f t="shared" si="1"/>
        <v>0</v>
      </c>
    </row>
    <row r="28" spans="1:16" ht="18.75" customHeight="1" thickBot="1" x14ac:dyDescent="0.3">
      <c r="A28" s="3" t="s">
        <v>1</v>
      </c>
      <c r="B28" s="4">
        <v>191741</v>
      </c>
      <c r="C28" s="3" t="s">
        <v>4</v>
      </c>
      <c r="D28" s="18">
        <v>0.09</v>
      </c>
      <c r="E28" s="21">
        <f t="shared" si="2"/>
        <v>7.2073233161367156E-3</v>
      </c>
      <c r="F28" s="5">
        <v>38810</v>
      </c>
      <c r="G28" s="5">
        <v>42444</v>
      </c>
      <c r="H28" s="16">
        <f t="shared" si="3"/>
        <v>3634</v>
      </c>
      <c r="I28" s="5">
        <v>42901</v>
      </c>
      <c r="J28" s="5">
        <v>40806</v>
      </c>
      <c r="K28" s="16">
        <f t="shared" si="4"/>
        <v>1996</v>
      </c>
      <c r="L28" s="13">
        <v>445000</v>
      </c>
      <c r="M28" s="15">
        <f t="shared" si="0"/>
        <v>5520.1132010952415</v>
      </c>
      <c r="N28" s="13">
        <v>300000</v>
      </c>
      <c r="O28" s="13">
        <v>11688.38</v>
      </c>
      <c r="P28" s="11">
        <f t="shared" si="1"/>
        <v>1</v>
      </c>
    </row>
    <row r="29" spans="1:16" ht="18.75" customHeight="1" thickBot="1" x14ac:dyDescent="0.3">
      <c r="A29" s="3" t="s">
        <v>1</v>
      </c>
      <c r="B29" s="4">
        <v>181475</v>
      </c>
      <c r="C29" s="3" t="s">
        <v>2</v>
      </c>
      <c r="D29" s="18">
        <v>7.7499999999999999E-2</v>
      </c>
      <c r="E29" s="21">
        <f t="shared" si="2"/>
        <v>6.2396814612857288E-3</v>
      </c>
      <c r="F29" s="5">
        <v>38820</v>
      </c>
      <c r="G29" s="5">
        <v>40673</v>
      </c>
      <c r="H29" s="16">
        <f t="shared" si="3"/>
        <v>1853</v>
      </c>
      <c r="I29" s="5">
        <v>40734</v>
      </c>
      <c r="J29" s="5">
        <v>40080</v>
      </c>
      <c r="K29" s="16">
        <f t="shared" si="4"/>
        <v>1260</v>
      </c>
      <c r="L29" s="13">
        <v>22586.25</v>
      </c>
      <c r="M29" s="15">
        <f t="shared" si="0"/>
        <v>441.77684785786363</v>
      </c>
      <c r="N29" s="13">
        <v>13204.15</v>
      </c>
      <c r="O29" s="13">
        <v>0</v>
      </c>
      <c r="P29" s="11">
        <f t="shared" si="1"/>
        <v>0</v>
      </c>
    </row>
    <row r="30" spans="1:16" ht="18.75" customHeight="1" thickBot="1" x14ac:dyDescent="0.3">
      <c r="A30" s="3" t="s">
        <v>1</v>
      </c>
      <c r="B30" s="4">
        <v>131908</v>
      </c>
      <c r="C30" s="3" t="s">
        <v>2</v>
      </c>
      <c r="D30" s="18">
        <v>8.7499999999999994E-2</v>
      </c>
      <c r="E30" s="21">
        <f t="shared" si="2"/>
        <v>7.0146116041400752E-3</v>
      </c>
      <c r="F30" s="5">
        <v>38841</v>
      </c>
      <c r="G30" s="5">
        <v>39217</v>
      </c>
      <c r="H30" s="16">
        <f t="shared" si="3"/>
        <v>376</v>
      </c>
      <c r="I30" s="5">
        <v>40148</v>
      </c>
      <c r="J30" s="5">
        <v>40631</v>
      </c>
      <c r="K30" s="16">
        <f t="shared" si="4"/>
        <v>1790</v>
      </c>
      <c r="L30" s="13">
        <v>25755</v>
      </c>
      <c r="M30" s="15">
        <f t="shared" si="0"/>
        <v>2153.7685134422791</v>
      </c>
      <c r="N30" s="13">
        <v>14000</v>
      </c>
      <c r="O30" s="13">
        <v>6858.32</v>
      </c>
      <c r="P30" s="11">
        <f t="shared" si="1"/>
        <v>0</v>
      </c>
    </row>
    <row r="31" spans="1:16" ht="18.75" customHeight="1" thickBot="1" x14ac:dyDescent="0.3">
      <c r="A31" s="3" t="s">
        <v>1</v>
      </c>
      <c r="B31" s="4">
        <v>21282</v>
      </c>
      <c r="C31" s="3" t="s">
        <v>4</v>
      </c>
      <c r="D31" s="18">
        <v>8.7499999999999994E-2</v>
      </c>
      <c r="E31" s="21">
        <f t="shared" si="2"/>
        <v>7.0146116041400752E-3</v>
      </c>
      <c r="F31" s="5">
        <v>38867</v>
      </c>
      <c r="G31" s="5">
        <v>42522</v>
      </c>
      <c r="H31" s="16">
        <f t="shared" si="3"/>
        <v>3655</v>
      </c>
      <c r="I31" s="5">
        <v>42795</v>
      </c>
      <c r="J31" s="5">
        <v>40913</v>
      </c>
      <c r="K31" s="16">
        <f t="shared" si="4"/>
        <v>2046</v>
      </c>
      <c r="L31" s="13">
        <v>67000</v>
      </c>
      <c r="M31" s="15">
        <f t="shared" si="0"/>
        <v>819.80529789692935</v>
      </c>
      <c r="N31" s="13">
        <v>30291.95</v>
      </c>
      <c r="O31" s="13">
        <v>1512.08</v>
      </c>
      <c r="P31" s="11">
        <f t="shared" si="1"/>
        <v>1</v>
      </c>
    </row>
    <row r="32" spans="1:16" ht="18.75" customHeight="1" thickBot="1" x14ac:dyDescent="0.3">
      <c r="A32" s="3" t="s">
        <v>1</v>
      </c>
      <c r="B32" s="4">
        <v>210205</v>
      </c>
      <c r="C32" s="3" t="s">
        <v>2</v>
      </c>
      <c r="D32" s="18">
        <v>7.2499999999999995E-2</v>
      </c>
      <c r="E32" s="21">
        <f t="shared" si="2"/>
        <v>5.8497409526456767E-3</v>
      </c>
      <c r="F32" s="5">
        <v>39008</v>
      </c>
      <c r="G32" s="5">
        <v>39373</v>
      </c>
      <c r="H32" s="16">
        <f t="shared" si="3"/>
        <v>365</v>
      </c>
      <c r="I32" s="5">
        <v>39692</v>
      </c>
      <c r="J32" s="5">
        <v>39797</v>
      </c>
      <c r="K32" s="16">
        <f t="shared" si="4"/>
        <v>789</v>
      </c>
      <c r="L32" s="13">
        <v>50125</v>
      </c>
      <c r="M32" s="15">
        <f t="shared" si="0"/>
        <v>4280.2443594467059</v>
      </c>
      <c r="N32" s="13">
        <v>45883.73</v>
      </c>
      <c r="O32" s="13">
        <v>0</v>
      </c>
      <c r="P32" s="11">
        <f t="shared" si="1"/>
        <v>0</v>
      </c>
    </row>
    <row r="33" spans="1:16" ht="18.75" customHeight="1" thickBot="1" x14ac:dyDescent="0.3">
      <c r="A33" s="3" t="s">
        <v>1</v>
      </c>
      <c r="B33" s="4">
        <v>212684</v>
      </c>
      <c r="C33" s="3" t="s">
        <v>4</v>
      </c>
      <c r="D33" s="18">
        <v>9.7500000000000003E-2</v>
      </c>
      <c r="E33" s="21">
        <f t="shared" si="2"/>
        <v>7.7830370878799737E-3</v>
      </c>
      <c r="F33" s="5">
        <v>39048</v>
      </c>
      <c r="G33" s="5">
        <v>40162</v>
      </c>
      <c r="H33" s="16">
        <f t="shared" si="3"/>
        <v>1114</v>
      </c>
      <c r="I33" s="5">
        <v>40162</v>
      </c>
      <c r="J33" s="5">
        <v>39433</v>
      </c>
      <c r="K33" s="16">
        <f t="shared" si="4"/>
        <v>385</v>
      </c>
      <c r="L33" s="13">
        <v>16000</v>
      </c>
      <c r="M33" s="15">
        <f t="shared" si="0"/>
        <v>497.80205787597481</v>
      </c>
      <c r="N33" s="13">
        <v>3855.1</v>
      </c>
      <c r="O33" s="13">
        <v>0</v>
      </c>
      <c r="P33" s="11">
        <f t="shared" si="1"/>
        <v>0</v>
      </c>
    </row>
    <row r="34" spans="1:16" ht="18.75" customHeight="1" thickBot="1" x14ac:dyDescent="0.3">
      <c r="A34" s="3" t="s">
        <v>1</v>
      </c>
      <c r="B34" s="4">
        <v>774073</v>
      </c>
      <c r="C34" s="3" t="s">
        <v>2</v>
      </c>
      <c r="D34" s="18">
        <v>6.7500000000000004E-2</v>
      </c>
      <c r="E34" s="21">
        <f t="shared" si="2"/>
        <v>5.4581304569467637E-3</v>
      </c>
      <c r="F34" s="5">
        <v>39084</v>
      </c>
      <c r="G34" s="5">
        <v>39449</v>
      </c>
      <c r="H34" s="16">
        <f t="shared" si="3"/>
        <v>365</v>
      </c>
      <c r="I34" s="5">
        <v>40405</v>
      </c>
      <c r="J34" s="5">
        <v>40350</v>
      </c>
      <c r="K34" s="16">
        <f t="shared" si="4"/>
        <v>1266</v>
      </c>
      <c r="L34" s="13">
        <v>60312</v>
      </c>
      <c r="M34" s="15">
        <f t="shared" si="0"/>
        <v>5137.0788162608924</v>
      </c>
      <c r="N34" s="13">
        <v>60077.04</v>
      </c>
      <c r="O34" s="13">
        <v>0</v>
      </c>
      <c r="P34" s="11">
        <f t="shared" si="1"/>
        <v>0</v>
      </c>
    </row>
    <row r="35" spans="1:16" ht="18.75" customHeight="1" thickBot="1" x14ac:dyDescent="0.3">
      <c r="A35" s="3" t="s">
        <v>1</v>
      </c>
      <c r="B35" s="4">
        <v>707365</v>
      </c>
      <c r="C35" s="3" t="s">
        <v>2</v>
      </c>
      <c r="D35" s="18">
        <v>7.4999999999999997E-2</v>
      </c>
      <c r="E35" s="21">
        <f t="shared" si="2"/>
        <v>6.0449190242917172E-3</v>
      </c>
      <c r="F35" s="5">
        <v>39105</v>
      </c>
      <c r="G35" s="5">
        <v>41136</v>
      </c>
      <c r="H35" s="16">
        <f t="shared" si="3"/>
        <v>2031</v>
      </c>
      <c r="I35" s="5">
        <v>41348</v>
      </c>
      <c r="J35" s="5">
        <v>40317</v>
      </c>
      <c r="K35" s="16">
        <f t="shared" si="4"/>
        <v>1212</v>
      </c>
      <c r="L35" s="13">
        <v>25098.58</v>
      </c>
      <c r="M35" s="15">
        <f t="shared" si="0"/>
        <v>452.85548908486453</v>
      </c>
      <c r="N35" s="13">
        <v>13936.21</v>
      </c>
      <c r="O35" s="13">
        <v>0</v>
      </c>
      <c r="P35" s="11">
        <f t="shared" si="1"/>
        <v>0</v>
      </c>
    </row>
    <row r="36" spans="1:16" ht="18.75" customHeight="1" thickBot="1" x14ac:dyDescent="0.3">
      <c r="A36" s="3" t="s">
        <v>1</v>
      </c>
      <c r="B36" s="4">
        <v>126551</v>
      </c>
      <c r="C36" s="3" t="s">
        <v>2</v>
      </c>
      <c r="D36" s="18">
        <v>8.6499999999999994E-2</v>
      </c>
      <c r="E36" s="21">
        <f t="shared" si="2"/>
        <v>6.9374131923856108E-3</v>
      </c>
      <c r="F36" s="5">
        <v>39175</v>
      </c>
      <c r="G36" s="5">
        <v>44666</v>
      </c>
      <c r="H36" s="16">
        <f t="shared" si="3"/>
        <v>5491</v>
      </c>
      <c r="I36" s="5">
        <v>44666</v>
      </c>
      <c r="J36" s="5">
        <v>40273</v>
      </c>
      <c r="K36" s="16">
        <f t="shared" si="4"/>
        <v>1098</v>
      </c>
      <c r="L36" s="13">
        <v>131300</v>
      </c>
      <c r="M36" s="15">
        <f t="shared" si="0"/>
        <v>1268.8649621056418</v>
      </c>
      <c r="N36" s="13">
        <v>7432.03</v>
      </c>
      <c r="O36" s="13">
        <v>0</v>
      </c>
      <c r="P36" s="11">
        <f t="shared" si="1"/>
        <v>1</v>
      </c>
    </row>
    <row r="37" spans="1:16" ht="18.75" customHeight="1" thickBot="1" x14ac:dyDescent="0.3">
      <c r="A37" s="3" t="s">
        <v>1</v>
      </c>
      <c r="B37" s="4">
        <v>143469</v>
      </c>
      <c r="C37" s="3" t="s">
        <v>5</v>
      </c>
      <c r="D37" s="18">
        <v>5.2499999999999998E-2</v>
      </c>
      <c r="E37" s="21">
        <f t="shared" si="2"/>
        <v>4.2731277661580691E-3</v>
      </c>
      <c r="F37" s="5">
        <v>39294</v>
      </c>
      <c r="G37" s="5">
        <v>40025</v>
      </c>
      <c r="H37" s="16">
        <f t="shared" si="3"/>
        <v>731</v>
      </c>
      <c r="I37" s="5">
        <v>40087</v>
      </c>
      <c r="J37" s="5">
        <v>40238</v>
      </c>
      <c r="K37" s="16">
        <f t="shared" si="4"/>
        <v>944</v>
      </c>
      <c r="L37" s="13">
        <v>2500000</v>
      </c>
      <c r="M37" s="15">
        <f t="shared" si="0"/>
        <v>108252.12164627943</v>
      </c>
      <c r="N37" s="13">
        <v>1144081.72</v>
      </c>
      <c r="O37" s="13">
        <v>135.97999999999999</v>
      </c>
      <c r="P37" s="11">
        <f t="shared" si="1"/>
        <v>0</v>
      </c>
    </row>
    <row r="38" spans="1:16" ht="18.75" customHeight="1" thickBot="1" x14ac:dyDescent="0.3">
      <c r="A38" s="3" t="s">
        <v>1</v>
      </c>
      <c r="B38" s="4">
        <v>339424</v>
      </c>
      <c r="C38" s="3" t="s">
        <v>2</v>
      </c>
      <c r="D38" s="18">
        <v>8.7499999999999994E-2</v>
      </c>
      <c r="E38" s="21">
        <f t="shared" si="2"/>
        <v>7.0146116041400752E-3</v>
      </c>
      <c r="F38" s="5">
        <v>39482</v>
      </c>
      <c r="G38" s="5">
        <v>40589</v>
      </c>
      <c r="H38" s="16">
        <f t="shared" si="3"/>
        <v>1107</v>
      </c>
      <c r="I38" s="5">
        <v>40589</v>
      </c>
      <c r="J38" s="5">
        <v>39798</v>
      </c>
      <c r="K38" s="16">
        <f t="shared" si="4"/>
        <v>316</v>
      </c>
      <c r="L38" s="13">
        <v>15075</v>
      </c>
      <c r="M38" s="15">
        <f t="shared" si="0"/>
        <v>465.11085286340216</v>
      </c>
      <c r="N38" s="13">
        <v>13664.87</v>
      </c>
      <c r="O38" s="13">
        <v>2500</v>
      </c>
      <c r="P38" s="11">
        <f t="shared" si="1"/>
        <v>0</v>
      </c>
    </row>
    <row r="39" spans="1:16" ht="18.75" customHeight="1" thickBot="1" x14ac:dyDescent="0.3">
      <c r="A39" s="3" t="s">
        <v>1</v>
      </c>
      <c r="B39" s="4">
        <v>293994</v>
      </c>
      <c r="C39" s="3" t="s">
        <v>2</v>
      </c>
      <c r="D39" s="18">
        <v>7.2499999999999995E-2</v>
      </c>
      <c r="E39" s="21">
        <f t="shared" si="2"/>
        <v>5.8497409526456767E-3</v>
      </c>
      <c r="F39" s="5">
        <v>39590</v>
      </c>
      <c r="G39" s="5">
        <v>41419</v>
      </c>
      <c r="H39" s="16">
        <f t="shared" si="3"/>
        <v>1829</v>
      </c>
      <c r="I39" s="5">
        <v>41633</v>
      </c>
      <c r="J39" s="5">
        <v>40317</v>
      </c>
      <c r="K39" s="16">
        <f t="shared" si="4"/>
        <v>727</v>
      </c>
      <c r="L39" s="13">
        <v>22075</v>
      </c>
      <c r="M39" s="15">
        <f t="shared" si="0"/>
        <v>431.52624102128698</v>
      </c>
      <c r="N39" s="13">
        <v>12488.12</v>
      </c>
      <c r="O39" s="13">
        <v>0</v>
      </c>
      <c r="P39" s="11">
        <f t="shared" si="1"/>
        <v>0</v>
      </c>
    </row>
    <row r="40" spans="1:16" ht="18.75" customHeight="1" thickBot="1" x14ac:dyDescent="0.3">
      <c r="A40" s="3" t="s">
        <v>1</v>
      </c>
      <c r="B40" s="4">
        <v>991561</v>
      </c>
      <c r="C40" s="3" t="s">
        <v>2</v>
      </c>
      <c r="D40" s="18">
        <v>8.2500000000000004E-2</v>
      </c>
      <c r="E40" s="21">
        <f t="shared" si="2"/>
        <v>6.6279668043680573E-3</v>
      </c>
      <c r="F40" s="5">
        <v>39770</v>
      </c>
      <c r="G40" s="5">
        <v>40877</v>
      </c>
      <c r="H40" s="16">
        <f t="shared" si="3"/>
        <v>1107</v>
      </c>
      <c r="I40" s="5">
        <v>41057</v>
      </c>
      <c r="J40" s="5">
        <v>40317</v>
      </c>
      <c r="K40" s="16">
        <f t="shared" si="4"/>
        <v>547</v>
      </c>
      <c r="L40" s="13">
        <v>9575</v>
      </c>
      <c r="M40" s="15">
        <f t="shared" si="0"/>
        <v>293.36336075340409</v>
      </c>
      <c r="N40" s="13">
        <v>6076.35</v>
      </c>
      <c r="O40" s="13">
        <v>0</v>
      </c>
      <c r="P40" s="11">
        <f t="shared" si="1"/>
        <v>0</v>
      </c>
    </row>
    <row r="41" spans="1:16" ht="18.75" customHeight="1" thickBot="1" x14ac:dyDescent="0.3">
      <c r="A41" s="3" t="s">
        <v>1</v>
      </c>
      <c r="B41" s="4">
        <v>982778</v>
      </c>
      <c r="C41" s="3" t="s">
        <v>2</v>
      </c>
      <c r="D41" s="18">
        <v>7.4999999999999997E-2</v>
      </c>
      <c r="E41" s="21">
        <f t="shared" si="2"/>
        <v>6.0449190242917172E-3</v>
      </c>
      <c r="F41" s="5">
        <v>39821</v>
      </c>
      <c r="G41" s="5">
        <v>41593</v>
      </c>
      <c r="H41" s="16">
        <f t="shared" si="3"/>
        <v>1772</v>
      </c>
      <c r="I41" s="5">
        <v>41593</v>
      </c>
      <c r="J41" s="5">
        <v>40350</v>
      </c>
      <c r="K41" s="16">
        <f t="shared" si="4"/>
        <v>529</v>
      </c>
      <c r="L41" s="13">
        <v>91100</v>
      </c>
      <c r="M41" s="15">
        <f t="shared" si="0"/>
        <v>1838.629859109762</v>
      </c>
      <c r="N41" s="13">
        <v>75104.009999999995</v>
      </c>
      <c r="O41" s="13">
        <v>0</v>
      </c>
      <c r="P41" s="11">
        <f t="shared" si="1"/>
        <v>0</v>
      </c>
    </row>
    <row r="42" spans="1:16" ht="18.75" customHeight="1" thickBot="1" x14ac:dyDescent="0.3">
      <c r="A42" s="3" t="s">
        <v>1</v>
      </c>
      <c r="B42" s="4">
        <v>78689</v>
      </c>
      <c r="C42" s="3" t="s">
        <v>2</v>
      </c>
      <c r="D42" s="18">
        <v>7.2499999999999995E-2</v>
      </c>
      <c r="E42" s="21">
        <f t="shared" si="2"/>
        <v>5.8497409526456767E-3</v>
      </c>
      <c r="F42" s="5">
        <v>39910</v>
      </c>
      <c r="G42" s="5">
        <v>41004</v>
      </c>
      <c r="H42" s="16">
        <f t="shared" si="3"/>
        <v>1094</v>
      </c>
      <c r="I42" s="5">
        <v>42786</v>
      </c>
      <c r="J42" s="5">
        <v>41541</v>
      </c>
      <c r="K42" s="16">
        <f t="shared" si="4"/>
        <v>1631</v>
      </c>
      <c r="L42" s="13">
        <v>103066</v>
      </c>
      <c r="M42" s="15">
        <f t="shared" si="0"/>
        <v>3146.6988483460182</v>
      </c>
      <c r="N42" s="13">
        <v>40114.400000000001</v>
      </c>
      <c r="O42" s="13">
        <v>40114.400000000001</v>
      </c>
      <c r="P42" s="11">
        <f t="shared" si="1"/>
        <v>0</v>
      </c>
    </row>
    <row r="43" spans="1:16" ht="18.75" customHeight="1" thickBot="1" x14ac:dyDescent="0.3">
      <c r="A43" s="3" t="s">
        <v>1</v>
      </c>
      <c r="B43" s="4">
        <v>208747</v>
      </c>
      <c r="C43" s="3" t="s">
        <v>2</v>
      </c>
      <c r="D43" s="18">
        <v>0.06</v>
      </c>
      <c r="E43" s="21">
        <f t="shared" si="2"/>
        <v>4.8675505653430484E-3</v>
      </c>
      <c r="F43" s="5">
        <v>40610</v>
      </c>
      <c r="G43" s="5">
        <v>42689</v>
      </c>
      <c r="H43" s="16">
        <f t="shared" si="3"/>
        <v>2079</v>
      </c>
      <c r="I43" s="5">
        <v>42689</v>
      </c>
      <c r="J43" s="5">
        <v>40738</v>
      </c>
      <c r="K43" s="16">
        <f t="shared" si="4"/>
        <v>128</v>
      </c>
      <c r="L43" s="13">
        <v>35000</v>
      </c>
      <c r="M43" s="15">
        <f t="shared" si="0"/>
        <v>596.22917274964936</v>
      </c>
      <c r="N43" s="13">
        <v>35000</v>
      </c>
      <c r="O43" s="13">
        <v>4800</v>
      </c>
      <c r="P43" s="11">
        <f t="shared" si="1"/>
        <v>1</v>
      </c>
    </row>
    <row r="44" spans="1:16" ht="18.75" customHeight="1" thickBot="1" x14ac:dyDescent="0.3">
      <c r="A44" s="3" t="s">
        <v>1</v>
      </c>
      <c r="B44" s="4">
        <v>521178</v>
      </c>
      <c r="C44" s="3" t="s">
        <v>4</v>
      </c>
      <c r="D44" s="18">
        <v>8.7499999999999994E-2</v>
      </c>
      <c r="E44" s="21">
        <f t="shared" si="2"/>
        <v>7.0146116041400752E-3</v>
      </c>
      <c r="F44" s="5">
        <v>40928</v>
      </c>
      <c r="G44" s="5">
        <v>42755</v>
      </c>
      <c r="H44" s="16">
        <f t="shared" si="3"/>
        <v>1827</v>
      </c>
      <c r="I44" s="5">
        <v>42755</v>
      </c>
      <c r="J44" s="5">
        <v>41941</v>
      </c>
      <c r="K44" s="16">
        <f t="shared" si="4"/>
        <v>1013</v>
      </c>
      <c r="L44" s="13">
        <v>14500</v>
      </c>
      <c r="M44" s="15">
        <f t="shared" si="0"/>
        <v>293.38263707636651</v>
      </c>
      <c r="N44" s="13">
        <v>8882.85</v>
      </c>
      <c r="O44" s="13">
        <v>953.83</v>
      </c>
      <c r="P44" s="11">
        <f t="shared" si="1"/>
        <v>1</v>
      </c>
    </row>
    <row r="45" spans="1:16" ht="18.75" customHeight="1" thickBot="1" x14ac:dyDescent="0.3">
      <c r="A45" s="3" t="s">
        <v>1</v>
      </c>
      <c r="B45" s="4">
        <v>378088</v>
      </c>
      <c r="C45" s="3" t="s">
        <v>4</v>
      </c>
      <c r="D45" s="18">
        <v>9.2499999999999999E-2</v>
      </c>
      <c r="E45" s="21">
        <f t="shared" si="2"/>
        <v>7.3996302871768282E-3</v>
      </c>
      <c r="F45" s="5">
        <v>41089</v>
      </c>
      <c r="G45" s="5">
        <v>41454</v>
      </c>
      <c r="H45" s="16">
        <f t="shared" si="3"/>
        <v>365</v>
      </c>
      <c r="I45" s="5">
        <v>41454</v>
      </c>
      <c r="J45" s="5">
        <v>41837</v>
      </c>
      <c r="K45" s="16">
        <f t="shared" si="4"/>
        <v>748</v>
      </c>
      <c r="L45" s="13">
        <v>100000</v>
      </c>
      <c r="M45" s="15">
        <f t="shared" si="0"/>
        <v>8625.0619915870193</v>
      </c>
      <c r="N45" s="13">
        <v>60049.43</v>
      </c>
      <c r="O45" s="13">
        <v>4606.6499999999996</v>
      </c>
      <c r="P45" s="11">
        <f t="shared" si="1"/>
        <v>0</v>
      </c>
    </row>
    <row r="46" spans="1:16" ht="18.75" customHeight="1" thickBot="1" x14ac:dyDescent="0.3">
      <c r="A46" s="3" t="s">
        <v>1</v>
      </c>
      <c r="B46" s="4">
        <v>269303</v>
      </c>
      <c r="C46" s="3" t="s">
        <v>2</v>
      </c>
      <c r="D46" s="18">
        <v>0.10249999999999999</v>
      </c>
      <c r="E46" s="21">
        <f t="shared" si="2"/>
        <v>8.1648460519010424E-3</v>
      </c>
      <c r="F46" s="5">
        <v>41019</v>
      </c>
      <c r="G46" s="5">
        <v>41202</v>
      </c>
      <c r="H46" s="16">
        <f t="shared" si="3"/>
        <v>183</v>
      </c>
      <c r="I46" s="5">
        <v>42875</v>
      </c>
      <c r="J46" s="5">
        <v>42543</v>
      </c>
      <c r="K46" s="16">
        <f t="shared" si="4"/>
        <v>1524</v>
      </c>
      <c r="L46" s="13">
        <v>50118</v>
      </c>
      <c r="M46" s="15">
        <f t="shared" si="0"/>
        <v>8455.8558762745433</v>
      </c>
      <c r="N46" s="13">
        <v>10971.85</v>
      </c>
      <c r="O46" s="13">
        <v>632</v>
      </c>
      <c r="P46" s="11">
        <f t="shared" si="1"/>
        <v>0</v>
      </c>
    </row>
    <row r="47" spans="1:16" ht="18.75" hidden="1" customHeight="1" thickBot="1" x14ac:dyDescent="0.3">
      <c r="A47" s="3" t="s">
        <v>1</v>
      </c>
      <c r="B47" s="4">
        <v>456498</v>
      </c>
      <c r="C47" s="3" t="s">
        <v>3</v>
      </c>
      <c r="D47" s="18">
        <v>0</v>
      </c>
      <c r="E47" s="21">
        <f t="shared" si="2"/>
        <v>0</v>
      </c>
      <c r="F47" s="5">
        <v>41417</v>
      </c>
      <c r="G47" s="5">
        <v>43539</v>
      </c>
      <c r="H47" s="16">
        <f t="shared" si="3"/>
        <v>2122</v>
      </c>
      <c r="I47" s="5">
        <v>43539</v>
      </c>
      <c r="J47" s="5">
        <v>42159</v>
      </c>
      <c r="K47" s="16">
        <f t="shared" si="4"/>
        <v>742</v>
      </c>
      <c r="L47" s="13">
        <v>100512</v>
      </c>
      <c r="M47" s="15">
        <f t="shared" si="0"/>
        <v>1420.9990574929311</v>
      </c>
      <c r="N47" s="13">
        <v>66105.119999999995</v>
      </c>
      <c r="O47" s="13">
        <v>0</v>
      </c>
      <c r="P47" s="11">
        <f t="shared" si="1"/>
        <v>1</v>
      </c>
    </row>
    <row r="48" spans="1:16" ht="18.75" customHeight="1" thickBot="1" x14ac:dyDescent="0.3">
      <c r="A48" s="3" t="s">
        <v>1</v>
      </c>
      <c r="B48" s="4">
        <v>843225</v>
      </c>
      <c r="C48" s="3" t="s">
        <v>2</v>
      </c>
      <c r="D48" s="18">
        <v>9.2499999999999999E-2</v>
      </c>
      <c r="E48" s="21">
        <f t="shared" si="2"/>
        <v>7.3996302871768282E-3</v>
      </c>
      <c r="F48" s="5">
        <v>41761</v>
      </c>
      <c r="G48" s="5">
        <v>43590</v>
      </c>
      <c r="H48" s="16">
        <f t="shared" si="3"/>
        <v>1829</v>
      </c>
      <c r="I48" s="5">
        <v>44797</v>
      </c>
      <c r="J48" s="5">
        <v>44460</v>
      </c>
      <c r="K48" s="16">
        <f t="shared" si="4"/>
        <v>2699</v>
      </c>
      <c r="L48" s="13">
        <v>32000</v>
      </c>
      <c r="M48" s="15">
        <f t="shared" si="0"/>
        <v>654.05000428686378</v>
      </c>
      <c r="N48" s="13">
        <v>9510</v>
      </c>
      <c r="O48" s="13">
        <v>444.33</v>
      </c>
      <c r="P48" s="11">
        <f t="shared" si="1"/>
        <v>1</v>
      </c>
    </row>
    <row r="49" spans="1:16" ht="18.75" customHeight="1" thickBot="1" x14ac:dyDescent="0.3">
      <c r="A49" s="3" t="s">
        <v>1</v>
      </c>
      <c r="B49" s="4">
        <v>912817</v>
      </c>
      <c r="C49" s="3" t="s">
        <v>6</v>
      </c>
      <c r="D49" s="18">
        <v>8.7499999999999994E-2</v>
      </c>
      <c r="E49" s="21">
        <f t="shared" si="2"/>
        <v>7.0146116041400752E-3</v>
      </c>
      <c r="F49" s="5">
        <v>42068</v>
      </c>
      <c r="G49" s="5">
        <v>43895</v>
      </c>
      <c r="H49" s="16">
        <f t="shared" si="3"/>
        <v>1827</v>
      </c>
      <c r="I49" s="5">
        <v>43895</v>
      </c>
      <c r="J49" s="5">
        <v>42957</v>
      </c>
      <c r="K49" s="16">
        <f t="shared" si="4"/>
        <v>889</v>
      </c>
      <c r="L49" s="13">
        <v>400000</v>
      </c>
      <c r="M49" s="15">
        <f t="shared" si="0"/>
        <v>8093.3141262445924</v>
      </c>
      <c r="N49" s="13">
        <v>272508.57</v>
      </c>
      <c r="O49" s="13">
        <v>374.05</v>
      </c>
      <c r="P49" s="11">
        <f t="shared" si="1"/>
        <v>1</v>
      </c>
    </row>
    <row r="50" spans="1:16" ht="18.75" customHeight="1" thickBot="1" x14ac:dyDescent="0.3">
      <c r="A50" s="3" t="s">
        <v>1</v>
      </c>
      <c r="B50" s="4">
        <v>10385</v>
      </c>
      <c r="C50" s="3" t="s">
        <v>6</v>
      </c>
      <c r="D50" s="18">
        <v>9.2499999999999999E-2</v>
      </c>
      <c r="E50" s="21">
        <f t="shared" si="2"/>
        <v>7.3996302871768282E-3</v>
      </c>
      <c r="F50" s="5">
        <v>42341</v>
      </c>
      <c r="G50" s="5">
        <v>42795</v>
      </c>
      <c r="H50" s="16">
        <f t="shared" si="3"/>
        <v>454</v>
      </c>
      <c r="I50" s="5">
        <v>42795</v>
      </c>
      <c r="J50" s="5">
        <v>42968</v>
      </c>
      <c r="K50" s="16">
        <f t="shared" si="4"/>
        <v>627</v>
      </c>
      <c r="L50" s="13">
        <v>450000</v>
      </c>
      <c r="M50" s="15">
        <f t="shared" si="0"/>
        <v>31541.433355955811</v>
      </c>
      <c r="N50" s="13">
        <v>438774.16</v>
      </c>
      <c r="O50" s="13">
        <v>0</v>
      </c>
      <c r="P50" s="11">
        <f t="shared" si="1"/>
        <v>1</v>
      </c>
    </row>
    <row r="51" spans="1:16" ht="18.75" customHeight="1" thickBot="1" x14ac:dyDescent="0.3">
      <c r="A51" s="3" t="s">
        <v>1</v>
      </c>
      <c r="B51" s="4">
        <v>33340</v>
      </c>
      <c r="C51" s="3" t="s">
        <v>6</v>
      </c>
      <c r="D51" s="18">
        <v>9.2499999999999999E-2</v>
      </c>
      <c r="E51" s="21">
        <f t="shared" si="2"/>
        <v>7.3996302871768282E-3</v>
      </c>
      <c r="F51" s="5">
        <v>42341</v>
      </c>
      <c r="G51" s="5">
        <v>44849</v>
      </c>
      <c r="H51" s="16">
        <f t="shared" si="3"/>
        <v>2508</v>
      </c>
      <c r="I51" s="5">
        <v>44849</v>
      </c>
      <c r="J51" s="5">
        <v>42968</v>
      </c>
      <c r="K51" s="16">
        <f t="shared" si="4"/>
        <v>627</v>
      </c>
      <c r="L51" s="13">
        <v>645000</v>
      </c>
      <c r="M51" s="15">
        <f t="shared" si="0"/>
        <v>10373.797505644488</v>
      </c>
      <c r="N51" s="13">
        <v>614170.74</v>
      </c>
      <c r="O51" s="13">
        <v>0</v>
      </c>
      <c r="P51" s="11">
        <f t="shared" si="1"/>
        <v>1</v>
      </c>
    </row>
    <row r="52" spans="1:16" ht="18.75" customHeight="1" thickBot="1" x14ac:dyDescent="0.3">
      <c r="A52" s="3" t="s">
        <v>1</v>
      </c>
      <c r="B52" s="4">
        <v>159798</v>
      </c>
      <c r="C52" s="3" t="s">
        <v>3</v>
      </c>
      <c r="D52" s="18">
        <v>5.2499999999999998E-2</v>
      </c>
      <c r="E52" s="21">
        <f t="shared" si="2"/>
        <v>4.2731277661580691E-3</v>
      </c>
      <c r="F52" s="5">
        <v>42639</v>
      </c>
      <c r="G52" s="5">
        <v>43009</v>
      </c>
      <c r="H52" s="16">
        <f t="shared" si="3"/>
        <v>370</v>
      </c>
      <c r="I52" s="5">
        <v>43739</v>
      </c>
      <c r="J52" s="5">
        <v>43769</v>
      </c>
      <c r="K52" s="16">
        <f t="shared" si="4"/>
        <v>1130</v>
      </c>
      <c r="L52" s="13">
        <v>1005100</v>
      </c>
      <c r="M52" s="15">
        <f t="shared" si="0"/>
        <v>83834.871109456712</v>
      </c>
      <c r="N52" s="13">
        <v>922084.77</v>
      </c>
      <c r="O52" s="13">
        <v>0</v>
      </c>
      <c r="P52" s="11">
        <f t="shared" si="1"/>
        <v>1</v>
      </c>
    </row>
    <row r="53" spans="1:16" ht="18.75" customHeight="1" thickBot="1" x14ac:dyDescent="0.3">
      <c r="A53" s="3" t="s">
        <v>1</v>
      </c>
      <c r="B53" s="4">
        <v>506848</v>
      </c>
      <c r="C53" s="3" t="s">
        <v>4</v>
      </c>
      <c r="D53" s="18">
        <v>0.09</v>
      </c>
      <c r="E53" s="21">
        <f t="shared" si="2"/>
        <v>7.2073233161367156E-3</v>
      </c>
      <c r="F53" s="5">
        <v>42922</v>
      </c>
      <c r="G53" s="5">
        <v>45698</v>
      </c>
      <c r="H53" s="16">
        <f t="shared" si="3"/>
        <v>2776</v>
      </c>
      <c r="I53" s="5">
        <v>47088</v>
      </c>
      <c r="J53" s="5">
        <v>45743</v>
      </c>
      <c r="K53" s="16">
        <f t="shared" si="4"/>
        <v>2821</v>
      </c>
      <c r="L53" s="13">
        <v>75000</v>
      </c>
      <c r="M53" s="15">
        <f t="shared" si="0"/>
        <v>1113.4267510963052</v>
      </c>
      <c r="N53" s="13">
        <v>13052.22</v>
      </c>
      <c r="O53" s="13">
        <v>1312.94</v>
      </c>
      <c r="P53" s="11">
        <f t="shared" si="1"/>
        <v>1</v>
      </c>
    </row>
    <row r="54" spans="1:16" ht="18.75" customHeight="1" thickBot="1" x14ac:dyDescent="0.3">
      <c r="A54" s="3" t="s">
        <v>1</v>
      </c>
      <c r="B54" s="4">
        <v>718319</v>
      </c>
      <c r="C54" s="3" t="s">
        <v>3</v>
      </c>
      <c r="D54" s="18">
        <v>5.2499999999999998E-2</v>
      </c>
      <c r="E54" s="21">
        <f t="shared" si="2"/>
        <v>4.2731277661580691E-3</v>
      </c>
      <c r="F54" s="5">
        <v>43010</v>
      </c>
      <c r="G54" s="5">
        <v>43374</v>
      </c>
      <c r="H54" s="16">
        <f t="shared" si="3"/>
        <v>364</v>
      </c>
      <c r="I54" s="5">
        <v>43739</v>
      </c>
      <c r="J54" s="5">
        <v>43769</v>
      </c>
      <c r="K54" s="16">
        <f t="shared" si="4"/>
        <v>759</v>
      </c>
      <c r="L54" s="13">
        <v>1002700</v>
      </c>
      <c r="M54" s="15">
        <f t="shared" si="0"/>
        <v>84977.354979393916</v>
      </c>
      <c r="N54" s="13">
        <v>962739.27</v>
      </c>
      <c r="O54" s="13">
        <v>0</v>
      </c>
      <c r="P54" s="11">
        <f t="shared" si="1"/>
        <v>1</v>
      </c>
    </row>
    <row r="55" spans="1:16" ht="18.75" customHeight="1" thickBot="1" x14ac:dyDescent="0.3">
      <c r="A55" s="3" t="s">
        <v>1</v>
      </c>
      <c r="B55" s="4">
        <v>939194</v>
      </c>
      <c r="C55" s="3" t="s">
        <v>3</v>
      </c>
      <c r="D55" s="18">
        <v>8.7499999999999994E-2</v>
      </c>
      <c r="E55" s="21">
        <f t="shared" si="2"/>
        <v>7.0146116041400752E-3</v>
      </c>
      <c r="F55" s="5">
        <v>35550</v>
      </c>
      <c r="G55" s="5">
        <v>38127</v>
      </c>
      <c r="H55" s="16">
        <f t="shared" si="3"/>
        <v>2577</v>
      </c>
      <c r="I55" s="5">
        <v>38127</v>
      </c>
      <c r="J55" s="5">
        <v>36445</v>
      </c>
      <c r="K55" s="16">
        <f t="shared" si="4"/>
        <v>895</v>
      </c>
      <c r="L55" s="13">
        <v>178065</v>
      </c>
      <c r="M55" s="15">
        <f t="shared" si="0"/>
        <v>2766.851474086377</v>
      </c>
      <c r="N55" s="13">
        <v>147666.38</v>
      </c>
      <c r="O55" s="13">
        <v>0</v>
      </c>
      <c r="P55" s="11">
        <f t="shared" si="1"/>
        <v>0</v>
      </c>
    </row>
    <row r="56" spans="1:16" ht="18.75" customHeight="1" thickBot="1" x14ac:dyDescent="0.3">
      <c r="A56" s="3" t="s">
        <v>1</v>
      </c>
      <c r="B56" s="4">
        <v>715526</v>
      </c>
      <c r="C56" s="3" t="s">
        <v>3</v>
      </c>
      <c r="D56" s="18">
        <v>8.7499999999999994E-2</v>
      </c>
      <c r="E56" s="21">
        <f t="shared" si="2"/>
        <v>7.0146116041400752E-3</v>
      </c>
      <c r="F56" s="5">
        <v>35550</v>
      </c>
      <c r="G56" s="5">
        <v>35915</v>
      </c>
      <c r="H56" s="16">
        <f t="shared" si="3"/>
        <v>365</v>
      </c>
      <c r="I56" s="5">
        <v>35915</v>
      </c>
      <c r="J56" s="5">
        <v>36445</v>
      </c>
      <c r="K56" s="16">
        <f t="shared" si="4"/>
        <v>895</v>
      </c>
      <c r="L56" s="13">
        <v>60635</v>
      </c>
      <c r="M56" s="15">
        <f t="shared" si="0"/>
        <v>5216.8371548449695</v>
      </c>
      <c r="N56" s="13">
        <v>54125.29</v>
      </c>
      <c r="O56" s="13">
        <v>0</v>
      </c>
      <c r="P56" s="11">
        <f t="shared" si="1"/>
        <v>0</v>
      </c>
    </row>
    <row r="57" spans="1:16" ht="18.75" customHeight="1" thickBot="1" x14ac:dyDescent="0.3">
      <c r="A57" s="3" t="s">
        <v>1</v>
      </c>
      <c r="B57" s="4">
        <v>544994</v>
      </c>
      <c r="C57" s="3" t="s">
        <v>2</v>
      </c>
      <c r="D57" s="18">
        <v>8.5000000000000006E-2</v>
      </c>
      <c r="E57" s="21">
        <f t="shared" si="2"/>
        <v>6.8214933659622723E-3</v>
      </c>
      <c r="F57" s="5">
        <v>36587</v>
      </c>
      <c r="G57" s="5">
        <v>36951</v>
      </c>
      <c r="H57" s="16">
        <f t="shared" si="3"/>
        <v>364</v>
      </c>
      <c r="I57" s="5">
        <v>37726</v>
      </c>
      <c r="J57" s="5">
        <v>37881</v>
      </c>
      <c r="K57" s="16">
        <f t="shared" si="4"/>
        <v>1294</v>
      </c>
      <c r="L57" s="13">
        <v>604396</v>
      </c>
      <c r="M57" s="15">
        <f t="shared" si="0"/>
        <v>52072.34227507389</v>
      </c>
      <c r="N57" s="13">
        <v>330988.51</v>
      </c>
      <c r="O57" s="13">
        <v>0</v>
      </c>
      <c r="P57" s="11">
        <f t="shared" si="1"/>
        <v>0</v>
      </c>
    </row>
    <row r="58" spans="1:16" ht="18.75" customHeight="1" thickBot="1" x14ac:dyDescent="0.3">
      <c r="A58" s="3" t="s">
        <v>1</v>
      </c>
      <c r="B58" s="4">
        <v>287099</v>
      </c>
      <c r="C58" s="3" t="s">
        <v>2</v>
      </c>
      <c r="D58" s="18">
        <v>8.2500000000000004E-2</v>
      </c>
      <c r="E58" s="21">
        <f t="shared" si="2"/>
        <v>6.6279668043680573E-3</v>
      </c>
      <c r="F58" s="5">
        <v>36881</v>
      </c>
      <c r="G58" s="5">
        <v>37063</v>
      </c>
      <c r="H58" s="16">
        <f t="shared" si="3"/>
        <v>182</v>
      </c>
      <c r="I58" s="5">
        <v>38908</v>
      </c>
      <c r="J58" s="5">
        <v>37957</v>
      </c>
      <c r="K58" s="16">
        <f t="shared" si="4"/>
        <v>1076</v>
      </c>
      <c r="L58" s="13">
        <v>328970</v>
      </c>
      <c r="M58" s="15">
        <f t="shared" si="0"/>
        <v>55502.812723501396</v>
      </c>
      <c r="N58" s="13">
        <v>210432.66</v>
      </c>
      <c r="O58" s="13">
        <v>0</v>
      </c>
      <c r="P58" s="11">
        <f t="shared" si="1"/>
        <v>0</v>
      </c>
    </row>
    <row r="59" spans="1:16" ht="18.75" customHeight="1" thickBot="1" x14ac:dyDescent="0.3">
      <c r="A59" s="3" t="s">
        <v>1</v>
      </c>
      <c r="B59" s="4">
        <v>48058</v>
      </c>
      <c r="C59" s="3" t="s">
        <v>7</v>
      </c>
      <c r="D59" s="18">
        <v>9.2499999999999999E-2</v>
      </c>
      <c r="E59" s="21">
        <f t="shared" si="2"/>
        <v>7.3996302871768282E-3</v>
      </c>
      <c r="F59" s="5">
        <v>36973</v>
      </c>
      <c r="G59" s="5">
        <v>37157</v>
      </c>
      <c r="H59" s="16">
        <f t="shared" si="3"/>
        <v>184</v>
      </c>
      <c r="I59" s="5">
        <v>37157</v>
      </c>
      <c r="J59" s="5">
        <v>37237</v>
      </c>
      <c r="K59" s="16">
        <f t="shared" si="4"/>
        <v>264</v>
      </c>
      <c r="L59" s="13">
        <v>90078.31</v>
      </c>
      <c r="M59" s="15">
        <f t="shared" si="0"/>
        <v>15076.736844828853</v>
      </c>
      <c r="N59" s="13">
        <v>46675.06</v>
      </c>
      <c r="O59" s="13">
        <v>350</v>
      </c>
      <c r="P59" s="11">
        <f t="shared" si="1"/>
        <v>0</v>
      </c>
    </row>
    <row r="60" spans="1:16" ht="18.75" customHeight="1" thickBot="1" x14ac:dyDescent="0.3">
      <c r="A60" s="3" t="s">
        <v>1</v>
      </c>
      <c r="B60" s="4">
        <v>198378</v>
      </c>
      <c r="C60" s="3" t="s">
        <v>2</v>
      </c>
      <c r="D60" s="18">
        <v>8.5000000000000006E-2</v>
      </c>
      <c r="E60" s="21">
        <f t="shared" si="2"/>
        <v>6.8214933659622723E-3</v>
      </c>
      <c r="F60" s="5">
        <v>37000</v>
      </c>
      <c r="G60" s="5">
        <v>37377</v>
      </c>
      <c r="H60" s="16">
        <f t="shared" si="3"/>
        <v>377</v>
      </c>
      <c r="I60" s="5">
        <v>37500</v>
      </c>
      <c r="J60" s="5">
        <v>37882</v>
      </c>
      <c r="K60" s="16">
        <f t="shared" si="4"/>
        <v>882</v>
      </c>
      <c r="L60" s="13">
        <v>200000</v>
      </c>
      <c r="M60" s="15">
        <f t="shared" si="0"/>
        <v>16661.201393967342</v>
      </c>
      <c r="N60" s="13">
        <v>59701.48</v>
      </c>
      <c r="O60" s="13">
        <v>2302.66</v>
      </c>
      <c r="P60" s="11">
        <f t="shared" si="1"/>
        <v>0</v>
      </c>
    </row>
    <row r="61" spans="1:16" ht="18.75" customHeight="1" thickBot="1" x14ac:dyDescent="0.3">
      <c r="A61" s="3" t="s">
        <v>1</v>
      </c>
      <c r="B61" s="4">
        <v>551253</v>
      </c>
      <c r="C61" s="3" t="s">
        <v>2</v>
      </c>
      <c r="D61" s="18">
        <v>8.7499999999999994E-2</v>
      </c>
      <c r="E61" s="21">
        <f t="shared" si="2"/>
        <v>7.0146116041400752E-3</v>
      </c>
      <c r="F61" s="5">
        <v>38806</v>
      </c>
      <c r="G61" s="5">
        <v>41369</v>
      </c>
      <c r="H61" s="16">
        <f t="shared" si="3"/>
        <v>2563</v>
      </c>
      <c r="I61" s="5">
        <v>41379</v>
      </c>
      <c r="J61" s="5">
        <v>40168</v>
      </c>
      <c r="K61" s="16">
        <f t="shared" si="4"/>
        <v>1362</v>
      </c>
      <c r="L61" s="13">
        <v>437799</v>
      </c>
      <c r="M61" s="15">
        <f t="shared" si="0"/>
        <v>6829.8283644378907</v>
      </c>
      <c r="N61" s="13">
        <v>200247.22</v>
      </c>
      <c r="O61" s="13">
        <v>50012.46</v>
      </c>
      <c r="P61" s="11">
        <f t="shared" si="1"/>
        <v>0</v>
      </c>
    </row>
    <row r="62" spans="1:16" ht="18.75" customHeight="1" thickBot="1" x14ac:dyDescent="0.3">
      <c r="A62" s="3" t="s">
        <v>1</v>
      </c>
      <c r="B62" s="4">
        <v>988571</v>
      </c>
      <c r="C62" s="3" t="s">
        <v>2</v>
      </c>
      <c r="D62" s="18">
        <v>6.6799999999999998E-2</v>
      </c>
      <c r="E62" s="21">
        <f t="shared" si="2"/>
        <v>5.4031708698436542E-3</v>
      </c>
      <c r="F62" s="5">
        <v>39143</v>
      </c>
      <c r="G62" s="5">
        <v>44666</v>
      </c>
      <c r="H62" s="16">
        <f t="shared" si="3"/>
        <v>5523</v>
      </c>
      <c r="I62" s="5">
        <v>44870</v>
      </c>
      <c r="J62" s="5">
        <v>41361</v>
      </c>
      <c r="K62" s="16">
        <f t="shared" si="4"/>
        <v>2218</v>
      </c>
      <c r="L62" s="13">
        <v>1000000</v>
      </c>
      <c r="M62" s="15">
        <f t="shared" si="0"/>
        <v>8587.6010092811448</v>
      </c>
      <c r="N62" s="13">
        <v>239476.36</v>
      </c>
      <c r="O62" s="13">
        <v>0</v>
      </c>
      <c r="P62" s="11">
        <f t="shared" si="1"/>
        <v>1</v>
      </c>
    </row>
    <row r="63" spans="1:16" ht="18.75" customHeight="1" thickBot="1" x14ac:dyDescent="0.3">
      <c r="A63" s="3" t="s">
        <v>1</v>
      </c>
      <c r="B63" s="4">
        <v>487311</v>
      </c>
      <c r="C63" s="3" t="s">
        <v>3</v>
      </c>
      <c r="D63" s="18">
        <v>8.7499999999999994E-2</v>
      </c>
      <c r="E63" s="21">
        <f t="shared" si="2"/>
        <v>7.0146116041400752E-3</v>
      </c>
      <c r="F63" s="5">
        <v>36270</v>
      </c>
      <c r="G63" s="5">
        <v>38292</v>
      </c>
      <c r="H63" s="16">
        <f t="shared" si="3"/>
        <v>2022</v>
      </c>
      <c r="I63" s="5">
        <v>37712</v>
      </c>
      <c r="J63" s="5">
        <v>37708</v>
      </c>
      <c r="K63" s="16">
        <f t="shared" si="4"/>
        <v>1438</v>
      </c>
      <c r="L63" s="13">
        <v>31540.83</v>
      </c>
      <c r="M63" s="15">
        <f t="shared" si="0"/>
        <v>588.88199902605834</v>
      </c>
      <c r="N63" s="13">
        <v>19539.509999999998</v>
      </c>
      <c r="O63" s="13">
        <v>1106</v>
      </c>
      <c r="P63" s="11">
        <f t="shared" si="1"/>
        <v>0</v>
      </c>
    </row>
    <row r="64" spans="1:16" ht="18.75" customHeight="1" thickBot="1" x14ac:dyDescent="0.3">
      <c r="A64" s="3" t="s">
        <v>1</v>
      </c>
      <c r="B64" s="4">
        <v>739402</v>
      </c>
      <c r="C64" s="3" t="s">
        <v>2</v>
      </c>
      <c r="D64" s="18">
        <v>5.5E-2</v>
      </c>
      <c r="E64" s="21">
        <f t="shared" si="2"/>
        <v>4.471698917043021E-3</v>
      </c>
      <c r="F64" s="5">
        <v>37546</v>
      </c>
      <c r="G64" s="5">
        <v>39010</v>
      </c>
      <c r="H64" s="16">
        <f t="shared" si="3"/>
        <v>1464</v>
      </c>
      <c r="I64" s="5">
        <v>39102</v>
      </c>
      <c r="J64" s="5">
        <v>39168</v>
      </c>
      <c r="K64" s="16">
        <f t="shared" si="4"/>
        <v>1622</v>
      </c>
      <c r="L64" s="13">
        <v>68437.259999999995</v>
      </c>
      <c r="M64" s="15">
        <f t="shared" si="0"/>
        <v>1564.099863953365</v>
      </c>
      <c r="N64" s="13">
        <v>40000</v>
      </c>
      <c r="O64" s="13">
        <v>0</v>
      </c>
      <c r="P64" s="11">
        <f t="shared" si="1"/>
        <v>0</v>
      </c>
    </row>
    <row r="65" spans="1:16" ht="18.75" customHeight="1" thickBot="1" x14ac:dyDescent="0.3">
      <c r="A65" s="3" t="s">
        <v>1</v>
      </c>
      <c r="B65" s="4">
        <v>591755</v>
      </c>
      <c r="C65" s="3" t="s">
        <v>2</v>
      </c>
      <c r="D65" s="18">
        <v>9.4E-2</v>
      </c>
      <c r="E65" s="21">
        <f t="shared" si="2"/>
        <v>7.5148209323356863E-3</v>
      </c>
      <c r="F65" s="5">
        <v>39444</v>
      </c>
      <c r="G65" s="5">
        <v>40909</v>
      </c>
      <c r="H65" s="16">
        <f t="shared" si="3"/>
        <v>1465</v>
      </c>
      <c r="I65" s="5">
        <v>40909</v>
      </c>
      <c r="J65" s="5">
        <v>40486</v>
      </c>
      <c r="K65" s="16">
        <f t="shared" si="4"/>
        <v>1042</v>
      </c>
      <c r="L65" s="13">
        <v>7857.16</v>
      </c>
      <c r="M65" s="15">
        <f t="shared" si="0"/>
        <v>192.81877584590507</v>
      </c>
      <c r="N65" s="13">
        <v>3337.92</v>
      </c>
      <c r="O65" s="13">
        <v>155.1</v>
      </c>
      <c r="P65" s="11">
        <f t="shared" si="1"/>
        <v>0</v>
      </c>
    </row>
    <row r="66" spans="1:16" ht="18.75" customHeight="1" thickBot="1" x14ac:dyDescent="0.3">
      <c r="A66" s="3" t="s">
        <v>1</v>
      </c>
      <c r="B66" s="4">
        <v>612463</v>
      </c>
      <c r="C66" s="3" t="s">
        <v>2</v>
      </c>
      <c r="D66" s="18">
        <v>9.1999999999999998E-2</v>
      </c>
      <c r="E66" s="21">
        <f t="shared" si="2"/>
        <v>7.3612011869552685E-3</v>
      </c>
      <c r="F66" s="5">
        <v>36938</v>
      </c>
      <c r="G66" s="5">
        <v>37119</v>
      </c>
      <c r="H66" s="16">
        <f t="shared" si="3"/>
        <v>181</v>
      </c>
      <c r="I66" s="5">
        <v>37303</v>
      </c>
      <c r="J66" s="5">
        <v>37620</v>
      </c>
      <c r="K66" s="16">
        <f t="shared" si="4"/>
        <v>682</v>
      </c>
      <c r="L66" s="13">
        <v>40000</v>
      </c>
      <c r="M66" s="15">
        <f t="shared" ref="M66:M129" si="5">-PMT(E66,(H66/30),L66)</f>
        <v>6802.5159613420092</v>
      </c>
      <c r="N66" s="13">
        <v>20000</v>
      </c>
      <c r="O66" s="13">
        <v>5400</v>
      </c>
      <c r="P66" s="11">
        <f t="shared" ref="P66:P129" si="6">IF((G66)&gt;(ConstantDateCutoff),1,0)</f>
        <v>0</v>
      </c>
    </row>
    <row r="67" spans="1:16" ht="18.75" customHeight="1" thickBot="1" x14ac:dyDescent="0.3">
      <c r="A67" s="3" t="s">
        <v>1</v>
      </c>
      <c r="B67" s="4">
        <v>579811</v>
      </c>
      <c r="C67" s="3" t="s">
        <v>2</v>
      </c>
      <c r="D67" s="18">
        <v>9.1999999999999998E-2</v>
      </c>
      <c r="E67" s="21">
        <f t="shared" ref="E67:E130" si="7">(1+D67)^(1/12)-1</f>
        <v>7.3612011869552685E-3</v>
      </c>
      <c r="F67" s="5">
        <v>36969</v>
      </c>
      <c r="G67" s="5">
        <v>38032</v>
      </c>
      <c r="H67" s="16">
        <f t="shared" ref="H67:H130" si="8">G67-F67</f>
        <v>1063</v>
      </c>
      <c r="I67" s="5">
        <v>38032</v>
      </c>
      <c r="J67" s="5">
        <v>37966</v>
      </c>
      <c r="K67" s="16">
        <f t="shared" ref="K67:K130" si="9">J67-F67</f>
        <v>997</v>
      </c>
      <c r="L67" s="13">
        <v>50891.51</v>
      </c>
      <c r="M67" s="15">
        <f t="shared" si="5"/>
        <v>1636.955881289033</v>
      </c>
      <c r="N67" s="13">
        <v>20829.689999999999</v>
      </c>
      <c r="O67" s="13">
        <v>1050</v>
      </c>
      <c r="P67" s="11">
        <f t="shared" si="6"/>
        <v>0</v>
      </c>
    </row>
    <row r="68" spans="1:16" ht="18.75" customHeight="1" thickBot="1" x14ac:dyDescent="0.3">
      <c r="A68" s="3" t="s">
        <v>1</v>
      </c>
      <c r="B68" s="4">
        <v>265783</v>
      </c>
      <c r="C68" s="3" t="s">
        <v>2</v>
      </c>
      <c r="D68" s="18">
        <v>0.1075</v>
      </c>
      <c r="E68" s="21">
        <f t="shared" si="7"/>
        <v>8.5450710394860963E-3</v>
      </c>
      <c r="F68" s="5">
        <v>37949</v>
      </c>
      <c r="G68" s="5">
        <v>38311</v>
      </c>
      <c r="H68" s="16">
        <f t="shared" si="8"/>
        <v>362</v>
      </c>
      <c r="I68" s="5">
        <v>38696</v>
      </c>
      <c r="J68" s="5">
        <v>38694</v>
      </c>
      <c r="K68" s="16">
        <f t="shared" si="9"/>
        <v>745</v>
      </c>
      <c r="L68" s="13">
        <v>7575</v>
      </c>
      <c r="M68" s="15">
        <f t="shared" si="5"/>
        <v>663.35894703524809</v>
      </c>
      <c r="N68" s="13">
        <v>5021.88</v>
      </c>
      <c r="O68" s="13">
        <v>2500</v>
      </c>
      <c r="P68" s="11">
        <f t="shared" si="6"/>
        <v>0</v>
      </c>
    </row>
    <row r="69" spans="1:16" ht="18.75" customHeight="1" thickBot="1" x14ac:dyDescent="0.3">
      <c r="A69" s="3" t="s">
        <v>1</v>
      </c>
      <c r="B69" s="4">
        <v>651289</v>
      </c>
      <c r="C69" s="3" t="s">
        <v>2</v>
      </c>
      <c r="D69" s="18">
        <v>0.10249999999999999</v>
      </c>
      <c r="E69" s="21">
        <f t="shared" si="7"/>
        <v>8.1648460519010424E-3</v>
      </c>
      <c r="F69" s="5">
        <v>38050</v>
      </c>
      <c r="G69" s="5">
        <v>38780</v>
      </c>
      <c r="H69" s="16">
        <f t="shared" si="8"/>
        <v>730</v>
      </c>
      <c r="I69" s="5">
        <v>38780</v>
      </c>
      <c r="J69" s="5">
        <v>38623</v>
      </c>
      <c r="K69" s="16">
        <f t="shared" si="9"/>
        <v>573</v>
      </c>
      <c r="L69" s="13">
        <v>15857.61</v>
      </c>
      <c r="M69" s="15">
        <f t="shared" si="5"/>
        <v>721.21046860670344</v>
      </c>
      <c r="N69" s="13">
        <v>8133.96</v>
      </c>
      <c r="O69" s="13">
        <v>4027.86</v>
      </c>
      <c r="P69" s="11">
        <f t="shared" si="6"/>
        <v>0</v>
      </c>
    </row>
    <row r="70" spans="1:16" ht="18.75" customHeight="1" thickBot="1" x14ac:dyDescent="0.3">
      <c r="A70" s="3" t="s">
        <v>1</v>
      </c>
      <c r="B70" s="4">
        <v>11709</v>
      </c>
      <c r="C70" s="3" t="s">
        <v>3</v>
      </c>
      <c r="D70" s="18">
        <v>7.0000000000000007E-2</v>
      </c>
      <c r="E70" s="21">
        <f t="shared" si="7"/>
        <v>5.6541453874052738E-3</v>
      </c>
      <c r="F70" s="5">
        <v>39521</v>
      </c>
      <c r="G70" s="5">
        <v>39887</v>
      </c>
      <c r="H70" s="16">
        <f t="shared" si="8"/>
        <v>366</v>
      </c>
      <c r="I70" s="5">
        <v>44926</v>
      </c>
      <c r="J70" s="5">
        <v>42824</v>
      </c>
      <c r="K70" s="16">
        <f t="shared" si="9"/>
        <v>3303</v>
      </c>
      <c r="L70" s="13">
        <v>20200</v>
      </c>
      <c r="M70" s="15">
        <f t="shared" si="5"/>
        <v>1718.1757088746097</v>
      </c>
      <c r="N70" s="13">
        <v>17437.060000000001</v>
      </c>
      <c r="O70" s="13">
        <v>17437.060000000001</v>
      </c>
      <c r="P70" s="11">
        <f t="shared" si="6"/>
        <v>0</v>
      </c>
    </row>
    <row r="71" spans="1:16" ht="18.75" customHeight="1" thickBot="1" x14ac:dyDescent="0.3">
      <c r="A71" s="3" t="s">
        <v>1</v>
      </c>
      <c r="B71" s="4">
        <v>726105</v>
      </c>
      <c r="C71" s="3" t="s">
        <v>2</v>
      </c>
      <c r="D71" s="18">
        <v>0.1</v>
      </c>
      <c r="E71" s="21">
        <f t="shared" si="7"/>
        <v>7.9741404289037643E-3</v>
      </c>
      <c r="F71" s="5">
        <v>39759</v>
      </c>
      <c r="G71" s="5">
        <v>41585</v>
      </c>
      <c r="H71" s="16">
        <f t="shared" si="8"/>
        <v>1826</v>
      </c>
      <c r="I71" s="5">
        <v>41585</v>
      </c>
      <c r="J71" s="5">
        <v>40988</v>
      </c>
      <c r="K71" s="16">
        <f t="shared" si="9"/>
        <v>1229</v>
      </c>
      <c r="L71" s="13">
        <v>25262</v>
      </c>
      <c r="M71" s="15">
        <f t="shared" si="5"/>
        <v>525.49622625075597</v>
      </c>
      <c r="N71" s="13">
        <v>12212.54</v>
      </c>
      <c r="O71" s="13">
        <v>0</v>
      </c>
      <c r="P71" s="11">
        <f t="shared" si="6"/>
        <v>0</v>
      </c>
    </row>
    <row r="72" spans="1:16" ht="18.75" customHeight="1" thickBot="1" x14ac:dyDescent="0.3">
      <c r="A72" s="3" t="s">
        <v>1</v>
      </c>
      <c r="B72" s="4">
        <v>510147</v>
      </c>
      <c r="C72" s="3" t="s">
        <v>4</v>
      </c>
      <c r="D72" s="18">
        <v>9.5000000000000001E-2</v>
      </c>
      <c r="E72" s="21">
        <f t="shared" si="7"/>
        <v>7.5915342905825689E-3</v>
      </c>
      <c r="F72" s="5">
        <v>40211</v>
      </c>
      <c r="G72" s="5">
        <v>42795</v>
      </c>
      <c r="H72" s="16">
        <f t="shared" si="8"/>
        <v>2584</v>
      </c>
      <c r="I72" s="5">
        <v>42795</v>
      </c>
      <c r="J72" s="5">
        <v>41198</v>
      </c>
      <c r="K72" s="16">
        <f t="shared" si="9"/>
        <v>987</v>
      </c>
      <c r="L72" s="13">
        <v>60000</v>
      </c>
      <c r="M72" s="15">
        <f t="shared" si="5"/>
        <v>951.53429271125583</v>
      </c>
      <c r="N72" s="13">
        <v>46410.2</v>
      </c>
      <c r="O72" s="13">
        <v>36.880000000000003</v>
      </c>
      <c r="P72" s="11">
        <f t="shared" si="6"/>
        <v>1</v>
      </c>
    </row>
    <row r="73" spans="1:16" ht="18.75" customHeight="1" thickBot="1" x14ac:dyDescent="0.3">
      <c r="A73" s="3" t="s">
        <v>1</v>
      </c>
      <c r="B73" s="4">
        <v>673830</v>
      </c>
      <c r="C73" s="3" t="s">
        <v>2</v>
      </c>
      <c r="D73" s="18">
        <v>0.10249999999999999</v>
      </c>
      <c r="E73" s="21">
        <f t="shared" si="7"/>
        <v>8.1648460519010424E-3</v>
      </c>
      <c r="F73" s="5">
        <v>41586</v>
      </c>
      <c r="G73" s="5">
        <v>42060</v>
      </c>
      <c r="H73" s="16">
        <f t="shared" si="8"/>
        <v>474</v>
      </c>
      <c r="I73" s="5">
        <v>43388</v>
      </c>
      <c r="J73" s="5">
        <v>42913</v>
      </c>
      <c r="K73" s="16">
        <f t="shared" si="9"/>
        <v>1327</v>
      </c>
      <c r="L73" s="13">
        <v>10000</v>
      </c>
      <c r="M73" s="15">
        <f t="shared" si="5"/>
        <v>677.18988056176113</v>
      </c>
      <c r="N73" s="13">
        <v>8307.68</v>
      </c>
      <c r="O73" s="13">
        <v>0</v>
      </c>
      <c r="P73" s="11">
        <f t="shared" si="6"/>
        <v>1</v>
      </c>
    </row>
    <row r="74" spans="1:16" ht="18.75" customHeight="1" thickBot="1" x14ac:dyDescent="0.3">
      <c r="A74" s="3" t="s">
        <v>1</v>
      </c>
      <c r="B74" s="4">
        <v>552100</v>
      </c>
      <c r="C74" s="3" t="s">
        <v>3</v>
      </c>
      <c r="D74" s="18">
        <v>0.09</v>
      </c>
      <c r="E74" s="21">
        <f t="shared" si="7"/>
        <v>7.2073233161367156E-3</v>
      </c>
      <c r="F74" s="5">
        <v>42851</v>
      </c>
      <c r="G74" s="5">
        <v>43054</v>
      </c>
      <c r="H74" s="16">
        <f t="shared" si="8"/>
        <v>203</v>
      </c>
      <c r="I74" s="5">
        <v>43419</v>
      </c>
      <c r="J74" s="5">
        <v>43228</v>
      </c>
      <c r="K74" s="16">
        <f t="shared" si="9"/>
        <v>377</v>
      </c>
      <c r="L74" s="13">
        <v>60192</v>
      </c>
      <c r="M74" s="15">
        <f t="shared" si="5"/>
        <v>9146.0553156880615</v>
      </c>
      <c r="N74" s="13">
        <v>22356.85</v>
      </c>
      <c r="O74" s="13">
        <v>2441.33</v>
      </c>
      <c r="P74" s="11">
        <f t="shared" si="6"/>
        <v>1</v>
      </c>
    </row>
    <row r="75" spans="1:16" ht="18.75" customHeight="1" thickBot="1" x14ac:dyDescent="0.3">
      <c r="A75" s="3" t="s">
        <v>1</v>
      </c>
      <c r="B75" s="4">
        <v>106452</v>
      </c>
      <c r="C75" s="3" t="s">
        <v>8</v>
      </c>
      <c r="D75" s="18">
        <v>0.09</v>
      </c>
      <c r="E75" s="21">
        <f t="shared" si="7"/>
        <v>7.2073233161367156E-3</v>
      </c>
      <c r="F75" s="5">
        <v>42377</v>
      </c>
      <c r="G75" s="5">
        <v>46032</v>
      </c>
      <c r="H75" s="16">
        <f t="shared" si="8"/>
        <v>3655</v>
      </c>
      <c r="I75" s="5">
        <v>46032</v>
      </c>
      <c r="J75" s="5">
        <v>43455</v>
      </c>
      <c r="K75" s="16">
        <f t="shared" si="9"/>
        <v>1078</v>
      </c>
      <c r="L75" s="13">
        <v>69485</v>
      </c>
      <c r="M75" s="15">
        <f t="shared" si="5"/>
        <v>858.83836298795154</v>
      </c>
      <c r="N75" s="13">
        <v>38000</v>
      </c>
      <c r="O75" s="13">
        <v>0</v>
      </c>
      <c r="P75" s="11">
        <f t="shared" si="6"/>
        <v>1</v>
      </c>
    </row>
    <row r="76" spans="1:16" ht="18.75" hidden="1" customHeight="1" thickBot="1" x14ac:dyDescent="0.3">
      <c r="A76" s="3" t="s">
        <v>1</v>
      </c>
      <c r="B76" s="4">
        <v>712286</v>
      </c>
      <c r="C76" s="3" t="s">
        <v>2</v>
      </c>
      <c r="D76" s="18">
        <v>9.9999999999999995E-8</v>
      </c>
      <c r="E76" s="21">
        <f t="shared" si="7"/>
        <v>8.3333329126134004E-9</v>
      </c>
      <c r="F76" s="5">
        <v>43874</v>
      </c>
      <c r="G76" s="5">
        <v>44243</v>
      </c>
      <c r="H76" s="16">
        <f t="shared" si="8"/>
        <v>369</v>
      </c>
      <c r="I76" s="5">
        <v>47270</v>
      </c>
      <c r="J76" s="5">
        <v>44179</v>
      </c>
      <c r="K76" s="16">
        <f t="shared" si="9"/>
        <v>305</v>
      </c>
      <c r="L76" s="13">
        <v>129249.34</v>
      </c>
      <c r="M76" s="15">
        <f t="shared" si="5"/>
        <v>10508.077005086778</v>
      </c>
      <c r="N76" s="13">
        <v>129249.34</v>
      </c>
      <c r="O76" s="13">
        <v>123269.34</v>
      </c>
      <c r="P76" s="11">
        <f t="shared" si="6"/>
        <v>1</v>
      </c>
    </row>
    <row r="77" spans="1:16" ht="18.75" customHeight="1" thickBot="1" x14ac:dyDescent="0.3">
      <c r="A77" s="3" t="s">
        <v>1</v>
      </c>
      <c r="B77" s="4">
        <v>475887</v>
      </c>
      <c r="C77" s="3" t="s">
        <v>2</v>
      </c>
      <c r="D77" s="18">
        <v>0.10249999999999999</v>
      </c>
      <c r="E77" s="21">
        <f t="shared" si="7"/>
        <v>8.1648460519010424E-3</v>
      </c>
      <c r="F77" s="5">
        <v>39714</v>
      </c>
      <c r="G77" s="5">
        <v>40071</v>
      </c>
      <c r="H77" s="16">
        <f t="shared" si="8"/>
        <v>357</v>
      </c>
      <c r="I77" s="5">
        <v>41197</v>
      </c>
      <c r="J77" s="5">
        <v>41179</v>
      </c>
      <c r="K77" s="16">
        <f t="shared" si="9"/>
        <v>1465</v>
      </c>
      <c r="L77" s="13">
        <v>10100</v>
      </c>
      <c r="M77" s="15">
        <f t="shared" si="5"/>
        <v>894.09707386902835</v>
      </c>
      <c r="N77" s="13">
        <v>7335.28</v>
      </c>
      <c r="O77" s="13">
        <v>1471.92</v>
      </c>
      <c r="P77" s="11">
        <f t="shared" si="6"/>
        <v>0</v>
      </c>
    </row>
    <row r="78" spans="1:16" ht="18.75" customHeight="1" thickBot="1" x14ac:dyDescent="0.3">
      <c r="A78" s="3" t="s">
        <v>1</v>
      </c>
      <c r="B78" s="4">
        <v>257197</v>
      </c>
      <c r="C78" s="3" t="s">
        <v>9</v>
      </c>
      <c r="D78" s="18">
        <v>0.09</v>
      </c>
      <c r="E78" s="21">
        <f t="shared" si="7"/>
        <v>7.2073233161367156E-3</v>
      </c>
      <c r="F78" s="5">
        <v>39959</v>
      </c>
      <c r="G78" s="5">
        <v>42149</v>
      </c>
      <c r="H78" s="16">
        <f t="shared" si="8"/>
        <v>2190</v>
      </c>
      <c r="I78" s="5">
        <v>42180</v>
      </c>
      <c r="J78" s="5">
        <v>40406</v>
      </c>
      <c r="K78" s="16">
        <f t="shared" si="9"/>
        <v>447</v>
      </c>
      <c r="L78" s="13">
        <v>21594</v>
      </c>
      <c r="M78" s="15">
        <f t="shared" si="5"/>
        <v>381.45873455357759</v>
      </c>
      <c r="N78" s="13">
        <v>11503.42</v>
      </c>
      <c r="O78" s="13">
        <v>0</v>
      </c>
      <c r="P78" s="11">
        <f t="shared" si="6"/>
        <v>1</v>
      </c>
    </row>
    <row r="79" spans="1:16" ht="18.75" customHeight="1" thickBot="1" x14ac:dyDescent="0.3">
      <c r="A79" s="3" t="s">
        <v>1</v>
      </c>
      <c r="B79" s="4">
        <v>728375</v>
      </c>
      <c r="C79" s="3" t="s">
        <v>2</v>
      </c>
      <c r="D79" s="18">
        <v>5.2499999999999998E-2</v>
      </c>
      <c r="E79" s="21">
        <f t="shared" si="7"/>
        <v>4.2731277661580691E-3</v>
      </c>
      <c r="F79" s="5">
        <v>40512</v>
      </c>
      <c r="G79" s="5">
        <v>42531</v>
      </c>
      <c r="H79" s="16">
        <f t="shared" si="8"/>
        <v>2019</v>
      </c>
      <c r="I79" s="5">
        <v>42531</v>
      </c>
      <c r="J79" s="5">
        <v>41179</v>
      </c>
      <c r="K79" s="16">
        <f t="shared" si="9"/>
        <v>667</v>
      </c>
      <c r="L79" s="13">
        <v>9680.7800000000007</v>
      </c>
      <c r="M79" s="15">
        <f t="shared" si="5"/>
        <v>165.82379488804688</v>
      </c>
      <c r="N79" s="13">
        <v>8067.28</v>
      </c>
      <c r="O79" s="13">
        <v>0</v>
      </c>
      <c r="P79" s="11">
        <f t="shared" si="6"/>
        <v>1</v>
      </c>
    </row>
    <row r="80" spans="1:16" ht="18.75" customHeight="1" thickBot="1" x14ac:dyDescent="0.3">
      <c r="A80" s="3" t="s">
        <v>1</v>
      </c>
      <c r="B80" s="4">
        <v>236230</v>
      </c>
      <c r="C80" s="3" t="s">
        <v>2</v>
      </c>
      <c r="D80" s="18">
        <v>0.12</v>
      </c>
      <c r="E80" s="21">
        <f t="shared" si="7"/>
        <v>9.4887929345830457E-3</v>
      </c>
      <c r="F80" s="5">
        <v>38981</v>
      </c>
      <c r="G80" s="5">
        <v>39345</v>
      </c>
      <c r="H80" s="16">
        <f t="shared" si="8"/>
        <v>364</v>
      </c>
      <c r="I80" s="5">
        <v>39711</v>
      </c>
      <c r="J80" s="5">
        <v>39897</v>
      </c>
      <c r="K80" s="16">
        <f t="shared" si="9"/>
        <v>916</v>
      </c>
      <c r="L80" s="13">
        <v>10200</v>
      </c>
      <c r="M80" s="15">
        <f t="shared" si="5"/>
        <v>893.95833150882459</v>
      </c>
      <c r="N80" s="13">
        <v>10200</v>
      </c>
      <c r="O80" s="13">
        <v>1253.1600000000001</v>
      </c>
      <c r="P80" s="11">
        <f t="shared" si="6"/>
        <v>0</v>
      </c>
    </row>
    <row r="81" spans="1:16" ht="18.75" customHeight="1" thickBot="1" x14ac:dyDescent="0.3">
      <c r="A81" s="3" t="s">
        <v>1</v>
      </c>
      <c r="B81" s="4">
        <v>195607</v>
      </c>
      <c r="C81" s="3" t="s">
        <v>2</v>
      </c>
      <c r="D81" s="18">
        <v>8.5000000000000006E-2</v>
      </c>
      <c r="E81" s="21">
        <f t="shared" si="7"/>
        <v>6.8214933659622723E-3</v>
      </c>
      <c r="F81" s="5">
        <v>39255</v>
      </c>
      <c r="G81" s="5">
        <v>40351</v>
      </c>
      <c r="H81" s="16">
        <f t="shared" si="8"/>
        <v>1096</v>
      </c>
      <c r="I81" s="5">
        <v>40716</v>
      </c>
      <c r="J81" s="5">
        <v>39625</v>
      </c>
      <c r="K81" s="16">
        <f t="shared" si="9"/>
        <v>370</v>
      </c>
      <c r="L81" s="13">
        <v>5050</v>
      </c>
      <c r="M81" s="15">
        <f t="shared" si="5"/>
        <v>156.63738533548718</v>
      </c>
      <c r="N81" s="13">
        <v>4407.1000000000004</v>
      </c>
      <c r="O81" s="13">
        <v>2851</v>
      </c>
      <c r="P81" s="11">
        <f t="shared" si="6"/>
        <v>0</v>
      </c>
    </row>
    <row r="82" spans="1:16" ht="18.75" customHeight="1" thickBot="1" x14ac:dyDescent="0.3">
      <c r="A82" s="3" t="s">
        <v>1</v>
      </c>
      <c r="B82" s="4">
        <v>885643</v>
      </c>
      <c r="C82" s="3" t="s">
        <v>9</v>
      </c>
      <c r="D82" s="18">
        <v>0.09</v>
      </c>
      <c r="E82" s="21">
        <f t="shared" si="7"/>
        <v>7.2073233161367156E-3</v>
      </c>
      <c r="F82" s="5">
        <v>39842</v>
      </c>
      <c r="G82" s="5">
        <v>41690</v>
      </c>
      <c r="H82" s="16">
        <f t="shared" si="8"/>
        <v>1848</v>
      </c>
      <c r="I82" s="5">
        <v>41810</v>
      </c>
      <c r="J82" s="5">
        <v>40883</v>
      </c>
      <c r="K82" s="16">
        <f t="shared" si="9"/>
        <v>1041</v>
      </c>
      <c r="L82" s="13">
        <v>28299.63</v>
      </c>
      <c r="M82" s="15">
        <f t="shared" si="5"/>
        <v>570.54016819651054</v>
      </c>
      <c r="N82" s="13">
        <v>12278.43</v>
      </c>
      <c r="O82" s="13">
        <v>0</v>
      </c>
      <c r="P82" s="11">
        <f t="shared" si="6"/>
        <v>0</v>
      </c>
    </row>
    <row r="83" spans="1:16" ht="18.75" customHeight="1" thickBot="1" x14ac:dyDescent="0.3">
      <c r="A83" s="3" t="s">
        <v>1</v>
      </c>
      <c r="B83" s="4">
        <v>884393</v>
      </c>
      <c r="C83" s="3" t="s">
        <v>2</v>
      </c>
      <c r="D83" s="18">
        <v>0.14000000000000001</v>
      </c>
      <c r="E83" s="21">
        <f t="shared" si="7"/>
        <v>1.0978851950173452E-2</v>
      </c>
      <c r="F83" s="5">
        <v>31821</v>
      </c>
      <c r="G83" s="5">
        <v>32552</v>
      </c>
      <c r="H83" s="16">
        <f t="shared" si="8"/>
        <v>731</v>
      </c>
      <c r="I83" s="5">
        <v>32552</v>
      </c>
      <c r="J83" s="5">
        <v>37099</v>
      </c>
      <c r="K83" s="16">
        <f t="shared" si="9"/>
        <v>5278</v>
      </c>
      <c r="L83" s="13">
        <v>2240.27</v>
      </c>
      <c r="M83" s="15">
        <f t="shared" si="5"/>
        <v>105.28620399766042</v>
      </c>
      <c r="N83" s="13">
        <v>2240.27</v>
      </c>
      <c r="O83" s="13">
        <v>0</v>
      </c>
      <c r="P83" s="11">
        <f t="shared" si="6"/>
        <v>0</v>
      </c>
    </row>
    <row r="84" spans="1:16" ht="18.75" customHeight="1" thickBot="1" x14ac:dyDescent="0.3">
      <c r="A84" s="3" t="s">
        <v>1</v>
      </c>
      <c r="B84" s="4">
        <v>455929</v>
      </c>
      <c r="C84" s="3" t="s">
        <v>2</v>
      </c>
      <c r="D84" s="18">
        <v>0.13</v>
      </c>
      <c r="E84" s="21">
        <f t="shared" si="7"/>
        <v>1.02368443581764E-2</v>
      </c>
      <c r="F84" s="5">
        <v>31923</v>
      </c>
      <c r="G84" s="5">
        <v>32289</v>
      </c>
      <c r="H84" s="16">
        <f t="shared" si="8"/>
        <v>366</v>
      </c>
      <c r="I84" s="5">
        <v>32289</v>
      </c>
      <c r="J84" s="5">
        <v>33081</v>
      </c>
      <c r="K84" s="16">
        <f t="shared" si="9"/>
        <v>1158</v>
      </c>
      <c r="L84" s="13">
        <v>45731.17</v>
      </c>
      <c r="M84" s="15">
        <f t="shared" si="5"/>
        <v>4006.5277691133051</v>
      </c>
      <c r="N84" s="13">
        <v>45731.17</v>
      </c>
      <c r="O84" s="13">
        <v>0</v>
      </c>
      <c r="P84" s="11">
        <f t="shared" si="6"/>
        <v>0</v>
      </c>
    </row>
    <row r="85" spans="1:16" ht="18.75" hidden="1" customHeight="1" thickBot="1" x14ac:dyDescent="0.3">
      <c r="A85" s="3" t="s">
        <v>1</v>
      </c>
      <c r="B85" s="4">
        <v>760136</v>
      </c>
      <c r="C85" s="3" t="s">
        <v>2</v>
      </c>
      <c r="D85" s="18">
        <v>0.12</v>
      </c>
      <c r="E85" s="21">
        <f t="shared" si="7"/>
        <v>9.4887929345830457E-3</v>
      </c>
      <c r="F85" s="5">
        <v>31989</v>
      </c>
      <c r="G85" s="5">
        <v>32355</v>
      </c>
      <c r="H85" s="16">
        <f t="shared" si="8"/>
        <v>366</v>
      </c>
      <c r="I85" s="5">
        <v>32355</v>
      </c>
      <c r="J85" s="2"/>
      <c r="K85" s="16">
        <f t="shared" si="9"/>
        <v>-31989</v>
      </c>
      <c r="L85" s="13">
        <v>62053.94</v>
      </c>
      <c r="M85" s="15">
        <f t="shared" si="5"/>
        <v>5410.5431295212938</v>
      </c>
      <c r="N85" s="13">
        <v>62053.94</v>
      </c>
      <c r="O85" s="13">
        <v>0</v>
      </c>
      <c r="P85" s="11">
        <f t="shared" si="6"/>
        <v>0</v>
      </c>
    </row>
    <row r="86" spans="1:16" ht="18.75" customHeight="1" thickBot="1" x14ac:dyDescent="0.3">
      <c r="A86" s="3" t="s">
        <v>1</v>
      </c>
      <c r="B86" s="4">
        <v>548903</v>
      </c>
      <c r="C86" s="3" t="s">
        <v>2</v>
      </c>
      <c r="D86" s="18">
        <v>0.12</v>
      </c>
      <c r="E86" s="21">
        <f t="shared" si="7"/>
        <v>9.4887929345830457E-3</v>
      </c>
      <c r="F86" s="5">
        <v>32890</v>
      </c>
      <c r="G86" s="5">
        <v>33255</v>
      </c>
      <c r="H86" s="16">
        <f t="shared" si="8"/>
        <v>365</v>
      </c>
      <c r="I86" s="5">
        <v>33255</v>
      </c>
      <c r="J86" s="5">
        <v>34302</v>
      </c>
      <c r="K86" s="16">
        <f t="shared" si="9"/>
        <v>1412</v>
      </c>
      <c r="L86" s="13">
        <v>44500</v>
      </c>
      <c r="M86" s="15">
        <f t="shared" si="5"/>
        <v>3890.0276300013797</v>
      </c>
      <c r="N86" s="13">
        <v>5730.1</v>
      </c>
      <c r="O86" s="13">
        <v>0</v>
      </c>
      <c r="P86" s="11">
        <f t="shared" si="6"/>
        <v>0</v>
      </c>
    </row>
    <row r="87" spans="1:16" ht="18.75" customHeight="1" thickBot="1" x14ac:dyDescent="0.3">
      <c r="A87" s="3" t="s">
        <v>1</v>
      </c>
      <c r="B87" s="4">
        <v>508681</v>
      </c>
      <c r="C87" s="3" t="s">
        <v>2</v>
      </c>
      <c r="D87" s="18">
        <v>0.13</v>
      </c>
      <c r="E87" s="21">
        <f t="shared" si="7"/>
        <v>1.02368443581764E-2</v>
      </c>
      <c r="F87" s="5">
        <v>33414</v>
      </c>
      <c r="G87" s="5">
        <v>34875</v>
      </c>
      <c r="H87" s="16">
        <f t="shared" si="8"/>
        <v>1461</v>
      </c>
      <c r="I87" s="5">
        <v>34875</v>
      </c>
      <c r="J87" s="5">
        <v>33835</v>
      </c>
      <c r="K87" s="16">
        <f t="shared" si="9"/>
        <v>421</v>
      </c>
      <c r="L87" s="13">
        <v>11900</v>
      </c>
      <c r="M87" s="15">
        <f t="shared" si="5"/>
        <v>311.52562252976992</v>
      </c>
      <c r="N87" s="13">
        <v>9014.76</v>
      </c>
      <c r="O87" s="13">
        <v>0</v>
      </c>
      <c r="P87" s="11">
        <f t="shared" si="6"/>
        <v>0</v>
      </c>
    </row>
    <row r="88" spans="1:16" ht="18.75" customHeight="1" thickBot="1" x14ac:dyDescent="0.3">
      <c r="A88" s="3" t="s">
        <v>1</v>
      </c>
      <c r="B88" s="4">
        <v>283790</v>
      </c>
      <c r="C88" s="3" t="s">
        <v>2</v>
      </c>
      <c r="D88" s="18">
        <v>0.11</v>
      </c>
      <c r="E88" s="21">
        <f t="shared" si="7"/>
        <v>8.7345938235519061E-3</v>
      </c>
      <c r="F88" s="5">
        <v>33582</v>
      </c>
      <c r="G88" s="5">
        <v>33908</v>
      </c>
      <c r="H88" s="16">
        <f t="shared" si="8"/>
        <v>326</v>
      </c>
      <c r="I88" s="5">
        <v>33908</v>
      </c>
      <c r="J88" s="5">
        <v>34249</v>
      </c>
      <c r="K88" s="16">
        <f t="shared" si="9"/>
        <v>667</v>
      </c>
      <c r="L88" s="13">
        <v>60823.39</v>
      </c>
      <c r="M88" s="15">
        <f t="shared" si="5"/>
        <v>5891.4709566110287</v>
      </c>
      <c r="N88" s="13">
        <v>32000</v>
      </c>
      <c r="O88" s="13">
        <v>0</v>
      </c>
      <c r="P88" s="11">
        <f t="shared" si="6"/>
        <v>0</v>
      </c>
    </row>
    <row r="89" spans="1:16" ht="18.75" customHeight="1" thickBot="1" x14ac:dyDescent="0.3">
      <c r="A89" s="3" t="s">
        <v>1</v>
      </c>
      <c r="B89" s="4">
        <v>336025</v>
      </c>
      <c r="C89" s="3" t="s">
        <v>2</v>
      </c>
      <c r="D89" s="18">
        <v>0.13</v>
      </c>
      <c r="E89" s="21">
        <f t="shared" si="7"/>
        <v>1.02368443581764E-2</v>
      </c>
      <c r="F89" s="5">
        <v>33742</v>
      </c>
      <c r="G89" s="5">
        <v>34107</v>
      </c>
      <c r="H89" s="16">
        <f t="shared" si="8"/>
        <v>365</v>
      </c>
      <c r="I89" s="5">
        <v>34107</v>
      </c>
      <c r="J89" s="5">
        <v>33835</v>
      </c>
      <c r="K89" s="16">
        <f t="shared" si="9"/>
        <v>93</v>
      </c>
      <c r="L89" s="13">
        <v>2500</v>
      </c>
      <c r="M89" s="15">
        <f t="shared" si="5"/>
        <v>219.58965595396828</v>
      </c>
      <c r="N89" s="13">
        <v>2136.23</v>
      </c>
      <c r="O89" s="13">
        <v>0</v>
      </c>
      <c r="P89" s="11">
        <f t="shared" si="6"/>
        <v>0</v>
      </c>
    </row>
    <row r="90" spans="1:16" ht="18.75" customHeight="1" thickBot="1" x14ac:dyDescent="0.3">
      <c r="A90" s="3" t="s">
        <v>1</v>
      </c>
      <c r="B90" s="4">
        <v>226383</v>
      </c>
      <c r="C90" s="3" t="s">
        <v>2</v>
      </c>
      <c r="D90" s="18">
        <v>0.12</v>
      </c>
      <c r="E90" s="21">
        <f t="shared" si="7"/>
        <v>9.4887929345830457E-3</v>
      </c>
      <c r="F90" s="5">
        <v>34241</v>
      </c>
      <c r="G90" s="5">
        <v>35153</v>
      </c>
      <c r="H90" s="16">
        <f t="shared" si="8"/>
        <v>912</v>
      </c>
      <c r="I90" s="5">
        <v>35153</v>
      </c>
      <c r="J90" s="5">
        <v>37447</v>
      </c>
      <c r="K90" s="16">
        <f t="shared" si="9"/>
        <v>3206</v>
      </c>
      <c r="L90" s="13">
        <v>6694.96</v>
      </c>
      <c r="M90" s="15">
        <f t="shared" si="5"/>
        <v>254.55349899254651</v>
      </c>
      <c r="N90" s="13">
        <v>2709.17</v>
      </c>
      <c r="O90" s="13">
        <v>0</v>
      </c>
      <c r="P90" s="11">
        <f t="shared" si="6"/>
        <v>0</v>
      </c>
    </row>
    <row r="91" spans="1:16" ht="18.75" customHeight="1" thickBot="1" x14ac:dyDescent="0.3">
      <c r="A91" s="3" t="s">
        <v>1</v>
      </c>
      <c r="B91" s="4">
        <v>289095</v>
      </c>
      <c r="C91" s="3" t="s">
        <v>2</v>
      </c>
      <c r="D91" s="18">
        <v>0.11</v>
      </c>
      <c r="E91" s="21">
        <f t="shared" si="7"/>
        <v>8.7345938235519061E-3</v>
      </c>
      <c r="F91" s="5">
        <v>34451</v>
      </c>
      <c r="G91" s="5">
        <v>35182</v>
      </c>
      <c r="H91" s="16">
        <f t="shared" si="8"/>
        <v>731</v>
      </c>
      <c r="I91" s="5">
        <v>35182</v>
      </c>
      <c r="J91" s="5">
        <v>34633</v>
      </c>
      <c r="K91" s="16">
        <f t="shared" si="9"/>
        <v>182</v>
      </c>
      <c r="L91" s="13">
        <v>18700.88</v>
      </c>
      <c r="M91" s="15">
        <f t="shared" si="5"/>
        <v>855.3795734043947</v>
      </c>
      <c r="N91" s="13">
        <v>16042.35</v>
      </c>
      <c r="O91" s="13">
        <v>0</v>
      </c>
      <c r="P91" s="11">
        <f t="shared" si="6"/>
        <v>0</v>
      </c>
    </row>
    <row r="92" spans="1:16" ht="18.75" customHeight="1" thickBot="1" x14ac:dyDescent="0.3">
      <c r="A92" s="3" t="s">
        <v>1</v>
      </c>
      <c r="B92" s="4">
        <v>867466</v>
      </c>
      <c r="C92" s="3" t="s">
        <v>2</v>
      </c>
      <c r="D92" s="18">
        <v>0.1</v>
      </c>
      <c r="E92" s="21">
        <f t="shared" si="7"/>
        <v>7.9741404289037643E-3</v>
      </c>
      <c r="F92" s="5">
        <v>34767</v>
      </c>
      <c r="G92" s="5">
        <v>35073</v>
      </c>
      <c r="H92" s="16">
        <f t="shared" si="8"/>
        <v>306</v>
      </c>
      <c r="I92" s="5">
        <v>35073</v>
      </c>
      <c r="J92" s="5">
        <v>35709</v>
      </c>
      <c r="K92" s="16">
        <f t="shared" si="9"/>
        <v>942</v>
      </c>
      <c r="L92" s="13">
        <v>50000</v>
      </c>
      <c r="M92" s="15">
        <f t="shared" si="5"/>
        <v>5123.524316493581</v>
      </c>
      <c r="N92" s="13">
        <v>34850</v>
      </c>
      <c r="O92" s="13">
        <v>0</v>
      </c>
      <c r="P92" s="11">
        <f t="shared" si="6"/>
        <v>0</v>
      </c>
    </row>
    <row r="93" spans="1:16" ht="18.75" customHeight="1" thickBot="1" x14ac:dyDescent="0.3">
      <c r="A93" s="3" t="s">
        <v>1</v>
      </c>
      <c r="B93" s="4">
        <v>571076</v>
      </c>
      <c r="C93" s="3" t="s">
        <v>2</v>
      </c>
      <c r="D93" s="18">
        <v>0.1</v>
      </c>
      <c r="E93" s="21">
        <f t="shared" si="7"/>
        <v>7.9741404289037643E-3</v>
      </c>
      <c r="F93" s="5">
        <v>34841</v>
      </c>
      <c r="G93" s="5">
        <v>35025</v>
      </c>
      <c r="H93" s="16">
        <f t="shared" si="8"/>
        <v>184</v>
      </c>
      <c r="I93" s="5">
        <v>35025</v>
      </c>
      <c r="J93" s="5">
        <v>37447</v>
      </c>
      <c r="K93" s="16">
        <f t="shared" si="9"/>
        <v>2606</v>
      </c>
      <c r="L93" s="13">
        <v>12500</v>
      </c>
      <c r="M93" s="15">
        <f t="shared" si="5"/>
        <v>2096.401544371774</v>
      </c>
      <c r="N93" s="13">
        <v>500</v>
      </c>
      <c r="O93" s="13">
        <v>0</v>
      </c>
      <c r="P93" s="11">
        <f t="shared" si="6"/>
        <v>0</v>
      </c>
    </row>
    <row r="94" spans="1:16" ht="18.75" customHeight="1" thickBot="1" x14ac:dyDescent="0.3">
      <c r="A94" s="3" t="s">
        <v>1</v>
      </c>
      <c r="B94" s="4">
        <v>479641</v>
      </c>
      <c r="C94" s="3" t="s">
        <v>2</v>
      </c>
      <c r="D94" s="18">
        <v>0.1</v>
      </c>
      <c r="E94" s="21">
        <f t="shared" si="7"/>
        <v>7.9741404289037643E-3</v>
      </c>
      <c r="F94" s="5">
        <v>34932</v>
      </c>
      <c r="G94" s="5">
        <v>35116</v>
      </c>
      <c r="H94" s="16">
        <f t="shared" si="8"/>
        <v>184</v>
      </c>
      <c r="I94" s="5">
        <v>35116</v>
      </c>
      <c r="J94" s="5">
        <v>37447</v>
      </c>
      <c r="K94" s="16">
        <f t="shared" si="9"/>
        <v>2515</v>
      </c>
      <c r="L94" s="13">
        <v>19788.77</v>
      </c>
      <c r="M94" s="15">
        <f t="shared" si="5"/>
        <v>3318.8166391374266</v>
      </c>
      <c r="N94" s="13">
        <v>14493.29</v>
      </c>
      <c r="O94" s="13">
        <v>0</v>
      </c>
      <c r="P94" s="11">
        <f t="shared" si="6"/>
        <v>0</v>
      </c>
    </row>
    <row r="95" spans="1:16" ht="18.75" hidden="1" customHeight="1" thickBot="1" x14ac:dyDescent="0.3">
      <c r="A95" s="3" t="s">
        <v>1</v>
      </c>
      <c r="B95" s="4">
        <v>982974</v>
      </c>
      <c r="C95" s="3" t="s">
        <v>2</v>
      </c>
      <c r="D95" s="18">
        <v>9.5000000000000001E-2</v>
      </c>
      <c r="E95" s="21">
        <f t="shared" si="7"/>
        <v>7.5915342905825689E-3</v>
      </c>
      <c r="F95" s="5">
        <v>34932</v>
      </c>
      <c r="G95" s="5">
        <v>35116</v>
      </c>
      <c r="H95" s="16">
        <f t="shared" si="8"/>
        <v>184</v>
      </c>
      <c r="I95" s="5">
        <v>35116</v>
      </c>
      <c r="J95" s="2"/>
      <c r="K95" s="16">
        <f t="shared" si="9"/>
        <v>-34932</v>
      </c>
      <c r="L95" s="13">
        <v>20000</v>
      </c>
      <c r="M95" s="15">
        <f t="shared" si="5"/>
        <v>3349.7336830867721</v>
      </c>
      <c r="N95" s="13">
        <v>20000</v>
      </c>
      <c r="O95" s="13">
        <v>0</v>
      </c>
      <c r="P95" s="11">
        <f t="shared" si="6"/>
        <v>0</v>
      </c>
    </row>
    <row r="96" spans="1:16" ht="18.75" customHeight="1" thickBot="1" x14ac:dyDescent="0.3">
      <c r="A96" s="3" t="s">
        <v>1</v>
      </c>
      <c r="B96" s="4">
        <v>268668</v>
      </c>
      <c r="C96" s="3" t="s">
        <v>2</v>
      </c>
      <c r="D96" s="18">
        <v>0.1</v>
      </c>
      <c r="E96" s="21">
        <f t="shared" si="7"/>
        <v>7.9741404289037643E-3</v>
      </c>
      <c r="F96" s="5">
        <v>35081</v>
      </c>
      <c r="G96" s="5">
        <v>36786</v>
      </c>
      <c r="H96" s="16">
        <f t="shared" si="8"/>
        <v>1705</v>
      </c>
      <c r="I96" s="5">
        <v>36786</v>
      </c>
      <c r="J96" s="5">
        <v>35405</v>
      </c>
      <c r="K96" s="16">
        <f t="shared" si="9"/>
        <v>324</v>
      </c>
      <c r="L96" s="13">
        <v>21156.53</v>
      </c>
      <c r="M96" s="15">
        <f t="shared" si="5"/>
        <v>464.4151470541309</v>
      </c>
      <c r="N96" s="13">
        <v>21156.53</v>
      </c>
      <c r="O96" s="13">
        <v>0</v>
      </c>
      <c r="P96" s="11">
        <f t="shared" si="6"/>
        <v>0</v>
      </c>
    </row>
    <row r="97" spans="1:16" ht="18.75" customHeight="1" thickBot="1" x14ac:dyDescent="0.3">
      <c r="A97" s="3" t="s">
        <v>1</v>
      </c>
      <c r="B97" s="4">
        <v>972802</v>
      </c>
      <c r="C97" s="3" t="s">
        <v>2</v>
      </c>
      <c r="D97" s="18">
        <v>0.1</v>
      </c>
      <c r="E97" s="21">
        <f t="shared" si="7"/>
        <v>7.9741404289037643E-3</v>
      </c>
      <c r="F97" s="5">
        <v>35741</v>
      </c>
      <c r="G97" s="5">
        <v>36100</v>
      </c>
      <c r="H97" s="16">
        <f t="shared" si="8"/>
        <v>359</v>
      </c>
      <c r="I97" s="5">
        <v>36100</v>
      </c>
      <c r="J97" s="5">
        <v>37691</v>
      </c>
      <c r="K97" s="16">
        <f t="shared" si="9"/>
        <v>1950</v>
      </c>
      <c r="L97" s="13">
        <v>6258.4</v>
      </c>
      <c r="M97" s="15">
        <f t="shared" si="5"/>
        <v>550.41638811762255</v>
      </c>
      <c r="N97" s="13">
        <v>6258.4</v>
      </c>
      <c r="O97" s="13">
        <v>0</v>
      </c>
      <c r="P97" s="11">
        <f t="shared" si="6"/>
        <v>0</v>
      </c>
    </row>
    <row r="98" spans="1:16" ht="18.75" customHeight="1" thickBot="1" x14ac:dyDescent="0.3">
      <c r="A98" s="3" t="s">
        <v>1</v>
      </c>
      <c r="B98" s="4">
        <v>500050</v>
      </c>
      <c r="C98" s="3" t="s">
        <v>2</v>
      </c>
      <c r="D98" s="18">
        <v>0.105</v>
      </c>
      <c r="E98" s="21">
        <f t="shared" si="7"/>
        <v>8.355155683635207E-3</v>
      </c>
      <c r="F98" s="5">
        <v>36175</v>
      </c>
      <c r="G98" s="5">
        <v>37848</v>
      </c>
      <c r="H98" s="16">
        <f t="shared" si="8"/>
        <v>1673</v>
      </c>
      <c r="I98" s="5">
        <v>37848</v>
      </c>
      <c r="J98" s="5">
        <v>41339</v>
      </c>
      <c r="K98" s="16">
        <f t="shared" si="9"/>
        <v>5164</v>
      </c>
      <c r="L98" s="13">
        <v>1580.02</v>
      </c>
      <c r="M98" s="15">
        <f t="shared" si="5"/>
        <v>35.560182445550787</v>
      </c>
      <c r="N98" s="13">
        <v>1580.02</v>
      </c>
      <c r="O98" s="13">
        <v>0</v>
      </c>
      <c r="P98" s="11">
        <f t="shared" si="6"/>
        <v>0</v>
      </c>
    </row>
    <row r="99" spans="1:16" ht="18.75" customHeight="1" thickBot="1" x14ac:dyDescent="0.3">
      <c r="A99" s="3" t="s">
        <v>1</v>
      </c>
      <c r="B99" s="4">
        <v>122125</v>
      </c>
      <c r="C99" s="3" t="s">
        <v>2</v>
      </c>
      <c r="D99" s="18">
        <v>0.11</v>
      </c>
      <c r="E99" s="21">
        <f t="shared" si="7"/>
        <v>8.7345938235519061E-3</v>
      </c>
      <c r="F99" s="5">
        <v>36201</v>
      </c>
      <c r="G99" s="5">
        <v>36932</v>
      </c>
      <c r="H99" s="16">
        <f t="shared" si="8"/>
        <v>731</v>
      </c>
      <c r="I99" s="5">
        <v>36932</v>
      </c>
      <c r="J99" s="5">
        <v>37215</v>
      </c>
      <c r="K99" s="16">
        <f t="shared" si="9"/>
        <v>1014</v>
      </c>
      <c r="L99" s="13">
        <v>1765.73</v>
      </c>
      <c r="M99" s="15">
        <f t="shared" si="5"/>
        <v>80.76461504203769</v>
      </c>
      <c r="N99" s="13">
        <v>1765.73</v>
      </c>
      <c r="O99" s="13">
        <v>0</v>
      </c>
      <c r="P99" s="11">
        <f t="shared" si="6"/>
        <v>0</v>
      </c>
    </row>
    <row r="100" spans="1:16" ht="18.75" customHeight="1" thickBot="1" x14ac:dyDescent="0.3">
      <c r="A100" s="3" t="s">
        <v>1</v>
      </c>
      <c r="B100" s="4">
        <v>222123</v>
      </c>
      <c r="C100" s="3" t="s">
        <v>2</v>
      </c>
      <c r="D100" s="18">
        <v>0.11</v>
      </c>
      <c r="E100" s="21">
        <f t="shared" si="7"/>
        <v>8.7345938235519061E-3</v>
      </c>
      <c r="F100" s="5">
        <v>36511</v>
      </c>
      <c r="G100" s="5">
        <v>37622</v>
      </c>
      <c r="H100" s="16">
        <f t="shared" si="8"/>
        <v>1111</v>
      </c>
      <c r="I100" s="5">
        <v>37622</v>
      </c>
      <c r="J100" s="5">
        <v>37743</v>
      </c>
      <c r="K100" s="16">
        <f t="shared" si="9"/>
        <v>1232</v>
      </c>
      <c r="L100" s="13">
        <v>4513.49</v>
      </c>
      <c r="M100" s="15">
        <f t="shared" si="5"/>
        <v>143.17592567543971</v>
      </c>
      <c r="N100" s="13">
        <v>4513.49</v>
      </c>
      <c r="O100" s="13">
        <v>0</v>
      </c>
      <c r="P100" s="11">
        <f t="shared" si="6"/>
        <v>0</v>
      </c>
    </row>
    <row r="101" spans="1:16" ht="18.75" customHeight="1" thickBot="1" x14ac:dyDescent="0.3">
      <c r="A101" s="3" t="s">
        <v>1</v>
      </c>
      <c r="B101" s="4">
        <v>595480</v>
      </c>
      <c r="C101" s="3" t="s">
        <v>2</v>
      </c>
      <c r="D101" s="18">
        <v>0.1</v>
      </c>
      <c r="E101" s="21">
        <f t="shared" si="7"/>
        <v>7.9741404289037643E-3</v>
      </c>
      <c r="F101" s="5">
        <v>36606</v>
      </c>
      <c r="G101" s="5">
        <v>36971</v>
      </c>
      <c r="H101" s="16">
        <f t="shared" si="8"/>
        <v>365</v>
      </c>
      <c r="I101" s="5">
        <v>36971</v>
      </c>
      <c r="J101" s="5">
        <v>37645</v>
      </c>
      <c r="K101" s="16">
        <f t="shared" si="9"/>
        <v>1039</v>
      </c>
      <c r="L101" s="13">
        <v>10000</v>
      </c>
      <c r="M101" s="15">
        <f t="shared" si="5"/>
        <v>865.70326025556949</v>
      </c>
      <c r="N101" s="13">
        <v>9995.58</v>
      </c>
      <c r="O101" s="13">
        <v>0</v>
      </c>
      <c r="P101" s="11">
        <f t="shared" si="6"/>
        <v>0</v>
      </c>
    </row>
    <row r="102" spans="1:16" ht="18.75" customHeight="1" thickBot="1" x14ac:dyDescent="0.3">
      <c r="A102" s="3" t="s">
        <v>1</v>
      </c>
      <c r="B102" s="4">
        <v>382635</v>
      </c>
      <c r="C102" s="3" t="s">
        <v>2</v>
      </c>
      <c r="D102" s="18">
        <v>0.1075</v>
      </c>
      <c r="E102" s="21">
        <f t="shared" si="7"/>
        <v>8.5450710394860963E-3</v>
      </c>
      <c r="F102" s="5">
        <v>36761</v>
      </c>
      <c r="G102" s="5">
        <v>38799</v>
      </c>
      <c r="H102" s="16">
        <f t="shared" si="8"/>
        <v>2038</v>
      </c>
      <c r="I102" s="5">
        <v>38799</v>
      </c>
      <c r="J102" s="5">
        <v>38237</v>
      </c>
      <c r="K102" s="16">
        <f t="shared" si="9"/>
        <v>1476</v>
      </c>
      <c r="L102" s="13">
        <v>89229.75</v>
      </c>
      <c r="M102" s="15">
        <f t="shared" si="5"/>
        <v>1736.8559831616053</v>
      </c>
      <c r="N102" s="13">
        <v>89229.75</v>
      </c>
      <c r="O102" s="13">
        <v>0</v>
      </c>
      <c r="P102" s="11">
        <f t="shared" si="6"/>
        <v>0</v>
      </c>
    </row>
    <row r="103" spans="1:16" ht="18.75" hidden="1" customHeight="1" thickBot="1" x14ac:dyDescent="0.3">
      <c r="A103" s="3" t="s">
        <v>1</v>
      </c>
      <c r="B103" s="4">
        <v>929784</v>
      </c>
      <c r="C103" s="3" t="s">
        <v>2</v>
      </c>
      <c r="D103" s="18">
        <v>0.1</v>
      </c>
      <c r="E103" s="21">
        <f t="shared" si="7"/>
        <v>7.9741404289037643E-3</v>
      </c>
      <c r="F103" s="5">
        <v>36824</v>
      </c>
      <c r="G103" s="5">
        <v>37189</v>
      </c>
      <c r="H103" s="16">
        <f t="shared" si="8"/>
        <v>365</v>
      </c>
      <c r="I103" s="5">
        <v>37189</v>
      </c>
      <c r="J103" s="2"/>
      <c r="K103" s="16">
        <f t="shared" si="9"/>
        <v>-36824</v>
      </c>
      <c r="L103" s="13">
        <v>26530.41</v>
      </c>
      <c r="M103" s="15">
        <f t="shared" si="5"/>
        <v>2296.7462432916964</v>
      </c>
      <c r="N103" s="13">
        <v>26530.41</v>
      </c>
      <c r="O103" s="13">
        <v>0</v>
      </c>
      <c r="P103" s="11">
        <f t="shared" si="6"/>
        <v>0</v>
      </c>
    </row>
    <row r="104" spans="1:16" ht="18.75" customHeight="1" thickBot="1" x14ac:dyDescent="0.3">
      <c r="A104" s="3" t="s">
        <v>1</v>
      </c>
      <c r="B104" s="4">
        <v>405214</v>
      </c>
      <c r="C104" s="3" t="s">
        <v>2</v>
      </c>
      <c r="D104" s="18">
        <v>0.14000000000000001</v>
      </c>
      <c r="E104" s="21">
        <f t="shared" si="7"/>
        <v>1.0978851950173452E-2</v>
      </c>
      <c r="F104" s="5">
        <v>36844</v>
      </c>
      <c r="G104" s="5">
        <v>36960</v>
      </c>
      <c r="H104" s="16">
        <f t="shared" si="8"/>
        <v>116</v>
      </c>
      <c r="I104" s="5">
        <v>36960</v>
      </c>
      <c r="J104" s="5">
        <v>37802</v>
      </c>
      <c r="K104" s="16">
        <f t="shared" si="9"/>
        <v>958</v>
      </c>
      <c r="L104" s="13">
        <v>2000</v>
      </c>
      <c r="M104" s="15">
        <f t="shared" si="5"/>
        <v>531.1316749897702</v>
      </c>
      <c r="N104" s="13">
        <v>2000</v>
      </c>
      <c r="O104" s="13">
        <v>0</v>
      </c>
      <c r="P104" s="11">
        <f t="shared" si="6"/>
        <v>0</v>
      </c>
    </row>
    <row r="105" spans="1:16" ht="18.75" hidden="1" customHeight="1" thickBot="1" x14ac:dyDescent="0.3">
      <c r="A105" s="3" t="s">
        <v>1</v>
      </c>
      <c r="B105" s="4">
        <v>869325</v>
      </c>
      <c r="C105" s="3" t="s">
        <v>2</v>
      </c>
      <c r="D105" s="18">
        <v>0.1</v>
      </c>
      <c r="E105" s="21">
        <f t="shared" si="7"/>
        <v>7.9741404289037643E-3</v>
      </c>
      <c r="F105" s="5">
        <v>36878</v>
      </c>
      <c r="G105" s="5">
        <v>37243</v>
      </c>
      <c r="H105" s="16">
        <f t="shared" si="8"/>
        <v>365</v>
      </c>
      <c r="I105" s="5">
        <v>37243</v>
      </c>
      <c r="J105" s="2"/>
      <c r="K105" s="16">
        <f t="shared" si="9"/>
        <v>-36878</v>
      </c>
      <c r="L105" s="13">
        <v>19924.66</v>
      </c>
      <c r="M105" s="15">
        <f t="shared" si="5"/>
        <v>1724.8843121483735</v>
      </c>
      <c r="N105" s="13">
        <v>19924.66</v>
      </c>
      <c r="O105" s="13">
        <v>0</v>
      </c>
      <c r="P105" s="11">
        <f t="shared" si="6"/>
        <v>0</v>
      </c>
    </row>
    <row r="106" spans="1:16" ht="18.75" customHeight="1" thickBot="1" x14ac:dyDescent="0.3">
      <c r="A106" s="3" t="s">
        <v>1</v>
      </c>
      <c r="B106" s="4">
        <v>70120</v>
      </c>
      <c r="C106" s="3" t="s">
        <v>2</v>
      </c>
      <c r="D106" s="18">
        <v>0.1</v>
      </c>
      <c r="E106" s="21">
        <f t="shared" si="7"/>
        <v>7.9741404289037643E-3</v>
      </c>
      <c r="F106" s="5">
        <v>36948</v>
      </c>
      <c r="G106" s="5">
        <v>37243</v>
      </c>
      <c r="H106" s="16">
        <f t="shared" si="8"/>
        <v>295</v>
      </c>
      <c r="I106" s="5">
        <v>37243</v>
      </c>
      <c r="J106" s="5">
        <v>37889</v>
      </c>
      <c r="K106" s="16">
        <f t="shared" si="9"/>
        <v>941</v>
      </c>
      <c r="L106" s="13">
        <v>9043.41</v>
      </c>
      <c r="M106" s="15">
        <f t="shared" si="5"/>
        <v>959.85675330376796</v>
      </c>
      <c r="N106" s="13">
        <v>9043.41</v>
      </c>
      <c r="O106" s="13">
        <v>0</v>
      </c>
      <c r="P106" s="11">
        <f t="shared" si="6"/>
        <v>0</v>
      </c>
    </row>
    <row r="107" spans="1:16" ht="18.75" hidden="1" customHeight="1" thickBot="1" x14ac:dyDescent="0.3">
      <c r="A107" s="3" t="s">
        <v>1</v>
      </c>
      <c r="B107" s="4">
        <v>404267</v>
      </c>
      <c r="C107" s="3" t="s">
        <v>2</v>
      </c>
      <c r="D107" s="18">
        <v>0.1</v>
      </c>
      <c r="E107" s="21">
        <f t="shared" si="7"/>
        <v>7.9741404289037643E-3</v>
      </c>
      <c r="F107" s="5">
        <v>36951</v>
      </c>
      <c r="G107" s="5">
        <v>37189</v>
      </c>
      <c r="H107" s="16">
        <f t="shared" si="8"/>
        <v>238</v>
      </c>
      <c r="I107" s="5">
        <v>37189</v>
      </c>
      <c r="J107" s="2"/>
      <c r="K107" s="16">
        <f t="shared" si="9"/>
        <v>-36951</v>
      </c>
      <c r="L107" s="13">
        <v>41486.86</v>
      </c>
      <c r="M107" s="15">
        <f t="shared" si="5"/>
        <v>5417.4066804782406</v>
      </c>
      <c r="N107" s="13">
        <v>41486.86</v>
      </c>
      <c r="O107" s="13">
        <v>0</v>
      </c>
      <c r="P107" s="11">
        <f t="shared" si="6"/>
        <v>0</v>
      </c>
    </row>
    <row r="108" spans="1:16" ht="18.75" customHeight="1" thickBot="1" x14ac:dyDescent="0.3">
      <c r="A108" s="3" t="s">
        <v>1</v>
      </c>
      <c r="B108" s="4">
        <v>137067</v>
      </c>
      <c r="C108" s="3" t="s">
        <v>2</v>
      </c>
      <c r="D108" s="18">
        <v>0.11</v>
      </c>
      <c r="E108" s="21">
        <f t="shared" si="7"/>
        <v>8.7345938235519061E-3</v>
      </c>
      <c r="F108" s="5">
        <v>36976</v>
      </c>
      <c r="G108" s="5">
        <v>38991</v>
      </c>
      <c r="H108" s="16">
        <f t="shared" si="8"/>
        <v>2015</v>
      </c>
      <c r="I108" s="5">
        <v>38991</v>
      </c>
      <c r="J108" s="5">
        <v>38043</v>
      </c>
      <c r="K108" s="16">
        <f t="shared" si="9"/>
        <v>1067</v>
      </c>
      <c r="L108" s="13">
        <v>2979.7</v>
      </c>
      <c r="M108" s="15">
        <f t="shared" si="5"/>
        <v>58.829227127239918</v>
      </c>
      <c r="N108" s="13">
        <v>2979.7</v>
      </c>
      <c r="O108" s="13">
        <v>0</v>
      </c>
      <c r="P108" s="11">
        <f t="shared" si="6"/>
        <v>0</v>
      </c>
    </row>
    <row r="109" spans="1:16" ht="18.75" customHeight="1" thickBot="1" x14ac:dyDescent="0.3">
      <c r="A109" s="3" t="s">
        <v>1</v>
      </c>
      <c r="B109" s="4">
        <v>983900</v>
      </c>
      <c r="C109" s="3" t="s">
        <v>2</v>
      </c>
      <c r="D109" s="18">
        <v>0.1</v>
      </c>
      <c r="E109" s="21">
        <f t="shared" si="7"/>
        <v>7.9741404289037643E-3</v>
      </c>
      <c r="F109" s="5">
        <v>37133</v>
      </c>
      <c r="G109" s="5">
        <v>39051</v>
      </c>
      <c r="H109" s="16">
        <f t="shared" si="8"/>
        <v>1918</v>
      </c>
      <c r="I109" s="5">
        <v>39051</v>
      </c>
      <c r="J109" s="5">
        <v>38019</v>
      </c>
      <c r="K109" s="16">
        <f t="shared" si="9"/>
        <v>886</v>
      </c>
      <c r="L109" s="13">
        <v>46530.87</v>
      </c>
      <c r="M109" s="15">
        <f t="shared" si="5"/>
        <v>931.8567817569168</v>
      </c>
      <c r="N109" s="13">
        <v>46530.87</v>
      </c>
      <c r="O109" s="13">
        <v>0</v>
      </c>
      <c r="P109" s="11">
        <f t="shared" si="6"/>
        <v>0</v>
      </c>
    </row>
    <row r="110" spans="1:16" ht="18.75" customHeight="1" thickBot="1" x14ac:dyDescent="0.3">
      <c r="A110" s="3" t="s">
        <v>1</v>
      </c>
      <c r="B110" s="4">
        <v>15732</v>
      </c>
      <c r="C110" s="3" t="s">
        <v>2</v>
      </c>
      <c r="D110" s="18">
        <v>0.1</v>
      </c>
      <c r="E110" s="21">
        <f t="shared" si="7"/>
        <v>7.9741404289037643E-3</v>
      </c>
      <c r="F110" s="5">
        <v>37393</v>
      </c>
      <c r="G110" s="5">
        <v>39250</v>
      </c>
      <c r="H110" s="16">
        <f t="shared" si="8"/>
        <v>1857</v>
      </c>
      <c r="I110" s="5">
        <v>39250</v>
      </c>
      <c r="J110" s="5">
        <v>38015</v>
      </c>
      <c r="K110" s="16">
        <f t="shared" si="9"/>
        <v>622</v>
      </c>
      <c r="L110" s="13">
        <v>31964.16</v>
      </c>
      <c r="M110" s="15">
        <f t="shared" si="5"/>
        <v>656.28424395225056</v>
      </c>
      <c r="N110" s="13">
        <v>31964.16</v>
      </c>
      <c r="O110" s="13">
        <v>0</v>
      </c>
      <c r="P110" s="11">
        <f t="shared" si="6"/>
        <v>0</v>
      </c>
    </row>
    <row r="111" spans="1:16" ht="18.75" customHeight="1" thickBot="1" x14ac:dyDescent="0.3">
      <c r="A111" s="3" t="s">
        <v>1</v>
      </c>
      <c r="B111" s="4">
        <v>357648</v>
      </c>
      <c r="C111" s="3" t="s">
        <v>2</v>
      </c>
      <c r="D111" s="18">
        <v>0.1</v>
      </c>
      <c r="E111" s="21">
        <f t="shared" si="7"/>
        <v>7.9741404289037643E-3</v>
      </c>
      <c r="F111" s="5">
        <v>37435</v>
      </c>
      <c r="G111" s="5">
        <v>39322</v>
      </c>
      <c r="H111" s="16">
        <f t="shared" si="8"/>
        <v>1887</v>
      </c>
      <c r="I111" s="5">
        <v>39322</v>
      </c>
      <c r="J111" s="5">
        <v>39261</v>
      </c>
      <c r="K111" s="16">
        <f t="shared" si="9"/>
        <v>1826</v>
      </c>
      <c r="L111" s="13">
        <v>15000</v>
      </c>
      <c r="M111" s="15">
        <f t="shared" si="5"/>
        <v>304.18847535964193</v>
      </c>
      <c r="N111" s="13">
        <v>15000</v>
      </c>
      <c r="O111" s="13">
        <v>0</v>
      </c>
      <c r="P111" s="11">
        <f t="shared" si="6"/>
        <v>0</v>
      </c>
    </row>
    <row r="112" spans="1:16" ht="18.75" customHeight="1" thickBot="1" x14ac:dyDescent="0.3">
      <c r="A112" s="3" t="s">
        <v>1</v>
      </c>
      <c r="B112" s="4">
        <v>100870</v>
      </c>
      <c r="C112" s="3" t="s">
        <v>2</v>
      </c>
      <c r="D112" s="18">
        <v>0.11</v>
      </c>
      <c r="E112" s="21">
        <f t="shared" si="7"/>
        <v>8.7345938235519061E-3</v>
      </c>
      <c r="F112" s="5">
        <v>37529</v>
      </c>
      <c r="G112" s="5">
        <v>39232</v>
      </c>
      <c r="H112" s="16">
        <f t="shared" si="8"/>
        <v>1703</v>
      </c>
      <c r="I112" s="5">
        <v>39232</v>
      </c>
      <c r="J112" s="5">
        <v>38833</v>
      </c>
      <c r="K112" s="16">
        <f t="shared" si="9"/>
        <v>1304</v>
      </c>
      <c r="L112" s="13">
        <v>7408.66</v>
      </c>
      <c r="M112" s="15">
        <f t="shared" si="5"/>
        <v>166.08720630480835</v>
      </c>
      <c r="N112" s="13">
        <v>7408.66</v>
      </c>
      <c r="O112" s="13">
        <v>0</v>
      </c>
      <c r="P112" s="11">
        <f t="shared" si="6"/>
        <v>0</v>
      </c>
    </row>
    <row r="113" spans="1:16" ht="18.75" customHeight="1" thickBot="1" x14ac:dyDescent="0.3">
      <c r="A113" s="3" t="s">
        <v>1</v>
      </c>
      <c r="B113" s="4">
        <v>901058</v>
      </c>
      <c r="C113" s="3" t="s">
        <v>2</v>
      </c>
      <c r="D113" s="18">
        <v>0.11</v>
      </c>
      <c r="E113" s="21">
        <f t="shared" si="7"/>
        <v>8.7345938235519061E-3</v>
      </c>
      <c r="F113" s="5">
        <v>37545</v>
      </c>
      <c r="G113" s="5">
        <v>39208</v>
      </c>
      <c r="H113" s="16">
        <f t="shared" si="8"/>
        <v>1663</v>
      </c>
      <c r="I113" s="5">
        <v>39208</v>
      </c>
      <c r="J113" s="5">
        <v>38833</v>
      </c>
      <c r="K113" s="16">
        <f t="shared" si="9"/>
        <v>1288</v>
      </c>
      <c r="L113" s="13">
        <v>4627.21</v>
      </c>
      <c r="M113" s="15">
        <f t="shared" si="5"/>
        <v>105.66328700731626</v>
      </c>
      <c r="N113" s="13">
        <v>4627.21</v>
      </c>
      <c r="O113" s="13">
        <v>0</v>
      </c>
      <c r="P113" s="11">
        <f t="shared" si="6"/>
        <v>0</v>
      </c>
    </row>
    <row r="114" spans="1:16" ht="18.75" customHeight="1" thickBot="1" x14ac:dyDescent="0.3">
      <c r="A114" s="3" t="s">
        <v>1</v>
      </c>
      <c r="B114" s="4">
        <v>942782</v>
      </c>
      <c r="C114" s="3" t="s">
        <v>2</v>
      </c>
      <c r="D114" s="18">
        <v>0.01</v>
      </c>
      <c r="E114" s="21">
        <f t="shared" si="7"/>
        <v>8.295381143461622E-4</v>
      </c>
      <c r="F114" s="5">
        <v>37560</v>
      </c>
      <c r="G114" s="5">
        <v>40482</v>
      </c>
      <c r="H114" s="16">
        <f t="shared" si="8"/>
        <v>2922</v>
      </c>
      <c r="I114" s="5">
        <v>40482</v>
      </c>
      <c r="J114" s="5">
        <v>39876</v>
      </c>
      <c r="K114" s="16">
        <f t="shared" si="9"/>
        <v>2316</v>
      </c>
      <c r="L114" s="13">
        <v>185581.31</v>
      </c>
      <c r="M114" s="15">
        <f t="shared" si="5"/>
        <v>1984.1518099317586</v>
      </c>
      <c r="N114" s="13">
        <v>185581.31</v>
      </c>
      <c r="O114" s="13">
        <v>0</v>
      </c>
      <c r="P114" s="11">
        <f t="shared" si="6"/>
        <v>0</v>
      </c>
    </row>
    <row r="115" spans="1:16" ht="18.75" customHeight="1" thickBot="1" x14ac:dyDescent="0.3">
      <c r="A115" s="3" t="s">
        <v>1</v>
      </c>
      <c r="B115" s="4">
        <v>390985</v>
      </c>
      <c r="C115" s="3" t="s">
        <v>2</v>
      </c>
      <c r="D115" s="18">
        <v>8.5000000000000006E-2</v>
      </c>
      <c r="E115" s="21">
        <f t="shared" si="7"/>
        <v>6.8214933659622723E-3</v>
      </c>
      <c r="F115" s="5">
        <v>37655</v>
      </c>
      <c r="G115" s="5">
        <v>38020</v>
      </c>
      <c r="H115" s="16">
        <f t="shared" si="8"/>
        <v>365</v>
      </c>
      <c r="I115" s="5">
        <v>38020</v>
      </c>
      <c r="J115" s="5">
        <v>39147</v>
      </c>
      <c r="K115" s="16">
        <f t="shared" si="9"/>
        <v>1492</v>
      </c>
      <c r="L115" s="13">
        <v>20000</v>
      </c>
      <c r="M115" s="15">
        <f t="shared" si="5"/>
        <v>1718.5911745110391</v>
      </c>
      <c r="N115" s="13">
        <v>20000</v>
      </c>
      <c r="O115" s="13">
        <v>0</v>
      </c>
      <c r="P115" s="11">
        <f t="shared" si="6"/>
        <v>0</v>
      </c>
    </row>
    <row r="116" spans="1:16" ht="18.75" customHeight="1" thickBot="1" x14ac:dyDescent="0.3">
      <c r="A116" s="3" t="s">
        <v>1</v>
      </c>
      <c r="B116" s="4">
        <v>56814</v>
      </c>
      <c r="C116" s="3" t="s">
        <v>2</v>
      </c>
      <c r="D116" s="18">
        <v>0.1</v>
      </c>
      <c r="E116" s="21">
        <f t="shared" si="7"/>
        <v>7.9741404289037643E-3</v>
      </c>
      <c r="F116" s="5">
        <v>37658</v>
      </c>
      <c r="G116" s="5">
        <v>38389</v>
      </c>
      <c r="H116" s="16">
        <f t="shared" si="8"/>
        <v>731</v>
      </c>
      <c r="I116" s="5">
        <v>38389</v>
      </c>
      <c r="J116" s="5">
        <v>39381</v>
      </c>
      <c r="K116" s="16">
        <f t="shared" si="9"/>
        <v>1723</v>
      </c>
      <c r="L116" s="13">
        <v>2875.19</v>
      </c>
      <c r="M116" s="15">
        <f t="shared" si="5"/>
        <v>130.29980929478566</v>
      </c>
      <c r="N116" s="13">
        <v>2875.19</v>
      </c>
      <c r="O116" s="13">
        <v>0</v>
      </c>
      <c r="P116" s="11">
        <f t="shared" si="6"/>
        <v>0</v>
      </c>
    </row>
    <row r="117" spans="1:16" ht="18.75" customHeight="1" thickBot="1" x14ac:dyDescent="0.3">
      <c r="A117" s="3" t="s">
        <v>1</v>
      </c>
      <c r="B117" s="4">
        <v>974376</v>
      </c>
      <c r="C117" s="3" t="s">
        <v>2</v>
      </c>
      <c r="D117" s="18">
        <v>0.1</v>
      </c>
      <c r="E117" s="21">
        <f t="shared" si="7"/>
        <v>7.9741404289037643E-3</v>
      </c>
      <c r="F117" s="5">
        <v>37672</v>
      </c>
      <c r="G117" s="5">
        <v>39375</v>
      </c>
      <c r="H117" s="16">
        <f t="shared" si="8"/>
        <v>1703</v>
      </c>
      <c r="I117" s="5">
        <v>39375</v>
      </c>
      <c r="J117" s="5">
        <v>38833</v>
      </c>
      <c r="K117" s="16">
        <f t="shared" si="9"/>
        <v>1161</v>
      </c>
      <c r="L117" s="13">
        <v>20384.59</v>
      </c>
      <c r="M117" s="15">
        <f t="shared" si="5"/>
        <v>447.88579666721944</v>
      </c>
      <c r="N117" s="13">
        <v>20384.59</v>
      </c>
      <c r="O117" s="13">
        <v>0</v>
      </c>
      <c r="P117" s="11">
        <f t="shared" si="6"/>
        <v>0</v>
      </c>
    </row>
    <row r="118" spans="1:16" ht="18.75" customHeight="1" thickBot="1" x14ac:dyDescent="0.3">
      <c r="A118" s="3" t="s">
        <v>1</v>
      </c>
      <c r="B118" s="4">
        <v>861165</v>
      </c>
      <c r="C118" s="3" t="s">
        <v>2</v>
      </c>
      <c r="D118" s="18">
        <v>0.1</v>
      </c>
      <c r="E118" s="21">
        <f t="shared" si="7"/>
        <v>7.9741404289037643E-3</v>
      </c>
      <c r="F118" s="5">
        <v>37672</v>
      </c>
      <c r="G118" s="5">
        <v>39161</v>
      </c>
      <c r="H118" s="16">
        <f t="shared" si="8"/>
        <v>1489</v>
      </c>
      <c r="I118" s="5">
        <v>39161</v>
      </c>
      <c r="J118" s="5">
        <v>39744</v>
      </c>
      <c r="K118" s="16">
        <f t="shared" si="9"/>
        <v>2072</v>
      </c>
      <c r="L118" s="13">
        <v>12186.37</v>
      </c>
      <c r="M118" s="15">
        <f t="shared" si="5"/>
        <v>298.27758956868843</v>
      </c>
      <c r="N118" s="13">
        <v>12186.37</v>
      </c>
      <c r="O118" s="13">
        <v>0</v>
      </c>
      <c r="P118" s="11">
        <f t="shared" si="6"/>
        <v>0</v>
      </c>
    </row>
    <row r="119" spans="1:16" ht="18.75" hidden="1" customHeight="1" thickBot="1" x14ac:dyDescent="0.3">
      <c r="A119" s="3" t="s">
        <v>1</v>
      </c>
      <c r="B119" s="4">
        <v>982826</v>
      </c>
      <c r="C119" s="3" t="s">
        <v>2</v>
      </c>
      <c r="D119" s="18">
        <v>8.5000000000000006E-2</v>
      </c>
      <c r="E119" s="21">
        <f t="shared" si="7"/>
        <v>6.8214933659622723E-3</v>
      </c>
      <c r="F119" s="5">
        <v>37775</v>
      </c>
      <c r="G119" s="5">
        <v>38020</v>
      </c>
      <c r="H119" s="16">
        <f t="shared" si="8"/>
        <v>245</v>
      </c>
      <c r="I119" s="5">
        <v>38020</v>
      </c>
      <c r="J119" s="2"/>
      <c r="K119" s="16">
        <f t="shared" si="9"/>
        <v>-37775</v>
      </c>
      <c r="L119" s="13">
        <v>8647.36</v>
      </c>
      <c r="M119" s="15">
        <f t="shared" si="5"/>
        <v>1092.2346771561108</v>
      </c>
      <c r="N119" s="13">
        <v>8647.36</v>
      </c>
      <c r="O119" s="13">
        <v>0</v>
      </c>
      <c r="P119" s="11">
        <f t="shared" si="6"/>
        <v>0</v>
      </c>
    </row>
    <row r="120" spans="1:16" ht="18.75" customHeight="1" thickBot="1" x14ac:dyDescent="0.3">
      <c r="A120" s="3" t="s">
        <v>1</v>
      </c>
      <c r="B120" s="4">
        <v>727683</v>
      </c>
      <c r="C120" s="3" t="s">
        <v>2</v>
      </c>
      <c r="D120" s="18">
        <v>0.1</v>
      </c>
      <c r="E120" s="21">
        <f t="shared" si="7"/>
        <v>7.9741404289037643E-3</v>
      </c>
      <c r="F120" s="5">
        <v>37852</v>
      </c>
      <c r="G120" s="5">
        <v>39679</v>
      </c>
      <c r="H120" s="16">
        <f t="shared" si="8"/>
        <v>1827</v>
      </c>
      <c r="I120" s="5">
        <v>39679</v>
      </c>
      <c r="J120" s="5">
        <v>37915</v>
      </c>
      <c r="K120" s="16">
        <f t="shared" si="9"/>
        <v>63</v>
      </c>
      <c r="L120" s="13">
        <v>21149.46</v>
      </c>
      <c r="M120" s="15">
        <f t="shared" si="5"/>
        <v>439.76053696798249</v>
      </c>
      <c r="N120" s="13">
        <v>21149.46</v>
      </c>
      <c r="O120" s="13">
        <v>0</v>
      </c>
      <c r="P120" s="11">
        <f t="shared" si="6"/>
        <v>0</v>
      </c>
    </row>
    <row r="121" spans="1:16" ht="18.75" customHeight="1" thickBot="1" x14ac:dyDescent="0.3">
      <c r="A121" s="3" t="s">
        <v>1</v>
      </c>
      <c r="B121" s="4">
        <v>472674</v>
      </c>
      <c r="C121" s="3" t="s">
        <v>2</v>
      </c>
      <c r="D121" s="18">
        <v>9.5000000000000001E-2</v>
      </c>
      <c r="E121" s="21">
        <f t="shared" si="7"/>
        <v>7.5915342905825689E-3</v>
      </c>
      <c r="F121" s="5">
        <v>37890</v>
      </c>
      <c r="G121" s="5">
        <v>39185</v>
      </c>
      <c r="H121" s="16">
        <f t="shared" si="8"/>
        <v>1295</v>
      </c>
      <c r="I121" s="5">
        <v>39185</v>
      </c>
      <c r="J121" s="5">
        <v>40955</v>
      </c>
      <c r="K121" s="16">
        <f t="shared" si="9"/>
        <v>3065</v>
      </c>
      <c r="L121" s="13">
        <v>5427.12</v>
      </c>
      <c r="M121" s="15">
        <f t="shared" si="5"/>
        <v>147.92036892787632</v>
      </c>
      <c r="N121" s="13">
        <v>5427.12</v>
      </c>
      <c r="O121" s="13">
        <v>0</v>
      </c>
      <c r="P121" s="11">
        <f t="shared" si="6"/>
        <v>0</v>
      </c>
    </row>
    <row r="122" spans="1:16" ht="18.75" customHeight="1" thickBot="1" x14ac:dyDescent="0.3">
      <c r="A122" s="3" t="s">
        <v>1</v>
      </c>
      <c r="B122" s="4">
        <v>581571</v>
      </c>
      <c r="C122" s="3" t="s">
        <v>2</v>
      </c>
      <c r="D122" s="18">
        <v>0.1</v>
      </c>
      <c r="E122" s="21">
        <f t="shared" si="7"/>
        <v>7.9741404289037643E-3</v>
      </c>
      <c r="F122" s="5">
        <v>37956</v>
      </c>
      <c r="G122" s="5">
        <v>39495</v>
      </c>
      <c r="H122" s="16">
        <f t="shared" si="8"/>
        <v>1539</v>
      </c>
      <c r="I122" s="5">
        <v>39495</v>
      </c>
      <c r="J122" s="5">
        <v>38582</v>
      </c>
      <c r="K122" s="16">
        <f t="shared" si="9"/>
        <v>626</v>
      </c>
      <c r="L122" s="13">
        <v>19378.46</v>
      </c>
      <c r="M122" s="15">
        <f t="shared" si="5"/>
        <v>461.74752529274537</v>
      </c>
      <c r="N122" s="13">
        <v>19378.46</v>
      </c>
      <c r="O122" s="13">
        <v>0</v>
      </c>
      <c r="P122" s="11">
        <f t="shared" si="6"/>
        <v>0</v>
      </c>
    </row>
    <row r="123" spans="1:16" ht="18.75" customHeight="1" thickBot="1" x14ac:dyDescent="0.3">
      <c r="A123" s="3" t="s">
        <v>1</v>
      </c>
      <c r="B123" s="4">
        <v>934356</v>
      </c>
      <c r="C123" s="3" t="s">
        <v>2</v>
      </c>
      <c r="D123" s="18">
        <v>0.1</v>
      </c>
      <c r="E123" s="21">
        <f t="shared" si="7"/>
        <v>7.9741404289037643E-3</v>
      </c>
      <c r="F123" s="5">
        <v>38006</v>
      </c>
      <c r="G123" s="5">
        <v>39512</v>
      </c>
      <c r="H123" s="16">
        <f t="shared" si="8"/>
        <v>1506</v>
      </c>
      <c r="I123" s="5">
        <v>39512</v>
      </c>
      <c r="J123" s="5">
        <v>39343</v>
      </c>
      <c r="K123" s="16">
        <f t="shared" si="9"/>
        <v>1337</v>
      </c>
      <c r="L123" s="13">
        <v>21667.52</v>
      </c>
      <c r="M123" s="15">
        <f t="shared" si="5"/>
        <v>525.45812713915291</v>
      </c>
      <c r="N123" s="13">
        <v>21667.52</v>
      </c>
      <c r="O123" s="13">
        <v>0</v>
      </c>
      <c r="P123" s="11">
        <f t="shared" si="6"/>
        <v>0</v>
      </c>
    </row>
    <row r="124" spans="1:16" ht="18.75" customHeight="1" thickBot="1" x14ac:dyDescent="0.3">
      <c r="A124" s="3" t="s">
        <v>1</v>
      </c>
      <c r="B124" s="4">
        <v>40060</v>
      </c>
      <c r="C124" s="3" t="s">
        <v>2</v>
      </c>
      <c r="D124" s="18">
        <v>9.5000000000000001E-2</v>
      </c>
      <c r="E124" s="21">
        <f t="shared" si="7"/>
        <v>7.5915342905825689E-3</v>
      </c>
      <c r="F124" s="5">
        <v>38008</v>
      </c>
      <c r="G124" s="5">
        <v>38555</v>
      </c>
      <c r="H124" s="16">
        <f t="shared" si="8"/>
        <v>547</v>
      </c>
      <c r="I124" s="5">
        <v>38555</v>
      </c>
      <c r="J124" s="5">
        <v>38790</v>
      </c>
      <c r="K124" s="16">
        <f t="shared" si="9"/>
        <v>782</v>
      </c>
      <c r="L124" s="13">
        <v>9992.92</v>
      </c>
      <c r="M124" s="15">
        <f t="shared" si="5"/>
        <v>588.93772064946984</v>
      </c>
      <c r="N124" s="13">
        <v>9992.92</v>
      </c>
      <c r="O124" s="13">
        <v>0</v>
      </c>
      <c r="P124" s="11">
        <f t="shared" si="6"/>
        <v>0</v>
      </c>
    </row>
    <row r="125" spans="1:16" ht="18.75" customHeight="1" thickBot="1" x14ac:dyDescent="0.3">
      <c r="A125" s="3" t="s">
        <v>1</v>
      </c>
      <c r="B125" s="4">
        <v>329767</v>
      </c>
      <c r="C125" s="3" t="s">
        <v>2</v>
      </c>
      <c r="D125" s="18">
        <v>0.1</v>
      </c>
      <c r="E125" s="21">
        <f t="shared" si="7"/>
        <v>7.9741404289037643E-3</v>
      </c>
      <c r="F125" s="5">
        <v>38014</v>
      </c>
      <c r="G125" s="5">
        <v>39398</v>
      </c>
      <c r="H125" s="16">
        <f t="shared" si="8"/>
        <v>1384</v>
      </c>
      <c r="I125" s="5">
        <v>39398</v>
      </c>
      <c r="J125" s="5">
        <v>39153</v>
      </c>
      <c r="K125" s="16">
        <f t="shared" si="9"/>
        <v>1139</v>
      </c>
      <c r="L125" s="13">
        <v>50000</v>
      </c>
      <c r="M125" s="15">
        <f t="shared" si="5"/>
        <v>1299.6312532299642</v>
      </c>
      <c r="N125" s="13">
        <v>50000</v>
      </c>
      <c r="O125" s="13">
        <v>0</v>
      </c>
      <c r="P125" s="11">
        <f t="shared" si="6"/>
        <v>0</v>
      </c>
    </row>
    <row r="126" spans="1:16" ht="18.75" customHeight="1" thickBot="1" x14ac:dyDescent="0.3">
      <c r="A126" s="3" t="s">
        <v>1</v>
      </c>
      <c r="B126" s="4">
        <v>672195</v>
      </c>
      <c r="C126" s="3" t="s">
        <v>2</v>
      </c>
      <c r="D126" s="18">
        <v>0.1</v>
      </c>
      <c r="E126" s="21">
        <f t="shared" si="7"/>
        <v>7.9741404289037643E-3</v>
      </c>
      <c r="F126" s="5">
        <v>38096</v>
      </c>
      <c r="G126" s="5">
        <v>39374</v>
      </c>
      <c r="H126" s="16">
        <f t="shared" si="8"/>
        <v>1278</v>
      </c>
      <c r="I126" s="5">
        <v>39374</v>
      </c>
      <c r="J126" s="5">
        <v>38994</v>
      </c>
      <c r="K126" s="16">
        <f t="shared" si="9"/>
        <v>898</v>
      </c>
      <c r="L126" s="13">
        <v>3483.19</v>
      </c>
      <c r="M126" s="15">
        <f t="shared" si="5"/>
        <v>96.759982187181947</v>
      </c>
      <c r="N126" s="13">
        <v>3483.19</v>
      </c>
      <c r="O126" s="13">
        <v>0</v>
      </c>
      <c r="P126" s="11">
        <f t="shared" si="6"/>
        <v>0</v>
      </c>
    </row>
    <row r="127" spans="1:16" ht="18.75" customHeight="1" thickBot="1" x14ac:dyDescent="0.3">
      <c r="A127" s="3" t="s">
        <v>1</v>
      </c>
      <c r="B127" s="4">
        <v>314895</v>
      </c>
      <c r="C127" s="3" t="s">
        <v>2</v>
      </c>
      <c r="D127" s="18">
        <v>0.1</v>
      </c>
      <c r="E127" s="21">
        <f t="shared" si="7"/>
        <v>7.9741404289037643E-3</v>
      </c>
      <c r="F127" s="5">
        <v>38182</v>
      </c>
      <c r="G127" s="5">
        <v>39706</v>
      </c>
      <c r="H127" s="16">
        <f t="shared" si="8"/>
        <v>1524</v>
      </c>
      <c r="I127" s="5">
        <v>39706</v>
      </c>
      <c r="J127" s="5">
        <v>38880</v>
      </c>
      <c r="K127" s="16">
        <f t="shared" si="9"/>
        <v>698</v>
      </c>
      <c r="L127" s="13">
        <v>30130</v>
      </c>
      <c r="M127" s="15">
        <f t="shared" si="5"/>
        <v>723.65883533628755</v>
      </c>
      <c r="N127" s="13">
        <v>30130</v>
      </c>
      <c r="O127" s="13">
        <v>0</v>
      </c>
      <c r="P127" s="11">
        <f t="shared" si="6"/>
        <v>0</v>
      </c>
    </row>
    <row r="128" spans="1:16" ht="18.75" customHeight="1" thickBot="1" x14ac:dyDescent="0.3">
      <c r="A128" s="3" t="s">
        <v>1</v>
      </c>
      <c r="B128" s="4">
        <v>653136</v>
      </c>
      <c r="C128" s="3" t="s">
        <v>2</v>
      </c>
      <c r="D128" s="18">
        <v>0.1</v>
      </c>
      <c r="E128" s="21">
        <f t="shared" si="7"/>
        <v>7.9741404289037643E-3</v>
      </c>
      <c r="F128" s="5">
        <v>38210</v>
      </c>
      <c r="G128" s="5">
        <v>40040</v>
      </c>
      <c r="H128" s="16">
        <f t="shared" si="8"/>
        <v>1830</v>
      </c>
      <c r="I128" s="5">
        <v>40040</v>
      </c>
      <c r="J128" s="5">
        <v>40031</v>
      </c>
      <c r="K128" s="16">
        <f t="shared" si="9"/>
        <v>1821</v>
      </c>
      <c r="L128" s="13">
        <v>55962.33</v>
      </c>
      <c r="M128" s="15">
        <f t="shared" si="5"/>
        <v>1162.1410048342736</v>
      </c>
      <c r="N128" s="13">
        <v>55962.33</v>
      </c>
      <c r="O128" s="13">
        <v>0</v>
      </c>
      <c r="P128" s="11">
        <f t="shared" si="6"/>
        <v>0</v>
      </c>
    </row>
    <row r="129" spans="1:16" ht="18.75" customHeight="1" thickBot="1" x14ac:dyDescent="0.3">
      <c r="A129" s="3" t="s">
        <v>1</v>
      </c>
      <c r="B129" s="4">
        <v>758349</v>
      </c>
      <c r="C129" s="3" t="s">
        <v>2</v>
      </c>
      <c r="D129" s="18">
        <v>0.09</v>
      </c>
      <c r="E129" s="21">
        <f t="shared" si="7"/>
        <v>7.2073233161367156E-3</v>
      </c>
      <c r="F129" s="5">
        <v>38230</v>
      </c>
      <c r="G129" s="5">
        <v>40359</v>
      </c>
      <c r="H129" s="16">
        <f t="shared" si="8"/>
        <v>2129</v>
      </c>
      <c r="I129" s="5">
        <v>40359</v>
      </c>
      <c r="J129" s="5">
        <v>40078</v>
      </c>
      <c r="K129" s="16">
        <f t="shared" si="9"/>
        <v>1848</v>
      </c>
      <c r="L129" s="13">
        <v>47392.93</v>
      </c>
      <c r="M129" s="15">
        <f t="shared" si="5"/>
        <v>855.45586400693287</v>
      </c>
      <c r="N129" s="13">
        <v>47392.93</v>
      </c>
      <c r="O129" s="13">
        <v>0</v>
      </c>
      <c r="P129" s="11">
        <f t="shared" si="6"/>
        <v>0</v>
      </c>
    </row>
    <row r="130" spans="1:16" ht="18.75" customHeight="1" thickBot="1" x14ac:dyDescent="0.3">
      <c r="A130" s="3" t="s">
        <v>1</v>
      </c>
      <c r="B130" s="4">
        <v>825288</v>
      </c>
      <c r="C130" s="3" t="s">
        <v>2</v>
      </c>
      <c r="D130" s="18">
        <v>0.1</v>
      </c>
      <c r="E130" s="21">
        <f t="shared" si="7"/>
        <v>7.9741404289037643E-3</v>
      </c>
      <c r="F130" s="5">
        <v>38266</v>
      </c>
      <c r="G130" s="5">
        <v>39767</v>
      </c>
      <c r="H130" s="16">
        <f t="shared" si="8"/>
        <v>1501</v>
      </c>
      <c r="I130" s="5">
        <v>39767</v>
      </c>
      <c r="J130" s="5">
        <v>39056</v>
      </c>
      <c r="K130" s="16">
        <f t="shared" si="9"/>
        <v>790</v>
      </c>
      <c r="L130" s="13">
        <v>13757.89</v>
      </c>
      <c r="M130" s="15">
        <f t="shared" ref="M130:M193" si="10">-PMT(E130,(H130/30),L130)</f>
        <v>334.54657684148032</v>
      </c>
      <c r="N130" s="13">
        <v>13757.89</v>
      </c>
      <c r="O130" s="13">
        <v>0</v>
      </c>
      <c r="P130" s="11">
        <f t="shared" ref="P130:P193" si="11">IF((G130)&gt;(ConstantDateCutoff),1,0)</f>
        <v>0</v>
      </c>
    </row>
    <row r="131" spans="1:16" ht="18.75" customHeight="1" thickBot="1" x14ac:dyDescent="0.3">
      <c r="A131" s="3" t="s">
        <v>1</v>
      </c>
      <c r="B131" s="4">
        <v>122338</v>
      </c>
      <c r="C131" s="3" t="s">
        <v>2</v>
      </c>
      <c r="D131" s="18">
        <v>0.09</v>
      </c>
      <c r="E131" s="21">
        <f t="shared" ref="E131:E194" si="12">(1+D131)^(1/12)-1</f>
        <v>7.2073233161367156E-3</v>
      </c>
      <c r="F131" s="5">
        <v>38275</v>
      </c>
      <c r="G131" s="5">
        <v>43266</v>
      </c>
      <c r="H131" s="16">
        <f t="shared" ref="H131:H194" si="13">G131-F131</f>
        <v>4991</v>
      </c>
      <c r="I131" s="5">
        <v>43266</v>
      </c>
      <c r="J131" s="5">
        <v>43005</v>
      </c>
      <c r="K131" s="16">
        <f t="shared" ref="K131:K194" si="14">J131-F131</f>
        <v>4730</v>
      </c>
      <c r="L131" s="13">
        <v>13600</v>
      </c>
      <c r="M131" s="15">
        <f t="shared" si="10"/>
        <v>140.58576299695466</v>
      </c>
      <c r="N131" s="13">
        <v>13600</v>
      </c>
      <c r="O131" s="13">
        <v>0</v>
      </c>
      <c r="P131" s="11">
        <f t="shared" si="11"/>
        <v>1</v>
      </c>
    </row>
    <row r="132" spans="1:16" ht="18.75" customHeight="1" thickBot="1" x14ac:dyDescent="0.3">
      <c r="A132" s="3" t="s">
        <v>1</v>
      </c>
      <c r="B132" s="4">
        <v>853144</v>
      </c>
      <c r="C132" s="3" t="s">
        <v>2</v>
      </c>
      <c r="D132" s="18">
        <v>0.11</v>
      </c>
      <c r="E132" s="21">
        <f t="shared" si="12"/>
        <v>8.7345938235519061E-3</v>
      </c>
      <c r="F132" s="5">
        <v>38394</v>
      </c>
      <c r="G132" s="5">
        <v>39124</v>
      </c>
      <c r="H132" s="16">
        <f t="shared" si="13"/>
        <v>730</v>
      </c>
      <c r="I132" s="5">
        <v>39124</v>
      </c>
      <c r="J132" s="5">
        <v>38833</v>
      </c>
      <c r="K132" s="16">
        <f t="shared" si="14"/>
        <v>439</v>
      </c>
      <c r="L132" s="13">
        <v>14000</v>
      </c>
      <c r="M132" s="15">
        <f t="shared" si="10"/>
        <v>641.14853692722568</v>
      </c>
      <c r="N132" s="13">
        <v>14000</v>
      </c>
      <c r="O132" s="13">
        <v>0</v>
      </c>
      <c r="P132" s="11">
        <f t="shared" si="11"/>
        <v>0</v>
      </c>
    </row>
    <row r="133" spans="1:16" ht="18.75" customHeight="1" thickBot="1" x14ac:dyDescent="0.3">
      <c r="A133" s="3" t="s">
        <v>1</v>
      </c>
      <c r="B133" s="4">
        <v>20868</v>
      </c>
      <c r="C133" s="3" t="s">
        <v>2</v>
      </c>
      <c r="D133" s="18">
        <v>0.1</v>
      </c>
      <c r="E133" s="21">
        <f t="shared" si="12"/>
        <v>7.9741404289037643E-3</v>
      </c>
      <c r="F133" s="5">
        <v>38398</v>
      </c>
      <c r="G133" s="5">
        <v>39309</v>
      </c>
      <c r="H133" s="16">
        <f t="shared" si="13"/>
        <v>911</v>
      </c>
      <c r="I133" s="5">
        <v>39309</v>
      </c>
      <c r="J133" s="5">
        <v>39192</v>
      </c>
      <c r="K133" s="16">
        <f t="shared" si="14"/>
        <v>794</v>
      </c>
      <c r="L133" s="13">
        <v>26609.33</v>
      </c>
      <c r="M133" s="15">
        <f t="shared" si="10"/>
        <v>990.11071384213449</v>
      </c>
      <c r="N133" s="13">
        <v>26609.33</v>
      </c>
      <c r="O133" s="13">
        <v>0</v>
      </c>
      <c r="P133" s="11">
        <f t="shared" si="11"/>
        <v>0</v>
      </c>
    </row>
    <row r="134" spans="1:16" ht="18.75" customHeight="1" thickBot="1" x14ac:dyDescent="0.3">
      <c r="A134" s="3" t="s">
        <v>1</v>
      </c>
      <c r="B134" s="4">
        <v>256459</v>
      </c>
      <c r="C134" s="3" t="s">
        <v>2</v>
      </c>
      <c r="D134" s="18">
        <v>9.7500000000000003E-2</v>
      </c>
      <c r="E134" s="21">
        <f t="shared" si="12"/>
        <v>7.7830370878799737E-3</v>
      </c>
      <c r="F134" s="5">
        <v>38411</v>
      </c>
      <c r="G134" s="5">
        <v>38776</v>
      </c>
      <c r="H134" s="16">
        <f t="shared" si="13"/>
        <v>365</v>
      </c>
      <c r="I134" s="5">
        <v>38776</v>
      </c>
      <c r="J134" s="5">
        <v>38905</v>
      </c>
      <c r="K134" s="16">
        <f t="shared" si="14"/>
        <v>494</v>
      </c>
      <c r="L134" s="13">
        <v>119000.5</v>
      </c>
      <c r="M134" s="15">
        <f t="shared" si="10"/>
        <v>10289.248172328644</v>
      </c>
      <c r="N134" s="13">
        <v>119000.5</v>
      </c>
      <c r="O134" s="13">
        <v>500</v>
      </c>
      <c r="P134" s="11">
        <f t="shared" si="11"/>
        <v>0</v>
      </c>
    </row>
    <row r="135" spans="1:16" ht="18.75" customHeight="1" thickBot="1" x14ac:dyDescent="0.3">
      <c r="A135" s="3" t="s">
        <v>1</v>
      </c>
      <c r="B135" s="4">
        <v>219264</v>
      </c>
      <c r="C135" s="3" t="s">
        <v>2</v>
      </c>
      <c r="D135" s="18">
        <v>9.7500000000000003E-2</v>
      </c>
      <c r="E135" s="21">
        <f t="shared" si="12"/>
        <v>7.7830370878799737E-3</v>
      </c>
      <c r="F135" s="5">
        <v>38411</v>
      </c>
      <c r="G135" s="5">
        <v>38776</v>
      </c>
      <c r="H135" s="16">
        <f t="shared" si="13"/>
        <v>365</v>
      </c>
      <c r="I135" s="5">
        <v>38776</v>
      </c>
      <c r="J135" s="5">
        <v>39167</v>
      </c>
      <c r="K135" s="16">
        <f t="shared" si="14"/>
        <v>756</v>
      </c>
      <c r="L135" s="13">
        <v>75845.25</v>
      </c>
      <c r="M135" s="15">
        <f t="shared" si="10"/>
        <v>6557.8766470923165</v>
      </c>
      <c r="N135" s="13">
        <v>75845.25</v>
      </c>
      <c r="O135" s="13">
        <v>0</v>
      </c>
      <c r="P135" s="11">
        <f t="shared" si="11"/>
        <v>0</v>
      </c>
    </row>
    <row r="136" spans="1:16" ht="18.75" customHeight="1" thickBot="1" x14ac:dyDescent="0.3">
      <c r="A136" s="3" t="s">
        <v>1</v>
      </c>
      <c r="B136" s="4">
        <v>351518</v>
      </c>
      <c r="C136" s="3" t="s">
        <v>2</v>
      </c>
      <c r="D136" s="18">
        <v>0.1</v>
      </c>
      <c r="E136" s="21">
        <f t="shared" si="12"/>
        <v>7.9741404289037643E-3</v>
      </c>
      <c r="F136" s="5">
        <v>38461</v>
      </c>
      <c r="G136" s="5">
        <v>39908</v>
      </c>
      <c r="H136" s="16">
        <f t="shared" si="13"/>
        <v>1447</v>
      </c>
      <c r="I136" s="5">
        <v>39908</v>
      </c>
      <c r="J136" s="5">
        <v>40345</v>
      </c>
      <c r="K136" s="16">
        <f t="shared" si="14"/>
        <v>1884</v>
      </c>
      <c r="L136" s="13">
        <v>14085.06</v>
      </c>
      <c r="M136" s="15">
        <f t="shared" si="10"/>
        <v>352.9169949691414</v>
      </c>
      <c r="N136" s="13">
        <v>14085.06</v>
      </c>
      <c r="O136" s="13">
        <v>0</v>
      </c>
      <c r="P136" s="11">
        <f t="shared" si="11"/>
        <v>0</v>
      </c>
    </row>
    <row r="137" spans="1:16" ht="18.75" hidden="1" customHeight="1" thickBot="1" x14ac:dyDescent="0.3">
      <c r="A137" s="3" t="s">
        <v>1</v>
      </c>
      <c r="B137" s="4">
        <v>60514</v>
      </c>
      <c r="C137" s="3" t="s">
        <v>2</v>
      </c>
      <c r="D137" s="18">
        <v>0.105</v>
      </c>
      <c r="E137" s="21">
        <f t="shared" si="12"/>
        <v>8.355155683635207E-3</v>
      </c>
      <c r="F137" s="5">
        <v>38580</v>
      </c>
      <c r="G137" s="5">
        <v>38945</v>
      </c>
      <c r="H137" s="16">
        <f t="shared" si="13"/>
        <v>365</v>
      </c>
      <c r="I137" s="5">
        <v>38945</v>
      </c>
      <c r="J137" s="2"/>
      <c r="K137" s="16">
        <f t="shared" si="14"/>
        <v>-38580</v>
      </c>
      <c r="L137" s="13">
        <v>20000</v>
      </c>
      <c r="M137" s="15">
        <f t="shared" si="10"/>
        <v>1735.6543436432908</v>
      </c>
      <c r="N137" s="13">
        <v>20000</v>
      </c>
      <c r="O137" s="13">
        <v>0</v>
      </c>
      <c r="P137" s="11">
        <f t="shared" si="11"/>
        <v>0</v>
      </c>
    </row>
    <row r="138" spans="1:16" ht="18.75" customHeight="1" thickBot="1" x14ac:dyDescent="0.3">
      <c r="A138" s="3" t="s">
        <v>1</v>
      </c>
      <c r="B138" s="4">
        <v>209545</v>
      </c>
      <c r="C138" s="3" t="s">
        <v>2</v>
      </c>
      <c r="D138" s="18">
        <v>9.5000000000000001E-2</v>
      </c>
      <c r="E138" s="21">
        <f t="shared" si="12"/>
        <v>7.5915342905825689E-3</v>
      </c>
      <c r="F138" s="5">
        <v>38698</v>
      </c>
      <c r="G138" s="5">
        <v>40436</v>
      </c>
      <c r="H138" s="16">
        <f t="shared" si="13"/>
        <v>1738</v>
      </c>
      <c r="I138" s="5">
        <v>40436</v>
      </c>
      <c r="J138" s="5">
        <v>40078</v>
      </c>
      <c r="K138" s="16">
        <f t="shared" si="14"/>
        <v>1380</v>
      </c>
      <c r="L138" s="13">
        <v>9765.2099999999991</v>
      </c>
      <c r="M138" s="15">
        <f t="shared" si="10"/>
        <v>208.96301304205963</v>
      </c>
      <c r="N138" s="13">
        <v>9765.2099999999991</v>
      </c>
      <c r="O138" s="13">
        <v>0</v>
      </c>
      <c r="P138" s="11">
        <f t="shared" si="11"/>
        <v>0</v>
      </c>
    </row>
    <row r="139" spans="1:16" ht="18.75" customHeight="1" thickBot="1" x14ac:dyDescent="0.3">
      <c r="A139" s="3" t="s">
        <v>1</v>
      </c>
      <c r="B139" s="4">
        <v>420340</v>
      </c>
      <c r="C139" s="3" t="s">
        <v>2</v>
      </c>
      <c r="D139" s="18">
        <v>0.1</v>
      </c>
      <c r="E139" s="21">
        <f t="shared" si="12"/>
        <v>7.9741404289037643E-3</v>
      </c>
      <c r="F139" s="5">
        <v>38747</v>
      </c>
      <c r="G139" s="5">
        <v>39563</v>
      </c>
      <c r="H139" s="16">
        <f t="shared" si="13"/>
        <v>816</v>
      </c>
      <c r="I139" s="5">
        <v>39563</v>
      </c>
      <c r="J139" s="5">
        <v>39084</v>
      </c>
      <c r="K139" s="16">
        <f t="shared" si="14"/>
        <v>337</v>
      </c>
      <c r="L139" s="13">
        <v>11418.24</v>
      </c>
      <c r="M139" s="15">
        <f t="shared" si="10"/>
        <v>468.62298375643712</v>
      </c>
      <c r="N139" s="13">
        <v>11418.24</v>
      </c>
      <c r="O139" s="13">
        <v>0</v>
      </c>
      <c r="P139" s="11">
        <f t="shared" si="11"/>
        <v>0</v>
      </c>
    </row>
    <row r="140" spans="1:16" ht="18.75" customHeight="1" thickBot="1" x14ac:dyDescent="0.3">
      <c r="A140" s="3" t="s">
        <v>1</v>
      </c>
      <c r="B140" s="4">
        <v>626625</v>
      </c>
      <c r="C140" s="3" t="s">
        <v>2</v>
      </c>
      <c r="D140" s="18">
        <v>0.09</v>
      </c>
      <c r="E140" s="21">
        <f t="shared" si="12"/>
        <v>7.2073233161367156E-3</v>
      </c>
      <c r="F140" s="5">
        <v>38789</v>
      </c>
      <c r="G140" s="5">
        <v>42076</v>
      </c>
      <c r="H140" s="16">
        <f t="shared" si="13"/>
        <v>3287</v>
      </c>
      <c r="I140" s="5">
        <v>42076</v>
      </c>
      <c r="J140" s="5">
        <v>42086</v>
      </c>
      <c r="K140" s="16">
        <f t="shared" si="14"/>
        <v>3297</v>
      </c>
      <c r="L140" s="13">
        <v>115574.11</v>
      </c>
      <c r="M140" s="15">
        <f t="shared" si="10"/>
        <v>1529.1795814033094</v>
      </c>
      <c r="N140" s="13">
        <v>115574.11</v>
      </c>
      <c r="O140" s="13">
        <v>0</v>
      </c>
      <c r="P140" s="11">
        <f t="shared" si="11"/>
        <v>1</v>
      </c>
    </row>
    <row r="141" spans="1:16" ht="18.75" customHeight="1" thickBot="1" x14ac:dyDescent="0.3">
      <c r="A141" s="3" t="s">
        <v>1</v>
      </c>
      <c r="B141" s="4">
        <v>571986</v>
      </c>
      <c r="C141" s="3" t="s">
        <v>2</v>
      </c>
      <c r="D141" s="18">
        <v>0.10100000000000001</v>
      </c>
      <c r="E141" s="21">
        <f t="shared" si="12"/>
        <v>8.0504703073109862E-3</v>
      </c>
      <c r="F141" s="5">
        <v>38855</v>
      </c>
      <c r="G141" s="5">
        <v>40439</v>
      </c>
      <c r="H141" s="16">
        <f t="shared" si="13"/>
        <v>1584</v>
      </c>
      <c r="I141" s="5">
        <v>40439</v>
      </c>
      <c r="J141" s="5">
        <v>39331</v>
      </c>
      <c r="K141" s="16">
        <f t="shared" si="14"/>
        <v>476</v>
      </c>
      <c r="L141" s="13">
        <v>50000</v>
      </c>
      <c r="M141" s="15">
        <f t="shared" si="10"/>
        <v>1166.1970234227022</v>
      </c>
      <c r="N141" s="13">
        <v>50000</v>
      </c>
      <c r="O141" s="13">
        <v>0</v>
      </c>
      <c r="P141" s="11">
        <f t="shared" si="11"/>
        <v>0</v>
      </c>
    </row>
    <row r="142" spans="1:16" ht="18.75" hidden="1" customHeight="1" thickBot="1" x14ac:dyDescent="0.3">
      <c r="A142" s="3" t="s">
        <v>1</v>
      </c>
      <c r="B142" s="4">
        <v>152728</v>
      </c>
      <c r="C142" s="3" t="s">
        <v>2</v>
      </c>
      <c r="D142" s="18">
        <v>0.10249999999999999</v>
      </c>
      <c r="E142" s="21">
        <f t="shared" si="12"/>
        <v>8.1648460519010424E-3</v>
      </c>
      <c r="F142" s="5">
        <v>38855</v>
      </c>
      <c r="G142" s="5">
        <v>39220</v>
      </c>
      <c r="H142" s="16">
        <f t="shared" si="13"/>
        <v>365</v>
      </c>
      <c r="I142" s="5">
        <v>39220</v>
      </c>
      <c r="J142" s="2"/>
      <c r="K142" s="16">
        <f t="shared" si="14"/>
        <v>-38855</v>
      </c>
      <c r="L142" s="13">
        <v>4931.13</v>
      </c>
      <c r="M142" s="15">
        <f t="shared" si="10"/>
        <v>427.41356235643559</v>
      </c>
      <c r="N142" s="13">
        <v>4931.13</v>
      </c>
      <c r="O142" s="13">
        <v>0</v>
      </c>
      <c r="P142" s="11">
        <f t="shared" si="11"/>
        <v>0</v>
      </c>
    </row>
    <row r="143" spans="1:16" ht="18.75" customHeight="1" thickBot="1" x14ac:dyDescent="0.3">
      <c r="A143" s="3" t="s">
        <v>1</v>
      </c>
      <c r="B143" s="4">
        <v>618724</v>
      </c>
      <c r="C143" s="3" t="s">
        <v>2</v>
      </c>
      <c r="D143" s="18">
        <v>0.09</v>
      </c>
      <c r="E143" s="21">
        <f t="shared" si="12"/>
        <v>7.2073233161367156E-3</v>
      </c>
      <c r="F143" s="5">
        <v>38862</v>
      </c>
      <c r="G143" s="5">
        <v>39897</v>
      </c>
      <c r="H143" s="16">
        <f t="shared" si="13"/>
        <v>1035</v>
      </c>
      <c r="I143" s="5">
        <v>39897</v>
      </c>
      <c r="J143" s="5">
        <v>39854</v>
      </c>
      <c r="K143" s="16">
        <f t="shared" si="14"/>
        <v>992</v>
      </c>
      <c r="L143" s="13">
        <v>213006.69</v>
      </c>
      <c r="M143" s="15">
        <f t="shared" si="10"/>
        <v>6995.5984202364925</v>
      </c>
      <c r="N143" s="13">
        <v>213006.69</v>
      </c>
      <c r="O143" s="13">
        <v>0</v>
      </c>
      <c r="P143" s="11">
        <f t="shared" si="11"/>
        <v>0</v>
      </c>
    </row>
    <row r="144" spans="1:16" ht="18.75" customHeight="1" thickBot="1" x14ac:dyDescent="0.3">
      <c r="A144" s="3" t="s">
        <v>1</v>
      </c>
      <c r="B144" s="4">
        <v>363729</v>
      </c>
      <c r="C144" s="3" t="s">
        <v>2</v>
      </c>
      <c r="D144" s="18">
        <v>0.105</v>
      </c>
      <c r="E144" s="21">
        <f t="shared" si="12"/>
        <v>8.355155683635207E-3</v>
      </c>
      <c r="F144" s="5">
        <v>38873</v>
      </c>
      <c r="G144" s="5">
        <v>40339</v>
      </c>
      <c r="H144" s="16">
        <f t="shared" si="13"/>
        <v>1466</v>
      </c>
      <c r="I144" s="5">
        <v>40339</v>
      </c>
      <c r="J144" s="5">
        <v>40318</v>
      </c>
      <c r="K144" s="16">
        <f t="shared" si="14"/>
        <v>1445</v>
      </c>
      <c r="L144" s="13">
        <v>2249.66</v>
      </c>
      <c r="M144" s="15">
        <f t="shared" si="10"/>
        <v>56.262003591132405</v>
      </c>
      <c r="N144" s="13">
        <v>2249.66</v>
      </c>
      <c r="O144" s="13">
        <v>0</v>
      </c>
      <c r="P144" s="11">
        <f t="shared" si="11"/>
        <v>0</v>
      </c>
    </row>
    <row r="145" spans="1:16" ht="18.75" customHeight="1" thickBot="1" x14ac:dyDescent="0.3">
      <c r="A145" s="3" t="s">
        <v>1</v>
      </c>
      <c r="B145" s="4">
        <v>339189</v>
      </c>
      <c r="C145" s="3" t="s">
        <v>2</v>
      </c>
      <c r="D145" s="18">
        <v>9.5000000000000001E-2</v>
      </c>
      <c r="E145" s="21">
        <f t="shared" si="12"/>
        <v>7.5915342905825689E-3</v>
      </c>
      <c r="F145" s="5">
        <v>38985</v>
      </c>
      <c r="G145" s="5">
        <v>41289</v>
      </c>
      <c r="H145" s="16">
        <f t="shared" si="13"/>
        <v>2304</v>
      </c>
      <c r="I145" s="5">
        <v>41289</v>
      </c>
      <c r="J145" s="5">
        <v>41579</v>
      </c>
      <c r="K145" s="16">
        <f t="shared" si="14"/>
        <v>2594</v>
      </c>
      <c r="L145" s="13">
        <v>20000</v>
      </c>
      <c r="M145" s="15">
        <f t="shared" si="10"/>
        <v>344.6272114124053</v>
      </c>
      <c r="N145" s="13">
        <v>20000</v>
      </c>
      <c r="O145" s="13">
        <v>0</v>
      </c>
      <c r="P145" s="11">
        <f t="shared" si="11"/>
        <v>0</v>
      </c>
    </row>
    <row r="146" spans="1:16" ht="18.75" customHeight="1" thickBot="1" x14ac:dyDescent="0.3">
      <c r="A146" s="3" t="s">
        <v>1</v>
      </c>
      <c r="B146" s="4">
        <v>685098</v>
      </c>
      <c r="C146" s="3" t="s">
        <v>2</v>
      </c>
      <c r="D146" s="18">
        <v>0.05</v>
      </c>
      <c r="E146" s="21">
        <f t="shared" si="12"/>
        <v>4.0741237836483535E-3</v>
      </c>
      <c r="F146" s="5">
        <v>39090</v>
      </c>
      <c r="G146" s="5">
        <v>40816</v>
      </c>
      <c r="H146" s="16">
        <f t="shared" si="13"/>
        <v>1726</v>
      </c>
      <c r="I146" s="5">
        <v>40816</v>
      </c>
      <c r="J146" s="5">
        <v>43654</v>
      </c>
      <c r="K146" s="16">
        <f t="shared" si="14"/>
        <v>4564</v>
      </c>
      <c r="L146" s="13">
        <v>42648.76</v>
      </c>
      <c r="M146" s="15">
        <f t="shared" si="10"/>
        <v>833.05905288173733</v>
      </c>
      <c r="N146" s="13">
        <v>40658.699999999997</v>
      </c>
      <c r="O146" s="13">
        <v>38995.9</v>
      </c>
      <c r="P146" s="11">
        <f t="shared" si="11"/>
        <v>0</v>
      </c>
    </row>
    <row r="147" spans="1:16" ht="18.75" customHeight="1" thickBot="1" x14ac:dyDescent="0.3">
      <c r="A147" s="3" t="s">
        <v>1</v>
      </c>
      <c r="B147" s="4">
        <v>250565</v>
      </c>
      <c r="C147" s="3" t="s">
        <v>2</v>
      </c>
      <c r="D147" s="18">
        <v>9.5000000000000001E-2</v>
      </c>
      <c r="E147" s="21">
        <f t="shared" si="12"/>
        <v>7.5915342905825689E-3</v>
      </c>
      <c r="F147" s="5">
        <v>39098</v>
      </c>
      <c r="G147" s="5">
        <v>40559</v>
      </c>
      <c r="H147" s="16">
        <f t="shared" si="13"/>
        <v>1461</v>
      </c>
      <c r="I147" s="5">
        <v>40559</v>
      </c>
      <c r="J147" s="5">
        <v>40318</v>
      </c>
      <c r="K147" s="16">
        <f t="shared" si="14"/>
        <v>1220</v>
      </c>
      <c r="L147" s="13">
        <v>5758.47</v>
      </c>
      <c r="M147" s="15">
        <f t="shared" si="10"/>
        <v>141.88853163444597</v>
      </c>
      <c r="N147" s="13">
        <v>5758.47</v>
      </c>
      <c r="O147" s="13">
        <v>0</v>
      </c>
      <c r="P147" s="11">
        <f t="shared" si="11"/>
        <v>0</v>
      </c>
    </row>
    <row r="148" spans="1:16" ht="18.75" customHeight="1" thickBot="1" x14ac:dyDescent="0.3">
      <c r="A148" s="3" t="s">
        <v>1</v>
      </c>
      <c r="B148" s="4">
        <v>612362</v>
      </c>
      <c r="C148" s="3" t="s">
        <v>2</v>
      </c>
      <c r="D148" s="18">
        <v>9.5000000000000001E-2</v>
      </c>
      <c r="E148" s="21">
        <f t="shared" si="12"/>
        <v>7.5915342905825689E-3</v>
      </c>
      <c r="F148" s="5">
        <v>39150</v>
      </c>
      <c r="G148" s="5">
        <v>40430</v>
      </c>
      <c r="H148" s="16">
        <f t="shared" si="13"/>
        <v>1280</v>
      </c>
      <c r="I148" s="5">
        <v>40430</v>
      </c>
      <c r="J148" s="5">
        <v>40078</v>
      </c>
      <c r="K148" s="16">
        <f t="shared" si="14"/>
        <v>928</v>
      </c>
      <c r="L148" s="13">
        <v>35000</v>
      </c>
      <c r="M148" s="15">
        <f t="shared" si="10"/>
        <v>963.40659289875384</v>
      </c>
      <c r="N148" s="13">
        <v>35000</v>
      </c>
      <c r="O148" s="13">
        <v>0</v>
      </c>
      <c r="P148" s="11">
        <f t="shared" si="11"/>
        <v>0</v>
      </c>
    </row>
    <row r="149" spans="1:16" ht="18.75" customHeight="1" thickBot="1" x14ac:dyDescent="0.3">
      <c r="A149" s="3" t="s">
        <v>1</v>
      </c>
      <c r="B149" s="4">
        <v>579790</v>
      </c>
      <c r="C149" s="3" t="s">
        <v>2</v>
      </c>
      <c r="D149" s="18">
        <v>9.5000000000000001E-2</v>
      </c>
      <c r="E149" s="21">
        <f t="shared" si="12"/>
        <v>7.5915342905825689E-3</v>
      </c>
      <c r="F149" s="5">
        <v>39155</v>
      </c>
      <c r="G149" s="5">
        <v>41592</v>
      </c>
      <c r="H149" s="16">
        <f t="shared" si="13"/>
        <v>2437</v>
      </c>
      <c r="I149" s="5">
        <v>41592</v>
      </c>
      <c r="J149" s="5">
        <v>41520</v>
      </c>
      <c r="K149" s="16">
        <f t="shared" si="14"/>
        <v>2365</v>
      </c>
      <c r="L149" s="13">
        <v>9999.5</v>
      </c>
      <c r="M149" s="15">
        <f t="shared" si="10"/>
        <v>165.38061494211985</v>
      </c>
      <c r="N149" s="13">
        <v>9999.5</v>
      </c>
      <c r="O149" s="13">
        <v>0</v>
      </c>
      <c r="P149" s="11">
        <f t="shared" si="11"/>
        <v>0</v>
      </c>
    </row>
    <row r="150" spans="1:16" ht="18.75" customHeight="1" thickBot="1" x14ac:dyDescent="0.3">
      <c r="A150" s="3" t="s">
        <v>1</v>
      </c>
      <c r="B150" s="4">
        <v>489020</v>
      </c>
      <c r="C150" s="3" t="s">
        <v>2</v>
      </c>
      <c r="D150" s="18">
        <v>0.1</v>
      </c>
      <c r="E150" s="21">
        <f t="shared" si="12"/>
        <v>7.9741404289037643E-3</v>
      </c>
      <c r="F150" s="5">
        <v>39189</v>
      </c>
      <c r="G150" s="5">
        <v>43449</v>
      </c>
      <c r="H150" s="16">
        <f t="shared" si="13"/>
        <v>4260</v>
      </c>
      <c r="I150" s="5">
        <v>43449</v>
      </c>
      <c r="J150" s="5">
        <v>43502</v>
      </c>
      <c r="K150" s="16">
        <f t="shared" si="14"/>
        <v>4313</v>
      </c>
      <c r="L150" s="13">
        <v>23575.67</v>
      </c>
      <c r="M150" s="15">
        <f t="shared" si="10"/>
        <v>277.99022831073194</v>
      </c>
      <c r="N150" s="13">
        <v>23575.67</v>
      </c>
      <c r="O150" s="13">
        <v>0</v>
      </c>
      <c r="P150" s="11">
        <f t="shared" si="11"/>
        <v>1</v>
      </c>
    </row>
    <row r="151" spans="1:16" ht="18.75" customHeight="1" thickBot="1" x14ac:dyDescent="0.3">
      <c r="A151" s="3" t="s">
        <v>1</v>
      </c>
      <c r="B151" s="4">
        <v>945054</v>
      </c>
      <c r="C151" s="3" t="s">
        <v>2</v>
      </c>
      <c r="D151" s="18">
        <v>9.7500000000000003E-2</v>
      </c>
      <c r="E151" s="21">
        <f t="shared" si="12"/>
        <v>7.7830370878799737E-3</v>
      </c>
      <c r="F151" s="5">
        <v>39297</v>
      </c>
      <c r="G151" s="5">
        <v>43376</v>
      </c>
      <c r="H151" s="16">
        <f t="shared" si="13"/>
        <v>4079</v>
      </c>
      <c r="I151" s="5">
        <v>43376</v>
      </c>
      <c r="J151" s="5">
        <v>43496</v>
      </c>
      <c r="K151" s="16">
        <f t="shared" si="14"/>
        <v>4199</v>
      </c>
      <c r="L151" s="13">
        <v>38206.980000000003</v>
      </c>
      <c r="M151" s="15">
        <f t="shared" si="10"/>
        <v>456.42857065802559</v>
      </c>
      <c r="N151" s="13">
        <v>38206.980000000003</v>
      </c>
      <c r="O151" s="13">
        <v>25900</v>
      </c>
      <c r="P151" s="11">
        <f t="shared" si="11"/>
        <v>1</v>
      </c>
    </row>
    <row r="152" spans="1:16" ht="18.75" customHeight="1" thickBot="1" x14ac:dyDescent="0.3">
      <c r="A152" s="3" t="s">
        <v>1</v>
      </c>
      <c r="B152" s="4">
        <v>17712</v>
      </c>
      <c r="C152" s="3" t="s">
        <v>2</v>
      </c>
      <c r="D152" s="18">
        <v>0.1</v>
      </c>
      <c r="E152" s="21">
        <f t="shared" si="12"/>
        <v>7.9741404289037643E-3</v>
      </c>
      <c r="F152" s="5">
        <v>39344</v>
      </c>
      <c r="G152" s="5">
        <v>41171</v>
      </c>
      <c r="H152" s="16">
        <f t="shared" si="13"/>
        <v>1827</v>
      </c>
      <c r="I152" s="5">
        <v>41171</v>
      </c>
      <c r="J152" s="5">
        <v>39969</v>
      </c>
      <c r="K152" s="16">
        <f t="shared" si="14"/>
        <v>625</v>
      </c>
      <c r="L152" s="13">
        <v>7326.55</v>
      </c>
      <c r="M152" s="15">
        <f t="shared" si="10"/>
        <v>152.34089012782229</v>
      </c>
      <c r="N152" s="13">
        <v>7326.55</v>
      </c>
      <c r="O152" s="13">
        <v>0</v>
      </c>
      <c r="P152" s="11">
        <f t="shared" si="11"/>
        <v>0</v>
      </c>
    </row>
    <row r="153" spans="1:16" ht="18.75" customHeight="1" thickBot="1" x14ac:dyDescent="0.3">
      <c r="A153" s="3" t="s">
        <v>1</v>
      </c>
      <c r="B153" s="4">
        <v>20551</v>
      </c>
      <c r="C153" s="3" t="s">
        <v>2</v>
      </c>
      <c r="D153" s="18">
        <v>0.1</v>
      </c>
      <c r="E153" s="21">
        <f t="shared" si="12"/>
        <v>7.9741404289037643E-3</v>
      </c>
      <c r="F153" s="5">
        <v>39370</v>
      </c>
      <c r="G153" s="5">
        <v>41654</v>
      </c>
      <c r="H153" s="16">
        <f t="shared" si="13"/>
        <v>2284</v>
      </c>
      <c r="I153" s="5">
        <v>41654</v>
      </c>
      <c r="J153" s="5">
        <v>40653</v>
      </c>
      <c r="K153" s="16">
        <f t="shared" si="14"/>
        <v>1283</v>
      </c>
      <c r="L153" s="13">
        <v>111567.44</v>
      </c>
      <c r="M153" s="15">
        <f t="shared" si="10"/>
        <v>1960.643529565355</v>
      </c>
      <c r="N153" s="13">
        <v>111567.44</v>
      </c>
      <c r="O153" s="13">
        <v>0</v>
      </c>
      <c r="P153" s="11">
        <f t="shared" si="11"/>
        <v>0</v>
      </c>
    </row>
    <row r="154" spans="1:16" ht="18.75" customHeight="1" thickBot="1" x14ac:dyDescent="0.3">
      <c r="A154" s="3" t="s">
        <v>1</v>
      </c>
      <c r="B154" s="4">
        <v>821418</v>
      </c>
      <c r="C154" s="3" t="s">
        <v>2</v>
      </c>
      <c r="D154" s="18">
        <v>9.7500000000000003E-2</v>
      </c>
      <c r="E154" s="21">
        <f t="shared" si="12"/>
        <v>7.7830370878799737E-3</v>
      </c>
      <c r="F154" s="5">
        <v>39350</v>
      </c>
      <c r="G154" s="5">
        <v>40066</v>
      </c>
      <c r="H154" s="16">
        <f t="shared" si="13"/>
        <v>716</v>
      </c>
      <c r="I154" s="5">
        <v>40066</v>
      </c>
      <c r="J154" s="5">
        <v>39721</v>
      </c>
      <c r="K154" s="16">
        <f t="shared" si="14"/>
        <v>371</v>
      </c>
      <c r="L154" s="13">
        <v>50000</v>
      </c>
      <c r="M154" s="15">
        <f t="shared" si="10"/>
        <v>2303.6872533349701</v>
      </c>
      <c r="N154" s="13">
        <v>50000</v>
      </c>
      <c r="O154" s="13">
        <v>0</v>
      </c>
      <c r="P154" s="11">
        <f t="shared" si="11"/>
        <v>0</v>
      </c>
    </row>
    <row r="155" spans="1:16" ht="18.75" customHeight="1" thickBot="1" x14ac:dyDescent="0.3">
      <c r="A155" s="3" t="s">
        <v>1</v>
      </c>
      <c r="B155" s="4">
        <v>813392</v>
      </c>
      <c r="C155" s="3" t="s">
        <v>2</v>
      </c>
      <c r="D155" s="18">
        <v>0.09</v>
      </c>
      <c r="E155" s="21">
        <f t="shared" si="12"/>
        <v>7.2073233161367156E-3</v>
      </c>
      <c r="F155" s="5">
        <v>39365</v>
      </c>
      <c r="G155" s="5">
        <v>41343</v>
      </c>
      <c r="H155" s="16">
        <f t="shared" si="13"/>
        <v>1978</v>
      </c>
      <c r="I155" s="5">
        <v>41343</v>
      </c>
      <c r="J155" s="5">
        <v>39717</v>
      </c>
      <c r="K155" s="16">
        <f t="shared" si="14"/>
        <v>352</v>
      </c>
      <c r="L155" s="13">
        <v>200000</v>
      </c>
      <c r="M155" s="15">
        <f t="shared" si="10"/>
        <v>3821.6837291688698</v>
      </c>
      <c r="N155" s="13">
        <v>200000</v>
      </c>
      <c r="O155" s="13">
        <v>0</v>
      </c>
      <c r="P155" s="11">
        <f t="shared" si="11"/>
        <v>0</v>
      </c>
    </row>
    <row r="156" spans="1:16" ht="18.75" customHeight="1" thickBot="1" x14ac:dyDescent="0.3">
      <c r="A156" s="3" t="s">
        <v>1</v>
      </c>
      <c r="B156" s="4">
        <v>647884</v>
      </c>
      <c r="C156" s="3" t="s">
        <v>2</v>
      </c>
      <c r="D156" s="18">
        <v>9.5000000000000001E-2</v>
      </c>
      <c r="E156" s="21">
        <f t="shared" si="12"/>
        <v>7.5915342905825689E-3</v>
      </c>
      <c r="F156" s="5">
        <v>39415</v>
      </c>
      <c r="G156" s="5">
        <v>41303</v>
      </c>
      <c r="H156" s="16">
        <f t="shared" si="13"/>
        <v>1888</v>
      </c>
      <c r="I156" s="5">
        <v>41303</v>
      </c>
      <c r="J156" s="5">
        <v>40694</v>
      </c>
      <c r="K156" s="16">
        <f t="shared" si="14"/>
        <v>1279</v>
      </c>
      <c r="L156" s="13">
        <v>6930.45</v>
      </c>
      <c r="M156" s="15">
        <f t="shared" si="10"/>
        <v>138.92647107783412</v>
      </c>
      <c r="N156" s="13">
        <v>6930.45</v>
      </c>
      <c r="O156" s="13">
        <v>0</v>
      </c>
      <c r="P156" s="11">
        <f t="shared" si="11"/>
        <v>0</v>
      </c>
    </row>
    <row r="157" spans="1:16" ht="18.75" customHeight="1" thickBot="1" x14ac:dyDescent="0.3">
      <c r="A157" s="3" t="s">
        <v>1</v>
      </c>
      <c r="B157" s="4">
        <v>994905</v>
      </c>
      <c r="C157" s="3" t="s">
        <v>2</v>
      </c>
      <c r="D157" s="18">
        <v>0.1</v>
      </c>
      <c r="E157" s="21">
        <f t="shared" si="12"/>
        <v>7.9741404289037643E-3</v>
      </c>
      <c r="F157" s="5">
        <v>39430</v>
      </c>
      <c r="G157" s="5">
        <v>41258</v>
      </c>
      <c r="H157" s="16">
        <f t="shared" si="13"/>
        <v>1828</v>
      </c>
      <c r="I157" s="5">
        <v>41258</v>
      </c>
      <c r="J157" s="5">
        <v>39786</v>
      </c>
      <c r="K157" s="16">
        <f t="shared" si="14"/>
        <v>356</v>
      </c>
      <c r="L157" s="13">
        <v>12904.96</v>
      </c>
      <c r="M157" s="15">
        <f t="shared" si="10"/>
        <v>268.218581692307</v>
      </c>
      <c r="N157" s="13">
        <v>12904.96</v>
      </c>
      <c r="O157" s="13">
        <v>0</v>
      </c>
      <c r="P157" s="11">
        <f t="shared" si="11"/>
        <v>0</v>
      </c>
    </row>
    <row r="158" spans="1:16" ht="18.75" customHeight="1" thickBot="1" x14ac:dyDescent="0.3">
      <c r="A158" s="3" t="s">
        <v>1</v>
      </c>
      <c r="B158" s="4">
        <v>738486</v>
      </c>
      <c r="C158" s="3" t="s">
        <v>2</v>
      </c>
      <c r="D158" s="18">
        <v>0.1</v>
      </c>
      <c r="E158" s="21">
        <f t="shared" si="12"/>
        <v>7.9741404289037643E-3</v>
      </c>
      <c r="F158" s="5">
        <v>39442</v>
      </c>
      <c r="G158" s="5">
        <v>43277</v>
      </c>
      <c r="H158" s="16">
        <f t="shared" si="13"/>
        <v>3835</v>
      </c>
      <c r="I158" s="5">
        <v>43277</v>
      </c>
      <c r="J158" s="5">
        <v>43496</v>
      </c>
      <c r="K158" s="16">
        <f t="shared" si="14"/>
        <v>4054</v>
      </c>
      <c r="L158" s="13">
        <v>17423.64</v>
      </c>
      <c r="M158" s="15">
        <f t="shared" si="10"/>
        <v>217.87008195103004</v>
      </c>
      <c r="N158" s="13">
        <v>17423.64</v>
      </c>
      <c r="O158" s="13">
        <v>0</v>
      </c>
      <c r="P158" s="11">
        <f t="shared" si="11"/>
        <v>1</v>
      </c>
    </row>
    <row r="159" spans="1:16" ht="18.75" customHeight="1" thickBot="1" x14ac:dyDescent="0.3">
      <c r="A159" s="3" t="s">
        <v>1</v>
      </c>
      <c r="B159" s="4">
        <v>817143</v>
      </c>
      <c r="C159" s="3" t="s">
        <v>2</v>
      </c>
      <c r="D159" s="18">
        <v>0.1</v>
      </c>
      <c r="E159" s="21">
        <f t="shared" si="12"/>
        <v>7.9741404289037643E-3</v>
      </c>
      <c r="F159" s="5">
        <v>39444</v>
      </c>
      <c r="G159" s="5">
        <v>41072</v>
      </c>
      <c r="H159" s="16">
        <f t="shared" si="13"/>
        <v>1628</v>
      </c>
      <c r="I159" s="5">
        <v>41072</v>
      </c>
      <c r="J159" s="5">
        <v>39969</v>
      </c>
      <c r="K159" s="16">
        <f t="shared" si="14"/>
        <v>525</v>
      </c>
      <c r="L159" s="13">
        <v>2815.19</v>
      </c>
      <c r="M159" s="15">
        <f t="shared" si="10"/>
        <v>64.111712635707889</v>
      </c>
      <c r="N159" s="13">
        <v>2815.19</v>
      </c>
      <c r="O159" s="13">
        <v>0</v>
      </c>
      <c r="P159" s="11">
        <f t="shared" si="11"/>
        <v>0</v>
      </c>
    </row>
    <row r="160" spans="1:16" ht="18.75" customHeight="1" thickBot="1" x14ac:dyDescent="0.3">
      <c r="A160" s="3" t="s">
        <v>1</v>
      </c>
      <c r="B160" s="4">
        <v>101136</v>
      </c>
      <c r="C160" s="3" t="s">
        <v>2</v>
      </c>
      <c r="D160" s="18">
        <v>0.1</v>
      </c>
      <c r="E160" s="21">
        <f t="shared" si="12"/>
        <v>7.9741404289037643E-3</v>
      </c>
      <c r="F160" s="5">
        <v>39506</v>
      </c>
      <c r="G160" s="5">
        <v>41983</v>
      </c>
      <c r="H160" s="16">
        <f t="shared" si="13"/>
        <v>2477</v>
      </c>
      <c r="I160" s="5">
        <v>41983</v>
      </c>
      <c r="J160" s="5">
        <v>41953</v>
      </c>
      <c r="K160" s="16">
        <f t="shared" si="14"/>
        <v>2447</v>
      </c>
      <c r="L160" s="13">
        <v>24323.9</v>
      </c>
      <c r="M160" s="15">
        <f t="shared" si="10"/>
        <v>403.2758327566886</v>
      </c>
      <c r="N160" s="13">
        <v>24323.9</v>
      </c>
      <c r="O160" s="13">
        <v>0</v>
      </c>
      <c r="P160" s="11">
        <f t="shared" si="11"/>
        <v>0</v>
      </c>
    </row>
    <row r="161" spans="1:16" ht="18.75" hidden="1" customHeight="1" thickBot="1" x14ac:dyDescent="0.3">
      <c r="A161" s="3" t="s">
        <v>1</v>
      </c>
      <c r="B161" s="4">
        <v>972580</v>
      </c>
      <c r="C161" s="3" t="s">
        <v>2</v>
      </c>
      <c r="D161" s="18">
        <v>0.09</v>
      </c>
      <c r="E161" s="21">
        <f t="shared" si="12"/>
        <v>7.2073233161367156E-3</v>
      </c>
      <c r="F161" s="5">
        <v>39535</v>
      </c>
      <c r="G161" s="5">
        <v>39900</v>
      </c>
      <c r="H161" s="16">
        <f t="shared" si="13"/>
        <v>365</v>
      </c>
      <c r="I161" s="5">
        <v>39900</v>
      </c>
      <c r="J161" s="2"/>
      <c r="K161" s="16">
        <f t="shared" si="14"/>
        <v>-39535</v>
      </c>
      <c r="L161" s="13">
        <v>106200</v>
      </c>
      <c r="M161" s="15">
        <f t="shared" si="10"/>
        <v>9148.4663292411569</v>
      </c>
      <c r="N161" s="13">
        <v>106200</v>
      </c>
      <c r="O161" s="13">
        <v>0</v>
      </c>
      <c r="P161" s="11">
        <f t="shared" si="11"/>
        <v>0</v>
      </c>
    </row>
    <row r="162" spans="1:16" ht="18.75" customHeight="1" thickBot="1" x14ac:dyDescent="0.3">
      <c r="A162" s="3" t="s">
        <v>1</v>
      </c>
      <c r="B162" s="4">
        <v>23857</v>
      </c>
      <c r="C162" s="3" t="s">
        <v>2</v>
      </c>
      <c r="D162" s="18">
        <v>9.7500000000000003E-2</v>
      </c>
      <c r="E162" s="21">
        <f t="shared" si="12"/>
        <v>7.7830370878799737E-3</v>
      </c>
      <c r="F162" s="5">
        <v>39552</v>
      </c>
      <c r="G162" s="5">
        <v>40465</v>
      </c>
      <c r="H162" s="16">
        <f t="shared" si="13"/>
        <v>913</v>
      </c>
      <c r="I162" s="5">
        <v>40465</v>
      </c>
      <c r="J162" s="5">
        <v>41541</v>
      </c>
      <c r="K162" s="16">
        <f t="shared" si="14"/>
        <v>1989</v>
      </c>
      <c r="L162" s="13">
        <v>1035689.72</v>
      </c>
      <c r="M162" s="15">
        <f t="shared" si="10"/>
        <v>38352.440845112811</v>
      </c>
      <c r="N162" s="13">
        <v>1035689.72</v>
      </c>
      <c r="O162" s="13">
        <v>0</v>
      </c>
      <c r="P162" s="11">
        <f t="shared" si="11"/>
        <v>0</v>
      </c>
    </row>
    <row r="163" spans="1:16" ht="18.75" customHeight="1" thickBot="1" x14ac:dyDescent="0.3">
      <c r="A163" s="3" t="s">
        <v>1</v>
      </c>
      <c r="B163" s="4">
        <v>927488</v>
      </c>
      <c r="C163" s="3" t="s">
        <v>2</v>
      </c>
      <c r="D163" s="18">
        <v>9.5000000000000001E-2</v>
      </c>
      <c r="E163" s="21">
        <f t="shared" si="12"/>
        <v>7.5915342905825689E-3</v>
      </c>
      <c r="F163" s="5">
        <v>39553</v>
      </c>
      <c r="G163" s="5">
        <v>40466</v>
      </c>
      <c r="H163" s="16">
        <f t="shared" si="13"/>
        <v>913</v>
      </c>
      <c r="I163" s="5">
        <v>40466</v>
      </c>
      <c r="J163" s="5">
        <v>40177</v>
      </c>
      <c r="K163" s="16">
        <f t="shared" si="14"/>
        <v>624</v>
      </c>
      <c r="L163" s="13">
        <v>24859.98</v>
      </c>
      <c r="M163" s="15">
        <f t="shared" si="10"/>
        <v>917.94284650936061</v>
      </c>
      <c r="N163" s="13">
        <v>24859.98</v>
      </c>
      <c r="O163" s="13">
        <v>0</v>
      </c>
      <c r="P163" s="11">
        <f t="shared" si="11"/>
        <v>0</v>
      </c>
    </row>
    <row r="164" spans="1:16" ht="18.75" customHeight="1" thickBot="1" x14ac:dyDescent="0.3">
      <c r="A164" s="3" t="s">
        <v>1</v>
      </c>
      <c r="B164" s="4">
        <v>476867</v>
      </c>
      <c r="C164" s="3" t="s">
        <v>2</v>
      </c>
      <c r="D164" s="18">
        <v>9.7500000000000003E-2</v>
      </c>
      <c r="E164" s="21">
        <f t="shared" si="12"/>
        <v>7.7830370878799737E-3</v>
      </c>
      <c r="F164" s="5">
        <v>39596</v>
      </c>
      <c r="G164" s="5">
        <v>40251</v>
      </c>
      <c r="H164" s="16">
        <f t="shared" si="13"/>
        <v>655</v>
      </c>
      <c r="I164" s="5">
        <v>40251</v>
      </c>
      <c r="J164" s="5">
        <v>40213</v>
      </c>
      <c r="K164" s="16">
        <f t="shared" si="14"/>
        <v>617</v>
      </c>
      <c r="L164" s="13">
        <v>288011.61</v>
      </c>
      <c r="M164" s="15">
        <f t="shared" si="10"/>
        <v>14395.047054323068</v>
      </c>
      <c r="N164" s="13">
        <v>288011.61</v>
      </c>
      <c r="O164" s="13">
        <v>0</v>
      </c>
      <c r="P164" s="11">
        <f t="shared" si="11"/>
        <v>0</v>
      </c>
    </row>
    <row r="165" spans="1:16" ht="18.75" customHeight="1" thickBot="1" x14ac:dyDescent="0.3">
      <c r="A165" s="3" t="s">
        <v>1</v>
      </c>
      <c r="B165" s="4">
        <v>839349</v>
      </c>
      <c r="C165" s="3" t="s">
        <v>2</v>
      </c>
      <c r="D165" s="18">
        <v>0.09</v>
      </c>
      <c r="E165" s="21">
        <f t="shared" si="12"/>
        <v>7.2073233161367156E-3</v>
      </c>
      <c r="F165" s="5">
        <v>39598</v>
      </c>
      <c r="G165" s="5">
        <v>43281</v>
      </c>
      <c r="H165" s="16">
        <f t="shared" si="13"/>
        <v>3683</v>
      </c>
      <c r="I165" s="5">
        <v>43281</v>
      </c>
      <c r="J165" s="5">
        <v>43005</v>
      </c>
      <c r="K165" s="16">
        <f t="shared" si="14"/>
        <v>3407</v>
      </c>
      <c r="L165" s="13">
        <v>21600</v>
      </c>
      <c r="M165" s="15">
        <f t="shared" si="10"/>
        <v>265.70816252465232</v>
      </c>
      <c r="N165" s="13">
        <v>21600</v>
      </c>
      <c r="O165" s="13">
        <v>0</v>
      </c>
      <c r="P165" s="11">
        <f t="shared" si="11"/>
        <v>1</v>
      </c>
    </row>
    <row r="166" spans="1:16" ht="18.75" customHeight="1" thickBot="1" x14ac:dyDescent="0.3">
      <c r="A166" s="3" t="s">
        <v>1</v>
      </c>
      <c r="B166" s="4">
        <v>38183</v>
      </c>
      <c r="C166" s="3" t="s">
        <v>2</v>
      </c>
      <c r="D166" s="18">
        <v>9.5000000000000001E-2</v>
      </c>
      <c r="E166" s="21">
        <f t="shared" si="12"/>
        <v>7.5915342905825689E-3</v>
      </c>
      <c r="F166" s="5">
        <v>39682</v>
      </c>
      <c r="G166" s="5">
        <v>41873</v>
      </c>
      <c r="H166" s="16">
        <f t="shared" si="13"/>
        <v>2191</v>
      </c>
      <c r="I166" s="5">
        <v>41873</v>
      </c>
      <c r="J166" s="5">
        <v>41491</v>
      </c>
      <c r="K166" s="16">
        <f t="shared" si="14"/>
        <v>1809</v>
      </c>
      <c r="L166" s="13">
        <v>13127.28</v>
      </c>
      <c r="M166" s="15">
        <f t="shared" si="10"/>
        <v>234.81704468609132</v>
      </c>
      <c r="N166" s="13">
        <v>13127.28</v>
      </c>
      <c r="O166" s="13">
        <v>0</v>
      </c>
      <c r="P166" s="11">
        <f t="shared" si="11"/>
        <v>0</v>
      </c>
    </row>
    <row r="167" spans="1:16" ht="18.75" customHeight="1" thickBot="1" x14ac:dyDescent="0.3">
      <c r="A167" s="3" t="s">
        <v>1</v>
      </c>
      <c r="B167" s="4">
        <v>990915</v>
      </c>
      <c r="C167" s="3" t="s">
        <v>2</v>
      </c>
      <c r="D167" s="18">
        <v>9.5000000000000001E-2</v>
      </c>
      <c r="E167" s="21">
        <f t="shared" si="12"/>
        <v>7.5915342905825689E-3</v>
      </c>
      <c r="F167" s="5">
        <v>39813</v>
      </c>
      <c r="G167" s="5">
        <v>40359</v>
      </c>
      <c r="H167" s="16">
        <f t="shared" si="13"/>
        <v>546</v>
      </c>
      <c r="I167" s="5">
        <v>40359</v>
      </c>
      <c r="J167" s="5">
        <v>40694</v>
      </c>
      <c r="K167" s="16">
        <f t="shared" si="14"/>
        <v>881</v>
      </c>
      <c r="L167" s="13">
        <v>24500</v>
      </c>
      <c r="M167" s="15">
        <f t="shared" si="10"/>
        <v>1446.386112597869</v>
      </c>
      <c r="N167" s="13">
        <v>24500</v>
      </c>
      <c r="O167" s="13">
        <v>0</v>
      </c>
      <c r="P167" s="11">
        <f t="shared" si="11"/>
        <v>0</v>
      </c>
    </row>
    <row r="168" spans="1:16" ht="18.75" customHeight="1" thickBot="1" x14ac:dyDescent="0.3">
      <c r="A168" s="3" t="s">
        <v>1</v>
      </c>
      <c r="B168" s="4">
        <v>684066</v>
      </c>
      <c r="C168" s="3" t="s">
        <v>2</v>
      </c>
      <c r="D168" s="18">
        <v>0.1</v>
      </c>
      <c r="E168" s="21">
        <f t="shared" si="12"/>
        <v>7.9741404289037643E-3</v>
      </c>
      <c r="F168" s="5">
        <v>39820</v>
      </c>
      <c r="G168" s="5">
        <v>42254</v>
      </c>
      <c r="H168" s="16">
        <f t="shared" si="13"/>
        <v>2434</v>
      </c>
      <c r="I168" s="5">
        <v>42254</v>
      </c>
      <c r="J168" s="5">
        <v>40456</v>
      </c>
      <c r="K168" s="16">
        <f t="shared" si="14"/>
        <v>636</v>
      </c>
      <c r="L168" s="13">
        <v>5710.84</v>
      </c>
      <c r="M168" s="15">
        <f t="shared" si="10"/>
        <v>95.866821327904645</v>
      </c>
      <c r="N168" s="13">
        <v>5710.84</v>
      </c>
      <c r="O168" s="13">
        <v>0</v>
      </c>
      <c r="P168" s="11">
        <f t="shared" si="11"/>
        <v>1</v>
      </c>
    </row>
    <row r="169" spans="1:16" ht="18.75" customHeight="1" thickBot="1" x14ac:dyDescent="0.3">
      <c r="A169" s="3" t="s">
        <v>1</v>
      </c>
      <c r="B169" s="4">
        <v>447079</v>
      </c>
      <c r="C169" s="3" t="s">
        <v>2</v>
      </c>
      <c r="D169" s="18">
        <v>0.1</v>
      </c>
      <c r="E169" s="21">
        <f t="shared" si="12"/>
        <v>7.9741404289037643E-3</v>
      </c>
      <c r="F169" s="5">
        <v>39867</v>
      </c>
      <c r="G169" s="5">
        <v>40474</v>
      </c>
      <c r="H169" s="16">
        <f t="shared" si="13"/>
        <v>607</v>
      </c>
      <c r="I169" s="5">
        <v>40474</v>
      </c>
      <c r="J169" s="5">
        <v>41855</v>
      </c>
      <c r="K169" s="16">
        <f t="shared" si="14"/>
        <v>1988</v>
      </c>
      <c r="L169" s="13">
        <v>26532</v>
      </c>
      <c r="M169" s="15">
        <f t="shared" si="10"/>
        <v>1425.1398771574006</v>
      </c>
      <c r="N169" s="13">
        <v>26532</v>
      </c>
      <c r="O169" s="13">
        <v>0</v>
      </c>
      <c r="P169" s="11">
        <f t="shared" si="11"/>
        <v>0</v>
      </c>
    </row>
    <row r="170" spans="1:16" ht="18.75" customHeight="1" thickBot="1" x14ac:dyDescent="0.3">
      <c r="A170" s="3" t="s">
        <v>1</v>
      </c>
      <c r="B170" s="4">
        <v>391535</v>
      </c>
      <c r="C170" s="3" t="s">
        <v>2</v>
      </c>
      <c r="D170" s="18">
        <v>9.5000000000000001E-2</v>
      </c>
      <c r="E170" s="21">
        <f t="shared" si="12"/>
        <v>7.5915342905825689E-3</v>
      </c>
      <c r="F170" s="5">
        <v>39876</v>
      </c>
      <c r="G170" s="5">
        <v>42067</v>
      </c>
      <c r="H170" s="16">
        <f t="shared" si="13"/>
        <v>2191</v>
      </c>
      <c r="I170" s="5">
        <v>42067</v>
      </c>
      <c r="J170" s="5">
        <v>42135</v>
      </c>
      <c r="K170" s="16">
        <f t="shared" si="14"/>
        <v>2259</v>
      </c>
      <c r="L170" s="13">
        <v>25000</v>
      </c>
      <c r="M170" s="15">
        <f t="shared" si="10"/>
        <v>447.19287751554646</v>
      </c>
      <c r="N170" s="13">
        <v>9356.52</v>
      </c>
      <c r="O170" s="13">
        <v>0</v>
      </c>
      <c r="P170" s="11">
        <f t="shared" si="11"/>
        <v>1</v>
      </c>
    </row>
    <row r="171" spans="1:16" ht="18.75" customHeight="1" thickBot="1" x14ac:dyDescent="0.3">
      <c r="A171" s="3" t="s">
        <v>1</v>
      </c>
      <c r="B171" s="4">
        <v>860225</v>
      </c>
      <c r="C171" s="3" t="s">
        <v>2</v>
      </c>
      <c r="D171" s="18">
        <v>0.09</v>
      </c>
      <c r="E171" s="21">
        <f t="shared" si="12"/>
        <v>7.2073233161367156E-3</v>
      </c>
      <c r="F171" s="5">
        <v>39895</v>
      </c>
      <c r="G171" s="5">
        <v>40260</v>
      </c>
      <c r="H171" s="16">
        <f t="shared" si="13"/>
        <v>365</v>
      </c>
      <c r="I171" s="5">
        <v>40260</v>
      </c>
      <c r="J171" s="5">
        <v>40546</v>
      </c>
      <c r="K171" s="16">
        <f t="shared" si="14"/>
        <v>651</v>
      </c>
      <c r="L171" s="13">
        <v>8906.7000000000007</v>
      </c>
      <c r="M171" s="15">
        <f t="shared" si="10"/>
        <v>767.25654477073658</v>
      </c>
      <c r="N171" s="13">
        <v>8906.7000000000007</v>
      </c>
      <c r="O171" s="13">
        <v>0</v>
      </c>
      <c r="P171" s="11">
        <f t="shared" si="11"/>
        <v>0</v>
      </c>
    </row>
    <row r="172" spans="1:16" ht="18.75" hidden="1" customHeight="1" thickBot="1" x14ac:dyDescent="0.3">
      <c r="A172" s="3" t="s">
        <v>1</v>
      </c>
      <c r="B172" s="4">
        <v>251915</v>
      </c>
      <c r="C172" s="3" t="s">
        <v>2</v>
      </c>
      <c r="D172" s="18">
        <v>0.105</v>
      </c>
      <c r="E172" s="21">
        <f t="shared" si="12"/>
        <v>8.355155683635207E-3</v>
      </c>
      <c r="F172" s="5">
        <v>39903</v>
      </c>
      <c r="G172" s="5">
        <v>40152</v>
      </c>
      <c r="H172" s="16">
        <f t="shared" si="13"/>
        <v>249</v>
      </c>
      <c r="I172" s="5">
        <v>40152</v>
      </c>
      <c r="J172" s="2"/>
      <c r="K172" s="16">
        <f t="shared" si="14"/>
        <v>-39903</v>
      </c>
      <c r="L172" s="13">
        <v>34100</v>
      </c>
      <c r="M172" s="15">
        <f t="shared" si="10"/>
        <v>4269.6681640867419</v>
      </c>
      <c r="N172" s="13">
        <v>34100</v>
      </c>
      <c r="O172" s="13">
        <v>0</v>
      </c>
      <c r="P172" s="11">
        <f t="shared" si="11"/>
        <v>0</v>
      </c>
    </row>
    <row r="173" spans="1:16" ht="18.75" customHeight="1" thickBot="1" x14ac:dyDescent="0.3">
      <c r="A173" s="3" t="s">
        <v>1</v>
      </c>
      <c r="B173" s="4">
        <v>339879</v>
      </c>
      <c r="C173" s="3" t="s">
        <v>2</v>
      </c>
      <c r="D173" s="18">
        <v>0.1</v>
      </c>
      <c r="E173" s="21">
        <f t="shared" si="12"/>
        <v>7.9741404289037643E-3</v>
      </c>
      <c r="F173" s="5">
        <v>39903</v>
      </c>
      <c r="G173" s="5">
        <v>43555</v>
      </c>
      <c r="H173" s="16">
        <f t="shared" si="13"/>
        <v>3652</v>
      </c>
      <c r="I173" s="5">
        <v>43555</v>
      </c>
      <c r="J173" s="5">
        <v>43496</v>
      </c>
      <c r="K173" s="16">
        <f t="shared" si="14"/>
        <v>3593</v>
      </c>
      <c r="L173" s="13">
        <v>10529.61</v>
      </c>
      <c r="M173" s="15">
        <f t="shared" si="10"/>
        <v>135.48616770436283</v>
      </c>
      <c r="N173" s="13">
        <v>10529.61</v>
      </c>
      <c r="O173" s="13">
        <v>0</v>
      </c>
      <c r="P173" s="11">
        <f t="shared" si="11"/>
        <v>1</v>
      </c>
    </row>
    <row r="174" spans="1:16" ht="18.75" customHeight="1" thickBot="1" x14ac:dyDescent="0.3">
      <c r="A174" s="3" t="s">
        <v>1</v>
      </c>
      <c r="B174" s="4">
        <v>394362</v>
      </c>
      <c r="C174" s="3" t="s">
        <v>2</v>
      </c>
      <c r="D174" s="18">
        <v>9.7500000000000003E-2</v>
      </c>
      <c r="E174" s="21">
        <f t="shared" si="12"/>
        <v>7.7830370878799737E-3</v>
      </c>
      <c r="F174" s="5">
        <v>39903</v>
      </c>
      <c r="G174" s="5">
        <v>40086</v>
      </c>
      <c r="H174" s="16">
        <f t="shared" si="13"/>
        <v>183</v>
      </c>
      <c r="I174" s="5">
        <v>40086</v>
      </c>
      <c r="J174" s="5">
        <v>39965</v>
      </c>
      <c r="K174" s="16">
        <f t="shared" si="14"/>
        <v>62</v>
      </c>
      <c r="L174" s="13">
        <v>60000</v>
      </c>
      <c r="M174" s="15">
        <f t="shared" si="10"/>
        <v>10109.62479458199</v>
      </c>
      <c r="N174" s="13">
        <v>60000</v>
      </c>
      <c r="O174" s="13">
        <v>0</v>
      </c>
      <c r="P174" s="11">
        <f t="shared" si="11"/>
        <v>0</v>
      </c>
    </row>
    <row r="175" spans="1:16" ht="18.75" customHeight="1" thickBot="1" x14ac:dyDescent="0.3">
      <c r="A175" s="3" t="s">
        <v>1</v>
      </c>
      <c r="B175" s="4">
        <v>880441</v>
      </c>
      <c r="C175" s="3" t="s">
        <v>2</v>
      </c>
      <c r="D175" s="18">
        <v>0.1</v>
      </c>
      <c r="E175" s="21">
        <f t="shared" si="12"/>
        <v>7.9741404289037643E-3</v>
      </c>
      <c r="F175" s="5">
        <v>39931</v>
      </c>
      <c r="G175" s="5">
        <v>42183</v>
      </c>
      <c r="H175" s="16">
        <f t="shared" si="13"/>
        <v>2252</v>
      </c>
      <c r="I175" s="5">
        <v>42183</v>
      </c>
      <c r="J175" s="5">
        <v>41638</v>
      </c>
      <c r="K175" s="16">
        <f t="shared" si="14"/>
        <v>1707</v>
      </c>
      <c r="L175" s="13">
        <v>23548.080000000002</v>
      </c>
      <c r="M175" s="15">
        <f t="shared" si="10"/>
        <v>418.1072741110807</v>
      </c>
      <c r="N175" s="13">
        <v>23548.080000000002</v>
      </c>
      <c r="O175" s="13">
        <v>0</v>
      </c>
      <c r="P175" s="11">
        <f t="shared" si="11"/>
        <v>1</v>
      </c>
    </row>
    <row r="176" spans="1:16" ht="18.75" customHeight="1" thickBot="1" x14ac:dyDescent="0.3">
      <c r="A176" s="3" t="s">
        <v>1</v>
      </c>
      <c r="B176" s="4">
        <v>463836</v>
      </c>
      <c r="C176" s="3" t="s">
        <v>2</v>
      </c>
      <c r="D176" s="18">
        <v>0.1</v>
      </c>
      <c r="E176" s="21">
        <f t="shared" si="12"/>
        <v>7.9741404289037643E-3</v>
      </c>
      <c r="F176" s="5">
        <v>39952</v>
      </c>
      <c r="G176" s="5">
        <v>41048</v>
      </c>
      <c r="H176" s="16">
        <f t="shared" si="13"/>
        <v>1096</v>
      </c>
      <c r="I176" s="5">
        <v>41048</v>
      </c>
      <c r="J176" s="5">
        <v>40686</v>
      </c>
      <c r="K176" s="16">
        <f t="shared" si="14"/>
        <v>734</v>
      </c>
      <c r="L176" s="13">
        <v>22075.67</v>
      </c>
      <c r="M176" s="15">
        <f t="shared" si="10"/>
        <v>698.93497726484463</v>
      </c>
      <c r="N176" s="13">
        <v>22075.67</v>
      </c>
      <c r="O176" s="13">
        <v>0</v>
      </c>
      <c r="P176" s="11">
        <f t="shared" si="11"/>
        <v>0</v>
      </c>
    </row>
    <row r="177" spans="1:16" ht="18.75" customHeight="1" thickBot="1" x14ac:dyDescent="0.3">
      <c r="A177" s="3" t="s">
        <v>1</v>
      </c>
      <c r="B177" s="4">
        <v>207212</v>
      </c>
      <c r="C177" s="3" t="s">
        <v>2</v>
      </c>
      <c r="D177" s="18">
        <v>0.1</v>
      </c>
      <c r="E177" s="21">
        <f t="shared" si="12"/>
        <v>7.9741404289037643E-3</v>
      </c>
      <c r="F177" s="5">
        <v>40078</v>
      </c>
      <c r="G177" s="5">
        <v>40443</v>
      </c>
      <c r="H177" s="16">
        <f t="shared" si="13"/>
        <v>365</v>
      </c>
      <c r="I177" s="5">
        <v>40443</v>
      </c>
      <c r="J177" s="5">
        <v>40752</v>
      </c>
      <c r="K177" s="16">
        <f t="shared" si="14"/>
        <v>674</v>
      </c>
      <c r="L177" s="13">
        <v>15000</v>
      </c>
      <c r="M177" s="15">
        <f t="shared" si="10"/>
        <v>1298.5548903833542</v>
      </c>
      <c r="N177" s="13">
        <v>15000</v>
      </c>
      <c r="O177" s="13">
        <v>0</v>
      </c>
      <c r="P177" s="11">
        <f t="shared" si="11"/>
        <v>0</v>
      </c>
    </row>
    <row r="178" spans="1:16" ht="18.75" customHeight="1" thickBot="1" x14ac:dyDescent="0.3">
      <c r="A178" s="3" t="s">
        <v>1</v>
      </c>
      <c r="B178" s="4">
        <v>866767</v>
      </c>
      <c r="C178" s="3" t="s">
        <v>2</v>
      </c>
      <c r="D178" s="18">
        <v>0.1</v>
      </c>
      <c r="E178" s="21">
        <f t="shared" si="12"/>
        <v>7.9741404289037643E-3</v>
      </c>
      <c r="F178" s="5">
        <v>40086</v>
      </c>
      <c r="G178" s="5">
        <v>43373</v>
      </c>
      <c r="H178" s="16">
        <f t="shared" si="13"/>
        <v>3287</v>
      </c>
      <c r="I178" s="5">
        <v>43373</v>
      </c>
      <c r="J178" s="5">
        <v>43496</v>
      </c>
      <c r="K178" s="16">
        <f t="shared" si="14"/>
        <v>3410</v>
      </c>
      <c r="L178" s="13">
        <v>18587.21</v>
      </c>
      <c r="M178" s="15">
        <f t="shared" si="10"/>
        <v>255.04228986822432</v>
      </c>
      <c r="N178" s="13">
        <v>18587.21</v>
      </c>
      <c r="O178" s="13">
        <v>0</v>
      </c>
      <c r="P178" s="11">
        <f t="shared" si="11"/>
        <v>1</v>
      </c>
    </row>
    <row r="179" spans="1:16" ht="18.75" customHeight="1" thickBot="1" x14ac:dyDescent="0.3">
      <c r="A179" s="3" t="s">
        <v>1</v>
      </c>
      <c r="B179" s="4">
        <v>964746</v>
      </c>
      <c r="C179" s="3" t="s">
        <v>2</v>
      </c>
      <c r="D179" s="18">
        <v>0.1</v>
      </c>
      <c r="E179" s="21">
        <f t="shared" si="12"/>
        <v>7.9741404289037643E-3</v>
      </c>
      <c r="F179" s="5">
        <v>40150</v>
      </c>
      <c r="G179" s="5">
        <v>41611</v>
      </c>
      <c r="H179" s="16">
        <f t="shared" si="13"/>
        <v>1461</v>
      </c>
      <c r="I179" s="5">
        <v>41611</v>
      </c>
      <c r="J179" s="5">
        <v>40673</v>
      </c>
      <c r="K179" s="16">
        <f t="shared" si="14"/>
        <v>523</v>
      </c>
      <c r="L179" s="13">
        <v>155.81</v>
      </c>
      <c r="M179" s="15">
        <f t="shared" si="10"/>
        <v>3.8732975480842451</v>
      </c>
      <c r="N179" s="13">
        <v>155.81</v>
      </c>
      <c r="O179" s="13">
        <v>0</v>
      </c>
      <c r="P179" s="11">
        <f t="shared" si="11"/>
        <v>0</v>
      </c>
    </row>
    <row r="180" spans="1:16" ht="18.75" customHeight="1" thickBot="1" x14ac:dyDescent="0.3">
      <c r="A180" s="3" t="s">
        <v>1</v>
      </c>
      <c r="B180" s="4">
        <v>866223</v>
      </c>
      <c r="C180" s="3" t="s">
        <v>2</v>
      </c>
      <c r="D180" s="18">
        <v>9.2499999999999999E-2</v>
      </c>
      <c r="E180" s="21">
        <f t="shared" si="12"/>
        <v>7.3996302871768282E-3</v>
      </c>
      <c r="F180" s="5">
        <v>40185</v>
      </c>
      <c r="G180" s="5">
        <v>43258</v>
      </c>
      <c r="H180" s="16">
        <f t="shared" si="13"/>
        <v>3073</v>
      </c>
      <c r="I180" s="5">
        <v>43258</v>
      </c>
      <c r="J180" s="5">
        <v>42916</v>
      </c>
      <c r="K180" s="16">
        <f t="shared" si="14"/>
        <v>2731</v>
      </c>
      <c r="L180" s="13">
        <v>27000</v>
      </c>
      <c r="M180" s="15">
        <f t="shared" si="10"/>
        <v>376.91028547857729</v>
      </c>
      <c r="N180" s="13">
        <v>27000</v>
      </c>
      <c r="O180" s="13">
        <v>0</v>
      </c>
      <c r="P180" s="11">
        <f t="shared" si="11"/>
        <v>1</v>
      </c>
    </row>
    <row r="181" spans="1:16" ht="18.75" customHeight="1" thickBot="1" x14ac:dyDescent="0.3">
      <c r="A181" s="3" t="s">
        <v>1</v>
      </c>
      <c r="B181" s="4">
        <v>235371</v>
      </c>
      <c r="C181" s="3" t="s">
        <v>2</v>
      </c>
      <c r="D181" s="18">
        <v>9.5000000000000001E-2</v>
      </c>
      <c r="E181" s="21">
        <f t="shared" si="12"/>
        <v>7.5915342905825689E-3</v>
      </c>
      <c r="F181" s="5">
        <v>40310</v>
      </c>
      <c r="G181" s="5">
        <v>41529</v>
      </c>
      <c r="H181" s="16">
        <f t="shared" si="13"/>
        <v>1219</v>
      </c>
      <c r="I181" s="5">
        <v>41529</v>
      </c>
      <c r="J181" s="5">
        <v>40582</v>
      </c>
      <c r="K181" s="16">
        <f t="shared" si="14"/>
        <v>272</v>
      </c>
      <c r="L181" s="13">
        <v>46381.14</v>
      </c>
      <c r="M181" s="15">
        <f t="shared" si="10"/>
        <v>1330.8374651628355</v>
      </c>
      <c r="N181" s="13">
        <v>46381.14</v>
      </c>
      <c r="O181" s="13">
        <v>0</v>
      </c>
      <c r="P181" s="11">
        <f t="shared" si="11"/>
        <v>0</v>
      </c>
    </row>
    <row r="182" spans="1:16" ht="18.75" hidden="1" customHeight="1" thickBot="1" x14ac:dyDescent="0.3">
      <c r="A182" s="3" t="s">
        <v>1</v>
      </c>
      <c r="B182" s="4">
        <v>313964</v>
      </c>
      <c r="C182" s="3" t="s">
        <v>2</v>
      </c>
      <c r="D182" s="18">
        <v>0.1</v>
      </c>
      <c r="E182" s="21">
        <f t="shared" si="12"/>
        <v>7.9741404289037643E-3</v>
      </c>
      <c r="F182" s="5">
        <v>40317</v>
      </c>
      <c r="G182" s="5">
        <v>40359</v>
      </c>
      <c r="H182" s="16">
        <f t="shared" si="13"/>
        <v>42</v>
      </c>
      <c r="I182" s="5">
        <v>40359</v>
      </c>
      <c r="J182" s="2"/>
      <c r="K182" s="16">
        <f t="shared" si="14"/>
        <v>-40317</v>
      </c>
      <c r="L182" s="13">
        <v>29000</v>
      </c>
      <c r="M182" s="15">
        <f t="shared" si="10"/>
        <v>20912.605016458423</v>
      </c>
      <c r="N182" s="13">
        <v>29000</v>
      </c>
      <c r="O182" s="13">
        <v>0</v>
      </c>
      <c r="P182" s="11">
        <f t="shared" si="11"/>
        <v>0</v>
      </c>
    </row>
    <row r="183" spans="1:16" ht="18.75" customHeight="1" thickBot="1" x14ac:dyDescent="0.3">
      <c r="A183" s="3" t="s">
        <v>1</v>
      </c>
      <c r="B183" s="4">
        <v>962665</v>
      </c>
      <c r="C183" s="3" t="s">
        <v>2</v>
      </c>
      <c r="D183" s="18">
        <v>0.1</v>
      </c>
      <c r="E183" s="21">
        <f t="shared" si="12"/>
        <v>7.9741404289037643E-3</v>
      </c>
      <c r="F183" s="5">
        <v>40330</v>
      </c>
      <c r="G183" s="5">
        <v>42156</v>
      </c>
      <c r="H183" s="16">
        <f t="shared" si="13"/>
        <v>1826</v>
      </c>
      <c r="I183" s="5">
        <v>42156</v>
      </c>
      <c r="J183" s="5">
        <v>42376</v>
      </c>
      <c r="K183" s="16">
        <f t="shared" si="14"/>
        <v>2046</v>
      </c>
      <c r="L183" s="13">
        <v>15562.89</v>
      </c>
      <c r="M183" s="15">
        <f t="shared" si="10"/>
        <v>323.73683653533476</v>
      </c>
      <c r="N183" s="13">
        <v>15562.89</v>
      </c>
      <c r="O183" s="13">
        <v>0</v>
      </c>
      <c r="P183" s="11">
        <f t="shared" si="11"/>
        <v>1</v>
      </c>
    </row>
    <row r="184" spans="1:16" ht="18.75" customHeight="1" thickBot="1" x14ac:dyDescent="0.3">
      <c r="A184" s="3" t="s">
        <v>1</v>
      </c>
      <c r="B184" s="4">
        <v>608119</v>
      </c>
      <c r="C184" s="3" t="s">
        <v>2</v>
      </c>
      <c r="D184" s="18">
        <v>7.0000000000000007E-2</v>
      </c>
      <c r="E184" s="21">
        <f t="shared" si="12"/>
        <v>5.6541453874052738E-3</v>
      </c>
      <c r="F184" s="5">
        <v>40630</v>
      </c>
      <c r="G184" s="5">
        <v>41483</v>
      </c>
      <c r="H184" s="16">
        <f t="shared" si="13"/>
        <v>853</v>
      </c>
      <c r="I184" s="5">
        <v>41483</v>
      </c>
      <c r="J184" s="5">
        <v>41639</v>
      </c>
      <c r="K184" s="16">
        <f t="shared" si="14"/>
        <v>1009</v>
      </c>
      <c r="L184" s="13">
        <v>39452.04</v>
      </c>
      <c r="M184" s="15">
        <f t="shared" si="10"/>
        <v>1505.959309590743</v>
      </c>
      <c r="N184" s="13">
        <v>39452.04</v>
      </c>
      <c r="O184" s="13">
        <v>0</v>
      </c>
      <c r="P184" s="11">
        <f t="shared" si="11"/>
        <v>0</v>
      </c>
    </row>
    <row r="185" spans="1:16" ht="18.75" customHeight="1" thickBot="1" x14ac:dyDescent="0.3">
      <c r="A185" s="3" t="s">
        <v>1</v>
      </c>
      <c r="B185" s="4">
        <v>797303</v>
      </c>
      <c r="C185" s="3" t="s">
        <v>2</v>
      </c>
      <c r="D185" s="18">
        <v>0.09</v>
      </c>
      <c r="E185" s="21">
        <f t="shared" si="12"/>
        <v>7.2073233161367156E-3</v>
      </c>
      <c r="F185" s="5">
        <v>40633</v>
      </c>
      <c r="G185" s="5">
        <v>40816</v>
      </c>
      <c r="H185" s="16">
        <f t="shared" si="13"/>
        <v>183</v>
      </c>
      <c r="I185" s="5">
        <v>40816</v>
      </c>
      <c r="J185" s="5">
        <v>41442</v>
      </c>
      <c r="K185" s="16">
        <f t="shared" si="14"/>
        <v>809</v>
      </c>
      <c r="L185" s="13">
        <v>20000</v>
      </c>
      <c r="M185" s="15">
        <f t="shared" si="10"/>
        <v>3363.089101832471</v>
      </c>
      <c r="N185" s="13">
        <v>20000</v>
      </c>
      <c r="O185" s="13">
        <v>20000</v>
      </c>
      <c r="P185" s="11">
        <f t="shared" si="11"/>
        <v>0</v>
      </c>
    </row>
    <row r="186" spans="1:16" ht="18.75" customHeight="1" thickBot="1" x14ac:dyDescent="0.3">
      <c r="A186" s="3" t="s">
        <v>1</v>
      </c>
      <c r="B186" s="4">
        <v>525418</v>
      </c>
      <c r="C186" s="3" t="s">
        <v>2</v>
      </c>
      <c r="D186" s="18">
        <v>0.1</v>
      </c>
      <c r="E186" s="21">
        <f t="shared" si="12"/>
        <v>7.9741404289037643E-3</v>
      </c>
      <c r="F186" s="5">
        <v>40653</v>
      </c>
      <c r="G186" s="5">
        <v>42845</v>
      </c>
      <c r="H186" s="16">
        <f t="shared" si="13"/>
        <v>2192</v>
      </c>
      <c r="I186" s="5">
        <v>42845</v>
      </c>
      <c r="J186" s="5">
        <v>43549</v>
      </c>
      <c r="K186" s="16">
        <f t="shared" si="14"/>
        <v>2896</v>
      </c>
      <c r="L186" s="13">
        <v>23204.26</v>
      </c>
      <c r="M186" s="15">
        <f t="shared" si="10"/>
        <v>420.25670716408513</v>
      </c>
      <c r="N186" s="13">
        <v>21973.26</v>
      </c>
      <c r="O186" s="13">
        <v>0</v>
      </c>
      <c r="P186" s="11">
        <f t="shared" si="11"/>
        <v>1</v>
      </c>
    </row>
    <row r="187" spans="1:16" ht="18.75" customHeight="1" thickBot="1" x14ac:dyDescent="0.3">
      <c r="A187" s="3" t="s">
        <v>1</v>
      </c>
      <c r="B187" s="4">
        <v>396101</v>
      </c>
      <c r="C187" s="3" t="s">
        <v>2</v>
      </c>
      <c r="D187" s="18">
        <v>0.1</v>
      </c>
      <c r="E187" s="21">
        <f t="shared" si="12"/>
        <v>7.9741404289037643E-3</v>
      </c>
      <c r="F187" s="5">
        <v>40694</v>
      </c>
      <c r="G187" s="5">
        <v>42170</v>
      </c>
      <c r="H187" s="16">
        <f t="shared" si="13"/>
        <v>1476</v>
      </c>
      <c r="I187" s="5">
        <v>42170</v>
      </c>
      <c r="J187" s="5">
        <v>41180</v>
      </c>
      <c r="K187" s="16">
        <f t="shared" si="14"/>
        <v>486</v>
      </c>
      <c r="L187" s="13">
        <v>15710.18</v>
      </c>
      <c r="M187" s="15">
        <f t="shared" si="10"/>
        <v>387.29078396296489</v>
      </c>
      <c r="N187" s="13">
        <v>15710.18</v>
      </c>
      <c r="O187" s="13">
        <v>0</v>
      </c>
      <c r="P187" s="11">
        <f t="shared" si="11"/>
        <v>1</v>
      </c>
    </row>
    <row r="188" spans="1:16" ht="18.75" customHeight="1" thickBot="1" x14ac:dyDescent="0.3">
      <c r="A188" s="3" t="s">
        <v>1</v>
      </c>
      <c r="B188" s="4">
        <v>917141</v>
      </c>
      <c r="C188" s="3" t="s">
        <v>2</v>
      </c>
      <c r="D188" s="18">
        <v>0.09</v>
      </c>
      <c r="E188" s="21">
        <f t="shared" si="12"/>
        <v>7.2073233161367156E-3</v>
      </c>
      <c r="F188" s="5">
        <v>40722</v>
      </c>
      <c r="G188" s="5">
        <v>43279</v>
      </c>
      <c r="H188" s="16">
        <f t="shared" si="13"/>
        <v>2557</v>
      </c>
      <c r="I188" s="5">
        <v>43279</v>
      </c>
      <c r="J188" s="5">
        <v>43496</v>
      </c>
      <c r="K188" s="16">
        <f t="shared" si="14"/>
        <v>2774</v>
      </c>
      <c r="L188" s="13">
        <v>9800</v>
      </c>
      <c r="M188" s="15">
        <f t="shared" si="10"/>
        <v>154.28873833619909</v>
      </c>
      <c r="N188" s="13">
        <v>9800</v>
      </c>
      <c r="O188" s="13">
        <v>0</v>
      </c>
      <c r="P188" s="11">
        <f t="shared" si="11"/>
        <v>1</v>
      </c>
    </row>
    <row r="189" spans="1:16" ht="18.75" customHeight="1" thickBot="1" x14ac:dyDescent="0.3">
      <c r="A189" s="3" t="s">
        <v>1</v>
      </c>
      <c r="B189" s="4">
        <v>230731</v>
      </c>
      <c r="C189" s="3" t="s">
        <v>2</v>
      </c>
      <c r="D189" s="18">
        <v>8.7499999999999994E-2</v>
      </c>
      <c r="E189" s="21">
        <f t="shared" si="12"/>
        <v>7.0146116041400752E-3</v>
      </c>
      <c r="F189" s="5">
        <v>40737</v>
      </c>
      <c r="G189" s="5">
        <v>43485</v>
      </c>
      <c r="H189" s="16">
        <f t="shared" si="13"/>
        <v>2748</v>
      </c>
      <c r="I189" s="5">
        <v>43485</v>
      </c>
      <c r="J189" s="5">
        <v>40939</v>
      </c>
      <c r="K189" s="16">
        <f t="shared" si="14"/>
        <v>202</v>
      </c>
      <c r="L189" s="13">
        <v>50000</v>
      </c>
      <c r="M189" s="15">
        <f t="shared" si="10"/>
        <v>741.71668057490615</v>
      </c>
      <c r="N189" s="13">
        <v>50000</v>
      </c>
      <c r="O189" s="13">
        <v>0</v>
      </c>
      <c r="P189" s="11">
        <f t="shared" si="11"/>
        <v>1</v>
      </c>
    </row>
    <row r="190" spans="1:16" ht="18.75" customHeight="1" thickBot="1" x14ac:dyDescent="0.3">
      <c r="A190" s="3" t="s">
        <v>1</v>
      </c>
      <c r="B190" s="4">
        <v>599884</v>
      </c>
      <c r="C190" s="3" t="s">
        <v>2</v>
      </c>
      <c r="D190" s="18">
        <v>0.09</v>
      </c>
      <c r="E190" s="21">
        <f t="shared" si="12"/>
        <v>7.2073233161367156E-3</v>
      </c>
      <c r="F190" s="5">
        <v>40653</v>
      </c>
      <c r="G190" s="5">
        <v>41019</v>
      </c>
      <c r="H190" s="16">
        <f t="shared" si="13"/>
        <v>366</v>
      </c>
      <c r="I190" s="5">
        <v>41019</v>
      </c>
      <c r="J190" s="5">
        <v>40948</v>
      </c>
      <c r="K190" s="16">
        <f t="shared" si="14"/>
        <v>295</v>
      </c>
      <c r="L190" s="13">
        <v>11098.75</v>
      </c>
      <c r="M190" s="15">
        <f t="shared" si="10"/>
        <v>953.58815678165786</v>
      </c>
      <c r="N190" s="13">
        <v>11098.75</v>
      </c>
      <c r="O190" s="13">
        <v>0</v>
      </c>
      <c r="P190" s="11">
        <f t="shared" si="11"/>
        <v>0</v>
      </c>
    </row>
    <row r="191" spans="1:16" ht="18.75" customHeight="1" thickBot="1" x14ac:dyDescent="0.3">
      <c r="A191" s="3" t="s">
        <v>1</v>
      </c>
      <c r="B191" s="4">
        <v>414853</v>
      </c>
      <c r="C191" s="3" t="s">
        <v>2</v>
      </c>
      <c r="D191" s="18">
        <v>0.1</v>
      </c>
      <c r="E191" s="21">
        <f t="shared" si="12"/>
        <v>7.9741404289037643E-3</v>
      </c>
      <c r="F191" s="5">
        <v>40844</v>
      </c>
      <c r="G191" s="5">
        <v>42671</v>
      </c>
      <c r="H191" s="16">
        <f t="shared" si="13"/>
        <v>1827</v>
      </c>
      <c r="I191" s="5">
        <v>42671</v>
      </c>
      <c r="J191" s="5">
        <v>41201</v>
      </c>
      <c r="K191" s="16">
        <f t="shared" si="14"/>
        <v>357</v>
      </c>
      <c r="L191" s="13">
        <v>25900</v>
      </c>
      <c r="M191" s="15">
        <f t="shared" si="10"/>
        <v>538.53847367595904</v>
      </c>
      <c r="N191" s="13">
        <v>25900</v>
      </c>
      <c r="O191" s="13">
        <v>0</v>
      </c>
      <c r="P191" s="11">
        <f t="shared" si="11"/>
        <v>1</v>
      </c>
    </row>
    <row r="192" spans="1:16" ht="18.75" customHeight="1" thickBot="1" x14ac:dyDescent="0.3">
      <c r="A192" s="3" t="s">
        <v>1</v>
      </c>
      <c r="B192" s="4">
        <v>837928</v>
      </c>
      <c r="C192" s="3" t="s">
        <v>2</v>
      </c>
      <c r="D192" s="18">
        <v>0.1</v>
      </c>
      <c r="E192" s="21">
        <f t="shared" si="12"/>
        <v>7.9741404289037643E-3</v>
      </c>
      <c r="F192" s="5">
        <v>40844</v>
      </c>
      <c r="G192" s="5">
        <v>42671</v>
      </c>
      <c r="H192" s="16">
        <f t="shared" si="13"/>
        <v>1827</v>
      </c>
      <c r="I192" s="5">
        <v>42671</v>
      </c>
      <c r="J192" s="5">
        <v>41241</v>
      </c>
      <c r="K192" s="16">
        <f t="shared" si="14"/>
        <v>397</v>
      </c>
      <c r="L192" s="13">
        <v>21428.55</v>
      </c>
      <c r="M192" s="15">
        <f t="shared" si="10"/>
        <v>445.56365289918807</v>
      </c>
      <c r="N192" s="13">
        <v>21428.55</v>
      </c>
      <c r="O192" s="13">
        <v>0</v>
      </c>
      <c r="P192" s="11">
        <f t="shared" si="11"/>
        <v>1</v>
      </c>
    </row>
    <row r="193" spans="1:16" ht="18.75" customHeight="1" thickBot="1" x14ac:dyDescent="0.3">
      <c r="A193" s="3" t="s">
        <v>1</v>
      </c>
      <c r="B193" s="4">
        <v>352536</v>
      </c>
      <c r="C193" s="3" t="s">
        <v>2</v>
      </c>
      <c r="D193" s="18">
        <v>0.1</v>
      </c>
      <c r="E193" s="21">
        <f t="shared" si="12"/>
        <v>7.9741404289037643E-3</v>
      </c>
      <c r="F193" s="5">
        <v>40885</v>
      </c>
      <c r="G193" s="5">
        <v>41616</v>
      </c>
      <c r="H193" s="16">
        <f t="shared" si="13"/>
        <v>731</v>
      </c>
      <c r="I193" s="5">
        <v>41616</v>
      </c>
      <c r="J193" s="5">
        <v>41905</v>
      </c>
      <c r="K193" s="16">
        <f t="shared" si="14"/>
        <v>1020</v>
      </c>
      <c r="L193" s="13">
        <v>4278.58</v>
      </c>
      <c r="M193" s="15">
        <f t="shared" si="10"/>
        <v>193.89958856718476</v>
      </c>
      <c r="N193" s="13">
        <v>4278.58</v>
      </c>
      <c r="O193" s="13">
        <v>0</v>
      </c>
      <c r="P193" s="11">
        <f t="shared" si="11"/>
        <v>0</v>
      </c>
    </row>
    <row r="194" spans="1:16" ht="18.75" customHeight="1" thickBot="1" x14ac:dyDescent="0.3">
      <c r="A194" s="3" t="s">
        <v>1</v>
      </c>
      <c r="B194" s="4">
        <v>738896</v>
      </c>
      <c r="C194" s="3" t="s">
        <v>2</v>
      </c>
      <c r="D194" s="18">
        <v>0.06</v>
      </c>
      <c r="E194" s="21">
        <f t="shared" si="12"/>
        <v>4.8675505653430484E-3</v>
      </c>
      <c r="F194" s="5">
        <v>40906</v>
      </c>
      <c r="G194" s="5">
        <v>41272</v>
      </c>
      <c r="H194" s="16">
        <f t="shared" si="13"/>
        <v>366</v>
      </c>
      <c r="I194" s="5">
        <v>41272</v>
      </c>
      <c r="J194" s="5">
        <v>41709</v>
      </c>
      <c r="K194" s="16">
        <f t="shared" si="14"/>
        <v>803</v>
      </c>
      <c r="L194" s="13">
        <v>179874.69</v>
      </c>
      <c r="M194" s="15">
        <f t="shared" ref="M194:M257" si="15">-PMT(E194,(H194/30),L194)</f>
        <v>15221.777791277216</v>
      </c>
      <c r="N194" s="13">
        <v>179874.69</v>
      </c>
      <c r="O194" s="13">
        <v>0</v>
      </c>
      <c r="P194" s="11">
        <f t="shared" ref="P194:P218" si="16">IF((G194)&gt;(ConstantDateCutoff),1,0)</f>
        <v>0</v>
      </c>
    </row>
    <row r="195" spans="1:16" ht="18.75" customHeight="1" thickBot="1" x14ac:dyDescent="0.3">
      <c r="A195" s="3" t="s">
        <v>1</v>
      </c>
      <c r="B195" s="4">
        <v>564177</v>
      </c>
      <c r="C195" s="3" t="s">
        <v>2</v>
      </c>
      <c r="D195" s="18">
        <v>0.1</v>
      </c>
      <c r="E195" s="21">
        <f t="shared" ref="E195:E218" si="17">(1+D195)^(1/12)-1</f>
        <v>7.9741404289037643E-3</v>
      </c>
      <c r="F195" s="5">
        <v>41012</v>
      </c>
      <c r="G195" s="5">
        <v>41742</v>
      </c>
      <c r="H195" s="16">
        <f t="shared" ref="H195:H258" si="18">G195-F195</f>
        <v>730</v>
      </c>
      <c r="I195" s="5">
        <v>41742</v>
      </c>
      <c r="J195" s="5">
        <v>41638</v>
      </c>
      <c r="K195" s="16">
        <f t="shared" ref="K195:K258" si="19">J195-F195</f>
        <v>626</v>
      </c>
      <c r="L195" s="13">
        <v>10300</v>
      </c>
      <c r="M195" s="15">
        <f t="shared" si="15"/>
        <v>467.36193147148498</v>
      </c>
      <c r="N195" s="13">
        <v>10300</v>
      </c>
      <c r="O195" s="13">
        <v>0</v>
      </c>
      <c r="P195" s="11">
        <f t="shared" si="16"/>
        <v>0</v>
      </c>
    </row>
    <row r="196" spans="1:16" ht="18.75" customHeight="1" thickBot="1" x14ac:dyDescent="0.3">
      <c r="A196" s="3" t="s">
        <v>1</v>
      </c>
      <c r="B196" s="4">
        <v>592005</v>
      </c>
      <c r="C196" s="3" t="s">
        <v>2</v>
      </c>
      <c r="D196" s="18">
        <v>0.09</v>
      </c>
      <c r="E196" s="21">
        <f t="shared" si="17"/>
        <v>7.2073233161367156E-3</v>
      </c>
      <c r="F196" s="5">
        <v>41050</v>
      </c>
      <c r="G196" s="5">
        <v>42145</v>
      </c>
      <c r="H196" s="16">
        <f t="shared" si="18"/>
        <v>1095</v>
      </c>
      <c r="I196" s="5">
        <v>42145</v>
      </c>
      <c r="J196" s="5">
        <v>42604</v>
      </c>
      <c r="K196" s="16">
        <f t="shared" si="19"/>
        <v>1554</v>
      </c>
      <c r="L196" s="13">
        <v>11283.77</v>
      </c>
      <c r="M196" s="15">
        <f t="shared" si="15"/>
        <v>352.69441225156106</v>
      </c>
      <c r="N196" s="13">
        <v>11283.77</v>
      </c>
      <c r="O196" s="13">
        <v>0</v>
      </c>
      <c r="P196" s="11">
        <f t="shared" si="16"/>
        <v>1</v>
      </c>
    </row>
    <row r="197" spans="1:16" ht="18.75" customHeight="1" thickBot="1" x14ac:dyDescent="0.3">
      <c r="A197" s="3" t="s">
        <v>1</v>
      </c>
      <c r="B197" s="4">
        <v>38927</v>
      </c>
      <c r="C197" s="3" t="s">
        <v>2</v>
      </c>
      <c r="D197" s="18">
        <v>8.5000000000000006E-2</v>
      </c>
      <c r="E197" s="21">
        <f t="shared" si="17"/>
        <v>6.8214933659622723E-3</v>
      </c>
      <c r="F197" s="5">
        <v>41089</v>
      </c>
      <c r="G197" s="5">
        <v>41819</v>
      </c>
      <c r="H197" s="16">
        <f t="shared" si="18"/>
        <v>730</v>
      </c>
      <c r="I197" s="5">
        <v>41819</v>
      </c>
      <c r="J197" s="5">
        <v>42825</v>
      </c>
      <c r="K197" s="16">
        <f t="shared" si="19"/>
        <v>1736</v>
      </c>
      <c r="L197" s="13">
        <v>72970.460000000006</v>
      </c>
      <c r="M197" s="15">
        <f t="shared" si="15"/>
        <v>3264.7451421209876</v>
      </c>
      <c r="N197" s="13">
        <v>72970.460000000006</v>
      </c>
      <c r="O197" s="13">
        <v>0</v>
      </c>
      <c r="P197" s="11">
        <f t="shared" si="16"/>
        <v>0</v>
      </c>
    </row>
    <row r="198" spans="1:16" ht="18.75" customHeight="1" thickBot="1" x14ac:dyDescent="0.3">
      <c r="A198" s="3" t="s">
        <v>1</v>
      </c>
      <c r="B198" s="4">
        <v>333037</v>
      </c>
      <c r="C198" s="3" t="s">
        <v>2</v>
      </c>
      <c r="D198" s="18">
        <v>0.08</v>
      </c>
      <c r="E198" s="21">
        <f t="shared" si="17"/>
        <v>6.4340301100034303E-3</v>
      </c>
      <c r="F198" s="5">
        <v>41172</v>
      </c>
      <c r="G198" s="5">
        <v>42855</v>
      </c>
      <c r="H198" s="16">
        <f t="shared" si="18"/>
        <v>1683</v>
      </c>
      <c r="I198" s="5">
        <v>42855</v>
      </c>
      <c r="J198" s="5">
        <v>42643</v>
      </c>
      <c r="K198" s="16">
        <f t="shared" si="19"/>
        <v>1471</v>
      </c>
      <c r="L198" s="13">
        <v>35164.589999999997</v>
      </c>
      <c r="M198" s="15">
        <f t="shared" si="15"/>
        <v>748.72813965307682</v>
      </c>
      <c r="N198" s="13">
        <v>35164.589999999997</v>
      </c>
      <c r="O198" s="13">
        <v>0</v>
      </c>
      <c r="P198" s="11">
        <f t="shared" si="16"/>
        <v>1</v>
      </c>
    </row>
    <row r="199" spans="1:16" ht="18.75" customHeight="1" thickBot="1" x14ac:dyDescent="0.3">
      <c r="A199" s="3" t="s">
        <v>1</v>
      </c>
      <c r="B199" s="4">
        <v>875629</v>
      </c>
      <c r="C199" s="3" t="s">
        <v>2</v>
      </c>
      <c r="D199" s="18">
        <v>9.7500000000000003E-2</v>
      </c>
      <c r="E199" s="21">
        <f t="shared" si="17"/>
        <v>7.7830370878799737E-3</v>
      </c>
      <c r="F199" s="5">
        <v>41176</v>
      </c>
      <c r="G199" s="5">
        <v>43281</v>
      </c>
      <c r="H199" s="16">
        <f t="shared" si="18"/>
        <v>2105</v>
      </c>
      <c r="I199" s="5">
        <v>43281</v>
      </c>
      <c r="J199" s="5">
        <v>43496</v>
      </c>
      <c r="K199" s="16">
        <f t="shared" si="19"/>
        <v>2320</v>
      </c>
      <c r="L199" s="13">
        <v>31900</v>
      </c>
      <c r="M199" s="15">
        <f t="shared" si="15"/>
        <v>591.7382850930328</v>
      </c>
      <c r="N199" s="13">
        <v>31900</v>
      </c>
      <c r="O199" s="13">
        <v>0</v>
      </c>
      <c r="P199" s="11">
        <f t="shared" si="16"/>
        <v>1</v>
      </c>
    </row>
    <row r="200" spans="1:16" ht="18.75" customHeight="1" thickBot="1" x14ac:dyDescent="0.3">
      <c r="A200" s="3" t="s">
        <v>1</v>
      </c>
      <c r="B200" s="4">
        <v>679971</v>
      </c>
      <c r="C200" s="3" t="s">
        <v>2</v>
      </c>
      <c r="D200" s="18">
        <v>4.4999999999999998E-2</v>
      </c>
      <c r="E200" s="21">
        <f t="shared" si="17"/>
        <v>3.6748094004368514E-3</v>
      </c>
      <c r="F200" s="5">
        <v>41177</v>
      </c>
      <c r="G200" s="5">
        <v>43733</v>
      </c>
      <c r="H200" s="16">
        <f t="shared" si="18"/>
        <v>2556</v>
      </c>
      <c r="I200" s="5">
        <v>43733</v>
      </c>
      <c r="J200" s="5">
        <v>43552</v>
      </c>
      <c r="K200" s="16">
        <f t="shared" si="19"/>
        <v>2375</v>
      </c>
      <c r="L200" s="13">
        <v>461203.20000000001</v>
      </c>
      <c r="M200" s="15">
        <f t="shared" si="15"/>
        <v>6314.6075770556727</v>
      </c>
      <c r="N200" s="13">
        <v>461203.20000000001</v>
      </c>
      <c r="O200" s="13">
        <v>0</v>
      </c>
      <c r="P200" s="11">
        <f t="shared" si="16"/>
        <v>1</v>
      </c>
    </row>
    <row r="201" spans="1:16" ht="18.75" customHeight="1" thickBot="1" x14ac:dyDescent="0.3">
      <c r="A201" s="3" t="s">
        <v>1</v>
      </c>
      <c r="B201" s="4">
        <v>640026</v>
      </c>
      <c r="C201" s="3" t="s">
        <v>2</v>
      </c>
      <c r="D201" s="18">
        <v>0.06</v>
      </c>
      <c r="E201" s="21">
        <f t="shared" si="17"/>
        <v>4.8675505653430484E-3</v>
      </c>
      <c r="F201" s="5">
        <v>41246</v>
      </c>
      <c r="G201" s="5">
        <v>43568</v>
      </c>
      <c r="H201" s="16">
        <f t="shared" si="18"/>
        <v>2322</v>
      </c>
      <c r="I201" s="5">
        <v>43568</v>
      </c>
      <c r="J201" s="5">
        <v>43496</v>
      </c>
      <c r="K201" s="16">
        <f t="shared" si="19"/>
        <v>2250</v>
      </c>
      <c r="L201" s="13">
        <v>209328.33</v>
      </c>
      <c r="M201" s="15">
        <f t="shared" si="15"/>
        <v>3252.3724330000396</v>
      </c>
      <c r="N201" s="13">
        <v>209328.33</v>
      </c>
      <c r="O201" s="13">
        <v>0</v>
      </c>
      <c r="P201" s="11">
        <f t="shared" si="16"/>
        <v>1</v>
      </c>
    </row>
    <row r="202" spans="1:16" ht="18.75" customHeight="1" thickBot="1" x14ac:dyDescent="0.3">
      <c r="A202" s="3" t="s">
        <v>1</v>
      </c>
      <c r="B202" s="4">
        <v>711274</v>
      </c>
      <c r="C202" s="3" t="s">
        <v>2</v>
      </c>
      <c r="D202" s="18">
        <v>0.08</v>
      </c>
      <c r="E202" s="21">
        <f t="shared" si="17"/>
        <v>6.4340301100034303E-3</v>
      </c>
      <c r="F202" s="5">
        <v>41373</v>
      </c>
      <c r="G202" s="5">
        <v>42901</v>
      </c>
      <c r="H202" s="16">
        <f t="shared" si="18"/>
        <v>1528</v>
      </c>
      <c r="I202" s="5">
        <v>42901</v>
      </c>
      <c r="J202" s="5">
        <v>42536</v>
      </c>
      <c r="K202" s="16">
        <f t="shared" si="19"/>
        <v>1163</v>
      </c>
      <c r="L202" s="13">
        <v>36196</v>
      </c>
      <c r="M202" s="15">
        <f t="shared" si="15"/>
        <v>835.70951227479156</v>
      </c>
      <c r="N202" s="13">
        <v>36196</v>
      </c>
      <c r="O202" s="13">
        <v>0</v>
      </c>
      <c r="P202" s="11">
        <f t="shared" si="16"/>
        <v>1</v>
      </c>
    </row>
    <row r="203" spans="1:16" ht="18.75" hidden="1" customHeight="1" thickBot="1" x14ac:dyDescent="0.3">
      <c r="A203" s="3" t="s">
        <v>1</v>
      </c>
      <c r="B203" s="4">
        <v>751270</v>
      </c>
      <c r="C203" s="3" t="s">
        <v>2</v>
      </c>
      <c r="D203" s="18">
        <v>8.5000000000000006E-2</v>
      </c>
      <c r="E203" s="21">
        <f t="shared" si="17"/>
        <v>6.8214933659622723E-3</v>
      </c>
      <c r="F203" s="5">
        <v>41423</v>
      </c>
      <c r="G203" s="5">
        <v>41819</v>
      </c>
      <c r="H203" s="16">
        <f t="shared" si="18"/>
        <v>396</v>
      </c>
      <c r="I203" s="5">
        <v>41819</v>
      </c>
      <c r="J203" s="2"/>
      <c r="K203" s="16">
        <f t="shared" si="19"/>
        <v>-41423</v>
      </c>
      <c r="L203" s="13">
        <v>20000</v>
      </c>
      <c r="M203" s="15">
        <f t="shared" si="15"/>
        <v>1589.5484996362579</v>
      </c>
      <c r="N203" s="13">
        <v>20000</v>
      </c>
      <c r="O203" s="13">
        <v>0</v>
      </c>
      <c r="P203" s="11">
        <f t="shared" si="16"/>
        <v>0</v>
      </c>
    </row>
    <row r="204" spans="1:16" ht="18.75" customHeight="1" thickBot="1" x14ac:dyDescent="0.3">
      <c r="A204" s="3" t="s">
        <v>1</v>
      </c>
      <c r="B204" s="4">
        <v>387435</v>
      </c>
      <c r="C204" s="3" t="s">
        <v>2</v>
      </c>
      <c r="D204" s="18">
        <v>0.1</v>
      </c>
      <c r="E204" s="21">
        <f t="shared" si="17"/>
        <v>7.9741404289037643E-3</v>
      </c>
      <c r="F204" s="5">
        <v>41463</v>
      </c>
      <c r="G204" s="5">
        <v>43289</v>
      </c>
      <c r="H204" s="16">
        <f t="shared" si="18"/>
        <v>1826</v>
      </c>
      <c r="I204" s="5">
        <v>43289</v>
      </c>
      <c r="J204" s="5">
        <v>42894</v>
      </c>
      <c r="K204" s="16">
        <f t="shared" si="19"/>
        <v>1431</v>
      </c>
      <c r="L204" s="13">
        <v>11236.02</v>
      </c>
      <c r="M204" s="15">
        <f t="shared" si="15"/>
        <v>233.72995440099831</v>
      </c>
      <c r="N204" s="13">
        <v>11236.02</v>
      </c>
      <c r="O204" s="13">
        <v>0</v>
      </c>
      <c r="P204" s="11">
        <f t="shared" si="16"/>
        <v>1</v>
      </c>
    </row>
    <row r="205" spans="1:16" ht="18.75" customHeight="1" thickBot="1" x14ac:dyDescent="0.3">
      <c r="A205" s="3" t="s">
        <v>1</v>
      </c>
      <c r="B205" s="4">
        <v>660314</v>
      </c>
      <c r="C205" s="3" t="s">
        <v>2</v>
      </c>
      <c r="D205" s="18">
        <v>0.1</v>
      </c>
      <c r="E205" s="21">
        <f t="shared" si="17"/>
        <v>7.9741404289037643E-3</v>
      </c>
      <c r="F205" s="5">
        <v>41485</v>
      </c>
      <c r="G205" s="5">
        <v>42946</v>
      </c>
      <c r="H205" s="16">
        <f t="shared" si="18"/>
        <v>1461</v>
      </c>
      <c r="I205" s="5">
        <v>42946</v>
      </c>
      <c r="J205" s="5">
        <v>42368</v>
      </c>
      <c r="K205" s="16">
        <f t="shared" si="19"/>
        <v>883</v>
      </c>
      <c r="L205" s="13">
        <v>1170.97</v>
      </c>
      <c r="M205" s="15">
        <f t="shared" si="15"/>
        <v>29.109269173225137</v>
      </c>
      <c r="N205" s="13">
        <v>1170.97</v>
      </c>
      <c r="O205" s="13">
        <v>0</v>
      </c>
      <c r="P205" s="11">
        <f t="shared" si="16"/>
        <v>1</v>
      </c>
    </row>
    <row r="206" spans="1:16" ht="18.75" customHeight="1" thickBot="1" x14ac:dyDescent="0.3">
      <c r="A206" s="3" t="s">
        <v>1</v>
      </c>
      <c r="B206" s="4">
        <v>424062</v>
      </c>
      <c r="C206" s="3" t="s">
        <v>2</v>
      </c>
      <c r="D206" s="18">
        <v>0.1</v>
      </c>
      <c r="E206" s="21">
        <f t="shared" si="17"/>
        <v>7.9741404289037643E-3</v>
      </c>
      <c r="F206" s="5">
        <v>41491</v>
      </c>
      <c r="G206" s="5">
        <v>43327</v>
      </c>
      <c r="H206" s="16">
        <f t="shared" si="18"/>
        <v>1836</v>
      </c>
      <c r="I206" s="5">
        <v>43327</v>
      </c>
      <c r="J206" s="5">
        <v>43276</v>
      </c>
      <c r="K206" s="16">
        <f t="shared" si="19"/>
        <v>1785</v>
      </c>
      <c r="L206" s="13">
        <v>4729.6899999999996</v>
      </c>
      <c r="M206" s="15">
        <f t="shared" si="15"/>
        <v>97.969586529844719</v>
      </c>
      <c r="N206" s="13">
        <v>4729.6899999999996</v>
      </c>
      <c r="O206" s="13">
        <v>0</v>
      </c>
      <c r="P206" s="11">
        <f t="shared" si="16"/>
        <v>1</v>
      </c>
    </row>
    <row r="207" spans="1:16" ht="18.75" customHeight="1" thickBot="1" x14ac:dyDescent="0.3">
      <c r="A207" s="3" t="s">
        <v>1</v>
      </c>
      <c r="B207" s="4">
        <v>475776</v>
      </c>
      <c r="C207" s="3" t="s">
        <v>2</v>
      </c>
      <c r="D207" s="18">
        <v>0.1</v>
      </c>
      <c r="E207" s="21">
        <f t="shared" si="17"/>
        <v>7.9741404289037643E-3</v>
      </c>
      <c r="F207" s="5">
        <v>41515</v>
      </c>
      <c r="G207" s="5">
        <v>43341</v>
      </c>
      <c r="H207" s="16">
        <f t="shared" si="18"/>
        <v>1826</v>
      </c>
      <c r="I207" s="5">
        <v>43341</v>
      </c>
      <c r="J207" s="5">
        <v>42100</v>
      </c>
      <c r="K207" s="16">
        <f t="shared" si="19"/>
        <v>585</v>
      </c>
      <c r="L207" s="13">
        <v>8668.8799999999992</v>
      </c>
      <c r="M207" s="15">
        <f t="shared" si="15"/>
        <v>180.32870421267728</v>
      </c>
      <c r="N207" s="13">
        <v>8668.8799999999992</v>
      </c>
      <c r="O207" s="13">
        <v>0</v>
      </c>
      <c r="P207" s="11">
        <f t="shared" si="16"/>
        <v>1</v>
      </c>
    </row>
    <row r="208" spans="1:16" ht="18.75" customHeight="1" thickBot="1" x14ac:dyDescent="0.3">
      <c r="A208" s="3" t="s">
        <v>1</v>
      </c>
      <c r="B208" s="4">
        <v>325137</v>
      </c>
      <c r="C208" s="3" t="s">
        <v>2</v>
      </c>
      <c r="D208" s="18">
        <v>0.1</v>
      </c>
      <c r="E208" s="21">
        <f t="shared" si="17"/>
        <v>7.9741404289037643E-3</v>
      </c>
      <c r="F208" s="5">
        <v>41544</v>
      </c>
      <c r="G208" s="5">
        <v>43005</v>
      </c>
      <c r="H208" s="16">
        <f t="shared" si="18"/>
        <v>1461</v>
      </c>
      <c r="I208" s="5">
        <v>43005</v>
      </c>
      <c r="J208" s="5">
        <v>42852</v>
      </c>
      <c r="K208" s="16">
        <f t="shared" si="19"/>
        <v>1308</v>
      </c>
      <c r="L208" s="13">
        <v>1320.66</v>
      </c>
      <c r="M208" s="15">
        <f t="shared" si="15"/>
        <v>32.830428983075151</v>
      </c>
      <c r="N208" s="13">
        <v>1320.66</v>
      </c>
      <c r="O208" s="13">
        <v>0</v>
      </c>
      <c r="P208" s="11">
        <f t="shared" si="16"/>
        <v>1</v>
      </c>
    </row>
    <row r="209" spans="1:16" ht="18.75" customHeight="1" thickBot="1" x14ac:dyDescent="0.3">
      <c r="A209" s="3" t="s">
        <v>1</v>
      </c>
      <c r="B209" s="4">
        <v>529983</v>
      </c>
      <c r="C209" s="3" t="s">
        <v>2</v>
      </c>
      <c r="D209" s="18">
        <v>0.1</v>
      </c>
      <c r="E209" s="21">
        <f t="shared" si="17"/>
        <v>7.9741404289037643E-3</v>
      </c>
      <c r="F209" s="5">
        <v>41578</v>
      </c>
      <c r="G209" s="5">
        <v>43404</v>
      </c>
      <c r="H209" s="16">
        <f t="shared" si="18"/>
        <v>1826</v>
      </c>
      <c r="I209" s="5">
        <v>43404</v>
      </c>
      <c r="J209" s="5">
        <v>42856</v>
      </c>
      <c r="K209" s="16">
        <f t="shared" si="19"/>
        <v>1278</v>
      </c>
      <c r="L209" s="13">
        <v>5669.43</v>
      </c>
      <c r="M209" s="15">
        <f t="shared" si="15"/>
        <v>117.93460810675415</v>
      </c>
      <c r="N209" s="13">
        <v>5669.43</v>
      </c>
      <c r="O209" s="13">
        <v>0</v>
      </c>
      <c r="P209" s="11">
        <f t="shared" si="16"/>
        <v>1</v>
      </c>
    </row>
    <row r="210" spans="1:16" ht="18.75" customHeight="1" thickBot="1" x14ac:dyDescent="0.3">
      <c r="A210" s="3" t="s">
        <v>1</v>
      </c>
      <c r="B210" s="4">
        <v>705860</v>
      </c>
      <c r="C210" s="3" t="s">
        <v>2</v>
      </c>
      <c r="D210" s="18">
        <v>9.5000000000000001E-2</v>
      </c>
      <c r="E210" s="21">
        <f t="shared" si="17"/>
        <v>7.5915342905825689E-3</v>
      </c>
      <c r="F210" s="5">
        <v>41592</v>
      </c>
      <c r="G210" s="5">
        <v>43418</v>
      </c>
      <c r="H210" s="16">
        <f t="shared" si="18"/>
        <v>1826</v>
      </c>
      <c r="I210" s="5">
        <v>43418</v>
      </c>
      <c r="J210" s="5">
        <v>43496</v>
      </c>
      <c r="K210" s="16">
        <f t="shared" si="19"/>
        <v>1904</v>
      </c>
      <c r="L210" s="13">
        <v>4058.25</v>
      </c>
      <c r="M210" s="15">
        <f t="shared" si="15"/>
        <v>83.509029958211272</v>
      </c>
      <c r="N210" s="13">
        <v>4058.25</v>
      </c>
      <c r="O210" s="13">
        <v>0</v>
      </c>
      <c r="P210" s="11">
        <f t="shared" si="16"/>
        <v>1</v>
      </c>
    </row>
    <row r="211" spans="1:16" ht="18.75" customHeight="1" thickBot="1" x14ac:dyDescent="0.3">
      <c r="A211" s="3" t="s">
        <v>1</v>
      </c>
      <c r="B211" s="4">
        <v>431597</v>
      </c>
      <c r="C211" s="3" t="s">
        <v>2</v>
      </c>
      <c r="D211" s="18">
        <v>0.1</v>
      </c>
      <c r="E211" s="21">
        <f t="shared" si="17"/>
        <v>7.9741404289037643E-3</v>
      </c>
      <c r="F211" s="5">
        <v>41649</v>
      </c>
      <c r="G211" s="5">
        <v>43353</v>
      </c>
      <c r="H211" s="16">
        <f t="shared" si="18"/>
        <v>1704</v>
      </c>
      <c r="I211" s="5">
        <v>43353</v>
      </c>
      <c r="J211" s="5">
        <v>42453</v>
      </c>
      <c r="K211" s="16">
        <f t="shared" si="19"/>
        <v>804</v>
      </c>
      <c r="L211" s="13">
        <v>67000</v>
      </c>
      <c r="M211" s="15">
        <f t="shared" si="15"/>
        <v>1471.4257530328719</v>
      </c>
      <c r="N211" s="13">
        <v>36730.519999999997</v>
      </c>
      <c r="O211" s="13">
        <v>36730.519999999997</v>
      </c>
      <c r="P211" s="11">
        <f t="shared" si="16"/>
        <v>1</v>
      </c>
    </row>
    <row r="212" spans="1:16" ht="18.75" customHeight="1" thickBot="1" x14ac:dyDescent="0.3">
      <c r="A212" s="3" t="s">
        <v>1</v>
      </c>
      <c r="B212" s="4">
        <v>342751</v>
      </c>
      <c r="C212" s="3" t="s">
        <v>2</v>
      </c>
      <c r="D212" s="18">
        <v>0.09</v>
      </c>
      <c r="E212" s="21">
        <f t="shared" si="17"/>
        <v>7.2073233161367156E-3</v>
      </c>
      <c r="F212" s="5">
        <v>41619</v>
      </c>
      <c r="G212" s="5">
        <v>43445</v>
      </c>
      <c r="H212" s="16">
        <f t="shared" si="18"/>
        <v>1826</v>
      </c>
      <c r="I212" s="5">
        <v>43445</v>
      </c>
      <c r="J212" s="5">
        <v>43201</v>
      </c>
      <c r="K212" s="16">
        <f t="shared" si="19"/>
        <v>1582</v>
      </c>
      <c r="L212" s="13">
        <v>7873.08</v>
      </c>
      <c r="M212" s="15">
        <f t="shared" si="15"/>
        <v>160.24750807088344</v>
      </c>
      <c r="N212" s="13">
        <v>7873.08</v>
      </c>
      <c r="O212" s="13">
        <v>0</v>
      </c>
      <c r="P212" s="11">
        <f t="shared" si="16"/>
        <v>1</v>
      </c>
    </row>
    <row r="213" spans="1:16" ht="18.75" customHeight="1" thickBot="1" x14ac:dyDescent="0.3">
      <c r="A213" s="3" t="s">
        <v>1</v>
      </c>
      <c r="B213" s="4">
        <v>659839</v>
      </c>
      <c r="C213" s="3" t="s">
        <v>2</v>
      </c>
      <c r="D213" s="18">
        <v>9.5000000000000001E-2</v>
      </c>
      <c r="E213" s="21">
        <f t="shared" si="17"/>
        <v>7.5915342905825689E-3</v>
      </c>
      <c r="F213" s="5">
        <v>41695</v>
      </c>
      <c r="G213" s="5">
        <v>43521</v>
      </c>
      <c r="H213" s="16">
        <f t="shared" si="18"/>
        <v>1826</v>
      </c>
      <c r="I213" s="5">
        <v>43521</v>
      </c>
      <c r="J213" s="5">
        <v>43502</v>
      </c>
      <c r="K213" s="16">
        <f t="shared" si="19"/>
        <v>1807</v>
      </c>
      <c r="L213" s="13">
        <v>5000</v>
      </c>
      <c r="M213" s="15">
        <f t="shared" si="15"/>
        <v>102.88798122122992</v>
      </c>
      <c r="N213" s="13">
        <v>5000</v>
      </c>
      <c r="O213" s="13">
        <v>0</v>
      </c>
      <c r="P213" s="11">
        <f t="shared" si="16"/>
        <v>1</v>
      </c>
    </row>
    <row r="214" spans="1:16" ht="18.75" customHeight="1" thickBot="1" x14ac:dyDescent="0.3">
      <c r="A214" s="3" t="s">
        <v>1</v>
      </c>
      <c r="B214" s="4">
        <v>632156</v>
      </c>
      <c r="C214" s="3" t="s">
        <v>3</v>
      </c>
      <c r="D214" s="18">
        <v>7.4999999999999997E-2</v>
      </c>
      <c r="E214" s="21">
        <f t="shared" si="17"/>
        <v>6.0449190242917172E-3</v>
      </c>
      <c r="F214" s="5">
        <v>41710</v>
      </c>
      <c r="G214" s="5">
        <v>44024</v>
      </c>
      <c r="H214" s="16">
        <f t="shared" si="18"/>
        <v>2314</v>
      </c>
      <c r="I214" s="5">
        <v>44024</v>
      </c>
      <c r="J214" s="5">
        <v>43501</v>
      </c>
      <c r="K214" s="16">
        <f t="shared" si="19"/>
        <v>1791</v>
      </c>
      <c r="L214" s="13">
        <v>72518.22</v>
      </c>
      <c r="M214" s="15">
        <f t="shared" si="15"/>
        <v>1179.1100081001894</v>
      </c>
      <c r="N214" s="13">
        <v>72518.22</v>
      </c>
      <c r="O214" s="13">
        <v>72518.22</v>
      </c>
      <c r="P214" s="11">
        <f t="shared" si="16"/>
        <v>1</v>
      </c>
    </row>
    <row r="215" spans="1:16" ht="18.75" hidden="1" customHeight="1" thickBot="1" x14ac:dyDescent="0.3">
      <c r="A215" s="3" t="s">
        <v>1</v>
      </c>
      <c r="B215" s="4">
        <v>458417</v>
      </c>
      <c r="C215" s="3" t="s">
        <v>2</v>
      </c>
      <c r="D215" s="18">
        <v>8.5000000000000006E-2</v>
      </c>
      <c r="E215" s="21">
        <f t="shared" si="17"/>
        <v>6.8214933659622723E-3</v>
      </c>
      <c r="F215" s="5">
        <v>41712</v>
      </c>
      <c r="G215" s="5">
        <v>41957</v>
      </c>
      <c r="H215" s="16">
        <f t="shared" si="18"/>
        <v>245</v>
      </c>
      <c r="I215" s="5">
        <v>41957</v>
      </c>
      <c r="J215" s="2"/>
      <c r="K215" s="16">
        <f t="shared" si="19"/>
        <v>-41712</v>
      </c>
      <c r="L215" s="13">
        <v>40000</v>
      </c>
      <c r="M215" s="15">
        <f t="shared" si="15"/>
        <v>5052.3381802358663</v>
      </c>
      <c r="N215" s="13">
        <v>40000</v>
      </c>
      <c r="O215" s="13">
        <v>0</v>
      </c>
      <c r="P215" s="11">
        <f t="shared" si="16"/>
        <v>0</v>
      </c>
    </row>
    <row r="216" spans="1:16" ht="18.75" customHeight="1" thickBot="1" x14ac:dyDescent="0.3">
      <c r="A216" s="3" t="s">
        <v>1</v>
      </c>
      <c r="B216" s="4">
        <v>988965</v>
      </c>
      <c r="C216" s="3" t="s">
        <v>2</v>
      </c>
      <c r="D216" s="18">
        <v>0.1</v>
      </c>
      <c r="E216" s="21">
        <f t="shared" si="17"/>
        <v>7.9741404289037643E-3</v>
      </c>
      <c r="F216" s="5">
        <v>41792</v>
      </c>
      <c r="G216" s="5">
        <v>43253</v>
      </c>
      <c r="H216" s="16">
        <f t="shared" si="18"/>
        <v>1461</v>
      </c>
      <c r="I216" s="5">
        <v>43253</v>
      </c>
      <c r="J216" s="5">
        <v>43496</v>
      </c>
      <c r="K216" s="16">
        <f t="shared" si="19"/>
        <v>1704</v>
      </c>
      <c r="L216" s="13">
        <v>3253.89</v>
      </c>
      <c r="M216" s="15">
        <f t="shared" si="15"/>
        <v>80.88880148087955</v>
      </c>
      <c r="N216" s="13">
        <v>3253.89</v>
      </c>
      <c r="O216" s="13">
        <v>0</v>
      </c>
      <c r="P216" s="11">
        <f t="shared" si="16"/>
        <v>1</v>
      </c>
    </row>
    <row r="217" spans="1:16" ht="18.75" customHeight="1" thickBot="1" x14ac:dyDescent="0.3">
      <c r="A217" s="3" t="s">
        <v>1</v>
      </c>
      <c r="B217" s="4">
        <v>327568</v>
      </c>
      <c r="C217" s="3" t="s">
        <v>2</v>
      </c>
      <c r="D217" s="18">
        <v>9.5000000000000001E-2</v>
      </c>
      <c r="E217" s="21">
        <f t="shared" si="17"/>
        <v>7.5915342905825689E-3</v>
      </c>
      <c r="F217" s="5">
        <v>41795</v>
      </c>
      <c r="G217" s="5">
        <v>44352</v>
      </c>
      <c r="H217" s="16">
        <f t="shared" si="18"/>
        <v>2557</v>
      </c>
      <c r="I217" s="5">
        <v>44352</v>
      </c>
      <c r="J217" s="5">
        <v>43615</v>
      </c>
      <c r="K217" s="16">
        <f t="shared" si="19"/>
        <v>1820</v>
      </c>
      <c r="L217" s="13">
        <v>20500</v>
      </c>
      <c r="M217" s="15">
        <f t="shared" si="15"/>
        <v>327.54376058276347</v>
      </c>
      <c r="N217" s="13">
        <v>20500</v>
      </c>
      <c r="O217" s="13">
        <v>0</v>
      </c>
      <c r="P217" s="11">
        <f t="shared" si="16"/>
        <v>1</v>
      </c>
    </row>
    <row r="218" spans="1:16" ht="18.75" hidden="1" customHeight="1" thickBot="1" x14ac:dyDescent="0.3">
      <c r="A218" s="3" t="s">
        <v>1</v>
      </c>
      <c r="B218" s="4">
        <v>537283</v>
      </c>
      <c r="C218" s="3" t="s">
        <v>2</v>
      </c>
      <c r="D218" s="18">
        <v>0.09</v>
      </c>
      <c r="E218" s="21">
        <f t="shared" si="17"/>
        <v>7.2073233161367156E-3</v>
      </c>
      <c r="F218" s="5">
        <v>41815</v>
      </c>
      <c r="G218" s="5">
        <v>42180</v>
      </c>
      <c r="H218" s="16">
        <f t="shared" si="18"/>
        <v>365</v>
      </c>
      <c r="I218" s="5">
        <v>42180</v>
      </c>
      <c r="J218" s="2"/>
      <c r="K218" s="16">
        <f t="shared" si="19"/>
        <v>-41815</v>
      </c>
      <c r="L218" s="13">
        <v>49106.75</v>
      </c>
      <c r="M218" s="15">
        <f t="shared" si="15"/>
        <v>4230.2396319535137</v>
      </c>
      <c r="N218" s="13">
        <v>49106.75</v>
      </c>
      <c r="O218" s="13">
        <v>0</v>
      </c>
      <c r="P218" s="11">
        <f t="shared" si="16"/>
        <v>1</v>
      </c>
    </row>
    <row r="219" spans="1:16" ht="18.75" hidden="1" customHeight="1" thickBot="1" x14ac:dyDescent="0.3">
      <c r="A219" s="3" t="s">
        <v>1</v>
      </c>
      <c r="B219" s="4">
        <v>296644</v>
      </c>
      <c r="C219" s="3" t="s">
        <v>2</v>
      </c>
      <c r="D219" s="7">
        <v>7.4999999999999997E-2</v>
      </c>
      <c r="E219" s="7">
        <f t="shared" ref="E219" si="20">D219/12</f>
        <v>6.2499999999999995E-3</v>
      </c>
      <c r="F219" s="5">
        <v>41816</v>
      </c>
      <c r="G219" s="5">
        <v>46199</v>
      </c>
      <c r="H219" s="8">
        <f t="shared" si="18"/>
        <v>4383</v>
      </c>
      <c r="I219" s="5">
        <v>46199</v>
      </c>
      <c r="J219" s="5">
        <v>43371</v>
      </c>
      <c r="K219" s="8">
        <f t="shared" si="19"/>
        <v>1555</v>
      </c>
      <c r="L219" s="6">
        <v>7203.84</v>
      </c>
      <c r="M219" s="9">
        <f t="shared" si="15"/>
        <v>75.342651128285951</v>
      </c>
      <c r="N219" s="6">
        <v>6999.9</v>
      </c>
      <c r="O219" s="6">
        <v>0</v>
      </c>
      <c r="P219" s="6">
        <v>0</v>
      </c>
    </row>
    <row r="220" spans="1:16" ht="18.75" customHeight="1" thickBot="1" x14ac:dyDescent="0.3">
      <c r="A220" s="3" t="s">
        <v>1</v>
      </c>
      <c r="B220" s="4">
        <v>329267</v>
      </c>
      <c r="C220" s="3" t="s">
        <v>2</v>
      </c>
      <c r="D220" s="18">
        <v>0.1</v>
      </c>
      <c r="E220" s="21">
        <f t="shared" ref="E220:E270" si="21">(1+D220)^(1/12)-1</f>
        <v>7.9741404289037643E-3</v>
      </c>
      <c r="F220" s="5">
        <v>41845</v>
      </c>
      <c r="G220" s="5">
        <v>43824</v>
      </c>
      <c r="H220" s="16">
        <f t="shared" si="18"/>
        <v>1979</v>
      </c>
      <c r="I220" s="5">
        <v>43824</v>
      </c>
      <c r="J220" s="5">
        <v>42601</v>
      </c>
      <c r="K220" s="16">
        <f t="shared" si="19"/>
        <v>756</v>
      </c>
      <c r="L220" s="13">
        <v>42706.99</v>
      </c>
      <c r="M220" s="15">
        <f t="shared" si="15"/>
        <v>835.05766221143119</v>
      </c>
      <c r="N220" s="13">
        <v>42706.99</v>
      </c>
      <c r="O220" s="13">
        <v>0</v>
      </c>
      <c r="P220" s="11">
        <f t="shared" ref="P220:P251" si="22">IF((G220)&gt;(ConstantDateCutoff),1,0)</f>
        <v>1</v>
      </c>
    </row>
    <row r="221" spans="1:16" ht="18.75" customHeight="1" thickBot="1" x14ac:dyDescent="0.3">
      <c r="A221" s="3" t="s">
        <v>1</v>
      </c>
      <c r="B221" s="4">
        <v>703236</v>
      </c>
      <c r="C221" s="3" t="s">
        <v>2</v>
      </c>
      <c r="D221" s="18">
        <v>0.09</v>
      </c>
      <c r="E221" s="21">
        <f t="shared" si="21"/>
        <v>7.2073233161367156E-3</v>
      </c>
      <c r="F221" s="5">
        <v>41838</v>
      </c>
      <c r="G221" s="5">
        <v>43299</v>
      </c>
      <c r="H221" s="16">
        <f t="shared" si="18"/>
        <v>1461</v>
      </c>
      <c r="I221" s="5">
        <v>43299</v>
      </c>
      <c r="J221" s="5">
        <v>43496</v>
      </c>
      <c r="K221" s="16">
        <f t="shared" si="19"/>
        <v>1658</v>
      </c>
      <c r="L221" s="13">
        <v>43876.65</v>
      </c>
      <c r="M221" s="15">
        <f t="shared" si="15"/>
        <v>1071.5151929834558</v>
      </c>
      <c r="N221" s="13">
        <v>43876.65</v>
      </c>
      <c r="O221" s="13">
        <v>0</v>
      </c>
      <c r="P221" s="11">
        <f t="shared" si="22"/>
        <v>1</v>
      </c>
    </row>
    <row r="222" spans="1:16" ht="18.75" customHeight="1" thickBot="1" x14ac:dyDescent="0.3">
      <c r="A222" s="3" t="s">
        <v>1</v>
      </c>
      <c r="B222" s="4">
        <v>810043</v>
      </c>
      <c r="C222" s="3" t="s">
        <v>2</v>
      </c>
      <c r="D222" s="18">
        <v>9.5000000000000001E-2</v>
      </c>
      <c r="E222" s="21">
        <f t="shared" si="21"/>
        <v>7.5915342905825689E-3</v>
      </c>
      <c r="F222" s="5">
        <v>41842</v>
      </c>
      <c r="G222" s="5">
        <v>42207</v>
      </c>
      <c r="H222" s="16">
        <f t="shared" si="18"/>
        <v>365</v>
      </c>
      <c r="I222" s="5">
        <v>46086</v>
      </c>
      <c r="J222" s="5">
        <v>44460</v>
      </c>
      <c r="K222" s="16">
        <f t="shared" si="19"/>
        <v>2618</v>
      </c>
      <c r="L222" s="13">
        <v>20000</v>
      </c>
      <c r="M222" s="15">
        <f t="shared" si="15"/>
        <v>1727.1467704568249</v>
      </c>
      <c r="N222" s="13">
        <v>16418.55</v>
      </c>
      <c r="O222" s="13">
        <v>2682.06</v>
      </c>
      <c r="P222" s="11">
        <f t="shared" si="22"/>
        <v>1</v>
      </c>
    </row>
    <row r="223" spans="1:16" ht="18.75" customHeight="1" thickBot="1" x14ac:dyDescent="0.3">
      <c r="A223" s="3" t="s">
        <v>1</v>
      </c>
      <c r="B223" s="4">
        <v>867831</v>
      </c>
      <c r="C223" s="3" t="s">
        <v>2</v>
      </c>
      <c r="D223" s="18">
        <v>0.08</v>
      </c>
      <c r="E223" s="21">
        <f t="shared" si="21"/>
        <v>6.4340301100034303E-3</v>
      </c>
      <c r="F223" s="5">
        <v>41843</v>
      </c>
      <c r="G223" s="5">
        <v>44035</v>
      </c>
      <c r="H223" s="16">
        <f t="shared" si="18"/>
        <v>2192</v>
      </c>
      <c r="I223" s="5">
        <v>44035</v>
      </c>
      <c r="J223" s="5">
        <v>43371</v>
      </c>
      <c r="K223" s="16">
        <f t="shared" si="19"/>
        <v>1528</v>
      </c>
      <c r="L223" s="13">
        <v>29280.080000000002</v>
      </c>
      <c r="M223" s="15">
        <f t="shared" si="15"/>
        <v>503.54317584651</v>
      </c>
      <c r="N223" s="13">
        <v>29207.25</v>
      </c>
      <c r="O223" s="13">
        <v>29207.25</v>
      </c>
      <c r="P223" s="11">
        <f t="shared" si="22"/>
        <v>1</v>
      </c>
    </row>
    <row r="224" spans="1:16" ht="18.75" customHeight="1" thickBot="1" x14ac:dyDescent="0.3">
      <c r="A224" s="3" t="s">
        <v>1</v>
      </c>
      <c r="B224" s="4">
        <v>884125</v>
      </c>
      <c r="C224" s="3" t="s">
        <v>2</v>
      </c>
      <c r="D224" s="18">
        <v>0.09</v>
      </c>
      <c r="E224" s="21">
        <f t="shared" si="21"/>
        <v>7.2073233161367156E-3</v>
      </c>
      <c r="F224" s="5">
        <v>41865</v>
      </c>
      <c r="G224" s="5">
        <v>43403</v>
      </c>
      <c r="H224" s="16">
        <f t="shared" si="18"/>
        <v>1538</v>
      </c>
      <c r="I224" s="5">
        <v>43403</v>
      </c>
      <c r="J224" s="5">
        <v>43098</v>
      </c>
      <c r="K224" s="16">
        <f t="shared" si="19"/>
        <v>1233</v>
      </c>
      <c r="L224" s="13">
        <v>84934.68</v>
      </c>
      <c r="M224" s="15">
        <f t="shared" si="15"/>
        <v>1987.5012954992676</v>
      </c>
      <c r="N224" s="13">
        <v>84934.68</v>
      </c>
      <c r="O224" s="13">
        <v>0</v>
      </c>
      <c r="P224" s="11">
        <f t="shared" si="22"/>
        <v>1</v>
      </c>
    </row>
    <row r="225" spans="1:16" ht="18.75" customHeight="1" thickBot="1" x14ac:dyDescent="0.3">
      <c r="A225" s="3" t="s">
        <v>1</v>
      </c>
      <c r="B225" s="4">
        <v>586435</v>
      </c>
      <c r="C225" s="3" t="s">
        <v>2</v>
      </c>
      <c r="D225" s="18">
        <v>9.5000000000000001E-2</v>
      </c>
      <c r="E225" s="21">
        <f t="shared" si="21"/>
        <v>7.5915342905825689E-3</v>
      </c>
      <c r="F225" s="5">
        <v>41866</v>
      </c>
      <c r="G225" s="5">
        <v>42628</v>
      </c>
      <c r="H225" s="16">
        <f t="shared" si="18"/>
        <v>762</v>
      </c>
      <c r="I225" s="5">
        <v>42628</v>
      </c>
      <c r="J225" s="5">
        <v>42548</v>
      </c>
      <c r="K225" s="16">
        <f t="shared" si="19"/>
        <v>682</v>
      </c>
      <c r="L225" s="13">
        <v>15000</v>
      </c>
      <c r="M225" s="15">
        <f t="shared" si="15"/>
        <v>651.54822364411507</v>
      </c>
      <c r="N225" s="13">
        <v>15000</v>
      </c>
      <c r="O225" s="13">
        <v>0</v>
      </c>
      <c r="P225" s="11">
        <f t="shared" si="22"/>
        <v>1</v>
      </c>
    </row>
    <row r="226" spans="1:16" ht="18.75" customHeight="1" thickBot="1" x14ac:dyDescent="0.3">
      <c r="A226" s="3" t="s">
        <v>1</v>
      </c>
      <c r="B226" s="4">
        <v>894098</v>
      </c>
      <c r="C226" s="3" t="s">
        <v>2</v>
      </c>
      <c r="D226" s="18">
        <v>0.08</v>
      </c>
      <c r="E226" s="21">
        <f t="shared" si="21"/>
        <v>6.4340301100034303E-3</v>
      </c>
      <c r="F226" s="5">
        <v>41866</v>
      </c>
      <c r="G226" s="5">
        <v>43723</v>
      </c>
      <c r="H226" s="16">
        <f t="shared" si="18"/>
        <v>1857</v>
      </c>
      <c r="I226" s="5">
        <v>43723</v>
      </c>
      <c r="J226" s="5">
        <v>43552</v>
      </c>
      <c r="K226" s="16">
        <f t="shared" si="19"/>
        <v>1686</v>
      </c>
      <c r="L226" s="13">
        <v>653640.93000000005</v>
      </c>
      <c r="M226" s="15">
        <f t="shared" si="15"/>
        <v>12835.100300065335</v>
      </c>
      <c r="N226" s="13">
        <v>638414.44999999995</v>
      </c>
      <c r="O226" s="13">
        <v>0</v>
      </c>
      <c r="P226" s="11">
        <f t="shared" si="22"/>
        <v>1</v>
      </c>
    </row>
    <row r="227" spans="1:16" ht="18.75" customHeight="1" thickBot="1" x14ac:dyDescent="0.3">
      <c r="A227" s="3" t="s">
        <v>1</v>
      </c>
      <c r="B227" s="4">
        <v>930085</v>
      </c>
      <c r="C227" s="3" t="s">
        <v>2</v>
      </c>
      <c r="D227" s="18">
        <v>0.08</v>
      </c>
      <c r="E227" s="21">
        <f t="shared" si="21"/>
        <v>6.4340301100034303E-3</v>
      </c>
      <c r="F227" s="5">
        <v>41912</v>
      </c>
      <c r="G227" s="5">
        <v>43468</v>
      </c>
      <c r="H227" s="16">
        <f t="shared" si="18"/>
        <v>1556</v>
      </c>
      <c r="I227" s="5">
        <v>43468</v>
      </c>
      <c r="J227" s="5">
        <v>43189</v>
      </c>
      <c r="K227" s="16">
        <f t="shared" si="19"/>
        <v>1277</v>
      </c>
      <c r="L227" s="13">
        <v>52140.53</v>
      </c>
      <c r="M227" s="15">
        <f t="shared" si="15"/>
        <v>1185.5298592821789</v>
      </c>
      <c r="N227" s="13">
        <v>52140.53</v>
      </c>
      <c r="O227" s="13">
        <v>13000</v>
      </c>
      <c r="P227" s="11">
        <f t="shared" si="22"/>
        <v>1</v>
      </c>
    </row>
    <row r="228" spans="1:16" ht="18.75" customHeight="1" thickBot="1" x14ac:dyDescent="0.3">
      <c r="A228" s="3" t="s">
        <v>1</v>
      </c>
      <c r="B228" s="4">
        <v>365886</v>
      </c>
      <c r="C228" s="3" t="s">
        <v>2</v>
      </c>
      <c r="D228" s="18">
        <v>7.4999999999999997E-2</v>
      </c>
      <c r="E228" s="21">
        <f t="shared" si="21"/>
        <v>6.0449190242917172E-3</v>
      </c>
      <c r="F228" s="5">
        <v>41919</v>
      </c>
      <c r="G228" s="5">
        <v>43745</v>
      </c>
      <c r="H228" s="16">
        <f t="shared" si="18"/>
        <v>1826</v>
      </c>
      <c r="I228" s="5">
        <v>43745</v>
      </c>
      <c r="J228" s="5">
        <v>42732</v>
      </c>
      <c r="K228" s="16">
        <f t="shared" si="19"/>
        <v>813</v>
      </c>
      <c r="L228" s="13">
        <v>19779.3</v>
      </c>
      <c r="M228" s="15">
        <f t="shared" si="15"/>
        <v>389.37121993589273</v>
      </c>
      <c r="N228" s="13">
        <v>19779.3</v>
      </c>
      <c r="O228" s="13">
        <v>0</v>
      </c>
      <c r="P228" s="11">
        <f t="shared" si="22"/>
        <v>1</v>
      </c>
    </row>
    <row r="229" spans="1:16" ht="18.75" customHeight="1" thickBot="1" x14ac:dyDescent="0.3">
      <c r="A229" s="3" t="s">
        <v>1</v>
      </c>
      <c r="B229" s="4">
        <v>359622</v>
      </c>
      <c r="C229" s="3" t="s">
        <v>2</v>
      </c>
      <c r="D229" s="18">
        <v>7.4999999999999997E-2</v>
      </c>
      <c r="E229" s="21">
        <f t="shared" si="21"/>
        <v>6.0449190242917172E-3</v>
      </c>
      <c r="F229" s="5">
        <v>41948</v>
      </c>
      <c r="G229" s="5">
        <v>42760</v>
      </c>
      <c r="H229" s="16">
        <f t="shared" si="18"/>
        <v>812</v>
      </c>
      <c r="I229" s="5">
        <v>42760</v>
      </c>
      <c r="J229" s="5">
        <v>42396</v>
      </c>
      <c r="K229" s="16">
        <f t="shared" si="19"/>
        <v>448</v>
      </c>
      <c r="L229" s="13">
        <v>26017.42</v>
      </c>
      <c r="M229" s="15">
        <f t="shared" si="15"/>
        <v>1044.9106647600495</v>
      </c>
      <c r="N229" s="13">
        <v>26017.42</v>
      </c>
      <c r="O229" s="13">
        <v>0</v>
      </c>
      <c r="P229" s="11">
        <f t="shared" si="22"/>
        <v>1</v>
      </c>
    </row>
    <row r="230" spans="1:16" ht="18.75" customHeight="1" thickBot="1" x14ac:dyDescent="0.3">
      <c r="A230" s="3" t="s">
        <v>1</v>
      </c>
      <c r="B230" s="4">
        <v>656969</v>
      </c>
      <c r="C230" s="3" t="s">
        <v>2</v>
      </c>
      <c r="D230" s="18">
        <v>0.1</v>
      </c>
      <c r="E230" s="21">
        <f t="shared" si="21"/>
        <v>7.9741404289037643E-3</v>
      </c>
      <c r="F230" s="5">
        <v>41957</v>
      </c>
      <c r="G230" s="5">
        <v>43053</v>
      </c>
      <c r="H230" s="16">
        <f t="shared" si="18"/>
        <v>1096</v>
      </c>
      <c r="I230" s="5">
        <v>43053</v>
      </c>
      <c r="J230" s="5">
        <v>43055</v>
      </c>
      <c r="K230" s="16">
        <f t="shared" si="19"/>
        <v>1098</v>
      </c>
      <c r="L230" s="13">
        <v>37695.1</v>
      </c>
      <c r="M230" s="15">
        <f t="shared" si="15"/>
        <v>1193.4597618779428</v>
      </c>
      <c r="N230" s="13">
        <v>37695.1</v>
      </c>
      <c r="O230" s="13">
        <v>0</v>
      </c>
      <c r="P230" s="11">
        <f t="shared" si="22"/>
        <v>1</v>
      </c>
    </row>
    <row r="231" spans="1:16" ht="18.75" customHeight="1" thickBot="1" x14ac:dyDescent="0.3">
      <c r="A231" s="3" t="s">
        <v>1</v>
      </c>
      <c r="B231" s="4">
        <v>924659</v>
      </c>
      <c r="C231" s="3" t="s">
        <v>2</v>
      </c>
      <c r="D231" s="18">
        <v>0.1</v>
      </c>
      <c r="E231" s="21">
        <f t="shared" si="21"/>
        <v>7.9741404289037643E-3</v>
      </c>
      <c r="F231" s="5">
        <v>41967</v>
      </c>
      <c r="G231" s="5">
        <v>43793</v>
      </c>
      <c r="H231" s="16">
        <f t="shared" si="18"/>
        <v>1826</v>
      </c>
      <c r="I231" s="5">
        <v>43793</v>
      </c>
      <c r="J231" s="5">
        <v>43006</v>
      </c>
      <c r="K231" s="16">
        <f t="shared" si="19"/>
        <v>1039</v>
      </c>
      <c r="L231" s="13">
        <v>14037.23</v>
      </c>
      <c r="M231" s="15">
        <f t="shared" si="15"/>
        <v>292.00029261396168</v>
      </c>
      <c r="N231" s="13">
        <v>14037.23</v>
      </c>
      <c r="O231" s="13">
        <v>0</v>
      </c>
      <c r="P231" s="11">
        <f t="shared" si="22"/>
        <v>1</v>
      </c>
    </row>
    <row r="232" spans="1:16" ht="18.75" customHeight="1" thickBot="1" x14ac:dyDescent="0.3">
      <c r="A232" s="3" t="s">
        <v>1</v>
      </c>
      <c r="B232" s="4">
        <v>238882</v>
      </c>
      <c r="C232" s="3" t="s">
        <v>2</v>
      </c>
      <c r="D232" s="18">
        <v>0.1</v>
      </c>
      <c r="E232" s="21">
        <f t="shared" si="21"/>
        <v>7.9741404289037643E-3</v>
      </c>
      <c r="F232" s="5">
        <v>41992</v>
      </c>
      <c r="G232" s="5">
        <v>43818</v>
      </c>
      <c r="H232" s="16">
        <f t="shared" si="18"/>
        <v>1826</v>
      </c>
      <c r="I232" s="5">
        <v>43818</v>
      </c>
      <c r="J232" s="5">
        <v>42814</v>
      </c>
      <c r="K232" s="16">
        <f t="shared" si="19"/>
        <v>822</v>
      </c>
      <c r="L232" s="13">
        <v>30346.59</v>
      </c>
      <c r="M232" s="15">
        <f t="shared" si="15"/>
        <v>631.26508291421612</v>
      </c>
      <c r="N232" s="13">
        <v>30346.59</v>
      </c>
      <c r="O232" s="13">
        <v>0</v>
      </c>
      <c r="P232" s="11">
        <f t="shared" si="22"/>
        <v>1</v>
      </c>
    </row>
    <row r="233" spans="1:16" ht="18.75" customHeight="1" thickBot="1" x14ac:dyDescent="0.3">
      <c r="A233" s="3" t="s">
        <v>1</v>
      </c>
      <c r="B233" s="4">
        <v>698378</v>
      </c>
      <c r="C233" s="3" t="s">
        <v>2</v>
      </c>
      <c r="D233" s="18">
        <v>9.5000000000000001E-2</v>
      </c>
      <c r="E233" s="21">
        <f t="shared" si="21"/>
        <v>7.5915342905825689E-3</v>
      </c>
      <c r="F233" s="5">
        <v>42044</v>
      </c>
      <c r="G233" s="5">
        <v>44052</v>
      </c>
      <c r="H233" s="16">
        <f t="shared" si="18"/>
        <v>2008</v>
      </c>
      <c r="I233" s="5">
        <v>44052</v>
      </c>
      <c r="J233" s="5">
        <v>43371</v>
      </c>
      <c r="K233" s="16">
        <f t="shared" si="19"/>
        <v>1327</v>
      </c>
      <c r="L233" s="13">
        <v>37185.879999999997</v>
      </c>
      <c r="M233" s="15">
        <f t="shared" si="15"/>
        <v>710.67891490077659</v>
      </c>
      <c r="N233" s="13">
        <v>37185.879999999997</v>
      </c>
      <c r="O233" s="13">
        <v>0</v>
      </c>
      <c r="P233" s="11">
        <f t="shared" si="22"/>
        <v>1</v>
      </c>
    </row>
    <row r="234" spans="1:16" ht="18.75" customHeight="1" thickBot="1" x14ac:dyDescent="0.3">
      <c r="A234" s="3" t="s">
        <v>1</v>
      </c>
      <c r="B234" s="4">
        <v>883122</v>
      </c>
      <c r="C234" s="3" t="s">
        <v>2</v>
      </c>
      <c r="D234" s="18">
        <v>7.4999999999999997E-2</v>
      </c>
      <c r="E234" s="21">
        <f t="shared" si="21"/>
        <v>6.0449190242917172E-3</v>
      </c>
      <c r="F234" s="5">
        <v>42045</v>
      </c>
      <c r="G234" s="5">
        <v>42865</v>
      </c>
      <c r="H234" s="16">
        <f t="shared" si="18"/>
        <v>820</v>
      </c>
      <c r="I234" s="5">
        <v>42865</v>
      </c>
      <c r="J234" s="5">
        <v>42536</v>
      </c>
      <c r="K234" s="16">
        <f t="shared" si="19"/>
        <v>491</v>
      </c>
      <c r="L234" s="13">
        <v>26515.96</v>
      </c>
      <c r="M234" s="15">
        <f t="shared" si="15"/>
        <v>1055.3679923890102</v>
      </c>
      <c r="N234" s="13">
        <v>26515.96</v>
      </c>
      <c r="O234" s="13">
        <v>0</v>
      </c>
      <c r="P234" s="11">
        <f t="shared" si="22"/>
        <v>1</v>
      </c>
    </row>
    <row r="235" spans="1:16" ht="18.75" customHeight="1" thickBot="1" x14ac:dyDescent="0.3">
      <c r="A235" s="3" t="s">
        <v>1</v>
      </c>
      <c r="B235" s="4">
        <v>274060</v>
      </c>
      <c r="C235" s="3" t="s">
        <v>2</v>
      </c>
      <c r="D235" s="18">
        <v>0.09</v>
      </c>
      <c r="E235" s="21">
        <f t="shared" si="21"/>
        <v>7.2073233161367156E-3</v>
      </c>
      <c r="F235" s="5">
        <v>42065</v>
      </c>
      <c r="G235" s="5">
        <v>43345</v>
      </c>
      <c r="H235" s="16">
        <f t="shared" si="18"/>
        <v>1280</v>
      </c>
      <c r="I235" s="5">
        <v>43345</v>
      </c>
      <c r="J235" s="5">
        <v>43004</v>
      </c>
      <c r="K235" s="16">
        <f t="shared" si="19"/>
        <v>939</v>
      </c>
      <c r="L235" s="13">
        <v>54500</v>
      </c>
      <c r="M235" s="15">
        <f t="shared" si="15"/>
        <v>1488.3550408135263</v>
      </c>
      <c r="N235" s="13">
        <v>54500</v>
      </c>
      <c r="O235" s="13">
        <v>0</v>
      </c>
      <c r="P235" s="11">
        <f t="shared" si="22"/>
        <v>1</v>
      </c>
    </row>
    <row r="236" spans="1:16" ht="18.75" customHeight="1" thickBot="1" x14ac:dyDescent="0.3">
      <c r="A236" s="3" t="s">
        <v>1</v>
      </c>
      <c r="B236" s="4">
        <v>820872</v>
      </c>
      <c r="C236" s="3" t="s">
        <v>2</v>
      </c>
      <c r="D236" s="18">
        <v>0.09</v>
      </c>
      <c r="E236" s="21">
        <f t="shared" si="21"/>
        <v>7.2073233161367156E-3</v>
      </c>
      <c r="F236" s="5">
        <v>42086</v>
      </c>
      <c r="G236" s="5">
        <v>45008</v>
      </c>
      <c r="H236" s="16">
        <f t="shared" si="18"/>
        <v>2922</v>
      </c>
      <c r="I236" s="5">
        <v>45008</v>
      </c>
      <c r="J236" s="5">
        <v>43654</v>
      </c>
      <c r="K236" s="16">
        <f t="shared" si="19"/>
        <v>1568</v>
      </c>
      <c r="L236" s="13">
        <v>287.57</v>
      </c>
      <c r="M236" s="15">
        <f t="shared" si="15"/>
        <v>4.1192338628629352</v>
      </c>
      <c r="N236" s="13">
        <v>256.64999999999998</v>
      </c>
      <c r="O236" s="13">
        <v>0</v>
      </c>
      <c r="P236" s="11">
        <f t="shared" si="22"/>
        <v>1</v>
      </c>
    </row>
    <row r="237" spans="1:16" ht="18.75" customHeight="1" thickBot="1" x14ac:dyDescent="0.3">
      <c r="A237" s="3" t="s">
        <v>1</v>
      </c>
      <c r="B237" s="4">
        <v>273567</v>
      </c>
      <c r="C237" s="3" t="s">
        <v>2</v>
      </c>
      <c r="D237" s="18">
        <v>0.08</v>
      </c>
      <c r="E237" s="21">
        <f t="shared" si="21"/>
        <v>6.4340301100034303E-3</v>
      </c>
      <c r="F237" s="5">
        <v>42094</v>
      </c>
      <c r="G237" s="5">
        <v>43468</v>
      </c>
      <c r="H237" s="16">
        <f t="shared" si="18"/>
        <v>1374</v>
      </c>
      <c r="I237" s="5">
        <v>43468</v>
      </c>
      <c r="J237" s="5">
        <v>43189</v>
      </c>
      <c r="K237" s="16">
        <f t="shared" si="19"/>
        <v>1095</v>
      </c>
      <c r="L237" s="13">
        <v>45000</v>
      </c>
      <c r="M237" s="15">
        <f t="shared" si="15"/>
        <v>1137.5328179222672</v>
      </c>
      <c r="N237" s="13">
        <v>45000</v>
      </c>
      <c r="O237" s="13">
        <v>10000</v>
      </c>
      <c r="P237" s="11">
        <f t="shared" si="22"/>
        <v>1</v>
      </c>
    </row>
    <row r="238" spans="1:16" ht="18.75" customHeight="1" thickBot="1" x14ac:dyDescent="0.3">
      <c r="A238" s="3" t="s">
        <v>1</v>
      </c>
      <c r="B238" s="4">
        <v>552650</v>
      </c>
      <c r="C238" s="3" t="s">
        <v>2</v>
      </c>
      <c r="D238" s="18">
        <v>9.5000000000000001E-2</v>
      </c>
      <c r="E238" s="21">
        <f t="shared" si="21"/>
        <v>7.5915342905825689E-3</v>
      </c>
      <c r="F238" s="5">
        <v>42103</v>
      </c>
      <c r="G238" s="5">
        <v>43199</v>
      </c>
      <c r="H238" s="16">
        <f t="shared" si="18"/>
        <v>1096</v>
      </c>
      <c r="I238" s="5">
        <v>43199</v>
      </c>
      <c r="J238" s="5">
        <v>42347</v>
      </c>
      <c r="K238" s="16">
        <f t="shared" si="19"/>
        <v>244</v>
      </c>
      <c r="L238" s="13">
        <v>11775.97</v>
      </c>
      <c r="M238" s="15">
        <f t="shared" si="15"/>
        <v>370.31149370030437</v>
      </c>
      <c r="N238" s="13">
        <v>11775.97</v>
      </c>
      <c r="O238" s="13">
        <v>0</v>
      </c>
      <c r="P238" s="11">
        <f t="shared" si="22"/>
        <v>1</v>
      </c>
    </row>
    <row r="239" spans="1:16" ht="18.75" customHeight="1" thickBot="1" x14ac:dyDescent="0.3">
      <c r="A239" s="3" t="s">
        <v>1</v>
      </c>
      <c r="B239" s="4">
        <v>100356</v>
      </c>
      <c r="C239" s="3" t="s">
        <v>2</v>
      </c>
      <c r="D239" s="18">
        <v>0.08</v>
      </c>
      <c r="E239" s="21">
        <f t="shared" si="21"/>
        <v>6.4340301100034303E-3</v>
      </c>
      <c r="F239" s="5">
        <v>42136</v>
      </c>
      <c r="G239" s="5">
        <v>43232</v>
      </c>
      <c r="H239" s="16">
        <f t="shared" si="18"/>
        <v>1096</v>
      </c>
      <c r="I239" s="5">
        <v>43232</v>
      </c>
      <c r="J239" s="5">
        <v>42314</v>
      </c>
      <c r="K239" s="16">
        <f t="shared" si="19"/>
        <v>178</v>
      </c>
      <c r="L239" s="13">
        <v>7751.81</v>
      </c>
      <c r="M239" s="15">
        <f t="shared" si="15"/>
        <v>238.77708305245585</v>
      </c>
      <c r="N239" s="13">
        <v>7751.81</v>
      </c>
      <c r="O239" s="13">
        <v>7751.81</v>
      </c>
      <c r="P239" s="11">
        <f t="shared" si="22"/>
        <v>1</v>
      </c>
    </row>
    <row r="240" spans="1:16" ht="18.75" customHeight="1" thickBot="1" x14ac:dyDescent="0.3">
      <c r="A240" s="3" t="s">
        <v>1</v>
      </c>
      <c r="B240" s="4">
        <v>509056</v>
      </c>
      <c r="C240" s="3" t="s">
        <v>2</v>
      </c>
      <c r="D240" s="18">
        <v>0.08</v>
      </c>
      <c r="E240" s="21">
        <f t="shared" si="21"/>
        <v>6.4340301100034303E-3</v>
      </c>
      <c r="F240" s="5">
        <v>42151</v>
      </c>
      <c r="G240" s="5">
        <v>43978</v>
      </c>
      <c r="H240" s="16">
        <f t="shared" si="18"/>
        <v>1827</v>
      </c>
      <c r="I240" s="5">
        <v>43978</v>
      </c>
      <c r="J240" s="5">
        <v>42405</v>
      </c>
      <c r="K240" s="16">
        <f t="shared" si="19"/>
        <v>254</v>
      </c>
      <c r="L240" s="13">
        <v>24875.33</v>
      </c>
      <c r="M240" s="15">
        <f t="shared" si="15"/>
        <v>494.99492235389738</v>
      </c>
      <c r="N240" s="13">
        <v>24875.33</v>
      </c>
      <c r="O240" s="13">
        <v>0</v>
      </c>
      <c r="P240" s="11">
        <f t="shared" si="22"/>
        <v>1</v>
      </c>
    </row>
    <row r="241" spans="1:16" ht="18.75" customHeight="1" thickBot="1" x14ac:dyDescent="0.3">
      <c r="A241" s="3" t="s">
        <v>1</v>
      </c>
      <c r="B241" s="4">
        <v>917520</v>
      </c>
      <c r="C241" s="3" t="s">
        <v>2</v>
      </c>
      <c r="D241" s="18">
        <v>0.1</v>
      </c>
      <c r="E241" s="21">
        <f t="shared" si="21"/>
        <v>7.9741404289037643E-3</v>
      </c>
      <c r="F241" s="5">
        <v>42156</v>
      </c>
      <c r="G241" s="5">
        <v>43983</v>
      </c>
      <c r="H241" s="16">
        <f t="shared" si="18"/>
        <v>1827</v>
      </c>
      <c r="I241" s="5">
        <v>43983</v>
      </c>
      <c r="J241" s="5">
        <v>42643</v>
      </c>
      <c r="K241" s="16">
        <f t="shared" si="19"/>
        <v>487</v>
      </c>
      <c r="L241" s="13">
        <v>19883.099999999999</v>
      </c>
      <c r="M241" s="15">
        <f t="shared" si="15"/>
        <v>413.42912455391729</v>
      </c>
      <c r="N241" s="13">
        <v>19883.099999999999</v>
      </c>
      <c r="O241" s="13">
        <v>0</v>
      </c>
      <c r="P241" s="11">
        <f t="shared" si="22"/>
        <v>1</v>
      </c>
    </row>
    <row r="242" spans="1:16" ht="18.75" customHeight="1" thickBot="1" x14ac:dyDescent="0.3">
      <c r="A242" s="3" t="s">
        <v>1</v>
      </c>
      <c r="B242" s="4">
        <v>507565</v>
      </c>
      <c r="C242" s="3" t="s">
        <v>2</v>
      </c>
      <c r="D242" s="18">
        <v>7.4999999999999997E-2</v>
      </c>
      <c r="E242" s="21">
        <f t="shared" si="21"/>
        <v>6.0449190242917172E-3</v>
      </c>
      <c r="F242" s="5">
        <v>42159</v>
      </c>
      <c r="G242" s="5">
        <v>42525</v>
      </c>
      <c r="H242" s="16">
        <f t="shared" si="18"/>
        <v>366</v>
      </c>
      <c r="I242" s="5">
        <v>42525</v>
      </c>
      <c r="J242" s="5">
        <v>43649</v>
      </c>
      <c r="K242" s="16">
        <f t="shared" si="19"/>
        <v>1490</v>
      </c>
      <c r="L242" s="13">
        <v>166735.62</v>
      </c>
      <c r="M242" s="15">
        <f t="shared" si="15"/>
        <v>14218.246816533263</v>
      </c>
      <c r="N242" s="13">
        <v>166735.62</v>
      </c>
      <c r="O242" s="13">
        <v>0</v>
      </c>
      <c r="P242" s="11">
        <f t="shared" si="22"/>
        <v>1</v>
      </c>
    </row>
    <row r="243" spans="1:16" ht="18.75" customHeight="1" thickBot="1" x14ac:dyDescent="0.3">
      <c r="A243" s="3" t="s">
        <v>1</v>
      </c>
      <c r="B243" s="4">
        <v>97011</v>
      </c>
      <c r="C243" s="3" t="s">
        <v>2</v>
      </c>
      <c r="D243" s="18">
        <v>7.4999999999999997E-2</v>
      </c>
      <c r="E243" s="21">
        <f t="shared" si="21"/>
        <v>6.0449190242917172E-3</v>
      </c>
      <c r="F243" s="5">
        <v>42165</v>
      </c>
      <c r="G243" s="5">
        <v>42988</v>
      </c>
      <c r="H243" s="16">
        <f t="shared" si="18"/>
        <v>823</v>
      </c>
      <c r="I243" s="5">
        <v>42988</v>
      </c>
      <c r="J243" s="5">
        <v>42732</v>
      </c>
      <c r="K243" s="16">
        <f t="shared" si="19"/>
        <v>567</v>
      </c>
      <c r="L243" s="13">
        <v>72000</v>
      </c>
      <c r="M243" s="15">
        <f t="shared" si="15"/>
        <v>2856.0798658410749</v>
      </c>
      <c r="N243" s="13">
        <v>72000</v>
      </c>
      <c r="O243" s="13">
        <v>0</v>
      </c>
      <c r="P243" s="11">
        <f t="shared" si="22"/>
        <v>1</v>
      </c>
    </row>
    <row r="244" spans="1:16" ht="18.75" customHeight="1" thickBot="1" x14ac:dyDescent="0.3">
      <c r="A244" s="3" t="s">
        <v>1</v>
      </c>
      <c r="B244" s="4">
        <v>121646</v>
      </c>
      <c r="C244" s="3" t="s">
        <v>2</v>
      </c>
      <c r="D244" s="18">
        <v>0.08</v>
      </c>
      <c r="E244" s="21">
        <f t="shared" si="21"/>
        <v>6.4340301100034303E-3</v>
      </c>
      <c r="F244" s="5">
        <v>42173</v>
      </c>
      <c r="G244" s="5">
        <v>44365</v>
      </c>
      <c r="H244" s="16">
        <f t="shared" si="18"/>
        <v>2192</v>
      </c>
      <c r="I244" s="5">
        <v>44365</v>
      </c>
      <c r="J244" s="5">
        <v>43371</v>
      </c>
      <c r="K244" s="16">
        <f t="shared" si="19"/>
        <v>1198</v>
      </c>
      <c r="L244" s="13">
        <v>32584.39</v>
      </c>
      <c r="M244" s="15">
        <f t="shared" si="15"/>
        <v>560.36893422494961</v>
      </c>
      <c r="N244" s="13">
        <v>32500</v>
      </c>
      <c r="O244" s="13">
        <v>7.2</v>
      </c>
      <c r="P244" s="11">
        <f t="shared" si="22"/>
        <v>1</v>
      </c>
    </row>
    <row r="245" spans="1:16" ht="18.75" customHeight="1" thickBot="1" x14ac:dyDescent="0.3">
      <c r="A245" s="3" t="s">
        <v>1</v>
      </c>
      <c r="B245" s="4">
        <v>331288</v>
      </c>
      <c r="C245" s="3" t="s">
        <v>2</v>
      </c>
      <c r="D245" s="18">
        <v>9.7500000000000003E-2</v>
      </c>
      <c r="E245" s="21">
        <f t="shared" si="21"/>
        <v>7.7830370878799737E-3</v>
      </c>
      <c r="F245" s="5">
        <v>42192</v>
      </c>
      <c r="G245" s="5">
        <v>44019</v>
      </c>
      <c r="H245" s="16">
        <f t="shared" si="18"/>
        <v>1827</v>
      </c>
      <c r="I245" s="5">
        <v>44019</v>
      </c>
      <c r="J245" s="5">
        <v>43105</v>
      </c>
      <c r="K245" s="16">
        <f t="shared" si="19"/>
        <v>913</v>
      </c>
      <c r="L245" s="13">
        <v>42504.26</v>
      </c>
      <c r="M245" s="15">
        <f t="shared" si="15"/>
        <v>879.0219693456155</v>
      </c>
      <c r="N245" s="13">
        <v>42504.26</v>
      </c>
      <c r="O245" s="13">
        <v>250</v>
      </c>
      <c r="P245" s="11">
        <f t="shared" si="22"/>
        <v>1</v>
      </c>
    </row>
    <row r="246" spans="1:16" ht="18.75" customHeight="1" thickBot="1" x14ac:dyDescent="0.3">
      <c r="A246" s="3" t="s">
        <v>1</v>
      </c>
      <c r="B246" s="4">
        <v>338764</v>
      </c>
      <c r="C246" s="3" t="s">
        <v>2</v>
      </c>
      <c r="D246" s="18">
        <v>9.7500000000000003E-2</v>
      </c>
      <c r="E246" s="21">
        <f t="shared" si="21"/>
        <v>7.7830370878799737E-3</v>
      </c>
      <c r="F246" s="5">
        <v>42193</v>
      </c>
      <c r="G246" s="5">
        <v>43289</v>
      </c>
      <c r="H246" s="16">
        <f t="shared" si="18"/>
        <v>1096</v>
      </c>
      <c r="I246" s="5">
        <v>43289</v>
      </c>
      <c r="J246" s="5">
        <v>42488</v>
      </c>
      <c r="K246" s="16">
        <f t="shared" si="19"/>
        <v>295</v>
      </c>
      <c r="L246" s="13">
        <v>6053.64</v>
      </c>
      <c r="M246" s="15">
        <f t="shared" si="15"/>
        <v>191.01427717490586</v>
      </c>
      <c r="N246" s="13">
        <v>6053.64</v>
      </c>
      <c r="O246" s="13">
        <v>2000</v>
      </c>
      <c r="P246" s="11">
        <f t="shared" si="22"/>
        <v>1</v>
      </c>
    </row>
    <row r="247" spans="1:16" ht="18.75" hidden="1" customHeight="1" thickBot="1" x14ac:dyDescent="0.3">
      <c r="A247" s="3" t="s">
        <v>1</v>
      </c>
      <c r="B247" s="4">
        <v>565277</v>
      </c>
      <c r="C247" s="3" t="s">
        <v>2</v>
      </c>
      <c r="D247" s="18">
        <v>0.08</v>
      </c>
      <c r="E247" s="21">
        <f t="shared" si="21"/>
        <v>6.4340301100034303E-3</v>
      </c>
      <c r="F247" s="5">
        <v>42199</v>
      </c>
      <c r="G247" s="5">
        <v>44026</v>
      </c>
      <c r="H247" s="16">
        <f t="shared" si="18"/>
        <v>1827</v>
      </c>
      <c r="I247" s="5">
        <v>44026</v>
      </c>
      <c r="J247" s="2"/>
      <c r="K247" s="16">
        <f t="shared" si="19"/>
        <v>-42199</v>
      </c>
      <c r="L247" s="13">
        <v>16000</v>
      </c>
      <c r="M247" s="15">
        <f t="shared" si="15"/>
        <v>318.38446998139756</v>
      </c>
      <c r="N247" s="13">
        <v>16000</v>
      </c>
      <c r="O247" s="13">
        <v>16000</v>
      </c>
      <c r="P247" s="11">
        <f t="shared" si="22"/>
        <v>1</v>
      </c>
    </row>
    <row r="248" spans="1:16" ht="18.75" customHeight="1" thickBot="1" x14ac:dyDescent="0.3">
      <c r="A248" s="3" t="s">
        <v>1</v>
      </c>
      <c r="B248" s="4">
        <v>76367</v>
      </c>
      <c r="C248" s="3" t="s">
        <v>2</v>
      </c>
      <c r="D248" s="18">
        <v>0.1</v>
      </c>
      <c r="E248" s="21">
        <f t="shared" si="21"/>
        <v>7.9741404289037643E-3</v>
      </c>
      <c r="F248" s="5">
        <v>42201</v>
      </c>
      <c r="G248" s="5">
        <v>42263</v>
      </c>
      <c r="H248" s="16">
        <f t="shared" si="18"/>
        <v>62</v>
      </c>
      <c r="I248" s="5">
        <v>42263</v>
      </c>
      <c r="J248" s="5">
        <v>42488</v>
      </c>
      <c r="K248" s="16">
        <f t="shared" si="19"/>
        <v>287</v>
      </c>
      <c r="L248" s="13">
        <v>5884.53</v>
      </c>
      <c r="M248" s="15">
        <f t="shared" si="15"/>
        <v>2882.217015412155</v>
      </c>
      <c r="N248" s="13">
        <v>5884.53</v>
      </c>
      <c r="O248" s="13">
        <v>0</v>
      </c>
      <c r="P248" s="11">
        <f t="shared" si="22"/>
        <v>1</v>
      </c>
    </row>
    <row r="249" spans="1:16" ht="18.75" customHeight="1" thickBot="1" x14ac:dyDescent="0.3">
      <c r="A249" s="3" t="s">
        <v>1</v>
      </c>
      <c r="B249" s="4">
        <v>813439</v>
      </c>
      <c r="C249" s="3" t="s">
        <v>2</v>
      </c>
      <c r="D249" s="18">
        <v>4.4999999999999998E-2</v>
      </c>
      <c r="E249" s="21">
        <f t="shared" si="21"/>
        <v>3.6748094004368514E-3</v>
      </c>
      <c r="F249" s="5">
        <v>42229</v>
      </c>
      <c r="G249" s="5">
        <v>43690</v>
      </c>
      <c r="H249" s="16">
        <f t="shared" si="18"/>
        <v>1461</v>
      </c>
      <c r="I249" s="5">
        <v>43690</v>
      </c>
      <c r="J249" s="5">
        <v>43552</v>
      </c>
      <c r="K249" s="16">
        <f t="shared" si="19"/>
        <v>1323</v>
      </c>
      <c r="L249" s="13">
        <v>411751.21</v>
      </c>
      <c r="M249" s="15">
        <f t="shared" si="15"/>
        <v>9249.4419473301914</v>
      </c>
      <c r="N249" s="13">
        <v>411751.21</v>
      </c>
      <c r="O249" s="13">
        <v>0</v>
      </c>
      <c r="P249" s="11">
        <f t="shared" si="22"/>
        <v>1</v>
      </c>
    </row>
    <row r="250" spans="1:16" ht="18.75" customHeight="1" thickBot="1" x14ac:dyDescent="0.3">
      <c r="A250" s="3" t="s">
        <v>1</v>
      </c>
      <c r="B250" s="4">
        <v>285765</v>
      </c>
      <c r="C250" s="3" t="s">
        <v>2</v>
      </c>
      <c r="D250" s="18">
        <v>4.4999999999999998E-2</v>
      </c>
      <c r="E250" s="21">
        <f t="shared" si="21"/>
        <v>3.6748094004368514E-3</v>
      </c>
      <c r="F250" s="5">
        <v>42229</v>
      </c>
      <c r="G250" s="5">
        <v>43690</v>
      </c>
      <c r="H250" s="16">
        <f t="shared" si="18"/>
        <v>1461</v>
      </c>
      <c r="I250" s="5">
        <v>43690</v>
      </c>
      <c r="J250" s="5">
        <v>43552</v>
      </c>
      <c r="K250" s="16">
        <f t="shared" si="19"/>
        <v>1323</v>
      </c>
      <c r="L250" s="13">
        <v>571521.29</v>
      </c>
      <c r="M250" s="15">
        <f t="shared" si="15"/>
        <v>12838.463774079166</v>
      </c>
      <c r="N250" s="13">
        <v>571521.29</v>
      </c>
      <c r="O250" s="13">
        <v>0</v>
      </c>
      <c r="P250" s="11">
        <f t="shared" si="22"/>
        <v>1</v>
      </c>
    </row>
    <row r="251" spans="1:16" ht="18.75" customHeight="1" thickBot="1" x14ac:dyDescent="0.3">
      <c r="A251" s="3" t="s">
        <v>1</v>
      </c>
      <c r="B251" s="4">
        <v>902945</v>
      </c>
      <c r="C251" s="3" t="s">
        <v>2</v>
      </c>
      <c r="D251" s="18">
        <v>0.09</v>
      </c>
      <c r="E251" s="21">
        <f t="shared" si="21"/>
        <v>7.2073233161367156E-3</v>
      </c>
      <c r="F251" s="5">
        <v>42264</v>
      </c>
      <c r="G251" s="5">
        <v>43541</v>
      </c>
      <c r="H251" s="16">
        <f t="shared" si="18"/>
        <v>1277</v>
      </c>
      <c r="I251" s="5">
        <v>43541</v>
      </c>
      <c r="J251" s="5">
        <v>43007</v>
      </c>
      <c r="K251" s="16">
        <f t="shared" si="19"/>
        <v>743</v>
      </c>
      <c r="L251" s="13">
        <v>984.22</v>
      </c>
      <c r="M251" s="15">
        <f t="shared" si="15"/>
        <v>26.932290920871957</v>
      </c>
      <c r="N251" s="13">
        <v>984.22</v>
      </c>
      <c r="O251" s="13">
        <v>75</v>
      </c>
      <c r="P251" s="11">
        <f t="shared" si="22"/>
        <v>1</v>
      </c>
    </row>
    <row r="252" spans="1:16" ht="18.75" customHeight="1" thickBot="1" x14ac:dyDescent="0.3">
      <c r="A252" s="3" t="s">
        <v>1</v>
      </c>
      <c r="B252" s="4">
        <v>49660</v>
      </c>
      <c r="C252" s="3" t="s">
        <v>2</v>
      </c>
      <c r="D252" s="18">
        <v>0.1</v>
      </c>
      <c r="E252" s="21">
        <f t="shared" si="21"/>
        <v>7.9741404289037643E-3</v>
      </c>
      <c r="F252" s="5">
        <v>42278</v>
      </c>
      <c r="G252" s="5">
        <v>43540</v>
      </c>
      <c r="H252" s="16">
        <f t="shared" si="18"/>
        <v>1262</v>
      </c>
      <c r="I252" s="5">
        <v>43540</v>
      </c>
      <c r="J252" s="5">
        <v>42675</v>
      </c>
      <c r="K252" s="16">
        <f t="shared" si="19"/>
        <v>397</v>
      </c>
      <c r="L252" s="13">
        <v>33595.21</v>
      </c>
      <c r="M252" s="15">
        <f t="shared" si="15"/>
        <v>943.18977996675221</v>
      </c>
      <c r="N252" s="13">
        <v>33595.21</v>
      </c>
      <c r="O252" s="13">
        <v>0</v>
      </c>
      <c r="P252" s="11">
        <f t="shared" ref="P252:P270" si="23">IF((G252)&gt;(ConstantDateCutoff),1,0)</f>
        <v>1</v>
      </c>
    </row>
    <row r="253" spans="1:16" ht="18.75" customHeight="1" thickBot="1" x14ac:dyDescent="0.3">
      <c r="A253" s="3" t="s">
        <v>1</v>
      </c>
      <c r="B253" s="4">
        <v>987859</v>
      </c>
      <c r="C253" s="3" t="s">
        <v>2</v>
      </c>
      <c r="D253" s="18">
        <v>0.08</v>
      </c>
      <c r="E253" s="21">
        <f t="shared" si="21"/>
        <v>6.4340301100034303E-3</v>
      </c>
      <c r="F253" s="5">
        <v>42277</v>
      </c>
      <c r="G253" s="5">
        <v>44104</v>
      </c>
      <c r="H253" s="16">
        <f t="shared" si="18"/>
        <v>1827</v>
      </c>
      <c r="I253" s="5">
        <v>44104</v>
      </c>
      <c r="J253" s="5">
        <v>43501</v>
      </c>
      <c r="K253" s="16">
        <f t="shared" si="19"/>
        <v>1224</v>
      </c>
      <c r="L253" s="13">
        <v>47636.79</v>
      </c>
      <c r="M253" s="15">
        <f t="shared" si="15"/>
        <v>947.92588348532126</v>
      </c>
      <c r="N253" s="13">
        <v>44114.85</v>
      </c>
      <c r="O253" s="13">
        <v>9365.9500000000007</v>
      </c>
      <c r="P253" s="11">
        <f t="shared" si="23"/>
        <v>1</v>
      </c>
    </row>
    <row r="254" spans="1:16" ht="18.75" hidden="1" customHeight="1" thickBot="1" x14ac:dyDescent="0.3">
      <c r="A254" s="3" t="s">
        <v>1</v>
      </c>
      <c r="B254" s="4">
        <v>590957</v>
      </c>
      <c r="C254" s="3" t="s">
        <v>2</v>
      </c>
      <c r="D254" s="18">
        <v>7.4999999999999997E-2</v>
      </c>
      <c r="E254" s="21">
        <f t="shared" si="21"/>
        <v>6.0449190242917172E-3</v>
      </c>
      <c r="F254" s="5">
        <v>42277</v>
      </c>
      <c r="G254" s="5">
        <v>42399</v>
      </c>
      <c r="H254" s="16">
        <f t="shared" si="18"/>
        <v>122</v>
      </c>
      <c r="I254" s="5">
        <v>42399</v>
      </c>
      <c r="J254" s="2"/>
      <c r="K254" s="16">
        <f t="shared" si="19"/>
        <v>-42277</v>
      </c>
      <c r="L254" s="13">
        <v>50000</v>
      </c>
      <c r="M254" s="15">
        <f t="shared" si="15"/>
        <v>12483.946301039236</v>
      </c>
      <c r="N254" s="13">
        <v>50000</v>
      </c>
      <c r="O254" s="13">
        <v>0</v>
      </c>
      <c r="P254" s="11">
        <f t="shared" si="23"/>
        <v>1</v>
      </c>
    </row>
    <row r="255" spans="1:16" ht="18.75" customHeight="1" thickBot="1" x14ac:dyDescent="0.3">
      <c r="A255" s="3" t="s">
        <v>1</v>
      </c>
      <c r="B255" s="4">
        <v>898267</v>
      </c>
      <c r="C255" s="3" t="s">
        <v>2</v>
      </c>
      <c r="D255" s="18">
        <v>0.09</v>
      </c>
      <c r="E255" s="21">
        <f t="shared" si="21"/>
        <v>7.2073233161367156E-3</v>
      </c>
      <c r="F255" s="5">
        <v>42285</v>
      </c>
      <c r="G255" s="5">
        <v>44112</v>
      </c>
      <c r="H255" s="16">
        <f t="shared" si="18"/>
        <v>1827</v>
      </c>
      <c r="I255" s="5">
        <v>44112</v>
      </c>
      <c r="J255" s="5">
        <v>42573</v>
      </c>
      <c r="K255" s="16">
        <f t="shared" si="19"/>
        <v>288</v>
      </c>
      <c r="L255" s="13">
        <v>55368.93</v>
      </c>
      <c r="M255" s="15">
        <f t="shared" si="15"/>
        <v>1126.479213714229</v>
      </c>
      <c r="N255" s="13">
        <v>55368.93</v>
      </c>
      <c r="O255" s="13">
        <v>0</v>
      </c>
      <c r="P255" s="11">
        <f t="shared" si="23"/>
        <v>1</v>
      </c>
    </row>
    <row r="256" spans="1:16" ht="18.75" customHeight="1" thickBot="1" x14ac:dyDescent="0.3">
      <c r="A256" s="3" t="s">
        <v>1</v>
      </c>
      <c r="B256" s="4">
        <v>97340</v>
      </c>
      <c r="C256" s="3" t="s">
        <v>2</v>
      </c>
      <c r="D256" s="18">
        <v>0.1</v>
      </c>
      <c r="E256" s="21">
        <f t="shared" si="21"/>
        <v>7.9741404289037643E-3</v>
      </c>
      <c r="F256" s="5">
        <v>42307</v>
      </c>
      <c r="G256" s="5">
        <v>44436</v>
      </c>
      <c r="H256" s="16">
        <f t="shared" si="18"/>
        <v>2129</v>
      </c>
      <c r="I256" s="5">
        <v>44436</v>
      </c>
      <c r="J256" s="5">
        <v>43598</v>
      </c>
      <c r="K256" s="16">
        <f t="shared" si="19"/>
        <v>1291</v>
      </c>
      <c r="L256" s="13">
        <v>49878.73</v>
      </c>
      <c r="M256" s="15">
        <f t="shared" si="15"/>
        <v>923.10001327675445</v>
      </c>
      <c r="N256" s="13">
        <v>46394.93</v>
      </c>
      <c r="O256" s="13">
        <v>13493.26</v>
      </c>
      <c r="P256" s="11">
        <f t="shared" si="23"/>
        <v>1</v>
      </c>
    </row>
    <row r="257" spans="1:16" ht="18.75" customHeight="1" thickBot="1" x14ac:dyDescent="0.3">
      <c r="A257" s="3" t="s">
        <v>1</v>
      </c>
      <c r="B257" s="4">
        <v>867316</v>
      </c>
      <c r="C257" s="3" t="s">
        <v>2</v>
      </c>
      <c r="D257" s="18">
        <v>8.5000000000000006E-2</v>
      </c>
      <c r="E257" s="21">
        <f t="shared" si="21"/>
        <v>6.8214933659622723E-3</v>
      </c>
      <c r="F257" s="5">
        <v>42310</v>
      </c>
      <c r="G257" s="5">
        <v>43283</v>
      </c>
      <c r="H257" s="16">
        <f t="shared" si="18"/>
        <v>973</v>
      </c>
      <c r="I257" s="5">
        <v>43283</v>
      </c>
      <c r="J257" s="5">
        <v>43003</v>
      </c>
      <c r="K257" s="16">
        <f t="shared" si="19"/>
        <v>693</v>
      </c>
      <c r="L257" s="13">
        <v>64000</v>
      </c>
      <c r="M257" s="15">
        <f t="shared" si="15"/>
        <v>2206.304348745994</v>
      </c>
      <c r="N257" s="13">
        <v>64000</v>
      </c>
      <c r="O257" s="13">
        <v>13500</v>
      </c>
      <c r="P257" s="11">
        <f t="shared" si="23"/>
        <v>1</v>
      </c>
    </row>
    <row r="258" spans="1:16" ht="18.75" customHeight="1" thickBot="1" x14ac:dyDescent="0.3">
      <c r="A258" s="3" t="s">
        <v>1</v>
      </c>
      <c r="B258" s="4">
        <v>482244</v>
      </c>
      <c r="C258" s="3" t="s">
        <v>2</v>
      </c>
      <c r="D258" s="18">
        <v>7.4999999999999997E-2</v>
      </c>
      <c r="E258" s="21">
        <f t="shared" si="21"/>
        <v>6.0449190242917172E-3</v>
      </c>
      <c r="F258" s="5">
        <v>42311</v>
      </c>
      <c r="G258" s="5">
        <v>42677</v>
      </c>
      <c r="H258" s="16">
        <f t="shared" si="18"/>
        <v>366</v>
      </c>
      <c r="I258" s="5">
        <v>42677</v>
      </c>
      <c r="J258" s="5">
        <v>42709</v>
      </c>
      <c r="K258" s="16">
        <f t="shared" si="19"/>
        <v>398</v>
      </c>
      <c r="L258" s="13">
        <v>160000</v>
      </c>
      <c r="M258" s="15">
        <f t="shared" ref="M258:M321" si="24">-PMT(E258,(H258/30),L258)</f>
        <v>13643.872201064907</v>
      </c>
      <c r="N258" s="13">
        <v>160000</v>
      </c>
      <c r="O258" s="13">
        <v>0</v>
      </c>
      <c r="P258" s="11">
        <f t="shared" si="23"/>
        <v>1</v>
      </c>
    </row>
    <row r="259" spans="1:16" ht="18.75" customHeight="1" thickBot="1" x14ac:dyDescent="0.3">
      <c r="A259" s="3" t="s">
        <v>1</v>
      </c>
      <c r="B259" s="4">
        <v>800464</v>
      </c>
      <c r="C259" s="3" t="s">
        <v>2</v>
      </c>
      <c r="D259" s="18">
        <v>0.08</v>
      </c>
      <c r="E259" s="21">
        <f t="shared" si="21"/>
        <v>6.4340301100034303E-3</v>
      </c>
      <c r="F259" s="5">
        <v>42345</v>
      </c>
      <c r="G259" s="5">
        <v>42711</v>
      </c>
      <c r="H259" s="16">
        <f t="shared" ref="H259:H322" si="25">G259-F259</f>
        <v>366</v>
      </c>
      <c r="I259" s="5">
        <v>42711</v>
      </c>
      <c r="J259" s="5">
        <v>42655</v>
      </c>
      <c r="K259" s="16">
        <f t="shared" ref="K259:K322" si="26">J259-F259</f>
        <v>310</v>
      </c>
      <c r="L259" s="13">
        <v>54121.95</v>
      </c>
      <c r="M259" s="15">
        <f t="shared" si="24"/>
        <v>4626.8629725512556</v>
      </c>
      <c r="N259" s="13">
        <v>54121.95</v>
      </c>
      <c r="O259" s="13">
        <v>0</v>
      </c>
      <c r="P259" s="11">
        <f t="shared" si="23"/>
        <v>1</v>
      </c>
    </row>
    <row r="260" spans="1:16" ht="18.75" customHeight="1" thickBot="1" x14ac:dyDescent="0.3">
      <c r="A260" s="3" t="s">
        <v>1</v>
      </c>
      <c r="B260" s="4">
        <v>117023</v>
      </c>
      <c r="C260" s="3" t="s">
        <v>2</v>
      </c>
      <c r="D260" s="18">
        <v>0.08</v>
      </c>
      <c r="E260" s="21">
        <f t="shared" si="21"/>
        <v>6.4340301100034303E-3</v>
      </c>
      <c r="F260" s="5">
        <v>42345</v>
      </c>
      <c r="G260" s="5">
        <v>42734</v>
      </c>
      <c r="H260" s="16">
        <f t="shared" si="25"/>
        <v>389</v>
      </c>
      <c r="I260" s="5">
        <v>42734</v>
      </c>
      <c r="J260" s="5">
        <v>42655</v>
      </c>
      <c r="K260" s="16">
        <f t="shared" si="26"/>
        <v>310</v>
      </c>
      <c r="L260" s="13">
        <v>34615.11</v>
      </c>
      <c r="M260" s="15">
        <f t="shared" si="24"/>
        <v>2791.0251249037897</v>
      </c>
      <c r="N260" s="13">
        <v>34615.11</v>
      </c>
      <c r="O260" s="13">
        <v>0</v>
      </c>
      <c r="P260" s="11">
        <f t="shared" si="23"/>
        <v>1</v>
      </c>
    </row>
    <row r="261" spans="1:16" ht="18.75" customHeight="1" thickBot="1" x14ac:dyDescent="0.3">
      <c r="A261" s="3" t="s">
        <v>1</v>
      </c>
      <c r="B261" s="4">
        <v>387555</v>
      </c>
      <c r="C261" s="3" t="s">
        <v>2</v>
      </c>
      <c r="D261" s="18">
        <v>0.08</v>
      </c>
      <c r="E261" s="21">
        <f t="shared" si="21"/>
        <v>6.4340301100034303E-3</v>
      </c>
      <c r="F261" s="5">
        <v>42368</v>
      </c>
      <c r="G261" s="5">
        <v>42734</v>
      </c>
      <c r="H261" s="16">
        <f t="shared" si="25"/>
        <v>366</v>
      </c>
      <c r="I261" s="5">
        <v>42734</v>
      </c>
      <c r="J261" s="5">
        <v>42978</v>
      </c>
      <c r="K261" s="16">
        <f t="shared" si="26"/>
        <v>610</v>
      </c>
      <c r="L261" s="13">
        <v>41950</v>
      </c>
      <c r="M261" s="15">
        <f t="shared" si="24"/>
        <v>3586.2880346795555</v>
      </c>
      <c r="N261" s="13">
        <v>41950</v>
      </c>
      <c r="O261" s="13">
        <v>703.13</v>
      </c>
      <c r="P261" s="11">
        <f t="shared" si="23"/>
        <v>1</v>
      </c>
    </row>
    <row r="262" spans="1:16" ht="18.75" hidden="1" customHeight="1" thickBot="1" x14ac:dyDescent="0.3">
      <c r="A262" s="3" t="s">
        <v>1</v>
      </c>
      <c r="B262" s="4">
        <v>69666</v>
      </c>
      <c r="C262" s="3" t="s">
        <v>2</v>
      </c>
      <c r="D262" s="18">
        <v>0.1</v>
      </c>
      <c r="E262" s="21">
        <f t="shared" si="21"/>
        <v>7.9741404289037643E-3</v>
      </c>
      <c r="F262" s="5">
        <v>42436</v>
      </c>
      <c r="G262" s="5">
        <v>42801</v>
      </c>
      <c r="H262" s="16">
        <f t="shared" si="25"/>
        <v>365</v>
      </c>
      <c r="I262" s="5">
        <v>42801</v>
      </c>
      <c r="J262" s="2"/>
      <c r="K262" s="16">
        <f t="shared" si="26"/>
        <v>-42436</v>
      </c>
      <c r="L262" s="13">
        <v>15000</v>
      </c>
      <c r="M262" s="15">
        <f t="shared" si="24"/>
        <v>1298.5548903833542</v>
      </c>
      <c r="N262" s="13">
        <v>15000</v>
      </c>
      <c r="O262" s="13">
        <v>0</v>
      </c>
      <c r="P262" s="11">
        <f t="shared" si="23"/>
        <v>1</v>
      </c>
    </row>
    <row r="263" spans="1:16" ht="18.75" hidden="1" customHeight="1" thickBot="1" x14ac:dyDescent="0.3">
      <c r="A263" s="3" t="s">
        <v>1</v>
      </c>
      <c r="B263" s="4">
        <v>385043</v>
      </c>
      <c r="C263" s="3" t="s">
        <v>2</v>
      </c>
      <c r="D263" s="18">
        <v>0.1</v>
      </c>
      <c r="E263" s="21">
        <f t="shared" si="21"/>
        <v>7.9741404289037643E-3</v>
      </c>
      <c r="F263" s="5">
        <v>42436</v>
      </c>
      <c r="G263" s="5">
        <v>42801</v>
      </c>
      <c r="H263" s="16">
        <f t="shared" si="25"/>
        <v>365</v>
      </c>
      <c r="I263" s="5">
        <v>42801</v>
      </c>
      <c r="J263" s="2"/>
      <c r="K263" s="16">
        <f t="shared" si="26"/>
        <v>-42436</v>
      </c>
      <c r="L263" s="13">
        <v>15000</v>
      </c>
      <c r="M263" s="15">
        <f t="shared" si="24"/>
        <v>1298.5548903833542</v>
      </c>
      <c r="N263" s="13">
        <v>15000</v>
      </c>
      <c r="O263" s="13">
        <v>0</v>
      </c>
      <c r="P263" s="11">
        <f t="shared" si="23"/>
        <v>1</v>
      </c>
    </row>
    <row r="264" spans="1:16" ht="18.75" customHeight="1" thickBot="1" x14ac:dyDescent="0.3">
      <c r="A264" s="3" t="s">
        <v>1</v>
      </c>
      <c r="B264" s="4">
        <v>682985</v>
      </c>
      <c r="C264" s="3" t="s">
        <v>2</v>
      </c>
      <c r="D264" s="18">
        <v>8.5000000000000006E-2</v>
      </c>
      <c r="E264" s="21">
        <f t="shared" si="21"/>
        <v>6.8214933659622723E-3</v>
      </c>
      <c r="F264" s="5">
        <v>42436</v>
      </c>
      <c r="G264" s="5">
        <v>44262</v>
      </c>
      <c r="H264" s="16">
        <f t="shared" si="25"/>
        <v>1826</v>
      </c>
      <c r="I264" s="5">
        <v>44262</v>
      </c>
      <c r="J264" s="5">
        <v>43644</v>
      </c>
      <c r="K264" s="16">
        <f t="shared" si="26"/>
        <v>1208</v>
      </c>
      <c r="L264" s="13">
        <v>42890.09</v>
      </c>
      <c r="M264" s="15">
        <f t="shared" si="24"/>
        <v>863.40444567215661</v>
      </c>
      <c r="N264" s="13">
        <v>42890.09</v>
      </c>
      <c r="O264" s="13">
        <v>28000</v>
      </c>
      <c r="P264" s="11">
        <f t="shared" si="23"/>
        <v>1</v>
      </c>
    </row>
    <row r="265" spans="1:16" ht="18.75" hidden="1" customHeight="1" thickBot="1" x14ac:dyDescent="0.3">
      <c r="A265" s="3" t="s">
        <v>1</v>
      </c>
      <c r="B265" s="4">
        <v>64533</v>
      </c>
      <c r="C265" s="3" t="s">
        <v>2</v>
      </c>
      <c r="D265" s="18">
        <v>0.08</v>
      </c>
      <c r="E265" s="21">
        <f t="shared" si="21"/>
        <v>6.4340301100034303E-3</v>
      </c>
      <c r="F265" s="5">
        <v>42438</v>
      </c>
      <c r="G265" s="5">
        <v>42803</v>
      </c>
      <c r="H265" s="16">
        <f t="shared" si="25"/>
        <v>365</v>
      </c>
      <c r="I265" s="5">
        <v>42803</v>
      </c>
      <c r="J265" s="2"/>
      <c r="K265" s="16">
        <f t="shared" si="26"/>
        <v>-42438</v>
      </c>
      <c r="L265" s="13">
        <v>28237.88</v>
      </c>
      <c r="M265" s="15">
        <f t="shared" si="24"/>
        <v>2420.4030632954095</v>
      </c>
      <c r="N265" s="13">
        <v>28237.88</v>
      </c>
      <c r="O265" s="13">
        <v>0</v>
      </c>
      <c r="P265" s="11">
        <f t="shared" si="23"/>
        <v>1</v>
      </c>
    </row>
    <row r="266" spans="1:16" ht="18.75" customHeight="1" thickBot="1" x14ac:dyDescent="0.3">
      <c r="A266" s="3" t="s">
        <v>1</v>
      </c>
      <c r="B266" s="4">
        <v>974752</v>
      </c>
      <c r="C266" s="3" t="s">
        <v>2</v>
      </c>
      <c r="D266" s="18">
        <v>0.1</v>
      </c>
      <c r="E266" s="21">
        <f t="shared" si="21"/>
        <v>7.9741404289037643E-3</v>
      </c>
      <c r="F266" s="5">
        <v>42451</v>
      </c>
      <c r="G266" s="5">
        <v>44308</v>
      </c>
      <c r="H266" s="16">
        <f t="shared" si="25"/>
        <v>1857</v>
      </c>
      <c r="I266" s="5">
        <v>44308</v>
      </c>
      <c r="J266" s="5">
        <v>43213</v>
      </c>
      <c r="K266" s="16">
        <f t="shared" si="26"/>
        <v>762</v>
      </c>
      <c r="L266" s="13">
        <v>32754.21</v>
      </c>
      <c r="M266" s="15">
        <f t="shared" si="24"/>
        <v>672.50545442468206</v>
      </c>
      <c r="N266" s="13">
        <v>32754.21</v>
      </c>
      <c r="O266" s="13">
        <v>0</v>
      </c>
      <c r="P266" s="11">
        <f t="shared" si="23"/>
        <v>1</v>
      </c>
    </row>
    <row r="267" spans="1:16" ht="18.75" customHeight="1" thickBot="1" x14ac:dyDescent="0.3">
      <c r="A267" s="3" t="s">
        <v>1</v>
      </c>
      <c r="B267" s="4">
        <v>420701</v>
      </c>
      <c r="C267" s="3" t="s">
        <v>2</v>
      </c>
      <c r="D267" s="18">
        <v>0.09</v>
      </c>
      <c r="E267" s="21">
        <f t="shared" si="21"/>
        <v>7.2073233161367156E-3</v>
      </c>
      <c r="F267" s="5">
        <v>42488</v>
      </c>
      <c r="G267" s="5">
        <v>43736</v>
      </c>
      <c r="H267" s="16">
        <f t="shared" si="25"/>
        <v>1248</v>
      </c>
      <c r="I267" s="5">
        <v>43736</v>
      </c>
      <c r="J267" s="5">
        <v>43220</v>
      </c>
      <c r="K267" s="16">
        <f t="shared" si="26"/>
        <v>732</v>
      </c>
      <c r="L267" s="13">
        <v>17881.650000000001</v>
      </c>
      <c r="M267" s="15">
        <f t="shared" si="24"/>
        <v>499.03771893480342</v>
      </c>
      <c r="N267" s="13">
        <v>17881.650000000001</v>
      </c>
      <c r="O267" s="13">
        <v>0</v>
      </c>
      <c r="P267" s="11">
        <f t="shared" si="23"/>
        <v>1</v>
      </c>
    </row>
    <row r="268" spans="1:16" ht="18.75" customHeight="1" thickBot="1" x14ac:dyDescent="0.3">
      <c r="A268" s="3" t="s">
        <v>1</v>
      </c>
      <c r="B268" s="4">
        <v>988969</v>
      </c>
      <c r="C268" s="3" t="s">
        <v>3</v>
      </c>
      <c r="D268" s="18">
        <v>0.09</v>
      </c>
      <c r="E268" s="21">
        <f t="shared" si="21"/>
        <v>7.2073233161367156E-3</v>
      </c>
      <c r="F268" s="5">
        <v>42489</v>
      </c>
      <c r="G268" s="5">
        <v>43310</v>
      </c>
      <c r="H268" s="16">
        <f t="shared" si="25"/>
        <v>821</v>
      </c>
      <c r="I268" s="5">
        <v>43310</v>
      </c>
      <c r="J268" s="5">
        <v>43496</v>
      </c>
      <c r="K268" s="16">
        <f t="shared" si="26"/>
        <v>1007</v>
      </c>
      <c r="L268" s="13">
        <v>31759.5</v>
      </c>
      <c r="M268" s="15">
        <f t="shared" si="24"/>
        <v>1282.891733619384</v>
      </c>
      <c r="N268" s="13">
        <v>31759.5</v>
      </c>
      <c r="O268" s="13">
        <v>0</v>
      </c>
      <c r="P268" s="11">
        <f t="shared" si="23"/>
        <v>1</v>
      </c>
    </row>
    <row r="269" spans="1:16" ht="18.75" customHeight="1" thickBot="1" x14ac:dyDescent="0.3">
      <c r="A269" s="3" t="s">
        <v>1</v>
      </c>
      <c r="B269" s="4">
        <v>217345</v>
      </c>
      <c r="C269" s="3" t="s">
        <v>2</v>
      </c>
      <c r="D269" s="18">
        <v>0.1</v>
      </c>
      <c r="E269" s="21">
        <f t="shared" si="21"/>
        <v>7.9741404289037643E-3</v>
      </c>
      <c r="F269" s="5">
        <v>42499</v>
      </c>
      <c r="G269" s="5">
        <v>44751</v>
      </c>
      <c r="H269" s="16">
        <f t="shared" si="25"/>
        <v>2252</v>
      </c>
      <c r="I269" s="5">
        <v>44751</v>
      </c>
      <c r="J269" s="5">
        <v>42941</v>
      </c>
      <c r="K269" s="16">
        <f t="shared" si="26"/>
        <v>442</v>
      </c>
      <c r="L269" s="13">
        <v>31945.21</v>
      </c>
      <c r="M269" s="15">
        <f t="shared" si="24"/>
        <v>567.2022803560219</v>
      </c>
      <c r="N269" s="13">
        <v>31945.21</v>
      </c>
      <c r="O269" s="13">
        <v>0</v>
      </c>
      <c r="P269" s="11">
        <f t="shared" si="23"/>
        <v>1</v>
      </c>
    </row>
    <row r="270" spans="1:16" ht="18.75" customHeight="1" thickBot="1" x14ac:dyDescent="0.3">
      <c r="A270" s="3" t="s">
        <v>1</v>
      </c>
      <c r="B270" s="4">
        <v>383261</v>
      </c>
      <c r="C270" s="3" t="s">
        <v>2</v>
      </c>
      <c r="D270" s="18">
        <v>0.09</v>
      </c>
      <c r="E270" s="21">
        <f t="shared" si="21"/>
        <v>7.2073233161367156E-3</v>
      </c>
      <c r="F270" s="5">
        <v>42502</v>
      </c>
      <c r="G270" s="5">
        <v>45458</v>
      </c>
      <c r="H270" s="16">
        <f t="shared" si="25"/>
        <v>2956</v>
      </c>
      <c r="I270" s="5">
        <v>45458</v>
      </c>
      <c r="J270" s="5">
        <v>43598</v>
      </c>
      <c r="K270" s="16">
        <f t="shared" si="26"/>
        <v>1096</v>
      </c>
      <c r="L270" s="13">
        <v>16000</v>
      </c>
      <c r="M270" s="15">
        <f t="shared" si="24"/>
        <v>227.36858120796089</v>
      </c>
      <c r="N270" s="13">
        <v>14154.2</v>
      </c>
      <c r="O270" s="13">
        <v>0</v>
      </c>
      <c r="P270" s="11">
        <f t="shared" si="23"/>
        <v>1</v>
      </c>
    </row>
    <row r="271" spans="1:16" ht="18.75" hidden="1" customHeight="1" thickBot="1" x14ac:dyDescent="0.3">
      <c r="A271" s="3" t="s">
        <v>1</v>
      </c>
      <c r="B271" s="4">
        <v>310259</v>
      </c>
      <c r="C271" s="3" t="s">
        <v>2</v>
      </c>
      <c r="D271" s="7">
        <v>0.1</v>
      </c>
      <c r="E271" s="7">
        <f t="shared" ref="E271:E306" si="27">D271/12</f>
        <v>8.3333333333333332E-3</v>
      </c>
      <c r="F271" s="5">
        <v>42502</v>
      </c>
      <c r="G271" s="5">
        <v>46803</v>
      </c>
      <c r="H271" s="8">
        <f t="shared" si="25"/>
        <v>4301</v>
      </c>
      <c r="I271" s="5">
        <v>46803</v>
      </c>
      <c r="J271" s="5">
        <v>43549</v>
      </c>
      <c r="K271" s="8">
        <f t="shared" si="26"/>
        <v>1047</v>
      </c>
      <c r="L271" s="6">
        <v>34921.480000000003</v>
      </c>
      <c r="M271" s="9">
        <f t="shared" si="24"/>
        <v>418.29589526335525</v>
      </c>
      <c r="N271" s="6">
        <v>33000.910000000003</v>
      </c>
      <c r="O271" s="6">
        <v>9186.99</v>
      </c>
      <c r="P271" s="6">
        <v>0</v>
      </c>
    </row>
    <row r="272" spans="1:16" ht="18.75" customHeight="1" thickBot="1" x14ac:dyDescent="0.3">
      <c r="A272" s="3" t="s">
        <v>1</v>
      </c>
      <c r="B272" s="4">
        <v>14101</v>
      </c>
      <c r="C272" s="3" t="s">
        <v>2</v>
      </c>
      <c r="D272" s="18">
        <v>7.0000000000000007E-2</v>
      </c>
      <c r="E272" s="21">
        <f t="shared" ref="E272:E305" si="28">(1+D272)^(1/12)-1</f>
        <v>5.6541453874052738E-3</v>
      </c>
      <c r="F272" s="5">
        <v>42515</v>
      </c>
      <c r="G272" s="5">
        <v>44706</v>
      </c>
      <c r="H272" s="16">
        <f t="shared" si="25"/>
        <v>2191</v>
      </c>
      <c r="I272" s="5">
        <v>44706</v>
      </c>
      <c r="J272" s="5">
        <v>43496</v>
      </c>
      <c r="K272" s="16">
        <f t="shared" si="26"/>
        <v>981</v>
      </c>
      <c r="L272" s="13">
        <v>183294.62</v>
      </c>
      <c r="M272" s="15">
        <f t="shared" si="24"/>
        <v>3070.4778913289556</v>
      </c>
      <c r="N272" s="13">
        <v>173915.51999999999</v>
      </c>
      <c r="O272" s="13">
        <v>0</v>
      </c>
      <c r="P272" s="11">
        <f t="shared" ref="P272:P305" si="29">IF((G272)&gt;(ConstantDateCutoff),1,0)</f>
        <v>1</v>
      </c>
    </row>
    <row r="273" spans="1:16" ht="18.75" customHeight="1" thickBot="1" x14ac:dyDescent="0.3">
      <c r="A273" s="3" t="s">
        <v>1</v>
      </c>
      <c r="B273" s="4">
        <v>940601</v>
      </c>
      <c r="C273" s="3" t="s">
        <v>2</v>
      </c>
      <c r="D273" s="18">
        <v>0.08</v>
      </c>
      <c r="E273" s="21">
        <f t="shared" si="28"/>
        <v>6.4340301100034303E-3</v>
      </c>
      <c r="F273" s="5">
        <v>42591</v>
      </c>
      <c r="G273" s="5">
        <v>43109</v>
      </c>
      <c r="H273" s="16">
        <f t="shared" si="25"/>
        <v>518</v>
      </c>
      <c r="I273" s="5">
        <v>43109</v>
      </c>
      <c r="J273" s="5">
        <v>42822</v>
      </c>
      <c r="K273" s="16">
        <f t="shared" si="26"/>
        <v>231</v>
      </c>
      <c r="L273" s="13">
        <v>50000</v>
      </c>
      <c r="M273" s="15">
        <f t="shared" si="24"/>
        <v>3068.8774905120154</v>
      </c>
      <c r="N273" s="13">
        <v>50000</v>
      </c>
      <c r="O273" s="13">
        <v>0</v>
      </c>
      <c r="P273" s="11">
        <f t="shared" si="29"/>
        <v>1</v>
      </c>
    </row>
    <row r="274" spans="1:16" ht="18.75" customHeight="1" thickBot="1" x14ac:dyDescent="0.3">
      <c r="A274" s="3" t="s">
        <v>1</v>
      </c>
      <c r="B274" s="4">
        <v>558063</v>
      </c>
      <c r="C274" s="3" t="s">
        <v>2</v>
      </c>
      <c r="D274" s="18">
        <v>0.11</v>
      </c>
      <c r="E274" s="21">
        <f t="shared" si="28"/>
        <v>8.7345938235519061E-3</v>
      </c>
      <c r="F274" s="5">
        <v>42601</v>
      </c>
      <c r="G274" s="5">
        <v>44427</v>
      </c>
      <c r="H274" s="16">
        <f t="shared" si="25"/>
        <v>1826</v>
      </c>
      <c r="I274" s="5">
        <v>44427</v>
      </c>
      <c r="J274" s="5">
        <v>43542</v>
      </c>
      <c r="K274" s="16">
        <f t="shared" si="26"/>
        <v>941</v>
      </c>
      <c r="L274" s="13">
        <v>22228.28</v>
      </c>
      <c r="M274" s="15">
        <f t="shared" si="24"/>
        <v>472.39110773901825</v>
      </c>
      <c r="N274" s="13">
        <v>20906.080000000002</v>
      </c>
      <c r="O274" s="13">
        <v>0</v>
      </c>
      <c r="P274" s="11">
        <f t="shared" si="29"/>
        <v>1</v>
      </c>
    </row>
    <row r="275" spans="1:16" ht="18.75" customHeight="1" thickBot="1" x14ac:dyDescent="0.3">
      <c r="A275" s="3" t="s">
        <v>1</v>
      </c>
      <c r="B275" s="4">
        <v>851144</v>
      </c>
      <c r="C275" s="3" t="s">
        <v>2</v>
      </c>
      <c r="D275" s="18">
        <v>0.1</v>
      </c>
      <c r="E275" s="21">
        <f t="shared" si="28"/>
        <v>7.9741404289037643E-3</v>
      </c>
      <c r="F275" s="5">
        <v>42636</v>
      </c>
      <c r="G275" s="5">
        <v>43396</v>
      </c>
      <c r="H275" s="16">
        <f t="shared" si="25"/>
        <v>760</v>
      </c>
      <c r="I275" s="5">
        <v>43396</v>
      </c>
      <c r="J275" s="5">
        <v>43182</v>
      </c>
      <c r="K275" s="16">
        <f t="shared" si="26"/>
        <v>546</v>
      </c>
      <c r="L275" s="13">
        <v>10262.040000000001</v>
      </c>
      <c r="M275" s="15">
        <f t="shared" si="24"/>
        <v>448.98012493115596</v>
      </c>
      <c r="N275" s="13">
        <v>10262.040000000001</v>
      </c>
      <c r="O275" s="13">
        <v>0</v>
      </c>
      <c r="P275" s="11">
        <f t="shared" si="29"/>
        <v>1</v>
      </c>
    </row>
    <row r="276" spans="1:16" ht="18.75" customHeight="1" thickBot="1" x14ac:dyDescent="0.3">
      <c r="A276" s="3" t="s">
        <v>1</v>
      </c>
      <c r="B276" s="4">
        <v>11139</v>
      </c>
      <c r="C276" s="3" t="s">
        <v>2</v>
      </c>
      <c r="D276" s="18">
        <v>7.4999999999999997E-2</v>
      </c>
      <c r="E276" s="21">
        <f t="shared" si="28"/>
        <v>6.0449190242917172E-3</v>
      </c>
      <c r="F276" s="5">
        <v>42643</v>
      </c>
      <c r="G276" s="5">
        <v>44834</v>
      </c>
      <c r="H276" s="16">
        <f t="shared" si="25"/>
        <v>2191</v>
      </c>
      <c r="I276" s="5">
        <v>44834</v>
      </c>
      <c r="J276" s="5">
        <v>43496</v>
      </c>
      <c r="K276" s="16">
        <f t="shared" si="26"/>
        <v>853</v>
      </c>
      <c r="L276" s="13">
        <v>143204.16</v>
      </c>
      <c r="M276" s="15">
        <f t="shared" si="24"/>
        <v>2431.204414393947</v>
      </c>
      <c r="N276" s="13">
        <v>132830.57999999999</v>
      </c>
      <c r="O276" s="13">
        <v>0</v>
      </c>
      <c r="P276" s="11">
        <f t="shared" si="29"/>
        <v>1</v>
      </c>
    </row>
    <row r="277" spans="1:16" ht="18.75" customHeight="1" thickBot="1" x14ac:dyDescent="0.3">
      <c r="A277" s="3" t="s">
        <v>1</v>
      </c>
      <c r="B277" s="4">
        <v>186518</v>
      </c>
      <c r="C277" s="3" t="s">
        <v>2</v>
      </c>
      <c r="D277" s="18">
        <v>0.09</v>
      </c>
      <c r="E277" s="21">
        <f t="shared" si="28"/>
        <v>7.2073233161367156E-3</v>
      </c>
      <c r="F277" s="5">
        <v>42643</v>
      </c>
      <c r="G277" s="5">
        <v>43266</v>
      </c>
      <c r="H277" s="16">
        <f t="shared" si="25"/>
        <v>623</v>
      </c>
      <c r="I277" s="5">
        <v>43266</v>
      </c>
      <c r="J277" s="5">
        <v>43042</v>
      </c>
      <c r="K277" s="16">
        <f t="shared" si="26"/>
        <v>399</v>
      </c>
      <c r="L277" s="13">
        <v>46000</v>
      </c>
      <c r="M277" s="15">
        <f t="shared" si="24"/>
        <v>2392.9483873426548</v>
      </c>
      <c r="N277" s="13">
        <v>46000</v>
      </c>
      <c r="O277" s="13">
        <v>0</v>
      </c>
      <c r="P277" s="11">
        <f t="shared" si="29"/>
        <v>1</v>
      </c>
    </row>
    <row r="278" spans="1:16" ht="18.75" customHeight="1" thickBot="1" x14ac:dyDescent="0.3">
      <c r="A278" s="3" t="s">
        <v>1</v>
      </c>
      <c r="B278" s="4">
        <v>666292</v>
      </c>
      <c r="C278" s="3" t="s">
        <v>2</v>
      </c>
      <c r="D278" s="18">
        <v>0.1</v>
      </c>
      <c r="E278" s="21">
        <f t="shared" si="28"/>
        <v>7.9741404289037643E-3</v>
      </c>
      <c r="F278" s="5">
        <v>42674</v>
      </c>
      <c r="G278" s="5">
        <v>44607</v>
      </c>
      <c r="H278" s="16">
        <f t="shared" si="25"/>
        <v>1933</v>
      </c>
      <c r="I278" s="5">
        <v>44607</v>
      </c>
      <c r="J278" s="5">
        <v>43496</v>
      </c>
      <c r="K278" s="16">
        <f t="shared" si="26"/>
        <v>822</v>
      </c>
      <c r="L278" s="13">
        <v>40632.22</v>
      </c>
      <c r="M278" s="15">
        <f t="shared" si="24"/>
        <v>808.88110947180485</v>
      </c>
      <c r="N278" s="13">
        <v>40632.22</v>
      </c>
      <c r="O278" s="13">
        <v>0</v>
      </c>
      <c r="P278" s="11">
        <f t="shared" si="29"/>
        <v>1</v>
      </c>
    </row>
    <row r="279" spans="1:16" ht="18.75" customHeight="1" thickBot="1" x14ac:dyDescent="0.3">
      <c r="A279" s="3" t="s">
        <v>1</v>
      </c>
      <c r="B279" s="4">
        <v>963391</v>
      </c>
      <c r="C279" s="3" t="s">
        <v>2</v>
      </c>
      <c r="D279" s="18">
        <v>0.08</v>
      </c>
      <c r="E279" s="21">
        <f t="shared" si="28"/>
        <v>6.4340301100034303E-3</v>
      </c>
      <c r="F279" s="5">
        <v>42719</v>
      </c>
      <c r="G279" s="5">
        <v>44180</v>
      </c>
      <c r="H279" s="16">
        <f t="shared" si="25"/>
        <v>1461</v>
      </c>
      <c r="I279" s="5">
        <v>44180</v>
      </c>
      <c r="J279" s="5">
        <v>43501</v>
      </c>
      <c r="K279" s="16">
        <f t="shared" si="26"/>
        <v>782</v>
      </c>
      <c r="L279" s="13">
        <v>8841.34</v>
      </c>
      <c r="M279" s="15">
        <f t="shared" si="24"/>
        <v>212.05136286713591</v>
      </c>
      <c r="N279" s="13">
        <v>8020.2</v>
      </c>
      <c r="O279" s="13">
        <v>8020.2</v>
      </c>
      <c r="P279" s="11">
        <f t="shared" si="29"/>
        <v>1</v>
      </c>
    </row>
    <row r="280" spans="1:16" ht="18.75" customHeight="1" thickBot="1" x14ac:dyDescent="0.3">
      <c r="A280" s="3" t="s">
        <v>1</v>
      </c>
      <c r="B280" s="4">
        <v>601525</v>
      </c>
      <c r="C280" s="3" t="s">
        <v>2</v>
      </c>
      <c r="D280" s="18">
        <v>0.08</v>
      </c>
      <c r="E280" s="21">
        <f t="shared" si="28"/>
        <v>6.4340301100034303E-3</v>
      </c>
      <c r="F280" s="5">
        <v>42725</v>
      </c>
      <c r="G280" s="5">
        <v>45647</v>
      </c>
      <c r="H280" s="16">
        <f t="shared" si="25"/>
        <v>2922</v>
      </c>
      <c r="I280" s="5">
        <v>45647</v>
      </c>
      <c r="J280" s="5">
        <v>43496</v>
      </c>
      <c r="K280" s="16">
        <f t="shared" si="26"/>
        <v>771</v>
      </c>
      <c r="L280" s="13">
        <v>21813.54</v>
      </c>
      <c r="M280" s="15">
        <f t="shared" si="24"/>
        <v>302.11138205490931</v>
      </c>
      <c r="N280" s="13">
        <v>21813.54</v>
      </c>
      <c r="O280" s="13">
        <v>0</v>
      </c>
      <c r="P280" s="11">
        <f t="shared" si="29"/>
        <v>1</v>
      </c>
    </row>
    <row r="281" spans="1:16" ht="18.75" customHeight="1" thickBot="1" x14ac:dyDescent="0.3">
      <c r="A281" s="3" t="s">
        <v>1</v>
      </c>
      <c r="B281" s="4">
        <v>728814</v>
      </c>
      <c r="C281" s="3" t="s">
        <v>3</v>
      </c>
      <c r="D281" s="18">
        <v>0.09</v>
      </c>
      <c r="E281" s="21">
        <f t="shared" si="28"/>
        <v>7.2073233161367156E-3</v>
      </c>
      <c r="F281" s="5">
        <v>42734</v>
      </c>
      <c r="G281" s="5">
        <v>43373</v>
      </c>
      <c r="H281" s="16">
        <f t="shared" si="25"/>
        <v>639</v>
      </c>
      <c r="I281" s="5">
        <v>43373</v>
      </c>
      <c r="J281" s="5">
        <v>43496</v>
      </c>
      <c r="K281" s="16">
        <f t="shared" si="26"/>
        <v>762</v>
      </c>
      <c r="L281" s="13">
        <v>38000</v>
      </c>
      <c r="M281" s="15">
        <f t="shared" si="24"/>
        <v>1930.8878724238855</v>
      </c>
      <c r="N281" s="13">
        <v>38000</v>
      </c>
      <c r="O281" s="13">
        <v>0</v>
      </c>
      <c r="P281" s="11">
        <f t="shared" si="29"/>
        <v>1</v>
      </c>
    </row>
    <row r="282" spans="1:16" ht="18.75" customHeight="1" thickBot="1" x14ac:dyDescent="0.3">
      <c r="A282" s="3" t="s">
        <v>1</v>
      </c>
      <c r="B282" s="4">
        <v>207349</v>
      </c>
      <c r="C282" s="3" t="s">
        <v>2</v>
      </c>
      <c r="D282" s="18">
        <v>0.09</v>
      </c>
      <c r="E282" s="21">
        <f t="shared" si="28"/>
        <v>7.2073233161367156E-3</v>
      </c>
      <c r="F282" s="5">
        <v>42755</v>
      </c>
      <c r="G282" s="5">
        <v>44581</v>
      </c>
      <c r="H282" s="16">
        <f t="shared" si="25"/>
        <v>1826</v>
      </c>
      <c r="I282" s="5">
        <v>44581</v>
      </c>
      <c r="J282" s="5">
        <v>42814</v>
      </c>
      <c r="K282" s="16">
        <f t="shared" si="26"/>
        <v>59</v>
      </c>
      <c r="L282" s="13">
        <v>16880.68</v>
      </c>
      <c r="M282" s="15">
        <f t="shared" si="24"/>
        <v>343.58686874031525</v>
      </c>
      <c r="N282" s="13">
        <v>16880.68</v>
      </c>
      <c r="O282" s="13">
        <v>0</v>
      </c>
      <c r="P282" s="11">
        <f t="shared" si="29"/>
        <v>1</v>
      </c>
    </row>
    <row r="283" spans="1:16" ht="18.75" customHeight="1" thickBot="1" x14ac:dyDescent="0.3">
      <c r="A283" s="3" t="s">
        <v>1</v>
      </c>
      <c r="B283" s="4">
        <v>67117</v>
      </c>
      <c r="C283" s="3" t="s">
        <v>2</v>
      </c>
      <c r="D283" s="18">
        <v>0.1</v>
      </c>
      <c r="E283" s="21">
        <f t="shared" si="28"/>
        <v>7.9741404289037643E-3</v>
      </c>
      <c r="F283" s="5">
        <v>42759</v>
      </c>
      <c r="G283" s="5">
        <v>43520</v>
      </c>
      <c r="H283" s="16">
        <f t="shared" si="25"/>
        <v>761</v>
      </c>
      <c r="I283" s="5">
        <v>43520</v>
      </c>
      <c r="J283" s="5">
        <v>43371</v>
      </c>
      <c r="K283" s="16">
        <f t="shared" si="26"/>
        <v>612</v>
      </c>
      <c r="L283" s="13">
        <v>12519.64</v>
      </c>
      <c r="M283" s="15">
        <f t="shared" si="24"/>
        <v>547.10382583829403</v>
      </c>
      <c r="N283" s="13">
        <v>12519.64</v>
      </c>
      <c r="O283" s="13">
        <v>0</v>
      </c>
      <c r="P283" s="11">
        <f t="shared" si="29"/>
        <v>1</v>
      </c>
    </row>
    <row r="284" spans="1:16" ht="18.75" hidden="1" customHeight="1" thickBot="1" x14ac:dyDescent="0.3">
      <c r="A284" s="3" t="s">
        <v>1</v>
      </c>
      <c r="B284" s="4">
        <v>827811</v>
      </c>
      <c r="C284" s="3" t="s">
        <v>2</v>
      </c>
      <c r="D284" s="18">
        <v>0.08</v>
      </c>
      <c r="E284" s="21">
        <f t="shared" si="28"/>
        <v>6.4340301100034303E-3</v>
      </c>
      <c r="F284" s="5">
        <v>42796</v>
      </c>
      <c r="G284" s="5">
        <v>43161</v>
      </c>
      <c r="H284" s="16">
        <f t="shared" si="25"/>
        <v>365</v>
      </c>
      <c r="I284" s="5">
        <v>43161</v>
      </c>
      <c r="J284" s="2"/>
      <c r="K284" s="16">
        <f t="shared" si="26"/>
        <v>-42796</v>
      </c>
      <c r="L284" s="13">
        <v>49000</v>
      </c>
      <c r="M284" s="15">
        <f t="shared" si="24"/>
        <v>4200.0231639724752</v>
      </c>
      <c r="N284" s="13">
        <v>49000</v>
      </c>
      <c r="O284" s="13">
        <v>0</v>
      </c>
      <c r="P284" s="11">
        <f t="shared" si="29"/>
        <v>1</v>
      </c>
    </row>
    <row r="285" spans="1:16" ht="18.75" customHeight="1" thickBot="1" x14ac:dyDescent="0.3">
      <c r="A285" s="3" t="s">
        <v>1</v>
      </c>
      <c r="B285" s="4">
        <v>598777</v>
      </c>
      <c r="C285" s="3" t="s">
        <v>2</v>
      </c>
      <c r="D285" s="18">
        <v>8.5000000000000006E-2</v>
      </c>
      <c r="E285" s="21">
        <f t="shared" si="28"/>
        <v>6.8214933659622723E-3</v>
      </c>
      <c r="F285" s="5">
        <v>42822</v>
      </c>
      <c r="G285" s="5">
        <v>45379</v>
      </c>
      <c r="H285" s="16">
        <f t="shared" si="25"/>
        <v>2557</v>
      </c>
      <c r="I285" s="5">
        <v>45379</v>
      </c>
      <c r="J285" s="5">
        <v>43644</v>
      </c>
      <c r="K285" s="16">
        <f t="shared" si="26"/>
        <v>822</v>
      </c>
      <c r="L285" s="13">
        <v>472.72</v>
      </c>
      <c r="M285" s="15">
        <f t="shared" si="24"/>
        <v>7.3322550051214872</v>
      </c>
      <c r="N285" s="13">
        <v>472.72</v>
      </c>
      <c r="O285" s="13">
        <v>0</v>
      </c>
      <c r="P285" s="11">
        <f t="shared" si="29"/>
        <v>1</v>
      </c>
    </row>
    <row r="286" spans="1:16" ht="18.75" customHeight="1" thickBot="1" x14ac:dyDescent="0.3">
      <c r="A286" s="3" t="s">
        <v>1</v>
      </c>
      <c r="B286" s="4">
        <v>184167</v>
      </c>
      <c r="C286" s="3" t="s">
        <v>2</v>
      </c>
      <c r="D286" s="18">
        <v>8.5000000000000006E-2</v>
      </c>
      <c r="E286" s="21">
        <f t="shared" si="28"/>
        <v>6.8214933659622723E-3</v>
      </c>
      <c r="F286" s="5">
        <v>42822</v>
      </c>
      <c r="G286" s="5">
        <v>45379</v>
      </c>
      <c r="H286" s="16">
        <f t="shared" si="25"/>
        <v>2557</v>
      </c>
      <c r="I286" s="5">
        <v>45379</v>
      </c>
      <c r="J286" s="5">
        <v>43006</v>
      </c>
      <c r="K286" s="16">
        <f t="shared" si="26"/>
        <v>184</v>
      </c>
      <c r="L286" s="13">
        <v>284057.71000000002</v>
      </c>
      <c r="M286" s="15">
        <f t="shared" si="24"/>
        <v>4405.9560964013544</v>
      </c>
      <c r="N286" s="13">
        <v>284057.71000000002</v>
      </c>
      <c r="O286" s="13">
        <v>0</v>
      </c>
      <c r="P286" s="11">
        <f t="shared" si="29"/>
        <v>1</v>
      </c>
    </row>
    <row r="287" spans="1:16" ht="18.75" customHeight="1" thickBot="1" x14ac:dyDescent="0.3">
      <c r="A287" s="3" t="s">
        <v>1</v>
      </c>
      <c r="B287" s="4">
        <v>515810</v>
      </c>
      <c r="C287" s="3" t="s">
        <v>2</v>
      </c>
      <c r="D287" s="18">
        <v>0.1</v>
      </c>
      <c r="E287" s="21">
        <f t="shared" si="28"/>
        <v>7.9741404289037643E-3</v>
      </c>
      <c r="F287" s="5">
        <v>42865</v>
      </c>
      <c r="G287" s="5">
        <v>44722</v>
      </c>
      <c r="H287" s="16">
        <f t="shared" si="25"/>
        <v>1857</v>
      </c>
      <c r="I287" s="5">
        <v>44722</v>
      </c>
      <c r="J287" s="5">
        <v>43159</v>
      </c>
      <c r="K287" s="16">
        <f t="shared" si="26"/>
        <v>294</v>
      </c>
      <c r="L287" s="13">
        <v>29942.54</v>
      </c>
      <c r="M287" s="15">
        <f t="shared" si="24"/>
        <v>614.77658808834713</v>
      </c>
      <c r="N287" s="13">
        <v>29942.54</v>
      </c>
      <c r="O287" s="13">
        <v>0</v>
      </c>
      <c r="P287" s="11">
        <f t="shared" si="29"/>
        <v>1</v>
      </c>
    </row>
    <row r="288" spans="1:16" ht="18.75" customHeight="1" thickBot="1" x14ac:dyDescent="0.3">
      <c r="A288" s="3" t="s">
        <v>1</v>
      </c>
      <c r="B288" s="4">
        <v>699510</v>
      </c>
      <c r="C288" s="3" t="s">
        <v>2</v>
      </c>
      <c r="D288" s="18">
        <v>0.1</v>
      </c>
      <c r="E288" s="21">
        <f t="shared" si="28"/>
        <v>7.9741404289037643E-3</v>
      </c>
      <c r="F288" s="5">
        <v>42895</v>
      </c>
      <c r="G288" s="5">
        <v>43260</v>
      </c>
      <c r="H288" s="16">
        <f t="shared" si="25"/>
        <v>365</v>
      </c>
      <c r="I288" s="5">
        <v>43260</v>
      </c>
      <c r="J288" s="5">
        <v>43229</v>
      </c>
      <c r="K288" s="16">
        <f t="shared" si="26"/>
        <v>334</v>
      </c>
      <c r="L288" s="13">
        <v>10606.75</v>
      </c>
      <c r="M288" s="15">
        <f t="shared" si="24"/>
        <v>918.22980557157621</v>
      </c>
      <c r="N288" s="13">
        <v>10606.75</v>
      </c>
      <c r="O288" s="13">
        <v>0</v>
      </c>
      <c r="P288" s="11">
        <f t="shared" si="29"/>
        <v>1</v>
      </c>
    </row>
    <row r="289" spans="1:16" ht="18.75" customHeight="1" thickBot="1" x14ac:dyDescent="0.3">
      <c r="A289" s="3" t="s">
        <v>1</v>
      </c>
      <c r="B289" s="4">
        <v>289472</v>
      </c>
      <c r="C289" s="3" t="s">
        <v>2</v>
      </c>
      <c r="D289" s="18">
        <v>0.1</v>
      </c>
      <c r="E289" s="21">
        <f t="shared" si="28"/>
        <v>7.9741404289037643E-3</v>
      </c>
      <c r="F289" s="5">
        <v>42912</v>
      </c>
      <c r="G289" s="5">
        <v>43460</v>
      </c>
      <c r="H289" s="16">
        <f t="shared" si="25"/>
        <v>548</v>
      </c>
      <c r="I289" s="5">
        <v>43460</v>
      </c>
      <c r="J289" s="5">
        <v>43371</v>
      </c>
      <c r="K289" s="16">
        <f t="shared" si="26"/>
        <v>459</v>
      </c>
      <c r="L289" s="13">
        <v>3030.66</v>
      </c>
      <c r="M289" s="15">
        <f t="shared" si="24"/>
        <v>178.94820737777252</v>
      </c>
      <c r="N289" s="13">
        <v>3030.66</v>
      </c>
      <c r="O289" s="13">
        <v>0</v>
      </c>
      <c r="P289" s="11">
        <f t="shared" si="29"/>
        <v>1</v>
      </c>
    </row>
    <row r="290" spans="1:16" ht="18.75" customHeight="1" thickBot="1" x14ac:dyDescent="0.3">
      <c r="A290" s="3" t="s">
        <v>1</v>
      </c>
      <c r="B290" s="4">
        <v>342227</v>
      </c>
      <c r="C290" s="3" t="s">
        <v>2</v>
      </c>
      <c r="D290" s="18">
        <v>0.09</v>
      </c>
      <c r="E290" s="21">
        <f t="shared" si="28"/>
        <v>7.2073233161367156E-3</v>
      </c>
      <c r="F290" s="5">
        <v>43000</v>
      </c>
      <c r="G290" s="5">
        <v>45180</v>
      </c>
      <c r="H290" s="16">
        <f t="shared" si="25"/>
        <v>2180</v>
      </c>
      <c r="I290" s="5">
        <v>45180</v>
      </c>
      <c r="J290" s="5">
        <v>43496</v>
      </c>
      <c r="K290" s="16">
        <f t="shared" si="26"/>
        <v>496</v>
      </c>
      <c r="L290" s="13">
        <v>36341.269999999997</v>
      </c>
      <c r="M290" s="15">
        <f t="shared" si="24"/>
        <v>644.21003433015437</v>
      </c>
      <c r="N290" s="13">
        <v>36341.269999999997</v>
      </c>
      <c r="O290" s="13">
        <v>0</v>
      </c>
      <c r="P290" s="11">
        <f t="shared" si="29"/>
        <v>1</v>
      </c>
    </row>
    <row r="291" spans="1:16" ht="18.75" hidden="1" customHeight="1" thickBot="1" x14ac:dyDescent="0.3">
      <c r="A291" s="3" t="s">
        <v>1</v>
      </c>
      <c r="B291" s="4">
        <v>38535</v>
      </c>
      <c r="C291" s="3" t="s">
        <v>2</v>
      </c>
      <c r="D291" s="18">
        <v>7.4999999999999997E-2</v>
      </c>
      <c r="E291" s="21">
        <f t="shared" si="28"/>
        <v>6.0449190242917172E-3</v>
      </c>
      <c r="F291" s="5">
        <v>43019</v>
      </c>
      <c r="G291" s="5">
        <v>43384</v>
      </c>
      <c r="H291" s="16">
        <f t="shared" si="25"/>
        <v>365</v>
      </c>
      <c r="I291" s="5">
        <v>43384</v>
      </c>
      <c r="J291" s="2"/>
      <c r="K291" s="16">
        <f t="shared" si="26"/>
        <v>-43019</v>
      </c>
      <c r="L291" s="13">
        <v>79450.820000000007</v>
      </c>
      <c r="M291" s="15">
        <f t="shared" si="24"/>
        <v>6792.9931379435429</v>
      </c>
      <c r="N291" s="13">
        <v>79450.820000000007</v>
      </c>
      <c r="O291" s="13">
        <v>0</v>
      </c>
      <c r="P291" s="11">
        <f t="shared" si="29"/>
        <v>1</v>
      </c>
    </row>
    <row r="292" spans="1:16" ht="18.75" customHeight="1" thickBot="1" x14ac:dyDescent="0.3">
      <c r="A292" s="3" t="s">
        <v>1</v>
      </c>
      <c r="B292" s="4">
        <v>148294</v>
      </c>
      <c r="C292" s="3" t="s">
        <v>2</v>
      </c>
      <c r="D292" s="18">
        <v>0.09</v>
      </c>
      <c r="E292" s="21">
        <f t="shared" si="28"/>
        <v>7.2073233161367156E-3</v>
      </c>
      <c r="F292" s="5">
        <v>43144</v>
      </c>
      <c r="G292" s="5">
        <v>44970</v>
      </c>
      <c r="H292" s="16">
        <f t="shared" si="25"/>
        <v>1826</v>
      </c>
      <c r="I292" s="5">
        <v>44970</v>
      </c>
      <c r="J292" s="5">
        <v>43264</v>
      </c>
      <c r="K292" s="16">
        <f t="shared" si="26"/>
        <v>120</v>
      </c>
      <c r="L292" s="13">
        <v>82183.240000000005</v>
      </c>
      <c r="M292" s="15">
        <f t="shared" si="24"/>
        <v>1672.7455348086587</v>
      </c>
      <c r="N292" s="13">
        <v>82183.240000000005</v>
      </c>
      <c r="O292" s="13">
        <v>0</v>
      </c>
      <c r="P292" s="11">
        <f t="shared" si="29"/>
        <v>1</v>
      </c>
    </row>
    <row r="293" spans="1:16" ht="18.75" customHeight="1" thickBot="1" x14ac:dyDescent="0.3">
      <c r="A293" s="3" t="s">
        <v>1</v>
      </c>
      <c r="B293" s="4">
        <v>598179</v>
      </c>
      <c r="C293" s="3" t="s">
        <v>2</v>
      </c>
      <c r="D293" s="18">
        <v>0.09</v>
      </c>
      <c r="E293" s="21">
        <f t="shared" si="28"/>
        <v>7.2073233161367156E-3</v>
      </c>
      <c r="F293" s="5">
        <v>43168</v>
      </c>
      <c r="G293" s="5">
        <v>44634</v>
      </c>
      <c r="H293" s="16">
        <f t="shared" si="25"/>
        <v>1466</v>
      </c>
      <c r="I293" s="5">
        <v>46803</v>
      </c>
      <c r="J293" s="5">
        <v>45467</v>
      </c>
      <c r="K293" s="16">
        <f t="shared" si="26"/>
        <v>2299</v>
      </c>
      <c r="L293" s="13">
        <v>7980.75</v>
      </c>
      <c r="M293" s="15">
        <f t="shared" si="24"/>
        <v>194.34330555300824</v>
      </c>
      <c r="N293" s="13">
        <v>6408.63</v>
      </c>
      <c r="O293" s="13">
        <v>1802.76</v>
      </c>
      <c r="P293" s="11">
        <f t="shared" si="29"/>
        <v>1</v>
      </c>
    </row>
    <row r="294" spans="1:16" ht="18.75" hidden="1" customHeight="1" thickBot="1" x14ac:dyDescent="0.3">
      <c r="A294" s="3" t="s">
        <v>1</v>
      </c>
      <c r="B294" s="4">
        <v>900995</v>
      </c>
      <c r="C294" s="3" t="s">
        <v>2</v>
      </c>
      <c r="D294" s="18">
        <v>0.06</v>
      </c>
      <c r="E294" s="21">
        <f t="shared" si="28"/>
        <v>4.8675505653430484E-3</v>
      </c>
      <c r="F294" s="5">
        <v>43185</v>
      </c>
      <c r="G294" s="5">
        <v>43369</v>
      </c>
      <c r="H294" s="16">
        <f t="shared" si="25"/>
        <v>184</v>
      </c>
      <c r="I294" s="5">
        <v>43369</v>
      </c>
      <c r="J294" s="2"/>
      <c r="K294" s="16">
        <f t="shared" si="26"/>
        <v>-43185</v>
      </c>
      <c r="L294" s="13">
        <v>250000</v>
      </c>
      <c r="M294" s="15">
        <f t="shared" si="24"/>
        <v>41471.455955039128</v>
      </c>
      <c r="N294" s="13">
        <v>250000</v>
      </c>
      <c r="O294" s="13">
        <v>0</v>
      </c>
      <c r="P294" s="11">
        <f t="shared" si="29"/>
        <v>1</v>
      </c>
    </row>
    <row r="295" spans="1:16" ht="18.75" hidden="1" customHeight="1" thickBot="1" x14ac:dyDescent="0.3">
      <c r="A295" s="3" t="s">
        <v>1</v>
      </c>
      <c r="B295" s="4">
        <v>782115</v>
      </c>
      <c r="C295" s="3" t="s">
        <v>2</v>
      </c>
      <c r="D295" s="18">
        <v>0.06</v>
      </c>
      <c r="E295" s="21">
        <f t="shared" si="28"/>
        <v>4.8675505653430484E-3</v>
      </c>
      <c r="F295" s="5">
        <v>43189</v>
      </c>
      <c r="G295" s="5">
        <v>43373</v>
      </c>
      <c r="H295" s="16">
        <f t="shared" si="25"/>
        <v>184</v>
      </c>
      <c r="I295" s="5">
        <v>43373</v>
      </c>
      <c r="J295" s="2"/>
      <c r="K295" s="16">
        <f t="shared" si="26"/>
        <v>-43189</v>
      </c>
      <c r="L295" s="13">
        <v>49500</v>
      </c>
      <c r="M295" s="15">
        <f t="shared" si="24"/>
        <v>8211.3482790977469</v>
      </c>
      <c r="N295" s="13">
        <v>49500</v>
      </c>
      <c r="O295" s="13">
        <v>49500</v>
      </c>
      <c r="P295" s="11">
        <f t="shared" si="29"/>
        <v>1</v>
      </c>
    </row>
    <row r="296" spans="1:16" ht="18.75" customHeight="1" thickBot="1" x14ac:dyDescent="0.3">
      <c r="A296" s="3" t="s">
        <v>1</v>
      </c>
      <c r="B296" s="4">
        <v>31492</v>
      </c>
      <c r="C296" s="3" t="s">
        <v>2</v>
      </c>
      <c r="D296" s="18">
        <v>0.09</v>
      </c>
      <c r="E296" s="21">
        <f t="shared" si="28"/>
        <v>7.2073233161367156E-3</v>
      </c>
      <c r="F296" s="5">
        <v>43276</v>
      </c>
      <c r="G296" s="5">
        <v>45468</v>
      </c>
      <c r="H296" s="16">
        <f t="shared" si="25"/>
        <v>2192</v>
      </c>
      <c r="I296" s="5">
        <v>46228</v>
      </c>
      <c r="J296" s="5">
        <v>43888</v>
      </c>
      <c r="K296" s="16">
        <f t="shared" si="26"/>
        <v>612</v>
      </c>
      <c r="L296" s="13">
        <v>24000</v>
      </c>
      <c r="M296" s="15">
        <f t="shared" si="24"/>
        <v>423.66656291616664</v>
      </c>
      <c r="N296" s="13">
        <v>22822.91</v>
      </c>
      <c r="O296" s="13">
        <v>22822.91</v>
      </c>
      <c r="P296" s="11">
        <f t="shared" si="29"/>
        <v>1</v>
      </c>
    </row>
    <row r="297" spans="1:16" ht="18.75" hidden="1" customHeight="1" thickBot="1" x14ac:dyDescent="0.3">
      <c r="A297" s="3" t="s">
        <v>1</v>
      </c>
      <c r="B297" s="4">
        <v>273145</v>
      </c>
      <c r="C297" s="3" t="s">
        <v>2</v>
      </c>
      <c r="D297" s="18">
        <v>9.9999999999999995E-8</v>
      </c>
      <c r="E297" s="21">
        <f t="shared" si="28"/>
        <v>8.3333329126134004E-9</v>
      </c>
      <c r="F297" s="5">
        <v>43355</v>
      </c>
      <c r="G297" s="5">
        <v>45549</v>
      </c>
      <c r="H297" s="16">
        <f t="shared" si="25"/>
        <v>2194</v>
      </c>
      <c r="I297" s="5">
        <v>45579</v>
      </c>
      <c r="J297" s="5">
        <v>44851</v>
      </c>
      <c r="K297" s="16">
        <f t="shared" si="26"/>
        <v>1496</v>
      </c>
      <c r="L297" s="13">
        <v>16895.439999999999</v>
      </c>
      <c r="M297" s="15">
        <f t="shared" si="24"/>
        <v>231.02249615515882</v>
      </c>
      <c r="N297" s="13">
        <v>6489.19</v>
      </c>
      <c r="O297" s="13">
        <v>100</v>
      </c>
      <c r="P297" s="11">
        <f t="shared" si="29"/>
        <v>1</v>
      </c>
    </row>
    <row r="298" spans="1:16" ht="18.75" customHeight="1" thickBot="1" x14ac:dyDescent="0.3">
      <c r="A298" s="3" t="s">
        <v>1</v>
      </c>
      <c r="B298" s="4">
        <v>160586</v>
      </c>
      <c r="C298" s="3" t="s">
        <v>2</v>
      </c>
      <c r="D298" s="18">
        <v>9.5000000000000001E-2</v>
      </c>
      <c r="E298" s="21">
        <f t="shared" si="28"/>
        <v>7.5915342905825689E-3</v>
      </c>
      <c r="F298" s="5">
        <v>36256</v>
      </c>
      <c r="G298" s="5">
        <v>37001</v>
      </c>
      <c r="H298" s="16">
        <f t="shared" si="25"/>
        <v>745</v>
      </c>
      <c r="I298" s="5">
        <v>37865</v>
      </c>
      <c r="J298" s="5">
        <v>37251</v>
      </c>
      <c r="K298" s="16">
        <f t="shared" si="26"/>
        <v>995</v>
      </c>
      <c r="L298" s="13">
        <v>15091</v>
      </c>
      <c r="M298" s="15">
        <f t="shared" si="24"/>
        <v>669.06892129545815</v>
      </c>
      <c r="N298" s="13">
        <v>8500</v>
      </c>
      <c r="O298" s="13">
        <v>3614.08</v>
      </c>
      <c r="P298" s="11">
        <f t="shared" si="29"/>
        <v>0</v>
      </c>
    </row>
    <row r="299" spans="1:16" ht="18.75" customHeight="1" thickBot="1" x14ac:dyDescent="0.3">
      <c r="A299" s="3" t="s">
        <v>1</v>
      </c>
      <c r="B299" s="4">
        <v>988102</v>
      </c>
      <c r="C299" s="3" t="s">
        <v>4</v>
      </c>
      <c r="D299" s="18">
        <v>8.7499999999999994E-2</v>
      </c>
      <c r="E299" s="21">
        <f t="shared" si="28"/>
        <v>7.0146116041400752E-3</v>
      </c>
      <c r="F299" s="5">
        <v>38799</v>
      </c>
      <c r="G299" s="5">
        <v>39895</v>
      </c>
      <c r="H299" s="16">
        <f t="shared" si="25"/>
        <v>1096</v>
      </c>
      <c r="I299" s="5">
        <v>41356</v>
      </c>
      <c r="J299" s="5">
        <v>39855</v>
      </c>
      <c r="K299" s="16">
        <f t="shared" si="26"/>
        <v>1056</v>
      </c>
      <c r="L299" s="13">
        <v>101500</v>
      </c>
      <c r="M299" s="15">
        <f t="shared" si="24"/>
        <v>3159.1444515215057</v>
      </c>
      <c r="N299" s="13">
        <v>59124.58</v>
      </c>
      <c r="O299" s="13">
        <v>0</v>
      </c>
      <c r="P299" s="11">
        <f t="shared" si="29"/>
        <v>0</v>
      </c>
    </row>
    <row r="300" spans="1:16" ht="18.75" customHeight="1" thickBot="1" x14ac:dyDescent="0.3">
      <c r="A300" s="3" t="s">
        <v>1</v>
      </c>
      <c r="B300" s="4">
        <v>476497</v>
      </c>
      <c r="C300" s="3" t="s">
        <v>4</v>
      </c>
      <c r="D300" s="18">
        <v>9.7500000000000003E-2</v>
      </c>
      <c r="E300" s="21">
        <f t="shared" si="28"/>
        <v>7.7830370878799737E-3</v>
      </c>
      <c r="F300" s="5">
        <v>38817</v>
      </c>
      <c r="G300" s="5">
        <v>41739</v>
      </c>
      <c r="H300" s="16">
        <f t="shared" si="25"/>
        <v>2922</v>
      </c>
      <c r="I300" s="5">
        <v>40431</v>
      </c>
      <c r="J300" s="5">
        <v>40626</v>
      </c>
      <c r="K300" s="16">
        <f t="shared" si="26"/>
        <v>1809</v>
      </c>
      <c r="L300" s="13">
        <v>35300</v>
      </c>
      <c r="M300" s="15">
        <f t="shared" si="24"/>
        <v>518.32889230145986</v>
      </c>
      <c r="N300" s="13">
        <v>12735.44</v>
      </c>
      <c r="O300" s="13">
        <v>2973.48</v>
      </c>
      <c r="P300" s="11">
        <f t="shared" si="29"/>
        <v>0</v>
      </c>
    </row>
    <row r="301" spans="1:16" ht="18.75" customHeight="1" thickBot="1" x14ac:dyDescent="0.3">
      <c r="A301" s="3" t="s">
        <v>1</v>
      </c>
      <c r="B301" s="4">
        <v>888792</v>
      </c>
      <c r="C301" s="3" t="s">
        <v>4</v>
      </c>
      <c r="D301" s="18">
        <v>9.2499999999999999E-2</v>
      </c>
      <c r="E301" s="21">
        <f t="shared" si="28"/>
        <v>7.3996302871768282E-3</v>
      </c>
      <c r="F301" s="5">
        <v>38828</v>
      </c>
      <c r="G301" s="5">
        <v>42481</v>
      </c>
      <c r="H301" s="16">
        <f t="shared" si="25"/>
        <v>3653</v>
      </c>
      <c r="I301" s="5">
        <v>42481</v>
      </c>
      <c r="J301" s="5">
        <v>42373</v>
      </c>
      <c r="K301" s="16">
        <f t="shared" si="26"/>
        <v>3545</v>
      </c>
      <c r="L301" s="13">
        <v>150000</v>
      </c>
      <c r="M301" s="15">
        <f t="shared" si="24"/>
        <v>1873.328395020523</v>
      </c>
      <c r="N301" s="13">
        <v>20573.84</v>
      </c>
      <c r="O301" s="13">
        <v>1747.47</v>
      </c>
      <c r="P301" s="11">
        <f t="shared" si="29"/>
        <v>1</v>
      </c>
    </row>
    <row r="302" spans="1:16" ht="18.75" customHeight="1" thickBot="1" x14ac:dyDescent="0.3">
      <c r="A302" s="3" t="s">
        <v>1</v>
      </c>
      <c r="B302" s="4">
        <v>308960</v>
      </c>
      <c r="C302" s="3" t="s">
        <v>2</v>
      </c>
      <c r="D302" s="18">
        <v>9.7500000000000003E-2</v>
      </c>
      <c r="E302" s="21">
        <f t="shared" si="28"/>
        <v>7.7830370878799737E-3</v>
      </c>
      <c r="F302" s="5">
        <v>38835</v>
      </c>
      <c r="G302" s="5">
        <v>39200</v>
      </c>
      <c r="H302" s="16">
        <f t="shared" si="25"/>
        <v>365</v>
      </c>
      <c r="I302" s="5">
        <v>42183</v>
      </c>
      <c r="J302" s="5">
        <v>40497</v>
      </c>
      <c r="K302" s="16">
        <f t="shared" si="26"/>
        <v>1662</v>
      </c>
      <c r="L302" s="13">
        <v>25100</v>
      </c>
      <c r="M302" s="15">
        <f t="shared" si="24"/>
        <v>2170.2440672555908</v>
      </c>
      <c r="N302" s="13">
        <v>7945.39</v>
      </c>
      <c r="O302" s="13">
        <v>0</v>
      </c>
      <c r="P302" s="11">
        <f t="shared" si="29"/>
        <v>0</v>
      </c>
    </row>
    <row r="303" spans="1:16" ht="18.75" customHeight="1" thickBot="1" x14ac:dyDescent="0.3">
      <c r="A303" s="3" t="s">
        <v>1</v>
      </c>
      <c r="B303" s="4">
        <v>458492</v>
      </c>
      <c r="C303" s="3" t="s">
        <v>2</v>
      </c>
      <c r="D303" s="18">
        <v>8.5000000000000006E-2</v>
      </c>
      <c r="E303" s="21">
        <f t="shared" si="28"/>
        <v>6.8214933659622723E-3</v>
      </c>
      <c r="F303" s="5">
        <v>38852</v>
      </c>
      <c r="G303" s="5">
        <v>39217</v>
      </c>
      <c r="H303" s="16">
        <f t="shared" si="25"/>
        <v>365</v>
      </c>
      <c r="I303" s="5">
        <v>40004</v>
      </c>
      <c r="J303" s="5">
        <v>39994</v>
      </c>
      <c r="K303" s="16">
        <f t="shared" si="26"/>
        <v>1142</v>
      </c>
      <c r="L303" s="13">
        <v>50000</v>
      </c>
      <c r="M303" s="15">
        <f t="shared" si="24"/>
        <v>4296.4779362775971</v>
      </c>
      <c r="N303" s="13">
        <v>47458.12</v>
      </c>
      <c r="O303" s="13">
        <v>0</v>
      </c>
      <c r="P303" s="11">
        <f t="shared" si="29"/>
        <v>0</v>
      </c>
    </row>
    <row r="304" spans="1:16" ht="18.75" customHeight="1" thickBot="1" x14ac:dyDescent="0.3">
      <c r="A304" s="3" t="s">
        <v>1</v>
      </c>
      <c r="B304" s="4">
        <v>25223</v>
      </c>
      <c r="C304" s="3" t="s">
        <v>2</v>
      </c>
      <c r="D304" s="18">
        <v>8.2500000000000004E-2</v>
      </c>
      <c r="E304" s="21">
        <f t="shared" si="28"/>
        <v>6.6279668043680573E-3</v>
      </c>
      <c r="F304" s="5">
        <v>38868</v>
      </c>
      <c r="G304" s="5">
        <v>40699</v>
      </c>
      <c r="H304" s="16">
        <f t="shared" si="25"/>
        <v>1831</v>
      </c>
      <c r="I304" s="5">
        <v>40699</v>
      </c>
      <c r="J304" s="5">
        <v>39945</v>
      </c>
      <c r="K304" s="16">
        <f t="shared" si="26"/>
        <v>1077</v>
      </c>
      <c r="L304" s="13">
        <v>118170</v>
      </c>
      <c r="M304" s="15">
        <f t="shared" si="24"/>
        <v>2360.4227340590983</v>
      </c>
      <c r="N304" s="13">
        <v>58442.22</v>
      </c>
      <c r="O304" s="13">
        <v>3500</v>
      </c>
      <c r="P304" s="11">
        <f t="shared" si="29"/>
        <v>0</v>
      </c>
    </row>
    <row r="305" spans="1:16" ht="18.75" customHeight="1" thickBot="1" x14ac:dyDescent="0.3">
      <c r="A305" s="3" t="s">
        <v>1</v>
      </c>
      <c r="B305" s="4">
        <v>678962</v>
      </c>
      <c r="C305" s="3" t="s">
        <v>2</v>
      </c>
      <c r="D305" s="18">
        <v>0.09</v>
      </c>
      <c r="E305" s="21">
        <f t="shared" si="28"/>
        <v>7.2073233161367156E-3</v>
      </c>
      <c r="F305" s="5">
        <v>39043</v>
      </c>
      <c r="G305" s="5">
        <v>39408</v>
      </c>
      <c r="H305" s="16">
        <f t="shared" si="25"/>
        <v>365</v>
      </c>
      <c r="I305" s="5">
        <v>41070</v>
      </c>
      <c r="J305" s="5">
        <v>40906</v>
      </c>
      <c r="K305" s="16">
        <f t="shared" si="26"/>
        <v>1863</v>
      </c>
      <c r="L305" s="13">
        <v>10100</v>
      </c>
      <c r="M305" s="15">
        <f t="shared" si="24"/>
        <v>870.05188253611766</v>
      </c>
      <c r="N305" s="13">
        <v>2472.08</v>
      </c>
      <c r="O305" s="13">
        <v>0</v>
      </c>
      <c r="P305" s="11">
        <f t="shared" si="29"/>
        <v>0</v>
      </c>
    </row>
    <row r="306" spans="1:16" ht="18.75" hidden="1" customHeight="1" thickBot="1" x14ac:dyDescent="0.3">
      <c r="A306" s="3" t="s">
        <v>1</v>
      </c>
      <c r="B306" s="4">
        <v>850651</v>
      </c>
      <c r="C306" s="3" t="s">
        <v>7</v>
      </c>
      <c r="D306" s="7">
        <v>0.05</v>
      </c>
      <c r="E306" s="7">
        <f t="shared" si="27"/>
        <v>4.1666666666666666E-3</v>
      </c>
      <c r="F306" s="5">
        <v>39100</v>
      </c>
      <c r="G306" s="5">
        <v>46405</v>
      </c>
      <c r="H306" s="8">
        <f t="shared" si="25"/>
        <v>7305</v>
      </c>
      <c r="I306" s="5">
        <v>41063</v>
      </c>
      <c r="J306" s="5">
        <v>41179</v>
      </c>
      <c r="K306" s="8">
        <f t="shared" si="26"/>
        <v>2079</v>
      </c>
      <c r="L306" s="6">
        <v>1550000</v>
      </c>
      <c r="M306" s="9">
        <f t="shared" si="24"/>
        <v>10143.742421865089</v>
      </c>
      <c r="N306" s="6">
        <v>762278.57</v>
      </c>
      <c r="O306" s="6">
        <v>0</v>
      </c>
      <c r="P306" s="6">
        <v>0</v>
      </c>
    </row>
    <row r="307" spans="1:16" ht="18.75" customHeight="1" thickBot="1" x14ac:dyDescent="0.3">
      <c r="A307" s="3" t="s">
        <v>1</v>
      </c>
      <c r="B307" s="4">
        <v>125288</v>
      </c>
      <c r="C307" s="3" t="s">
        <v>2</v>
      </c>
      <c r="D307" s="18">
        <v>7.0000000000000007E-2</v>
      </c>
      <c r="E307" s="21">
        <f t="shared" ref="E307:E361" si="30">(1+D307)^(1/12)-1</f>
        <v>5.6541453874052738E-3</v>
      </c>
      <c r="F307" s="5">
        <v>39099</v>
      </c>
      <c r="G307" s="5">
        <v>39280</v>
      </c>
      <c r="H307" s="16">
        <f t="shared" si="25"/>
        <v>181</v>
      </c>
      <c r="I307" s="5">
        <v>40925</v>
      </c>
      <c r="J307" s="5">
        <v>40994</v>
      </c>
      <c r="K307" s="16">
        <f t="shared" si="26"/>
        <v>1895</v>
      </c>
      <c r="L307" s="13">
        <v>50350</v>
      </c>
      <c r="M307" s="15">
        <f t="shared" si="24"/>
        <v>8512.0245929937464</v>
      </c>
      <c r="N307" s="13">
        <v>23368.52</v>
      </c>
      <c r="O307" s="13">
        <v>0</v>
      </c>
      <c r="P307" s="11">
        <f t="shared" ref="P307:P338" si="31">IF((G307)&gt;(ConstantDateCutoff),1,0)</f>
        <v>0</v>
      </c>
    </row>
    <row r="308" spans="1:16" ht="18.75" customHeight="1" thickBot="1" x14ac:dyDescent="0.3">
      <c r="A308" s="3" t="s">
        <v>1</v>
      </c>
      <c r="B308" s="4">
        <v>329821</v>
      </c>
      <c r="C308" s="3" t="s">
        <v>2</v>
      </c>
      <c r="D308" s="18">
        <v>8.0500000000000002E-2</v>
      </c>
      <c r="E308" s="21">
        <f t="shared" si="30"/>
        <v>6.472850346757042E-3</v>
      </c>
      <c r="F308" s="5">
        <v>39120</v>
      </c>
      <c r="G308" s="5">
        <v>40954</v>
      </c>
      <c r="H308" s="16">
        <f t="shared" si="25"/>
        <v>1834</v>
      </c>
      <c r="I308" s="5">
        <v>40954</v>
      </c>
      <c r="J308" s="5">
        <v>39849</v>
      </c>
      <c r="K308" s="16">
        <f t="shared" si="26"/>
        <v>729</v>
      </c>
      <c r="L308" s="13">
        <v>30324</v>
      </c>
      <c r="M308" s="15">
        <f t="shared" si="24"/>
        <v>602.21054135795453</v>
      </c>
      <c r="N308" s="13">
        <v>16000</v>
      </c>
      <c r="O308" s="13">
        <v>0</v>
      </c>
      <c r="P308" s="11">
        <f t="shared" si="31"/>
        <v>0</v>
      </c>
    </row>
    <row r="309" spans="1:16" ht="18.75" customHeight="1" thickBot="1" x14ac:dyDescent="0.3">
      <c r="A309" s="3" t="s">
        <v>1</v>
      </c>
      <c r="B309" s="4">
        <v>386701</v>
      </c>
      <c r="C309" s="3" t="s">
        <v>2</v>
      </c>
      <c r="D309" s="18">
        <v>7.7499999999999999E-2</v>
      </c>
      <c r="E309" s="21">
        <f t="shared" si="30"/>
        <v>6.2396814612857288E-3</v>
      </c>
      <c r="F309" s="5">
        <v>39136</v>
      </c>
      <c r="G309" s="5">
        <v>39867</v>
      </c>
      <c r="H309" s="16">
        <f t="shared" si="25"/>
        <v>731</v>
      </c>
      <c r="I309" s="5">
        <v>40617</v>
      </c>
      <c r="J309" s="5">
        <v>41030</v>
      </c>
      <c r="K309" s="16">
        <f t="shared" si="26"/>
        <v>1894</v>
      </c>
      <c r="L309" s="13">
        <v>3400000</v>
      </c>
      <c r="M309" s="15">
        <f t="shared" si="24"/>
        <v>150845.07326781316</v>
      </c>
      <c r="N309" s="13">
        <v>905000.6</v>
      </c>
      <c r="O309" s="13">
        <v>0</v>
      </c>
      <c r="P309" s="11">
        <f t="shared" si="31"/>
        <v>0</v>
      </c>
    </row>
    <row r="310" spans="1:16" ht="18.75" customHeight="1" thickBot="1" x14ac:dyDescent="0.3">
      <c r="A310" s="3" t="s">
        <v>1</v>
      </c>
      <c r="B310" s="4">
        <v>954163</v>
      </c>
      <c r="C310" s="3" t="s">
        <v>2</v>
      </c>
      <c r="D310" s="18">
        <v>8.7499999999999994E-2</v>
      </c>
      <c r="E310" s="21">
        <f t="shared" si="30"/>
        <v>7.0146116041400752E-3</v>
      </c>
      <c r="F310" s="5">
        <v>39148</v>
      </c>
      <c r="G310" s="5">
        <v>40975</v>
      </c>
      <c r="H310" s="16">
        <f t="shared" si="25"/>
        <v>1827</v>
      </c>
      <c r="I310" s="5">
        <v>40959</v>
      </c>
      <c r="J310" s="5">
        <v>41030</v>
      </c>
      <c r="K310" s="16">
        <f t="shared" si="26"/>
        <v>1882</v>
      </c>
      <c r="L310" s="13">
        <v>124992</v>
      </c>
      <c r="M310" s="15">
        <f t="shared" si="24"/>
        <v>2528.9987981689105</v>
      </c>
      <c r="N310" s="13">
        <v>39268.81</v>
      </c>
      <c r="O310" s="13">
        <v>0</v>
      </c>
      <c r="P310" s="11">
        <f t="shared" si="31"/>
        <v>0</v>
      </c>
    </row>
    <row r="311" spans="1:16" ht="18.75" customHeight="1" thickBot="1" x14ac:dyDescent="0.3">
      <c r="A311" s="3" t="s">
        <v>1</v>
      </c>
      <c r="B311" s="4">
        <v>96501</v>
      </c>
      <c r="C311" s="3" t="s">
        <v>4</v>
      </c>
      <c r="D311" s="18">
        <v>8.2500000000000004E-2</v>
      </c>
      <c r="E311" s="21">
        <f t="shared" si="30"/>
        <v>6.6279668043680573E-3</v>
      </c>
      <c r="F311" s="5">
        <v>39185</v>
      </c>
      <c r="G311" s="5">
        <v>41742</v>
      </c>
      <c r="H311" s="16">
        <f t="shared" si="25"/>
        <v>2557</v>
      </c>
      <c r="I311" s="5">
        <v>41742</v>
      </c>
      <c r="J311" s="5">
        <v>40147</v>
      </c>
      <c r="K311" s="16">
        <f t="shared" si="26"/>
        <v>962</v>
      </c>
      <c r="L311" s="13">
        <v>52556</v>
      </c>
      <c r="M311" s="15">
        <f t="shared" si="24"/>
        <v>809.08306916214599</v>
      </c>
      <c r="N311" s="13">
        <v>14615.62</v>
      </c>
      <c r="O311" s="13">
        <v>1570</v>
      </c>
      <c r="P311" s="11">
        <f t="shared" si="31"/>
        <v>0</v>
      </c>
    </row>
    <row r="312" spans="1:16" ht="18.75" customHeight="1" thickBot="1" x14ac:dyDescent="0.3">
      <c r="A312" s="3" t="s">
        <v>1</v>
      </c>
      <c r="B312" s="4">
        <v>93014</v>
      </c>
      <c r="C312" s="3" t="s">
        <v>2</v>
      </c>
      <c r="D312" s="18">
        <v>5.9714900000000001E-2</v>
      </c>
      <c r="E312" s="21">
        <f t="shared" si="30"/>
        <v>4.845025167439676E-3</v>
      </c>
      <c r="F312" s="5">
        <v>39209</v>
      </c>
      <c r="G312" s="5">
        <v>41039</v>
      </c>
      <c r="H312" s="16">
        <f t="shared" si="25"/>
        <v>1830</v>
      </c>
      <c r="I312" s="5">
        <v>41014</v>
      </c>
      <c r="J312" s="5">
        <v>40891</v>
      </c>
      <c r="K312" s="16">
        <f t="shared" si="26"/>
        <v>1682</v>
      </c>
      <c r="L312" s="13">
        <v>1513091</v>
      </c>
      <c r="M312" s="15">
        <f t="shared" si="24"/>
        <v>28710.150963788539</v>
      </c>
      <c r="N312" s="13">
        <v>1292984.1399999999</v>
      </c>
      <c r="O312" s="13">
        <v>117434.36</v>
      </c>
      <c r="P312" s="11">
        <f t="shared" si="31"/>
        <v>0</v>
      </c>
    </row>
    <row r="313" spans="1:16" ht="18.75" customHeight="1" thickBot="1" x14ac:dyDescent="0.3">
      <c r="A313" s="3" t="s">
        <v>1</v>
      </c>
      <c r="B313" s="4">
        <v>386982</v>
      </c>
      <c r="C313" s="3" t="s">
        <v>2</v>
      </c>
      <c r="D313" s="18">
        <v>8.5000000000000006E-2</v>
      </c>
      <c r="E313" s="21">
        <f t="shared" si="30"/>
        <v>6.8214933659622723E-3</v>
      </c>
      <c r="F313" s="5">
        <v>39206</v>
      </c>
      <c r="G313" s="5">
        <v>41033</v>
      </c>
      <c r="H313" s="16">
        <f t="shared" si="25"/>
        <v>1827</v>
      </c>
      <c r="I313" s="5">
        <v>41105</v>
      </c>
      <c r="J313" s="5">
        <v>40049</v>
      </c>
      <c r="K313" s="16">
        <f t="shared" si="26"/>
        <v>843</v>
      </c>
      <c r="L313" s="13">
        <v>75387</v>
      </c>
      <c r="M313" s="15">
        <f t="shared" si="24"/>
        <v>1516.9170503994096</v>
      </c>
      <c r="N313" s="13">
        <v>17324.12</v>
      </c>
      <c r="O313" s="13">
        <v>0</v>
      </c>
      <c r="P313" s="11">
        <f t="shared" si="31"/>
        <v>0</v>
      </c>
    </row>
    <row r="314" spans="1:16" ht="18.75" customHeight="1" thickBot="1" x14ac:dyDescent="0.3">
      <c r="A314" s="3" t="s">
        <v>1</v>
      </c>
      <c r="B314" s="4">
        <v>581101</v>
      </c>
      <c r="C314" s="3" t="s">
        <v>4</v>
      </c>
      <c r="D314" s="18">
        <v>9.7500000000000003E-2</v>
      </c>
      <c r="E314" s="21">
        <f t="shared" si="30"/>
        <v>7.7830370878799737E-3</v>
      </c>
      <c r="F314" s="5">
        <v>39539</v>
      </c>
      <c r="G314" s="5">
        <v>42491</v>
      </c>
      <c r="H314" s="16">
        <f t="shared" si="25"/>
        <v>2952</v>
      </c>
      <c r="I314" s="5">
        <v>42491</v>
      </c>
      <c r="J314" s="5">
        <v>40289</v>
      </c>
      <c r="K314" s="16">
        <f t="shared" si="26"/>
        <v>750</v>
      </c>
      <c r="L314" s="13">
        <v>52000</v>
      </c>
      <c r="M314" s="15">
        <f t="shared" si="24"/>
        <v>758.35138699405411</v>
      </c>
      <c r="N314" s="13">
        <v>33812.519999999997</v>
      </c>
      <c r="O314" s="13">
        <v>0</v>
      </c>
      <c r="P314" s="11">
        <f t="shared" si="31"/>
        <v>1</v>
      </c>
    </row>
    <row r="315" spans="1:16" ht="18.75" customHeight="1" thickBot="1" x14ac:dyDescent="0.3">
      <c r="A315" s="3" t="s">
        <v>1</v>
      </c>
      <c r="B315" s="4">
        <v>936773</v>
      </c>
      <c r="C315" s="3" t="s">
        <v>4</v>
      </c>
      <c r="D315" s="18">
        <v>0.105</v>
      </c>
      <c r="E315" s="21">
        <f t="shared" si="30"/>
        <v>8.355155683635207E-3</v>
      </c>
      <c r="F315" s="5">
        <v>39793</v>
      </c>
      <c r="G315" s="5">
        <v>42349</v>
      </c>
      <c r="H315" s="16">
        <f t="shared" si="25"/>
        <v>2556</v>
      </c>
      <c r="I315" s="5">
        <v>42349</v>
      </c>
      <c r="J315" s="5">
        <v>40305</v>
      </c>
      <c r="K315" s="16">
        <f t="shared" si="26"/>
        <v>512</v>
      </c>
      <c r="L315" s="13">
        <v>150000</v>
      </c>
      <c r="M315" s="15">
        <f t="shared" si="24"/>
        <v>2467.969280845321</v>
      </c>
      <c r="N315" s="13">
        <v>93094.94</v>
      </c>
      <c r="O315" s="13">
        <v>2585.84</v>
      </c>
      <c r="P315" s="11">
        <f t="shared" si="31"/>
        <v>1</v>
      </c>
    </row>
    <row r="316" spans="1:16" ht="18.75" customHeight="1" thickBot="1" x14ac:dyDescent="0.3">
      <c r="A316" s="3" t="s">
        <v>1</v>
      </c>
      <c r="B316" s="4">
        <v>472444</v>
      </c>
      <c r="C316" s="3" t="s">
        <v>2</v>
      </c>
      <c r="D316" s="18">
        <v>6.25E-2</v>
      </c>
      <c r="E316" s="21">
        <f t="shared" si="30"/>
        <v>5.0648349497708356E-3</v>
      </c>
      <c r="F316" s="5">
        <v>41585</v>
      </c>
      <c r="G316" s="5">
        <v>41950</v>
      </c>
      <c r="H316" s="16">
        <f t="shared" si="25"/>
        <v>365</v>
      </c>
      <c r="I316" s="5">
        <v>41950</v>
      </c>
      <c r="J316" s="5">
        <v>41786</v>
      </c>
      <c r="K316" s="16">
        <f t="shared" si="26"/>
        <v>201</v>
      </c>
      <c r="L316" s="13">
        <v>75772</v>
      </c>
      <c r="M316" s="15">
        <f t="shared" si="24"/>
        <v>6437.4457973630697</v>
      </c>
      <c r="N316" s="13">
        <v>42000</v>
      </c>
      <c r="O316" s="13">
        <v>0</v>
      </c>
      <c r="P316" s="11">
        <f t="shared" si="31"/>
        <v>0</v>
      </c>
    </row>
    <row r="317" spans="1:16" ht="18.75" customHeight="1" thickBot="1" x14ac:dyDescent="0.3">
      <c r="A317" s="3" t="s">
        <v>1</v>
      </c>
      <c r="B317" s="4">
        <v>858010</v>
      </c>
      <c r="C317" s="3" t="s">
        <v>4</v>
      </c>
      <c r="D317" s="18">
        <v>9.5000000000000001E-2</v>
      </c>
      <c r="E317" s="21">
        <f t="shared" si="30"/>
        <v>7.5915342905825689E-3</v>
      </c>
      <c r="F317" s="5">
        <v>35327</v>
      </c>
      <c r="G317" s="5">
        <v>37883</v>
      </c>
      <c r="H317" s="16">
        <f t="shared" si="25"/>
        <v>2556</v>
      </c>
      <c r="I317" s="5">
        <v>37883</v>
      </c>
      <c r="J317" s="5">
        <v>36137</v>
      </c>
      <c r="K317" s="16">
        <f t="shared" si="26"/>
        <v>810</v>
      </c>
      <c r="L317" s="13">
        <v>75000</v>
      </c>
      <c r="M317" s="15">
        <f t="shared" si="24"/>
        <v>1198.6646831433882</v>
      </c>
      <c r="N317" s="13">
        <v>51114.64</v>
      </c>
      <c r="O317" s="13">
        <v>7806.51</v>
      </c>
      <c r="P317" s="11">
        <f t="shared" si="31"/>
        <v>0</v>
      </c>
    </row>
    <row r="318" spans="1:16" ht="18.75" customHeight="1" thickBot="1" x14ac:dyDescent="0.3">
      <c r="A318" s="3" t="s">
        <v>1</v>
      </c>
      <c r="B318" s="4">
        <v>786556</v>
      </c>
      <c r="C318" s="3" t="s">
        <v>4</v>
      </c>
      <c r="D318" s="18">
        <v>0.1</v>
      </c>
      <c r="E318" s="21">
        <f t="shared" si="30"/>
        <v>7.9741404289037643E-3</v>
      </c>
      <c r="F318" s="5">
        <v>35676</v>
      </c>
      <c r="G318" s="5">
        <v>37502</v>
      </c>
      <c r="H318" s="16">
        <f t="shared" si="25"/>
        <v>1826</v>
      </c>
      <c r="I318" s="5">
        <v>37502</v>
      </c>
      <c r="J318" s="5">
        <v>36228</v>
      </c>
      <c r="K318" s="16">
        <f t="shared" si="26"/>
        <v>552</v>
      </c>
      <c r="L318" s="13">
        <v>50000</v>
      </c>
      <c r="M318" s="15">
        <f t="shared" si="24"/>
        <v>1040.0922853510331</v>
      </c>
      <c r="N318" s="13">
        <v>41905.79</v>
      </c>
      <c r="O318" s="13">
        <v>0</v>
      </c>
      <c r="P318" s="11">
        <f t="shared" si="31"/>
        <v>0</v>
      </c>
    </row>
    <row r="319" spans="1:16" ht="18.75" customHeight="1" thickBot="1" x14ac:dyDescent="0.3">
      <c r="A319" s="3" t="s">
        <v>1</v>
      </c>
      <c r="B319" s="4">
        <v>677033</v>
      </c>
      <c r="C319" s="3" t="s">
        <v>4</v>
      </c>
      <c r="D319" s="18">
        <v>0.1</v>
      </c>
      <c r="E319" s="21">
        <f t="shared" si="30"/>
        <v>7.9741404289037643E-3</v>
      </c>
      <c r="F319" s="5">
        <v>35837</v>
      </c>
      <c r="G319" s="5">
        <v>38394</v>
      </c>
      <c r="H319" s="16">
        <f t="shared" si="25"/>
        <v>2557</v>
      </c>
      <c r="I319" s="5">
        <v>38394</v>
      </c>
      <c r="J319" s="5">
        <v>36228</v>
      </c>
      <c r="K319" s="16">
        <f t="shared" si="26"/>
        <v>391</v>
      </c>
      <c r="L319" s="13">
        <v>32000</v>
      </c>
      <c r="M319" s="15">
        <f t="shared" si="24"/>
        <v>518.80765389716385</v>
      </c>
      <c r="N319" s="13">
        <v>25107.23</v>
      </c>
      <c r="O319" s="13">
        <v>0</v>
      </c>
      <c r="P319" s="11">
        <f t="shared" si="31"/>
        <v>0</v>
      </c>
    </row>
    <row r="320" spans="1:16" ht="18.75" customHeight="1" thickBot="1" x14ac:dyDescent="0.3">
      <c r="A320" s="3" t="s">
        <v>1</v>
      </c>
      <c r="B320" s="4">
        <v>426319</v>
      </c>
      <c r="C320" s="3" t="s">
        <v>2</v>
      </c>
      <c r="D320" s="18">
        <v>0.10249999999999999</v>
      </c>
      <c r="E320" s="21">
        <f t="shared" si="30"/>
        <v>8.1648460519010424E-3</v>
      </c>
      <c r="F320" s="5">
        <v>37015</v>
      </c>
      <c r="G320" s="5">
        <v>37787</v>
      </c>
      <c r="H320" s="16">
        <f t="shared" si="25"/>
        <v>772</v>
      </c>
      <c r="I320" s="5">
        <v>37787</v>
      </c>
      <c r="J320" s="5">
        <v>37161</v>
      </c>
      <c r="K320" s="16">
        <f t="shared" si="26"/>
        <v>146</v>
      </c>
      <c r="L320" s="13">
        <v>16608.86</v>
      </c>
      <c r="M320" s="15">
        <f t="shared" si="24"/>
        <v>718.22074533904299</v>
      </c>
      <c r="N320" s="13">
        <v>16608.86</v>
      </c>
      <c r="O320" s="13">
        <v>0</v>
      </c>
      <c r="P320" s="11">
        <f t="shared" si="31"/>
        <v>0</v>
      </c>
    </row>
    <row r="321" spans="1:16" ht="18.75" customHeight="1" thickBot="1" x14ac:dyDescent="0.3">
      <c r="A321" s="3" t="s">
        <v>1</v>
      </c>
      <c r="B321" s="4">
        <v>982411</v>
      </c>
      <c r="C321" s="3" t="s">
        <v>2</v>
      </c>
      <c r="D321" s="18">
        <v>9.2499999999999999E-2</v>
      </c>
      <c r="E321" s="21">
        <f t="shared" si="30"/>
        <v>7.3996302871768282E-3</v>
      </c>
      <c r="F321" s="5">
        <v>37582</v>
      </c>
      <c r="G321" s="5">
        <v>37947</v>
      </c>
      <c r="H321" s="16">
        <f t="shared" si="25"/>
        <v>365</v>
      </c>
      <c r="I321" s="5">
        <v>37947</v>
      </c>
      <c r="J321" s="5">
        <v>37958</v>
      </c>
      <c r="K321" s="16">
        <f t="shared" si="26"/>
        <v>376</v>
      </c>
      <c r="L321" s="13">
        <v>20200</v>
      </c>
      <c r="M321" s="15">
        <f t="shared" si="24"/>
        <v>1742.2625223005778</v>
      </c>
      <c r="N321" s="13">
        <v>20200</v>
      </c>
      <c r="O321" s="13">
        <v>16496.2</v>
      </c>
      <c r="P321" s="11">
        <f t="shared" si="31"/>
        <v>0</v>
      </c>
    </row>
    <row r="322" spans="1:16" ht="18.75" customHeight="1" thickBot="1" x14ac:dyDescent="0.3">
      <c r="A322" s="3" t="s">
        <v>1</v>
      </c>
      <c r="B322" s="4">
        <v>343059</v>
      </c>
      <c r="C322" s="3" t="s">
        <v>2</v>
      </c>
      <c r="D322" s="18">
        <v>0.15</v>
      </c>
      <c r="E322" s="21">
        <f t="shared" si="30"/>
        <v>1.171491691985338E-2</v>
      </c>
      <c r="F322" s="5">
        <v>37691</v>
      </c>
      <c r="G322" s="5">
        <v>38241</v>
      </c>
      <c r="H322" s="16">
        <f t="shared" si="25"/>
        <v>550</v>
      </c>
      <c r="I322" s="5">
        <v>38241</v>
      </c>
      <c r="J322" s="5">
        <v>38329</v>
      </c>
      <c r="K322" s="16">
        <f t="shared" si="26"/>
        <v>638</v>
      </c>
      <c r="L322" s="13">
        <v>18418.22</v>
      </c>
      <c r="M322" s="15">
        <f t="shared" ref="M322:M385" si="32">-PMT(E322,(H322/30),L322)</f>
        <v>1122.2237066874538</v>
      </c>
      <c r="N322" s="13">
        <v>15917.62</v>
      </c>
      <c r="O322" s="13">
        <v>0</v>
      </c>
      <c r="P322" s="11">
        <f t="shared" si="31"/>
        <v>0</v>
      </c>
    </row>
    <row r="323" spans="1:16" ht="18.75" customHeight="1" thickBot="1" x14ac:dyDescent="0.3">
      <c r="A323" s="3" t="s">
        <v>1</v>
      </c>
      <c r="B323" s="4">
        <v>798364</v>
      </c>
      <c r="C323" s="3" t="s">
        <v>2</v>
      </c>
      <c r="D323" s="18">
        <v>9.2499999999999999E-2</v>
      </c>
      <c r="E323" s="21">
        <f t="shared" si="30"/>
        <v>7.3996302871768282E-3</v>
      </c>
      <c r="F323" s="5">
        <v>38317</v>
      </c>
      <c r="G323" s="5">
        <v>40143</v>
      </c>
      <c r="H323" s="16">
        <f t="shared" ref="H323:H386" si="33">G323-F323</f>
        <v>1826</v>
      </c>
      <c r="I323" s="5">
        <v>40143</v>
      </c>
      <c r="J323" s="5">
        <v>39429</v>
      </c>
      <c r="K323" s="16">
        <f t="shared" ref="K323:K386" si="34">J323-F323</f>
        <v>1112</v>
      </c>
      <c r="L323" s="13">
        <v>60612</v>
      </c>
      <c r="M323" s="15">
        <f t="shared" si="32"/>
        <v>1240.4645989072567</v>
      </c>
      <c r="N323" s="13">
        <v>34337.230000000003</v>
      </c>
      <c r="O323" s="13">
        <v>4000</v>
      </c>
      <c r="P323" s="11">
        <f t="shared" si="31"/>
        <v>0</v>
      </c>
    </row>
    <row r="324" spans="1:16" ht="18.75" customHeight="1" thickBot="1" x14ac:dyDescent="0.3">
      <c r="A324" s="3" t="s">
        <v>1</v>
      </c>
      <c r="B324" s="4">
        <v>681742</v>
      </c>
      <c r="C324" s="3" t="s">
        <v>4</v>
      </c>
      <c r="D324" s="18">
        <v>8.5000000000000006E-2</v>
      </c>
      <c r="E324" s="21">
        <f t="shared" si="30"/>
        <v>6.8214933659622723E-3</v>
      </c>
      <c r="F324" s="5">
        <v>38897</v>
      </c>
      <c r="G324" s="5">
        <v>40359</v>
      </c>
      <c r="H324" s="16">
        <f t="shared" si="33"/>
        <v>1462</v>
      </c>
      <c r="I324" s="5">
        <v>40359</v>
      </c>
      <c r="J324" s="5">
        <v>40123</v>
      </c>
      <c r="K324" s="16">
        <f t="shared" si="34"/>
        <v>1226</v>
      </c>
      <c r="L324" s="13">
        <v>153000</v>
      </c>
      <c r="M324" s="15">
        <f t="shared" si="32"/>
        <v>3700.8375436381584</v>
      </c>
      <c r="N324" s="13">
        <v>57923.09</v>
      </c>
      <c r="O324" s="13">
        <v>0</v>
      </c>
      <c r="P324" s="11">
        <f t="shared" si="31"/>
        <v>0</v>
      </c>
    </row>
    <row r="325" spans="1:16" ht="18.75" customHeight="1" thickBot="1" x14ac:dyDescent="0.3">
      <c r="A325" s="3" t="s">
        <v>1</v>
      </c>
      <c r="B325" s="4">
        <v>2632</v>
      </c>
      <c r="C325" s="3" t="s">
        <v>4</v>
      </c>
      <c r="D325" s="18">
        <v>9.5000000000000001E-2</v>
      </c>
      <c r="E325" s="21">
        <f t="shared" si="30"/>
        <v>7.5915342905825689E-3</v>
      </c>
      <c r="F325" s="5">
        <v>39157</v>
      </c>
      <c r="G325" s="5">
        <v>42809</v>
      </c>
      <c r="H325" s="16">
        <f t="shared" si="33"/>
        <v>3652</v>
      </c>
      <c r="I325" s="5">
        <v>42809</v>
      </c>
      <c r="J325" s="5">
        <v>40435</v>
      </c>
      <c r="K325" s="16">
        <f t="shared" si="34"/>
        <v>1278</v>
      </c>
      <c r="L325" s="13">
        <v>150000</v>
      </c>
      <c r="M325" s="15">
        <f t="shared" si="32"/>
        <v>1892.3926499357929</v>
      </c>
      <c r="N325" s="13">
        <v>123516.52</v>
      </c>
      <c r="O325" s="13">
        <v>0</v>
      </c>
      <c r="P325" s="11">
        <f t="shared" si="31"/>
        <v>1</v>
      </c>
    </row>
    <row r="326" spans="1:16" ht="18.75" customHeight="1" thickBot="1" x14ac:dyDescent="0.3">
      <c r="A326" s="3" t="s">
        <v>1</v>
      </c>
      <c r="B326" s="4">
        <v>574596</v>
      </c>
      <c r="C326" s="3" t="s">
        <v>4</v>
      </c>
      <c r="D326" s="18">
        <v>8.6499999999999994E-2</v>
      </c>
      <c r="E326" s="21">
        <f t="shared" si="30"/>
        <v>6.9374131923856108E-3</v>
      </c>
      <c r="F326" s="5">
        <v>39493</v>
      </c>
      <c r="G326" s="5">
        <v>42415</v>
      </c>
      <c r="H326" s="16">
        <f t="shared" si="33"/>
        <v>2922</v>
      </c>
      <c r="I326" s="5">
        <v>42415</v>
      </c>
      <c r="J326" s="5">
        <v>40332</v>
      </c>
      <c r="K326" s="16">
        <f t="shared" si="34"/>
        <v>839</v>
      </c>
      <c r="L326" s="13">
        <v>125000</v>
      </c>
      <c r="M326" s="15">
        <f t="shared" si="32"/>
        <v>1769.6995328666628</v>
      </c>
      <c r="N326" s="13">
        <v>62615.77</v>
      </c>
      <c r="O326" s="13">
        <v>1726.73</v>
      </c>
      <c r="P326" s="11">
        <f t="shared" si="31"/>
        <v>1</v>
      </c>
    </row>
    <row r="327" spans="1:16" ht="18.75" customHeight="1" thickBot="1" x14ac:dyDescent="0.3">
      <c r="A327" s="3" t="s">
        <v>1</v>
      </c>
      <c r="B327" s="4">
        <v>420928</v>
      </c>
      <c r="C327" s="3" t="s">
        <v>2</v>
      </c>
      <c r="D327" s="18">
        <v>7.2499999999999995E-2</v>
      </c>
      <c r="E327" s="21">
        <f t="shared" si="30"/>
        <v>5.8497409526456767E-3</v>
      </c>
      <c r="F327" s="5">
        <v>35646</v>
      </c>
      <c r="G327" s="5">
        <v>37478</v>
      </c>
      <c r="H327" s="16">
        <f t="shared" si="33"/>
        <v>1832</v>
      </c>
      <c r="I327" s="5">
        <v>37478</v>
      </c>
      <c r="J327" s="5">
        <v>37063</v>
      </c>
      <c r="K327" s="16">
        <f t="shared" si="34"/>
        <v>1417</v>
      </c>
      <c r="L327" s="13">
        <v>31734.82</v>
      </c>
      <c r="M327" s="15">
        <f t="shared" si="32"/>
        <v>619.51229807340974</v>
      </c>
      <c r="N327" s="13">
        <v>23545.97</v>
      </c>
      <c r="O327" s="13">
        <v>0</v>
      </c>
      <c r="P327" s="11">
        <f t="shared" si="31"/>
        <v>0</v>
      </c>
    </row>
    <row r="328" spans="1:16" ht="18.75" customHeight="1" thickBot="1" x14ac:dyDescent="0.3">
      <c r="A328" s="3" t="s">
        <v>1</v>
      </c>
      <c r="B328" s="4">
        <v>406734</v>
      </c>
      <c r="C328" s="3" t="s">
        <v>2</v>
      </c>
      <c r="D328" s="18">
        <v>0.09</v>
      </c>
      <c r="E328" s="21">
        <f t="shared" si="30"/>
        <v>7.2073233161367156E-3</v>
      </c>
      <c r="F328" s="5">
        <v>36754</v>
      </c>
      <c r="G328" s="5">
        <v>37484</v>
      </c>
      <c r="H328" s="16">
        <f t="shared" si="33"/>
        <v>730</v>
      </c>
      <c r="I328" s="5">
        <v>37174</v>
      </c>
      <c r="J328" s="5">
        <v>37347</v>
      </c>
      <c r="K328" s="16">
        <f t="shared" si="34"/>
        <v>593</v>
      </c>
      <c r="L328" s="13">
        <v>8860</v>
      </c>
      <c r="M328" s="15">
        <f t="shared" si="32"/>
        <v>398.27802737410121</v>
      </c>
      <c r="N328" s="13">
        <v>7208.14</v>
      </c>
      <c r="O328" s="13">
        <v>0</v>
      </c>
      <c r="P328" s="11">
        <f t="shared" si="31"/>
        <v>0</v>
      </c>
    </row>
    <row r="329" spans="1:16" ht="18.75" customHeight="1" thickBot="1" x14ac:dyDescent="0.3">
      <c r="A329" s="3" t="s">
        <v>1</v>
      </c>
      <c r="B329" s="4">
        <v>71284</v>
      </c>
      <c r="C329" s="3" t="s">
        <v>2</v>
      </c>
      <c r="D329" s="18">
        <v>8.2500000000000004E-2</v>
      </c>
      <c r="E329" s="21">
        <f t="shared" si="30"/>
        <v>6.6279668043680573E-3</v>
      </c>
      <c r="F329" s="5">
        <v>39181</v>
      </c>
      <c r="G329" s="5">
        <v>41014</v>
      </c>
      <c r="H329" s="16">
        <f t="shared" si="33"/>
        <v>1833</v>
      </c>
      <c r="I329" s="5">
        <v>41167</v>
      </c>
      <c r="J329" s="5">
        <v>40080</v>
      </c>
      <c r="K329" s="16">
        <f t="shared" si="34"/>
        <v>899</v>
      </c>
      <c r="L329" s="13">
        <v>148954.74</v>
      </c>
      <c r="M329" s="15">
        <f t="shared" si="32"/>
        <v>2972.7061453808001</v>
      </c>
      <c r="N329" s="13">
        <v>35568.559999999998</v>
      </c>
      <c r="O329" s="13">
        <v>18650.36</v>
      </c>
      <c r="P329" s="11">
        <f t="shared" si="31"/>
        <v>0</v>
      </c>
    </row>
    <row r="330" spans="1:16" ht="18.75" customHeight="1" thickBot="1" x14ac:dyDescent="0.3">
      <c r="A330" s="3" t="s">
        <v>1</v>
      </c>
      <c r="B330" s="4">
        <v>444583</v>
      </c>
      <c r="C330" s="3" t="s">
        <v>2</v>
      </c>
      <c r="D330" s="18">
        <v>0.09</v>
      </c>
      <c r="E330" s="21">
        <f t="shared" si="30"/>
        <v>7.2073233161367156E-3</v>
      </c>
      <c r="F330" s="5">
        <v>36598</v>
      </c>
      <c r="G330" s="5">
        <v>36963</v>
      </c>
      <c r="H330" s="16">
        <f t="shared" si="33"/>
        <v>365</v>
      </c>
      <c r="I330" s="5">
        <v>37174</v>
      </c>
      <c r="J330" s="5">
        <v>37256</v>
      </c>
      <c r="K330" s="16">
        <f t="shared" si="34"/>
        <v>658</v>
      </c>
      <c r="L330" s="13">
        <v>10050</v>
      </c>
      <c r="M330" s="15">
        <f t="shared" si="32"/>
        <v>865.74469499881013</v>
      </c>
      <c r="N330" s="13">
        <v>9450</v>
      </c>
      <c r="O330" s="13">
        <v>450</v>
      </c>
      <c r="P330" s="11">
        <f t="shared" si="31"/>
        <v>0</v>
      </c>
    </row>
    <row r="331" spans="1:16" ht="18.75" customHeight="1" thickBot="1" x14ac:dyDescent="0.3">
      <c r="A331" s="3" t="s">
        <v>1</v>
      </c>
      <c r="B331" s="4">
        <v>585009</v>
      </c>
      <c r="C331" s="3" t="s">
        <v>2</v>
      </c>
      <c r="D331" s="18">
        <v>0.11</v>
      </c>
      <c r="E331" s="21">
        <f t="shared" si="30"/>
        <v>8.7345938235519061E-3</v>
      </c>
      <c r="F331" s="5">
        <v>36754</v>
      </c>
      <c r="G331" s="5">
        <v>36846</v>
      </c>
      <c r="H331" s="16">
        <f t="shared" si="33"/>
        <v>92</v>
      </c>
      <c r="I331" s="5">
        <v>37174</v>
      </c>
      <c r="J331" s="5">
        <v>37347</v>
      </c>
      <c r="K331" s="16">
        <f t="shared" si="34"/>
        <v>593</v>
      </c>
      <c r="L331" s="13">
        <v>11260</v>
      </c>
      <c r="M331" s="15">
        <f t="shared" si="32"/>
        <v>3737.1458078645342</v>
      </c>
      <c r="N331" s="13">
        <v>7000</v>
      </c>
      <c r="O331" s="13">
        <v>0</v>
      </c>
      <c r="P331" s="11">
        <f t="shared" si="31"/>
        <v>0</v>
      </c>
    </row>
    <row r="332" spans="1:16" ht="18.75" customHeight="1" thickBot="1" x14ac:dyDescent="0.3">
      <c r="A332" s="3" t="s">
        <v>1</v>
      </c>
      <c r="B332" s="4">
        <v>854055</v>
      </c>
      <c r="C332" s="3" t="s">
        <v>10</v>
      </c>
      <c r="D332" s="18">
        <v>3.5000000000000003E-2</v>
      </c>
      <c r="E332" s="21">
        <f t="shared" si="30"/>
        <v>2.8708987190766422E-3</v>
      </c>
      <c r="F332" s="5">
        <v>39260</v>
      </c>
      <c r="G332" s="5">
        <v>42926</v>
      </c>
      <c r="H332" s="16">
        <f t="shared" si="33"/>
        <v>3666</v>
      </c>
      <c r="I332" s="5">
        <v>40436</v>
      </c>
      <c r="J332" s="5">
        <v>40996</v>
      </c>
      <c r="K332" s="16">
        <f t="shared" si="34"/>
        <v>1736</v>
      </c>
      <c r="L332" s="13">
        <v>2350000</v>
      </c>
      <c r="M332" s="15">
        <f t="shared" si="32"/>
        <v>22828.221911433273</v>
      </c>
      <c r="N332" s="13">
        <v>2042635.52</v>
      </c>
      <c r="O332" s="13">
        <v>341.25</v>
      </c>
      <c r="P332" s="11">
        <f t="shared" si="31"/>
        <v>1</v>
      </c>
    </row>
    <row r="333" spans="1:16" ht="18.75" customHeight="1" thickBot="1" x14ac:dyDescent="0.3">
      <c r="A333" s="3" t="s">
        <v>1</v>
      </c>
      <c r="B333" s="4">
        <v>747626</v>
      </c>
      <c r="C333" s="3" t="s">
        <v>2</v>
      </c>
      <c r="D333" s="18">
        <v>8.8999999999999996E-2</v>
      </c>
      <c r="E333" s="21">
        <f t="shared" si="30"/>
        <v>7.1302872999576827E-3</v>
      </c>
      <c r="F333" s="5">
        <v>38966</v>
      </c>
      <c r="G333" s="5">
        <v>40427</v>
      </c>
      <c r="H333" s="16">
        <f t="shared" si="33"/>
        <v>1461</v>
      </c>
      <c r="I333" s="5">
        <v>40427</v>
      </c>
      <c r="J333" s="5">
        <v>39906</v>
      </c>
      <c r="K333" s="16">
        <f t="shared" si="34"/>
        <v>940</v>
      </c>
      <c r="L333" s="13">
        <v>177237</v>
      </c>
      <c r="M333" s="15">
        <f t="shared" si="32"/>
        <v>4320.565299730898</v>
      </c>
      <c r="N333" s="13">
        <v>132667.46</v>
      </c>
      <c r="O333" s="13">
        <v>4600</v>
      </c>
      <c r="P333" s="11">
        <f t="shared" si="31"/>
        <v>0</v>
      </c>
    </row>
    <row r="334" spans="1:16" ht="18.75" customHeight="1" thickBot="1" x14ac:dyDescent="0.3">
      <c r="A334" s="3" t="s">
        <v>1</v>
      </c>
      <c r="B334" s="4">
        <v>870164</v>
      </c>
      <c r="C334" s="3" t="s">
        <v>2</v>
      </c>
      <c r="D334" s="18">
        <v>7.7499999999999999E-2</v>
      </c>
      <c r="E334" s="21">
        <f t="shared" si="30"/>
        <v>6.2396814612857288E-3</v>
      </c>
      <c r="F334" s="5">
        <v>39038</v>
      </c>
      <c r="G334" s="5">
        <v>40864</v>
      </c>
      <c r="H334" s="16">
        <f t="shared" si="33"/>
        <v>1826</v>
      </c>
      <c r="I334" s="5">
        <v>40864</v>
      </c>
      <c r="J334" s="5">
        <v>40246</v>
      </c>
      <c r="K334" s="16">
        <f t="shared" si="34"/>
        <v>1208</v>
      </c>
      <c r="L334" s="13">
        <v>150762</v>
      </c>
      <c r="M334" s="15">
        <f t="shared" si="32"/>
        <v>2984.6045660587001</v>
      </c>
      <c r="N334" s="13">
        <v>127195.31</v>
      </c>
      <c r="O334" s="13">
        <v>46200</v>
      </c>
      <c r="P334" s="11">
        <f t="shared" si="31"/>
        <v>0</v>
      </c>
    </row>
    <row r="335" spans="1:16" ht="18.75" customHeight="1" thickBot="1" x14ac:dyDescent="0.3">
      <c r="A335" s="3" t="s">
        <v>1</v>
      </c>
      <c r="B335" s="4">
        <v>160622</v>
      </c>
      <c r="C335" s="3" t="s">
        <v>2</v>
      </c>
      <c r="D335" s="18">
        <v>8.7499999999999994E-2</v>
      </c>
      <c r="E335" s="21">
        <f t="shared" si="30"/>
        <v>7.0146116041400752E-3</v>
      </c>
      <c r="F335" s="5">
        <v>39093</v>
      </c>
      <c r="G335" s="5">
        <v>39458</v>
      </c>
      <c r="H335" s="16">
        <f t="shared" si="33"/>
        <v>365</v>
      </c>
      <c r="I335" s="5">
        <v>40629</v>
      </c>
      <c r="J335" s="5">
        <v>40533</v>
      </c>
      <c r="K335" s="16">
        <f t="shared" si="34"/>
        <v>1440</v>
      </c>
      <c r="L335" s="13">
        <v>50500</v>
      </c>
      <c r="M335" s="15">
        <f t="shared" si="32"/>
        <v>4344.8548910640875</v>
      </c>
      <c r="N335" s="13">
        <v>40000</v>
      </c>
      <c r="O335" s="13">
        <v>0</v>
      </c>
      <c r="P335" s="11">
        <f t="shared" si="31"/>
        <v>0</v>
      </c>
    </row>
    <row r="336" spans="1:16" ht="18.75" customHeight="1" thickBot="1" x14ac:dyDescent="0.3">
      <c r="A336" s="3" t="s">
        <v>1</v>
      </c>
      <c r="B336" s="4">
        <v>739376</v>
      </c>
      <c r="C336" s="3" t="s">
        <v>2</v>
      </c>
      <c r="D336" s="18">
        <v>8.7499999999999994E-2</v>
      </c>
      <c r="E336" s="21">
        <f t="shared" si="30"/>
        <v>7.0146116041400752E-3</v>
      </c>
      <c r="F336" s="5">
        <v>39134</v>
      </c>
      <c r="G336" s="5">
        <v>39499</v>
      </c>
      <c r="H336" s="16">
        <f t="shared" si="33"/>
        <v>365</v>
      </c>
      <c r="I336" s="5">
        <v>40622</v>
      </c>
      <c r="J336" s="5">
        <v>40669</v>
      </c>
      <c r="K336" s="16">
        <f t="shared" si="34"/>
        <v>1535</v>
      </c>
      <c r="L336" s="13">
        <v>20200</v>
      </c>
      <c r="M336" s="15">
        <f t="shared" si="32"/>
        <v>1737.941956425635</v>
      </c>
      <c r="N336" s="13">
        <v>13997.38</v>
      </c>
      <c r="O336" s="13">
        <v>0</v>
      </c>
      <c r="P336" s="11">
        <f t="shared" si="31"/>
        <v>0</v>
      </c>
    </row>
    <row r="337" spans="1:16" ht="18.75" customHeight="1" thickBot="1" x14ac:dyDescent="0.3">
      <c r="A337" s="3" t="s">
        <v>1</v>
      </c>
      <c r="B337" s="4">
        <v>211799</v>
      </c>
      <c r="C337" s="3" t="s">
        <v>2</v>
      </c>
      <c r="D337" s="18">
        <v>9.2499999999999999E-2</v>
      </c>
      <c r="E337" s="21">
        <f t="shared" si="30"/>
        <v>7.3996302871768282E-3</v>
      </c>
      <c r="F337" s="5">
        <v>39142</v>
      </c>
      <c r="G337" s="5">
        <v>40603</v>
      </c>
      <c r="H337" s="16">
        <f t="shared" si="33"/>
        <v>1461</v>
      </c>
      <c r="I337" s="5">
        <v>40978</v>
      </c>
      <c r="J337" s="5">
        <v>40991</v>
      </c>
      <c r="K337" s="16">
        <f t="shared" si="34"/>
        <v>1849</v>
      </c>
      <c r="L337" s="13">
        <v>50512</v>
      </c>
      <c r="M337" s="15">
        <f t="shared" si="32"/>
        <v>1239.0843171207978</v>
      </c>
      <c r="N337" s="13">
        <v>19750.099999999999</v>
      </c>
      <c r="O337" s="13">
        <v>2200</v>
      </c>
      <c r="P337" s="11">
        <f t="shared" si="31"/>
        <v>0</v>
      </c>
    </row>
    <row r="338" spans="1:16" ht="18.75" customHeight="1" thickBot="1" x14ac:dyDescent="0.3">
      <c r="A338" s="3" t="s">
        <v>1</v>
      </c>
      <c r="B338" s="4">
        <v>139320</v>
      </c>
      <c r="C338" s="3" t="s">
        <v>2</v>
      </c>
      <c r="D338" s="18">
        <v>9.2499999999999999E-2</v>
      </c>
      <c r="E338" s="21">
        <f t="shared" si="30"/>
        <v>7.3996302871768282E-3</v>
      </c>
      <c r="F338" s="5">
        <v>39142</v>
      </c>
      <c r="G338" s="5">
        <v>40603</v>
      </c>
      <c r="H338" s="16">
        <f t="shared" si="33"/>
        <v>1461</v>
      </c>
      <c r="I338" s="5">
        <v>40978</v>
      </c>
      <c r="J338" s="5">
        <v>40991</v>
      </c>
      <c r="K338" s="16">
        <f t="shared" si="34"/>
        <v>1849</v>
      </c>
      <c r="L338" s="13">
        <v>30300</v>
      </c>
      <c r="M338" s="15">
        <f t="shared" si="32"/>
        <v>743.27397071508108</v>
      </c>
      <c r="N338" s="13">
        <v>25617.919999999998</v>
      </c>
      <c r="O338" s="13">
        <v>0</v>
      </c>
      <c r="P338" s="11">
        <f t="shared" si="31"/>
        <v>0</v>
      </c>
    </row>
    <row r="339" spans="1:16" ht="18.75" customHeight="1" thickBot="1" x14ac:dyDescent="0.3">
      <c r="A339" s="3" t="s">
        <v>1</v>
      </c>
      <c r="B339" s="4">
        <v>408964</v>
      </c>
      <c r="C339" s="3" t="s">
        <v>2</v>
      </c>
      <c r="D339" s="18">
        <v>0.08</v>
      </c>
      <c r="E339" s="21">
        <f t="shared" si="30"/>
        <v>6.4340301100034303E-3</v>
      </c>
      <c r="F339" s="5">
        <v>39142</v>
      </c>
      <c r="G339" s="5">
        <v>40969</v>
      </c>
      <c r="H339" s="16">
        <f t="shared" si="33"/>
        <v>1827</v>
      </c>
      <c r="I339" s="5">
        <v>40969</v>
      </c>
      <c r="J339" s="5">
        <v>39798</v>
      </c>
      <c r="K339" s="16">
        <f t="shared" si="34"/>
        <v>656</v>
      </c>
      <c r="L339" s="13">
        <v>151512</v>
      </c>
      <c r="M339" s="15">
        <f t="shared" si="32"/>
        <v>3014.9417384888443</v>
      </c>
      <c r="N339" s="13">
        <v>130711</v>
      </c>
      <c r="O339" s="13">
        <v>16320</v>
      </c>
      <c r="P339" s="11">
        <f t="shared" ref="P339:P361" si="35">IF((G339)&gt;(ConstantDateCutoff),1,0)</f>
        <v>0</v>
      </c>
    </row>
    <row r="340" spans="1:16" ht="18.75" customHeight="1" thickBot="1" x14ac:dyDescent="0.3">
      <c r="A340" s="3" t="s">
        <v>1</v>
      </c>
      <c r="B340" s="4">
        <v>288699</v>
      </c>
      <c r="C340" s="3" t="s">
        <v>2</v>
      </c>
      <c r="D340" s="18">
        <v>8.2500000000000004E-2</v>
      </c>
      <c r="E340" s="21">
        <f t="shared" si="30"/>
        <v>6.6279668043680573E-3</v>
      </c>
      <c r="F340" s="5">
        <v>39211</v>
      </c>
      <c r="G340" s="5">
        <v>39577</v>
      </c>
      <c r="H340" s="16">
        <f t="shared" si="33"/>
        <v>366</v>
      </c>
      <c r="I340" s="5">
        <v>40307</v>
      </c>
      <c r="J340" s="5">
        <v>40358</v>
      </c>
      <c r="K340" s="16">
        <f t="shared" si="34"/>
        <v>1147</v>
      </c>
      <c r="L340" s="13">
        <v>25125</v>
      </c>
      <c r="M340" s="15">
        <f t="shared" si="32"/>
        <v>2150.6257645624542</v>
      </c>
      <c r="N340" s="13">
        <v>25125</v>
      </c>
      <c r="O340" s="13">
        <v>0</v>
      </c>
      <c r="P340" s="11">
        <f t="shared" si="35"/>
        <v>0</v>
      </c>
    </row>
    <row r="341" spans="1:16" ht="18.75" customHeight="1" thickBot="1" x14ac:dyDescent="0.3">
      <c r="A341" s="3" t="s">
        <v>1</v>
      </c>
      <c r="B341" s="4">
        <v>490580</v>
      </c>
      <c r="C341" s="3" t="s">
        <v>2</v>
      </c>
      <c r="D341" s="18">
        <v>8.5000000000000006E-2</v>
      </c>
      <c r="E341" s="21">
        <f t="shared" si="30"/>
        <v>6.8214933659622723E-3</v>
      </c>
      <c r="F341" s="5">
        <v>39315</v>
      </c>
      <c r="G341" s="5">
        <v>39681</v>
      </c>
      <c r="H341" s="16">
        <f t="shared" si="33"/>
        <v>366</v>
      </c>
      <c r="I341" s="5">
        <v>40688</v>
      </c>
      <c r="J341" s="5">
        <v>40633</v>
      </c>
      <c r="K341" s="16">
        <f t="shared" si="34"/>
        <v>1318</v>
      </c>
      <c r="L341" s="13">
        <v>20200</v>
      </c>
      <c r="M341" s="15">
        <f t="shared" si="32"/>
        <v>1731.2279652901927</v>
      </c>
      <c r="N341" s="13">
        <v>24127.3</v>
      </c>
      <c r="O341" s="13">
        <v>0</v>
      </c>
      <c r="P341" s="11">
        <f t="shared" si="35"/>
        <v>0</v>
      </c>
    </row>
    <row r="342" spans="1:16" ht="18.75" customHeight="1" thickBot="1" x14ac:dyDescent="0.3">
      <c r="A342" s="3" t="s">
        <v>1</v>
      </c>
      <c r="B342" s="4">
        <v>17731</v>
      </c>
      <c r="C342" s="3" t="s">
        <v>2</v>
      </c>
      <c r="D342" s="18">
        <v>8.7499999999999994E-2</v>
      </c>
      <c r="E342" s="21">
        <f t="shared" si="30"/>
        <v>7.0146116041400752E-3</v>
      </c>
      <c r="F342" s="5">
        <v>39337</v>
      </c>
      <c r="G342" s="5">
        <v>39398</v>
      </c>
      <c r="H342" s="16">
        <f t="shared" si="33"/>
        <v>61</v>
      </c>
      <c r="I342" s="5">
        <v>40040</v>
      </c>
      <c r="J342" s="5">
        <v>39990</v>
      </c>
      <c r="K342" s="16">
        <f t="shared" si="34"/>
        <v>653</v>
      </c>
      <c r="L342" s="13">
        <v>30300</v>
      </c>
      <c r="M342" s="15">
        <f t="shared" si="32"/>
        <v>15060.366169663514</v>
      </c>
      <c r="N342" s="13">
        <v>30300</v>
      </c>
      <c r="O342" s="13">
        <v>0</v>
      </c>
      <c r="P342" s="11">
        <f t="shared" si="35"/>
        <v>0</v>
      </c>
    </row>
    <row r="343" spans="1:16" ht="18.75" customHeight="1" thickBot="1" x14ac:dyDescent="0.3">
      <c r="A343" s="3" t="s">
        <v>1</v>
      </c>
      <c r="B343" s="4">
        <v>430357</v>
      </c>
      <c r="C343" s="3" t="s">
        <v>2</v>
      </c>
      <c r="D343" s="18">
        <v>9.5000000000000001E-2</v>
      </c>
      <c r="E343" s="21">
        <f t="shared" si="30"/>
        <v>7.5915342905825689E-3</v>
      </c>
      <c r="F343" s="5">
        <v>39423</v>
      </c>
      <c r="G343" s="5">
        <v>40884</v>
      </c>
      <c r="H343" s="16">
        <f t="shared" si="33"/>
        <v>1461</v>
      </c>
      <c r="I343" s="5">
        <v>41950</v>
      </c>
      <c r="J343" s="5">
        <v>41968</v>
      </c>
      <c r="K343" s="16">
        <f t="shared" si="34"/>
        <v>2545</v>
      </c>
      <c r="L343" s="13">
        <v>40412</v>
      </c>
      <c r="M343" s="15">
        <f t="shared" si="32"/>
        <v>995.75049282382838</v>
      </c>
      <c r="N343" s="13">
        <v>17897.72</v>
      </c>
      <c r="O343" s="13">
        <v>1042.48</v>
      </c>
      <c r="P343" s="11">
        <f t="shared" si="35"/>
        <v>0</v>
      </c>
    </row>
    <row r="344" spans="1:16" ht="18.75" customHeight="1" thickBot="1" x14ac:dyDescent="0.3">
      <c r="A344" s="3" t="s">
        <v>1</v>
      </c>
      <c r="B344" s="4">
        <v>909535</v>
      </c>
      <c r="C344" s="3" t="s">
        <v>2</v>
      </c>
      <c r="D344" s="18">
        <v>9.2499999999999999E-2</v>
      </c>
      <c r="E344" s="21">
        <f t="shared" si="30"/>
        <v>7.3996302871768282E-3</v>
      </c>
      <c r="F344" s="5">
        <v>39430</v>
      </c>
      <c r="G344" s="5">
        <v>40844</v>
      </c>
      <c r="H344" s="16">
        <f t="shared" si="33"/>
        <v>1414</v>
      </c>
      <c r="I344" s="5">
        <v>40844</v>
      </c>
      <c r="J344" s="5">
        <v>39897</v>
      </c>
      <c r="K344" s="16">
        <f t="shared" si="34"/>
        <v>467</v>
      </c>
      <c r="L344" s="13">
        <v>25262</v>
      </c>
      <c r="M344" s="15">
        <f t="shared" si="32"/>
        <v>636.8162349628725</v>
      </c>
      <c r="N344" s="13">
        <v>20129.39</v>
      </c>
      <c r="O344" s="13">
        <v>0</v>
      </c>
      <c r="P344" s="11">
        <f t="shared" si="35"/>
        <v>0</v>
      </c>
    </row>
    <row r="345" spans="1:16" ht="18.75" customHeight="1" thickBot="1" x14ac:dyDescent="0.3">
      <c r="A345" s="3" t="s">
        <v>1</v>
      </c>
      <c r="B345" s="4">
        <v>827427</v>
      </c>
      <c r="C345" s="3" t="s">
        <v>2</v>
      </c>
      <c r="D345" s="18">
        <v>8.7499999999999994E-2</v>
      </c>
      <c r="E345" s="21">
        <f t="shared" si="30"/>
        <v>7.0146116041400752E-3</v>
      </c>
      <c r="F345" s="5">
        <v>39479</v>
      </c>
      <c r="G345" s="5">
        <v>40940</v>
      </c>
      <c r="H345" s="16">
        <f t="shared" si="33"/>
        <v>1461</v>
      </c>
      <c r="I345" s="5">
        <v>40940</v>
      </c>
      <c r="J345" s="5">
        <v>40074</v>
      </c>
      <c r="K345" s="16">
        <f t="shared" si="34"/>
        <v>595</v>
      </c>
      <c r="L345" s="13">
        <v>30312</v>
      </c>
      <c r="M345" s="15">
        <f t="shared" si="32"/>
        <v>736.93717160984272</v>
      </c>
      <c r="N345" s="13">
        <v>21750.15</v>
      </c>
      <c r="O345" s="13">
        <v>0</v>
      </c>
      <c r="P345" s="11">
        <f t="shared" si="35"/>
        <v>0</v>
      </c>
    </row>
    <row r="346" spans="1:16" ht="18.75" customHeight="1" thickBot="1" x14ac:dyDescent="0.3">
      <c r="A346" s="3" t="s">
        <v>1</v>
      </c>
      <c r="B346" s="4">
        <v>831199</v>
      </c>
      <c r="C346" s="3" t="s">
        <v>2</v>
      </c>
      <c r="D346" s="18">
        <v>8.5000000000000006E-2</v>
      </c>
      <c r="E346" s="21">
        <f t="shared" si="30"/>
        <v>6.8214933659622723E-3</v>
      </c>
      <c r="F346" s="5">
        <v>39485</v>
      </c>
      <c r="G346" s="5">
        <v>41312</v>
      </c>
      <c r="H346" s="16">
        <f t="shared" si="33"/>
        <v>1827</v>
      </c>
      <c r="I346" s="5">
        <v>41340</v>
      </c>
      <c r="J346" s="5">
        <v>40168</v>
      </c>
      <c r="K346" s="16">
        <f t="shared" si="34"/>
        <v>683</v>
      </c>
      <c r="L346" s="13">
        <v>65662</v>
      </c>
      <c r="M346" s="15">
        <f t="shared" si="32"/>
        <v>1321.2332015244808</v>
      </c>
      <c r="N346" s="13">
        <v>47642.52</v>
      </c>
      <c r="O346" s="13">
        <v>10500</v>
      </c>
      <c r="P346" s="11">
        <f t="shared" si="35"/>
        <v>0</v>
      </c>
    </row>
    <row r="347" spans="1:16" ht="18.75" customHeight="1" thickBot="1" x14ac:dyDescent="0.3">
      <c r="A347" s="3" t="s">
        <v>1</v>
      </c>
      <c r="B347" s="4">
        <v>193958</v>
      </c>
      <c r="C347" s="3" t="s">
        <v>2</v>
      </c>
      <c r="D347" s="18">
        <v>6.8900000000000003E-2</v>
      </c>
      <c r="E347" s="21">
        <f t="shared" si="30"/>
        <v>5.5679505949390862E-3</v>
      </c>
      <c r="F347" s="5">
        <v>39486</v>
      </c>
      <c r="G347" s="5">
        <v>40947</v>
      </c>
      <c r="H347" s="16">
        <f t="shared" si="33"/>
        <v>1461</v>
      </c>
      <c r="I347" s="5">
        <v>40947</v>
      </c>
      <c r="J347" s="5">
        <v>40022</v>
      </c>
      <c r="K347" s="16">
        <f t="shared" si="34"/>
        <v>536</v>
      </c>
      <c r="L347" s="13">
        <v>48759.5</v>
      </c>
      <c r="M347" s="15">
        <f t="shared" si="32"/>
        <v>1145.8621099823629</v>
      </c>
      <c r="N347" s="13">
        <v>28500</v>
      </c>
      <c r="O347" s="13">
        <v>0</v>
      </c>
      <c r="P347" s="11">
        <f t="shared" si="35"/>
        <v>0</v>
      </c>
    </row>
    <row r="348" spans="1:16" ht="18.75" customHeight="1" thickBot="1" x14ac:dyDescent="0.3">
      <c r="A348" s="3" t="s">
        <v>1</v>
      </c>
      <c r="B348" s="4">
        <v>282884</v>
      </c>
      <c r="C348" s="3" t="s">
        <v>2</v>
      </c>
      <c r="D348" s="18">
        <v>9.5000000000000001E-2</v>
      </c>
      <c r="E348" s="21">
        <f t="shared" si="30"/>
        <v>7.5915342905825689E-3</v>
      </c>
      <c r="F348" s="5">
        <v>39626</v>
      </c>
      <c r="G348" s="5">
        <v>39991</v>
      </c>
      <c r="H348" s="16">
        <f t="shared" si="33"/>
        <v>365</v>
      </c>
      <c r="I348" s="5">
        <v>39991</v>
      </c>
      <c r="J348" s="5">
        <v>39897</v>
      </c>
      <c r="K348" s="16">
        <f t="shared" si="34"/>
        <v>271</v>
      </c>
      <c r="L348" s="13">
        <v>8100</v>
      </c>
      <c r="M348" s="15">
        <f t="shared" si="32"/>
        <v>699.49444203501412</v>
      </c>
      <c r="N348" s="13">
        <v>8100</v>
      </c>
      <c r="O348" s="13">
        <v>0</v>
      </c>
      <c r="P348" s="11">
        <f t="shared" si="35"/>
        <v>0</v>
      </c>
    </row>
    <row r="349" spans="1:16" ht="18.75" customHeight="1" thickBot="1" x14ac:dyDescent="0.3">
      <c r="A349" s="3" t="s">
        <v>1</v>
      </c>
      <c r="B349" s="4">
        <v>837679</v>
      </c>
      <c r="C349" s="3" t="s">
        <v>2</v>
      </c>
      <c r="D349" s="18">
        <v>9.2499999999999999E-2</v>
      </c>
      <c r="E349" s="21">
        <f t="shared" si="30"/>
        <v>7.3996302871768282E-3</v>
      </c>
      <c r="F349" s="5">
        <v>39639</v>
      </c>
      <c r="G349" s="5">
        <v>40004</v>
      </c>
      <c r="H349" s="16">
        <f t="shared" si="33"/>
        <v>365</v>
      </c>
      <c r="I349" s="5">
        <v>40188</v>
      </c>
      <c r="J349" s="5">
        <v>40361</v>
      </c>
      <c r="K349" s="16">
        <f t="shared" si="34"/>
        <v>722</v>
      </c>
      <c r="L349" s="13">
        <v>15180</v>
      </c>
      <c r="M349" s="15">
        <f t="shared" si="32"/>
        <v>1309.2844103229095</v>
      </c>
      <c r="N349" s="13">
        <v>10565.18</v>
      </c>
      <c r="O349" s="13">
        <v>400</v>
      </c>
      <c r="P349" s="11">
        <f t="shared" si="35"/>
        <v>0</v>
      </c>
    </row>
    <row r="350" spans="1:16" ht="18.75" customHeight="1" thickBot="1" x14ac:dyDescent="0.3">
      <c r="A350" s="3" t="s">
        <v>1</v>
      </c>
      <c r="B350" s="4">
        <v>533148</v>
      </c>
      <c r="C350" s="3" t="s">
        <v>2</v>
      </c>
      <c r="D350" s="18">
        <v>0.09</v>
      </c>
      <c r="E350" s="21">
        <f t="shared" si="30"/>
        <v>7.2073233161367156E-3</v>
      </c>
      <c r="F350" s="5">
        <v>39695</v>
      </c>
      <c r="G350" s="5">
        <v>41537</v>
      </c>
      <c r="H350" s="16">
        <f t="shared" si="33"/>
        <v>1842</v>
      </c>
      <c r="I350" s="5">
        <v>40806</v>
      </c>
      <c r="J350" s="5">
        <v>40627</v>
      </c>
      <c r="K350" s="16">
        <f t="shared" si="34"/>
        <v>932</v>
      </c>
      <c r="L350" s="13">
        <v>25250</v>
      </c>
      <c r="M350" s="15">
        <f t="shared" si="32"/>
        <v>510.37593453485113</v>
      </c>
      <c r="N350" s="13">
        <v>16919.41</v>
      </c>
      <c r="O350" s="13">
        <v>0</v>
      </c>
      <c r="P350" s="11">
        <f t="shared" si="35"/>
        <v>0</v>
      </c>
    </row>
    <row r="351" spans="1:16" ht="18.75" customHeight="1" thickBot="1" x14ac:dyDescent="0.3">
      <c r="A351" s="3" t="s">
        <v>1</v>
      </c>
      <c r="B351" s="4">
        <v>509968</v>
      </c>
      <c r="C351" s="3" t="s">
        <v>2</v>
      </c>
      <c r="D351" s="18">
        <v>0.09</v>
      </c>
      <c r="E351" s="21">
        <f t="shared" si="30"/>
        <v>7.2073233161367156E-3</v>
      </c>
      <c r="F351" s="5">
        <v>39695</v>
      </c>
      <c r="G351" s="5">
        <v>40060</v>
      </c>
      <c r="H351" s="16">
        <f t="shared" si="33"/>
        <v>365</v>
      </c>
      <c r="I351" s="5">
        <v>40806</v>
      </c>
      <c r="J351" s="5">
        <v>40627</v>
      </c>
      <c r="K351" s="16">
        <f t="shared" si="34"/>
        <v>932</v>
      </c>
      <c r="L351" s="13">
        <v>10112</v>
      </c>
      <c r="M351" s="15">
        <f t="shared" si="32"/>
        <v>871.08560754507141</v>
      </c>
      <c r="N351" s="13">
        <v>9249.7199999999993</v>
      </c>
      <c r="O351" s="13">
        <v>0</v>
      </c>
      <c r="P351" s="11">
        <f t="shared" si="35"/>
        <v>0</v>
      </c>
    </row>
    <row r="352" spans="1:16" ht="18.75" customHeight="1" thickBot="1" x14ac:dyDescent="0.3">
      <c r="A352" s="3" t="s">
        <v>1</v>
      </c>
      <c r="B352" s="4">
        <v>964268</v>
      </c>
      <c r="C352" s="3" t="s">
        <v>4</v>
      </c>
      <c r="D352" s="18">
        <v>0.09</v>
      </c>
      <c r="E352" s="21">
        <f t="shared" si="30"/>
        <v>7.2073233161367156E-3</v>
      </c>
      <c r="F352" s="5">
        <v>41066</v>
      </c>
      <c r="G352" s="5">
        <v>43622</v>
      </c>
      <c r="H352" s="16">
        <f t="shared" si="33"/>
        <v>2556</v>
      </c>
      <c r="I352" s="5">
        <v>43622</v>
      </c>
      <c r="J352" s="5">
        <v>41541</v>
      </c>
      <c r="K352" s="16">
        <f t="shared" si="34"/>
        <v>475</v>
      </c>
      <c r="L352" s="13">
        <v>61000</v>
      </c>
      <c r="M352" s="15">
        <f t="shared" si="32"/>
        <v>960.64107768808503</v>
      </c>
      <c r="N352" s="13">
        <v>45906.15</v>
      </c>
      <c r="O352" s="13">
        <v>668.36</v>
      </c>
      <c r="P352" s="11">
        <f t="shared" si="35"/>
        <v>1</v>
      </c>
    </row>
    <row r="353" spans="1:16" ht="18.75" customHeight="1" thickBot="1" x14ac:dyDescent="0.3">
      <c r="A353" s="3" t="s">
        <v>1</v>
      </c>
      <c r="B353" s="4">
        <v>501491</v>
      </c>
      <c r="C353" s="3" t="s">
        <v>2</v>
      </c>
      <c r="D353" s="18">
        <v>9.2499999999999999E-2</v>
      </c>
      <c r="E353" s="21">
        <f t="shared" si="30"/>
        <v>7.3996302871768282E-3</v>
      </c>
      <c r="F353" s="5">
        <v>42250</v>
      </c>
      <c r="G353" s="5">
        <v>42616</v>
      </c>
      <c r="H353" s="16">
        <f t="shared" si="33"/>
        <v>366</v>
      </c>
      <c r="I353" s="5">
        <v>43865</v>
      </c>
      <c r="J353" s="5">
        <v>43325</v>
      </c>
      <c r="K353" s="16">
        <f t="shared" si="34"/>
        <v>1075</v>
      </c>
      <c r="L353" s="13">
        <v>40000</v>
      </c>
      <c r="M353" s="15">
        <f t="shared" si="32"/>
        <v>3441.0149538177079</v>
      </c>
      <c r="N353" s="13">
        <v>36534.080000000002</v>
      </c>
      <c r="O353" s="13">
        <v>7012.07</v>
      </c>
      <c r="P353" s="11">
        <f t="shared" si="35"/>
        <v>1</v>
      </c>
    </row>
    <row r="354" spans="1:16" ht="18.75" customHeight="1" thickBot="1" x14ac:dyDescent="0.3">
      <c r="A354" s="3" t="s">
        <v>1</v>
      </c>
      <c r="B354" s="4">
        <v>852204</v>
      </c>
      <c r="C354" s="3" t="s">
        <v>2</v>
      </c>
      <c r="D354" s="18">
        <v>0.12</v>
      </c>
      <c r="E354" s="21">
        <f t="shared" si="30"/>
        <v>9.4887929345830457E-3</v>
      </c>
      <c r="F354" s="5">
        <v>39883</v>
      </c>
      <c r="G354" s="5">
        <v>40067</v>
      </c>
      <c r="H354" s="16">
        <f t="shared" si="33"/>
        <v>184</v>
      </c>
      <c r="I354" s="5">
        <v>40067</v>
      </c>
      <c r="J354" s="5">
        <v>39889</v>
      </c>
      <c r="K354" s="16">
        <f t="shared" si="34"/>
        <v>6</v>
      </c>
      <c r="L354" s="13">
        <v>12931.63</v>
      </c>
      <c r="M354" s="15">
        <f t="shared" si="32"/>
        <v>2180.3504020284627</v>
      </c>
      <c r="N354" s="13">
        <v>12931.63</v>
      </c>
      <c r="O354" s="13">
        <v>98.87</v>
      </c>
      <c r="P354" s="11">
        <f t="shared" si="35"/>
        <v>0</v>
      </c>
    </row>
    <row r="355" spans="1:16" ht="18.75" customHeight="1" thickBot="1" x14ac:dyDescent="0.3">
      <c r="A355" s="3" t="s">
        <v>1</v>
      </c>
      <c r="B355" s="4">
        <v>200033</v>
      </c>
      <c r="C355" s="3" t="s">
        <v>4</v>
      </c>
      <c r="D355" s="18">
        <v>8.2500000000000004E-2</v>
      </c>
      <c r="E355" s="21">
        <f t="shared" si="30"/>
        <v>6.6279668043680573E-3</v>
      </c>
      <c r="F355" s="5">
        <v>39335</v>
      </c>
      <c r="G355" s="5">
        <v>42257</v>
      </c>
      <c r="H355" s="16">
        <f t="shared" si="33"/>
        <v>2922</v>
      </c>
      <c r="I355" s="5">
        <v>42257</v>
      </c>
      <c r="J355" s="5">
        <v>40074</v>
      </c>
      <c r="K355" s="16">
        <f t="shared" si="34"/>
        <v>739</v>
      </c>
      <c r="L355" s="13">
        <v>35000</v>
      </c>
      <c r="M355" s="15">
        <f t="shared" si="32"/>
        <v>488.87547880506099</v>
      </c>
      <c r="N355" s="13">
        <v>15557.13</v>
      </c>
      <c r="O355" s="13">
        <v>0</v>
      </c>
      <c r="P355" s="11">
        <f t="shared" si="35"/>
        <v>1</v>
      </c>
    </row>
    <row r="356" spans="1:16" ht="18.75" customHeight="1" thickBot="1" x14ac:dyDescent="0.3">
      <c r="A356" s="3" t="s">
        <v>1</v>
      </c>
      <c r="B356" s="4">
        <v>581267</v>
      </c>
      <c r="C356" s="3" t="s">
        <v>4</v>
      </c>
      <c r="D356" s="18">
        <v>7.7499999999999999E-2</v>
      </c>
      <c r="E356" s="21">
        <f t="shared" si="30"/>
        <v>6.2396814612857288E-3</v>
      </c>
      <c r="F356" s="5">
        <v>39384</v>
      </c>
      <c r="G356" s="5">
        <v>42306</v>
      </c>
      <c r="H356" s="16">
        <f t="shared" si="33"/>
        <v>2922</v>
      </c>
      <c r="I356" s="5">
        <v>42306</v>
      </c>
      <c r="J356" s="5">
        <v>40696</v>
      </c>
      <c r="K356" s="16">
        <f t="shared" si="34"/>
        <v>1312</v>
      </c>
      <c r="L356" s="13">
        <v>75800</v>
      </c>
      <c r="M356" s="15">
        <f t="shared" si="32"/>
        <v>1040.8778728048219</v>
      </c>
      <c r="N356" s="13">
        <v>38018.050000000003</v>
      </c>
      <c r="O356" s="13">
        <v>3995.27</v>
      </c>
      <c r="P356" s="11">
        <f t="shared" si="35"/>
        <v>1</v>
      </c>
    </row>
    <row r="357" spans="1:16" ht="18.75" customHeight="1" thickBot="1" x14ac:dyDescent="0.3">
      <c r="A357" s="3" t="s">
        <v>1</v>
      </c>
      <c r="B357" s="4">
        <v>170001</v>
      </c>
      <c r="C357" s="3" t="s">
        <v>2</v>
      </c>
      <c r="D357" s="18">
        <v>8.2500000000000004E-2</v>
      </c>
      <c r="E357" s="21">
        <f t="shared" si="30"/>
        <v>6.6279668043680573E-3</v>
      </c>
      <c r="F357" s="5">
        <v>39428</v>
      </c>
      <c r="G357" s="5">
        <v>39794</v>
      </c>
      <c r="H357" s="16">
        <f t="shared" si="33"/>
        <v>366</v>
      </c>
      <c r="I357" s="5">
        <v>40524</v>
      </c>
      <c r="J357" s="5">
        <v>40533</v>
      </c>
      <c r="K357" s="16">
        <f t="shared" si="34"/>
        <v>1105</v>
      </c>
      <c r="L357" s="13">
        <v>10000</v>
      </c>
      <c r="M357" s="15">
        <f t="shared" si="32"/>
        <v>855.9704535571957</v>
      </c>
      <c r="N357" s="13">
        <v>9911.7199999999993</v>
      </c>
      <c r="O357" s="13">
        <v>5081.8599999999997</v>
      </c>
      <c r="P357" s="11">
        <f t="shared" si="35"/>
        <v>0</v>
      </c>
    </row>
    <row r="358" spans="1:16" ht="18.75" customHeight="1" thickBot="1" x14ac:dyDescent="0.3">
      <c r="A358" s="3" t="s">
        <v>1</v>
      </c>
      <c r="B358" s="4">
        <v>522862</v>
      </c>
      <c r="C358" s="3" t="s">
        <v>2</v>
      </c>
      <c r="D358" s="18">
        <v>8.7499999999999994E-2</v>
      </c>
      <c r="E358" s="21">
        <f t="shared" si="30"/>
        <v>7.0146116041400752E-3</v>
      </c>
      <c r="F358" s="5">
        <v>39626</v>
      </c>
      <c r="G358" s="5">
        <v>39991</v>
      </c>
      <c r="H358" s="16">
        <f t="shared" si="33"/>
        <v>365</v>
      </c>
      <c r="I358" s="5">
        <v>41654</v>
      </c>
      <c r="J358" s="5">
        <v>41093</v>
      </c>
      <c r="K358" s="16">
        <f t="shared" si="34"/>
        <v>1467</v>
      </c>
      <c r="L358" s="13">
        <v>100000</v>
      </c>
      <c r="M358" s="15">
        <f t="shared" si="32"/>
        <v>8603.6730516120533</v>
      </c>
      <c r="N358" s="13">
        <v>93099.61</v>
      </c>
      <c r="O358" s="13">
        <v>1000</v>
      </c>
      <c r="P358" s="11">
        <f t="shared" si="35"/>
        <v>0</v>
      </c>
    </row>
    <row r="359" spans="1:16" ht="18.75" customHeight="1" thickBot="1" x14ac:dyDescent="0.3">
      <c r="A359" s="3" t="s">
        <v>1</v>
      </c>
      <c r="B359" s="4">
        <v>259853</v>
      </c>
      <c r="C359" s="3" t="s">
        <v>2</v>
      </c>
      <c r="D359" s="18">
        <v>9.2499999999999999E-2</v>
      </c>
      <c r="E359" s="21">
        <f t="shared" si="30"/>
        <v>7.3996302871768282E-3</v>
      </c>
      <c r="F359" s="5">
        <v>39769</v>
      </c>
      <c r="G359" s="5">
        <v>40134</v>
      </c>
      <c r="H359" s="16">
        <f t="shared" si="33"/>
        <v>365</v>
      </c>
      <c r="I359" s="5">
        <v>40499</v>
      </c>
      <c r="J359" s="5">
        <v>40619</v>
      </c>
      <c r="K359" s="16">
        <f t="shared" si="34"/>
        <v>850</v>
      </c>
      <c r="L359" s="13">
        <v>25137</v>
      </c>
      <c r="M359" s="15">
        <f t="shared" si="32"/>
        <v>2168.081832825229</v>
      </c>
      <c r="N359" s="13">
        <v>25064.06</v>
      </c>
      <c r="O359" s="13">
        <v>0</v>
      </c>
      <c r="P359" s="11">
        <f t="shared" si="35"/>
        <v>0</v>
      </c>
    </row>
    <row r="360" spans="1:16" ht="18.75" customHeight="1" thickBot="1" x14ac:dyDescent="0.3">
      <c r="A360" s="3" t="s">
        <v>1</v>
      </c>
      <c r="B360" s="4">
        <v>146270</v>
      </c>
      <c r="C360" s="3" t="s">
        <v>4</v>
      </c>
      <c r="D360" s="18">
        <v>8.7499999999999994E-2</v>
      </c>
      <c r="E360" s="21">
        <f t="shared" si="30"/>
        <v>7.0146116041400752E-3</v>
      </c>
      <c r="F360" s="5">
        <v>39931</v>
      </c>
      <c r="G360" s="5">
        <v>42488</v>
      </c>
      <c r="H360" s="16">
        <f t="shared" si="33"/>
        <v>2557</v>
      </c>
      <c r="I360" s="5">
        <v>42488</v>
      </c>
      <c r="J360" s="5">
        <v>42166</v>
      </c>
      <c r="K360" s="16">
        <f t="shared" si="34"/>
        <v>2235</v>
      </c>
      <c r="L360" s="13">
        <v>158000</v>
      </c>
      <c r="M360" s="15">
        <f t="shared" si="32"/>
        <v>2469.0871270881871</v>
      </c>
      <c r="N360" s="13">
        <v>94646.25</v>
      </c>
      <c r="O360" s="13">
        <v>2042.74</v>
      </c>
      <c r="P360" s="11">
        <f t="shared" si="35"/>
        <v>1</v>
      </c>
    </row>
    <row r="361" spans="1:16" ht="18.75" customHeight="1" thickBot="1" x14ac:dyDescent="0.3">
      <c r="A361" s="3" t="s">
        <v>1</v>
      </c>
      <c r="B361" s="4">
        <v>520384</v>
      </c>
      <c r="C361" s="3" t="s">
        <v>2</v>
      </c>
      <c r="D361" s="18">
        <v>0.105</v>
      </c>
      <c r="E361" s="21">
        <f t="shared" si="30"/>
        <v>8.355155683635207E-3</v>
      </c>
      <c r="F361" s="5">
        <v>39980</v>
      </c>
      <c r="G361" s="5">
        <v>40041</v>
      </c>
      <c r="H361" s="16">
        <f t="shared" si="33"/>
        <v>61</v>
      </c>
      <c r="I361" s="5">
        <v>42871</v>
      </c>
      <c r="J361" s="5">
        <v>42998</v>
      </c>
      <c r="K361" s="16">
        <f t="shared" si="34"/>
        <v>3018</v>
      </c>
      <c r="L361" s="13">
        <v>15050</v>
      </c>
      <c r="M361" s="15">
        <f t="shared" si="32"/>
        <v>7495.5672173070889</v>
      </c>
      <c r="N361" s="13">
        <v>1379.04</v>
      </c>
      <c r="O361" s="13">
        <v>255.49</v>
      </c>
      <c r="P361" s="11">
        <f t="shared" si="35"/>
        <v>0</v>
      </c>
    </row>
    <row r="362" spans="1:16" ht="18.75" hidden="1" customHeight="1" thickBot="1" x14ac:dyDescent="0.3">
      <c r="A362" s="3" t="s">
        <v>1</v>
      </c>
      <c r="B362" s="4">
        <v>429477</v>
      </c>
      <c r="C362" s="3" t="s">
        <v>2</v>
      </c>
      <c r="D362" s="7">
        <v>0.08</v>
      </c>
      <c r="E362" s="7">
        <f t="shared" ref="E362:E386" si="36">D362/12</f>
        <v>6.6666666666666671E-3</v>
      </c>
      <c r="F362" s="5">
        <v>44013</v>
      </c>
      <c r="G362" s="5">
        <v>47939</v>
      </c>
      <c r="H362" s="8">
        <f t="shared" si="33"/>
        <v>3926</v>
      </c>
      <c r="I362" s="5">
        <v>47939</v>
      </c>
      <c r="J362" s="5">
        <v>44043</v>
      </c>
      <c r="K362" s="8">
        <f t="shared" si="34"/>
        <v>30</v>
      </c>
      <c r="L362" s="6">
        <v>103000</v>
      </c>
      <c r="M362" s="9">
        <f t="shared" si="32"/>
        <v>1182.156158130206</v>
      </c>
      <c r="N362" s="6">
        <v>103000</v>
      </c>
      <c r="O362" s="6">
        <v>42300.28</v>
      </c>
      <c r="P362" s="6">
        <v>0</v>
      </c>
    </row>
    <row r="363" spans="1:16" ht="18.75" hidden="1" customHeight="1" thickBot="1" x14ac:dyDescent="0.3">
      <c r="A363" s="3" t="s">
        <v>1</v>
      </c>
      <c r="B363" s="4">
        <v>30673</v>
      </c>
      <c r="C363" s="3" t="s">
        <v>2</v>
      </c>
      <c r="D363" s="7">
        <v>8.5000000000000006E-2</v>
      </c>
      <c r="E363" s="7">
        <f t="shared" si="36"/>
        <v>7.0833333333333338E-3</v>
      </c>
      <c r="F363" s="5">
        <v>43822</v>
      </c>
      <c r="G363" s="5">
        <v>47475</v>
      </c>
      <c r="H363" s="8">
        <f t="shared" si="33"/>
        <v>3653</v>
      </c>
      <c r="I363" s="5">
        <v>47596</v>
      </c>
      <c r="J363" s="5">
        <v>44924</v>
      </c>
      <c r="K363" s="8">
        <f t="shared" si="34"/>
        <v>1102</v>
      </c>
      <c r="L363" s="6">
        <v>172081.3</v>
      </c>
      <c r="M363" s="9">
        <f t="shared" si="32"/>
        <v>2113.9045491878319</v>
      </c>
      <c r="N363" s="6">
        <v>108053.55</v>
      </c>
      <c r="O363" s="6">
        <v>34486.58</v>
      </c>
      <c r="P363" s="6">
        <v>0</v>
      </c>
    </row>
    <row r="364" spans="1:16" ht="18.75" customHeight="1" thickBot="1" x14ac:dyDescent="0.3">
      <c r="A364" s="3" t="s">
        <v>1</v>
      </c>
      <c r="B364" s="4">
        <v>779045</v>
      </c>
      <c r="C364" s="3" t="s">
        <v>2</v>
      </c>
      <c r="D364" s="18">
        <v>9.7500000000000003E-2</v>
      </c>
      <c r="E364" s="21">
        <f t="shared" ref="E364:E372" si="37">(1+D364)^(1/12)-1</f>
        <v>7.7830370878799737E-3</v>
      </c>
      <c r="F364" s="5">
        <v>39220</v>
      </c>
      <c r="G364" s="5">
        <v>41351</v>
      </c>
      <c r="H364" s="16">
        <f t="shared" si="33"/>
        <v>2131</v>
      </c>
      <c r="I364" s="5">
        <v>41351</v>
      </c>
      <c r="J364" s="5">
        <v>40513</v>
      </c>
      <c r="K364" s="16">
        <f t="shared" si="34"/>
        <v>1293</v>
      </c>
      <c r="L364" s="13">
        <v>835993.98</v>
      </c>
      <c r="M364" s="15">
        <f t="shared" si="32"/>
        <v>15365.170908578424</v>
      </c>
      <c r="N364" s="13">
        <v>835993.98</v>
      </c>
      <c r="O364" s="13">
        <v>0</v>
      </c>
      <c r="P364" s="11">
        <f t="shared" ref="P364:P372" si="38">IF((G364)&gt;(ConstantDateCutoff),1,0)</f>
        <v>0</v>
      </c>
    </row>
    <row r="365" spans="1:16" ht="18.75" customHeight="1" thickBot="1" x14ac:dyDescent="0.3">
      <c r="A365" s="3" t="s">
        <v>1</v>
      </c>
      <c r="B365" s="4">
        <v>5942</v>
      </c>
      <c r="C365" s="3" t="s">
        <v>2</v>
      </c>
      <c r="D365" s="18">
        <v>0.1</v>
      </c>
      <c r="E365" s="21">
        <f t="shared" si="37"/>
        <v>7.9741404289037643E-3</v>
      </c>
      <c r="F365" s="5">
        <v>41257</v>
      </c>
      <c r="G365" s="5">
        <v>43813</v>
      </c>
      <c r="H365" s="16">
        <f t="shared" si="33"/>
        <v>2556</v>
      </c>
      <c r="I365" s="5">
        <v>43813</v>
      </c>
      <c r="J365" s="5">
        <v>43496</v>
      </c>
      <c r="K365" s="16">
        <f t="shared" si="34"/>
        <v>2239</v>
      </c>
      <c r="L365" s="13">
        <v>11125.21</v>
      </c>
      <c r="M365" s="15">
        <f t="shared" si="32"/>
        <v>180.41948492261082</v>
      </c>
      <c r="N365" s="13">
        <v>11125.21</v>
      </c>
      <c r="O365" s="13">
        <v>0</v>
      </c>
      <c r="P365" s="11">
        <f t="shared" si="38"/>
        <v>1</v>
      </c>
    </row>
    <row r="366" spans="1:16" ht="18.75" customHeight="1" thickBot="1" x14ac:dyDescent="0.3">
      <c r="A366" s="3" t="s">
        <v>1</v>
      </c>
      <c r="B366" s="4">
        <v>964872</v>
      </c>
      <c r="C366" s="3" t="s">
        <v>2</v>
      </c>
      <c r="D366" s="18">
        <v>0.09</v>
      </c>
      <c r="E366" s="21">
        <f t="shared" si="37"/>
        <v>7.2073233161367156E-3</v>
      </c>
      <c r="F366" s="5">
        <v>41330</v>
      </c>
      <c r="G366" s="5">
        <v>43276</v>
      </c>
      <c r="H366" s="16">
        <f t="shared" si="33"/>
        <v>1946</v>
      </c>
      <c r="I366" s="5">
        <v>43276</v>
      </c>
      <c r="J366" s="5">
        <v>42916</v>
      </c>
      <c r="K366" s="16">
        <f t="shared" si="34"/>
        <v>1586</v>
      </c>
      <c r="L366" s="13">
        <v>30000</v>
      </c>
      <c r="M366" s="15">
        <f t="shared" si="32"/>
        <v>580.6250721536527</v>
      </c>
      <c r="N366" s="13">
        <v>30000</v>
      </c>
      <c r="O366" s="13">
        <v>0</v>
      </c>
      <c r="P366" s="11">
        <f t="shared" si="38"/>
        <v>1</v>
      </c>
    </row>
    <row r="367" spans="1:16" ht="18.75" customHeight="1" thickBot="1" x14ac:dyDescent="0.3">
      <c r="A367" s="3" t="s">
        <v>11</v>
      </c>
      <c r="B367" s="4">
        <v>896594</v>
      </c>
      <c r="C367" s="3" t="s">
        <v>12</v>
      </c>
      <c r="D367" s="18">
        <v>9.7500000000000003E-2</v>
      </c>
      <c r="E367" s="21">
        <f t="shared" si="37"/>
        <v>7.7830370878799737E-3</v>
      </c>
      <c r="F367" s="5">
        <v>34607</v>
      </c>
      <c r="G367" s="5">
        <v>36443</v>
      </c>
      <c r="H367" s="16">
        <f t="shared" si="33"/>
        <v>1836</v>
      </c>
      <c r="I367" s="5">
        <v>36717</v>
      </c>
      <c r="J367" s="5">
        <v>36595</v>
      </c>
      <c r="K367" s="16">
        <f t="shared" si="34"/>
        <v>1988</v>
      </c>
      <c r="L367" s="13">
        <v>5531</v>
      </c>
      <c r="M367" s="15">
        <f t="shared" si="32"/>
        <v>113.94680746911641</v>
      </c>
      <c r="N367" s="13">
        <v>560</v>
      </c>
      <c r="O367" s="13">
        <v>0</v>
      </c>
      <c r="P367" s="11">
        <f t="shared" si="38"/>
        <v>0</v>
      </c>
    </row>
    <row r="368" spans="1:16" ht="18.75" customHeight="1" thickBot="1" x14ac:dyDescent="0.3">
      <c r="A368" s="3" t="s">
        <v>11</v>
      </c>
      <c r="B368" s="4">
        <v>909519</v>
      </c>
      <c r="C368" s="3" t="s">
        <v>9</v>
      </c>
      <c r="D368" s="18">
        <v>8.7499999999999994E-2</v>
      </c>
      <c r="E368" s="21">
        <f t="shared" si="37"/>
        <v>7.0146116041400752E-3</v>
      </c>
      <c r="F368" s="5">
        <v>35587</v>
      </c>
      <c r="G368" s="5">
        <v>37412</v>
      </c>
      <c r="H368" s="16">
        <f t="shared" si="33"/>
        <v>1825</v>
      </c>
      <c r="I368" s="5">
        <v>37657</v>
      </c>
      <c r="J368" s="5">
        <v>37494</v>
      </c>
      <c r="K368" s="16">
        <f t="shared" si="34"/>
        <v>1907</v>
      </c>
      <c r="L368" s="13">
        <v>10024.58</v>
      </c>
      <c r="M368" s="15">
        <f t="shared" si="32"/>
        <v>203.00850452787182</v>
      </c>
      <c r="N368" s="13">
        <v>4156.0200000000004</v>
      </c>
      <c r="O368" s="13">
        <v>0</v>
      </c>
      <c r="P368" s="11">
        <f t="shared" si="38"/>
        <v>0</v>
      </c>
    </row>
    <row r="369" spans="1:16" ht="18.75" customHeight="1" thickBot="1" x14ac:dyDescent="0.3">
      <c r="A369" s="3" t="s">
        <v>11</v>
      </c>
      <c r="B369" s="4">
        <v>663852</v>
      </c>
      <c r="C369" s="3" t="s">
        <v>13</v>
      </c>
      <c r="D369" s="18">
        <v>0.09</v>
      </c>
      <c r="E369" s="21">
        <f t="shared" si="37"/>
        <v>7.2073233161367156E-3</v>
      </c>
      <c r="F369" s="5">
        <v>35593</v>
      </c>
      <c r="G369" s="5">
        <v>37457</v>
      </c>
      <c r="H369" s="16">
        <f t="shared" si="33"/>
        <v>1864</v>
      </c>
      <c r="I369" s="5">
        <v>37641</v>
      </c>
      <c r="J369" s="5">
        <v>37252</v>
      </c>
      <c r="K369" s="16">
        <f t="shared" si="34"/>
        <v>1659</v>
      </c>
      <c r="L369" s="13">
        <v>12354.21</v>
      </c>
      <c r="M369" s="15">
        <f t="shared" si="32"/>
        <v>247.36988185768664</v>
      </c>
      <c r="N369" s="13">
        <v>4932.7700000000004</v>
      </c>
      <c r="O369" s="13">
        <v>1.37</v>
      </c>
      <c r="P369" s="11">
        <f t="shared" si="38"/>
        <v>0</v>
      </c>
    </row>
    <row r="370" spans="1:16" ht="18.75" customHeight="1" thickBot="1" x14ac:dyDescent="0.3">
      <c r="A370" s="3" t="s">
        <v>11</v>
      </c>
      <c r="B370" s="4">
        <v>195112</v>
      </c>
      <c r="C370" s="3" t="s">
        <v>13</v>
      </c>
      <c r="D370" s="18">
        <v>0.1</v>
      </c>
      <c r="E370" s="21">
        <f t="shared" si="37"/>
        <v>7.9741404289037643E-3</v>
      </c>
      <c r="F370" s="5">
        <v>35563</v>
      </c>
      <c r="G370" s="5">
        <v>37412</v>
      </c>
      <c r="H370" s="16">
        <f t="shared" si="33"/>
        <v>1849</v>
      </c>
      <c r="I370" s="5">
        <v>37677</v>
      </c>
      <c r="J370" s="5">
        <v>36249</v>
      </c>
      <c r="K370" s="16">
        <f t="shared" si="34"/>
        <v>686</v>
      </c>
      <c r="L370" s="13">
        <v>13312.38</v>
      </c>
      <c r="M370" s="15">
        <f t="shared" si="32"/>
        <v>274.24386221446139</v>
      </c>
      <c r="N370" s="13">
        <v>5452.86</v>
      </c>
      <c r="O370" s="13">
        <v>7300</v>
      </c>
      <c r="P370" s="11">
        <f t="shared" si="38"/>
        <v>0</v>
      </c>
    </row>
    <row r="371" spans="1:16" ht="18.75" customHeight="1" thickBot="1" x14ac:dyDescent="0.3">
      <c r="A371" s="3" t="s">
        <v>11</v>
      </c>
      <c r="B371" s="4">
        <v>938721</v>
      </c>
      <c r="C371" s="3" t="s">
        <v>13</v>
      </c>
      <c r="D371" s="18">
        <v>0.125</v>
      </c>
      <c r="E371" s="21">
        <f t="shared" si="37"/>
        <v>9.8635805532114595E-3</v>
      </c>
      <c r="F371" s="5">
        <v>35479</v>
      </c>
      <c r="G371" s="5">
        <v>37307</v>
      </c>
      <c r="H371" s="16">
        <f t="shared" si="33"/>
        <v>1828</v>
      </c>
      <c r="I371" s="5">
        <v>37335</v>
      </c>
      <c r="J371" s="5">
        <v>36249</v>
      </c>
      <c r="K371" s="16">
        <f t="shared" si="34"/>
        <v>770</v>
      </c>
      <c r="L371" s="13">
        <v>14777.25</v>
      </c>
      <c r="M371" s="15">
        <f t="shared" si="32"/>
        <v>323.80893740815605</v>
      </c>
      <c r="N371" s="13">
        <v>7284.18</v>
      </c>
      <c r="O371" s="13">
        <v>1871.82</v>
      </c>
      <c r="P371" s="11">
        <f t="shared" si="38"/>
        <v>0</v>
      </c>
    </row>
    <row r="372" spans="1:16" ht="18.75" customHeight="1" thickBot="1" x14ac:dyDescent="0.3">
      <c r="A372" s="3" t="s">
        <v>11</v>
      </c>
      <c r="B372" s="4">
        <v>703289</v>
      </c>
      <c r="C372" s="3" t="s">
        <v>13</v>
      </c>
      <c r="D372" s="18">
        <v>0.105</v>
      </c>
      <c r="E372" s="21">
        <f t="shared" si="37"/>
        <v>8.355155683635207E-3</v>
      </c>
      <c r="F372" s="5">
        <v>35429</v>
      </c>
      <c r="G372" s="5">
        <v>37665</v>
      </c>
      <c r="H372" s="16">
        <f t="shared" si="33"/>
        <v>2236</v>
      </c>
      <c r="I372" s="5">
        <v>37631</v>
      </c>
      <c r="J372" s="5">
        <v>36357</v>
      </c>
      <c r="K372" s="16">
        <f t="shared" si="34"/>
        <v>928</v>
      </c>
      <c r="L372" s="13">
        <v>36015.449999999997</v>
      </c>
      <c r="M372" s="15">
        <f t="shared" si="32"/>
        <v>651.1381192296659</v>
      </c>
      <c r="N372" s="13">
        <v>24153.279999999999</v>
      </c>
      <c r="O372" s="13">
        <v>0</v>
      </c>
      <c r="P372" s="11">
        <f t="shared" si="38"/>
        <v>0</v>
      </c>
    </row>
    <row r="373" spans="1:16" ht="18.75" hidden="1" customHeight="1" thickBot="1" x14ac:dyDescent="0.3">
      <c r="A373" s="3" t="s">
        <v>11</v>
      </c>
      <c r="B373" s="4">
        <v>197266</v>
      </c>
      <c r="C373" s="3" t="s">
        <v>14</v>
      </c>
      <c r="D373" s="7">
        <v>7.2499999999999995E-2</v>
      </c>
      <c r="E373" s="7">
        <f t="shared" si="36"/>
        <v>6.0416666666666665E-3</v>
      </c>
      <c r="F373" s="5">
        <v>39157</v>
      </c>
      <c r="G373" s="5">
        <v>2958465</v>
      </c>
      <c r="H373" s="8">
        <f t="shared" si="33"/>
        <v>2919308</v>
      </c>
      <c r="I373" s="5">
        <v>42870</v>
      </c>
      <c r="J373" s="5">
        <v>42422</v>
      </c>
      <c r="K373" s="8">
        <f t="shared" si="34"/>
        <v>3265</v>
      </c>
      <c r="L373" s="6">
        <v>340000</v>
      </c>
      <c r="M373" s="9">
        <f t="shared" si="32"/>
        <v>2054.1666666666665</v>
      </c>
      <c r="N373" s="6">
        <v>239040</v>
      </c>
      <c r="O373" s="6">
        <v>0</v>
      </c>
      <c r="P373" s="6">
        <v>11898.15</v>
      </c>
    </row>
    <row r="374" spans="1:16" ht="18.75" hidden="1" customHeight="1" thickBot="1" x14ac:dyDescent="0.3">
      <c r="A374" s="3" t="s">
        <v>11</v>
      </c>
      <c r="B374" s="4">
        <v>879400</v>
      </c>
      <c r="C374" s="3" t="s">
        <v>15</v>
      </c>
      <c r="D374" s="7">
        <v>0.1515</v>
      </c>
      <c r="E374" s="7">
        <f t="shared" si="36"/>
        <v>1.2624999999999999E-2</v>
      </c>
      <c r="F374" s="5">
        <v>35282</v>
      </c>
      <c r="G374" s="5">
        <v>2958465</v>
      </c>
      <c r="H374" s="8">
        <f t="shared" si="33"/>
        <v>2923183</v>
      </c>
      <c r="I374" s="5">
        <v>2958465</v>
      </c>
      <c r="J374" s="5">
        <v>40667</v>
      </c>
      <c r="K374" s="8">
        <f t="shared" si="34"/>
        <v>5385</v>
      </c>
      <c r="L374" s="6">
        <v>10000</v>
      </c>
      <c r="M374" s="9">
        <f t="shared" si="32"/>
        <v>126.24999999999999</v>
      </c>
      <c r="N374" s="6">
        <v>2192.52</v>
      </c>
      <c r="O374" s="6">
        <v>0</v>
      </c>
      <c r="P374" s="6">
        <v>0</v>
      </c>
    </row>
    <row r="375" spans="1:16" ht="18.75" hidden="1" customHeight="1" thickBot="1" x14ac:dyDescent="0.3">
      <c r="A375" s="3" t="s">
        <v>11</v>
      </c>
      <c r="B375" s="4">
        <v>390466</v>
      </c>
      <c r="C375" s="3" t="s">
        <v>15</v>
      </c>
      <c r="D375" s="7">
        <v>0.1515</v>
      </c>
      <c r="E375" s="7">
        <f t="shared" si="36"/>
        <v>1.2624999999999999E-2</v>
      </c>
      <c r="F375" s="5">
        <v>37431</v>
      </c>
      <c r="G375" s="5">
        <v>2958465</v>
      </c>
      <c r="H375" s="8">
        <f t="shared" si="33"/>
        <v>2921034</v>
      </c>
      <c r="I375" s="5">
        <v>2958465</v>
      </c>
      <c r="J375" s="5">
        <v>40625</v>
      </c>
      <c r="K375" s="8">
        <f t="shared" si="34"/>
        <v>3194</v>
      </c>
      <c r="L375" s="6">
        <v>4000</v>
      </c>
      <c r="M375" s="9">
        <f t="shared" si="32"/>
        <v>50.499999999999993</v>
      </c>
      <c r="N375" s="6">
        <v>1936.56</v>
      </c>
      <c r="O375" s="6">
        <v>931.86</v>
      </c>
      <c r="P375" s="6">
        <v>300</v>
      </c>
    </row>
    <row r="376" spans="1:16" ht="18.75" hidden="1" customHeight="1" thickBot="1" x14ac:dyDescent="0.3">
      <c r="A376" s="3" t="s">
        <v>11</v>
      </c>
      <c r="B376" s="4">
        <v>474376</v>
      </c>
      <c r="C376" s="3" t="s">
        <v>15</v>
      </c>
      <c r="D376" s="7">
        <v>0.13900000000000001</v>
      </c>
      <c r="E376" s="7">
        <f t="shared" si="36"/>
        <v>1.1583333333333334E-2</v>
      </c>
      <c r="F376" s="5">
        <v>38573</v>
      </c>
      <c r="G376" s="5">
        <v>2958465</v>
      </c>
      <c r="H376" s="8">
        <f t="shared" si="33"/>
        <v>2919892</v>
      </c>
      <c r="I376" s="5">
        <v>2958465</v>
      </c>
      <c r="J376" s="5">
        <v>41263</v>
      </c>
      <c r="K376" s="8">
        <f t="shared" si="34"/>
        <v>2690</v>
      </c>
      <c r="L376" s="6">
        <v>10000</v>
      </c>
      <c r="M376" s="9">
        <f t="shared" si="32"/>
        <v>115.83333333333334</v>
      </c>
      <c r="N376" s="6">
        <v>9555.75</v>
      </c>
      <c r="O376" s="6">
        <v>9555.75</v>
      </c>
      <c r="P376" s="6">
        <v>13689.51</v>
      </c>
    </row>
    <row r="377" spans="1:16" ht="18.75" hidden="1" customHeight="1" thickBot="1" x14ac:dyDescent="0.3">
      <c r="A377" s="3" t="s">
        <v>11</v>
      </c>
      <c r="B377" s="4">
        <v>178391</v>
      </c>
      <c r="C377" s="3" t="s">
        <v>15</v>
      </c>
      <c r="D377" s="7">
        <v>0.1515</v>
      </c>
      <c r="E377" s="7">
        <f t="shared" si="36"/>
        <v>1.2624999999999999E-2</v>
      </c>
      <c r="F377" s="5">
        <v>38265</v>
      </c>
      <c r="G377" s="5">
        <v>2958465</v>
      </c>
      <c r="H377" s="8">
        <f t="shared" si="33"/>
        <v>2920200</v>
      </c>
      <c r="I377" s="5">
        <v>2958465</v>
      </c>
      <c r="J377" s="5">
        <v>40641</v>
      </c>
      <c r="K377" s="8">
        <f t="shared" si="34"/>
        <v>2376</v>
      </c>
      <c r="L377" s="6">
        <v>2500</v>
      </c>
      <c r="M377" s="9">
        <f t="shared" si="32"/>
        <v>31.562499999999996</v>
      </c>
      <c r="N377" s="6">
        <v>1302.3900000000001</v>
      </c>
      <c r="O377" s="6">
        <v>0</v>
      </c>
      <c r="P377" s="6">
        <v>3264.29</v>
      </c>
    </row>
    <row r="378" spans="1:16" ht="18.75" hidden="1" customHeight="1" thickBot="1" x14ac:dyDescent="0.3">
      <c r="A378" s="3" t="s">
        <v>11</v>
      </c>
      <c r="B378" s="4">
        <v>284086</v>
      </c>
      <c r="C378" s="3" t="s">
        <v>15</v>
      </c>
      <c r="D378" s="7">
        <v>0.1515</v>
      </c>
      <c r="E378" s="7">
        <f t="shared" si="36"/>
        <v>1.2624999999999999E-2</v>
      </c>
      <c r="F378" s="5">
        <v>38807</v>
      </c>
      <c r="G378" s="5">
        <v>2958465</v>
      </c>
      <c r="H378" s="8">
        <f t="shared" si="33"/>
        <v>2919658</v>
      </c>
      <c r="I378" s="5">
        <v>2958465</v>
      </c>
      <c r="J378" s="5">
        <v>40710</v>
      </c>
      <c r="K378" s="8">
        <f t="shared" si="34"/>
        <v>1903</v>
      </c>
      <c r="L378" s="6">
        <v>1000</v>
      </c>
      <c r="M378" s="9">
        <f t="shared" si="32"/>
        <v>12.624999999999998</v>
      </c>
      <c r="N378" s="6">
        <v>1000</v>
      </c>
      <c r="O378" s="6">
        <v>0</v>
      </c>
      <c r="P378" s="6">
        <v>4846.53</v>
      </c>
    </row>
    <row r="379" spans="1:16" ht="18.75" hidden="1" customHeight="1" thickBot="1" x14ac:dyDescent="0.3">
      <c r="A379" s="3" t="s">
        <v>11</v>
      </c>
      <c r="B379" s="4">
        <v>691224</v>
      </c>
      <c r="C379" s="3" t="s">
        <v>15</v>
      </c>
      <c r="D379" s="7">
        <v>0.1515</v>
      </c>
      <c r="E379" s="7">
        <f t="shared" si="36"/>
        <v>1.2624999999999999E-2</v>
      </c>
      <c r="F379" s="5">
        <v>39013</v>
      </c>
      <c r="G379" s="5">
        <v>2958465</v>
      </c>
      <c r="H379" s="8">
        <f t="shared" si="33"/>
        <v>2919452</v>
      </c>
      <c r="I379" s="5">
        <v>2958465</v>
      </c>
      <c r="J379" s="5">
        <v>40581</v>
      </c>
      <c r="K379" s="8">
        <f t="shared" si="34"/>
        <v>1568</v>
      </c>
      <c r="L379" s="6">
        <v>1500</v>
      </c>
      <c r="M379" s="9">
        <f t="shared" si="32"/>
        <v>18.9375</v>
      </c>
      <c r="N379" s="6">
        <v>1500</v>
      </c>
      <c r="O379" s="6">
        <v>668.38</v>
      </c>
      <c r="P379" s="6">
        <v>0</v>
      </c>
    </row>
    <row r="380" spans="1:16" ht="18.75" hidden="1" customHeight="1" thickBot="1" x14ac:dyDescent="0.3">
      <c r="A380" s="3" t="s">
        <v>11</v>
      </c>
      <c r="B380" s="4">
        <v>874631</v>
      </c>
      <c r="C380" s="3" t="s">
        <v>15</v>
      </c>
      <c r="D380" s="7">
        <v>0.1515</v>
      </c>
      <c r="E380" s="7">
        <f t="shared" si="36"/>
        <v>1.2624999999999999E-2</v>
      </c>
      <c r="F380" s="5">
        <v>39232</v>
      </c>
      <c r="G380" s="5">
        <v>2958465</v>
      </c>
      <c r="H380" s="8">
        <f t="shared" si="33"/>
        <v>2919233</v>
      </c>
      <c r="I380" s="5">
        <v>2958465</v>
      </c>
      <c r="J380" s="5">
        <v>40710</v>
      </c>
      <c r="K380" s="8">
        <f t="shared" si="34"/>
        <v>1478</v>
      </c>
      <c r="L380" s="6">
        <v>1000</v>
      </c>
      <c r="M380" s="9">
        <f t="shared" si="32"/>
        <v>12.624999999999998</v>
      </c>
      <c r="N380" s="6">
        <v>344.62</v>
      </c>
      <c r="O380" s="6">
        <v>318.22000000000003</v>
      </c>
      <c r="P380" s="6">
        <v>0</v>
      </c>
    </row>
    <row r="381" spans="1:16" ht="18.75" hidden="1" customHeight="1" thickBot="1" x14ac:dyDescent="0.3">
      <c r="A381" s="3" t="s">
        <v>11</v>
      </c>
      <c r="B381" s="4">
        <v>371800</v>
      </c>
      <c r="C381" s="3" t="s">
        <v>15</v>
      </c>
      <c r="D381" s="7">
        <v>0.1515</v>
      </c>
      <c r="E381" s="7">
        <f t="shared" si="36"/>
        <v>1.2624999999999999E-2</v>
      </c>
      <c r="F381" s="5">
        <v>34956</v>
      </c>
      <c r="G381" s="5">
        <v>2958465</v>
      </c>
      <c r="H381" s="8">
        <f t="shared" si="33"/>
        <v>2923509</v>
      </c>
      <c r="I381" s="5">
        <v>2958465</v>
      </c>
      <c r="J381" s="5">
        <v>44041</v>
      </c>
      <c r="K381" s="8">
        <f t="shared" si="34"/>
        <v>9085</v>
      </c>
      <c r="L381" s="6">
        <v>1000</v>
      </c>
      <c r="M381" s="9">
        <f t="shared" si="32"/>
        <v>12.624999999999998</v>
      </c>
      <c r="N381" s="6">
        <v>468.02</v>
      </c>
      <c r="O381" s="6">
        <v>0</v>
      </c>
      <c r="P381" s="6">
        <v>8874.2000000000007</v>
      </c>
    </row>
    <row r="382" spans="1:16" ht="18.75" hidden="1" customHeight="1" thickBot="1" x14ac:dyDescent="0.3">
      <c r="A382" s="3" t="s">
        <v>11</v>
      </c>
      <c r="B382" s="4">
        <v>905094</v>
      </c>
      <c r="C382" s="3" t="s">
        <v>15</v>
      </c>
      <c r="D382" s="7">
        <v>0.1515</v>
      </c>
      <c r="E382" s="7">
        <f t="shared" si="36"/>
        <v>1.2624999999999999E-2</v>
      </c>
      <c r="F382" s="5">
        <v>34956</v>
      </c>
      <c r="G382" s="5">
        <v>2958465</v>
      </c>
      <c r="H382" s="8">
        <f t="shared" si="33"/>
        <v>2923509</v>
      </c>
      <c r="I382" s="5">
        <v>2958465</v>
      </c>
      <c r="J382" s="5">
        <v>44216</v>
      </c>
      <c r="K382" s="8">
        <f t="shared" si="34"/>
        <v>9260</v>
      </c>
      <c r="L382" s="6">
        <v>2000</v>
      </c>
      <c r="M382" s="9">
        <f t="shared" si="32"/>
        <v>25.249999999999996</v>
      </c>
      <c r="N382" s="6">
        <v>683.97</v>
      </c>
      <c r="O382" s="6">
        <v>575.86</v>
      </c>
      <c r="P382" s="6">
        <v>200</v>
      </c>
    </row>
    <row r="383" spans="1:16" ht="18.75" hidden="1" customHeight="1" thickBot="1" x14ac:dyDescent="0.3">
      <c r="A383" s="3" t="s">
        <v>11</v>
      </c>
      <c r="B383" s="4">
        <v>195517</v>
      </c>
      <c r="C383" s="3" t="s">
        <v>15</v>
      </c>
      <c r="D383" s="7">
        <v>0.1515</v>
      </c>
      <c r="E383" s="7">
        <f t="shared" si="36"/>
        <v>1.2624999999999999E-2</v>
      </c>
      <c r="F383" s="5">
        <v>34956</v>
      </c>
      <c r="G383" s="5">
        <v>2958465</v>
      </c>
      <c r="H383" s="8">
        <f t="shared" si="33"/>
        <v>2923509</v>
      </c>
      <c r="I383" s="5">
        <v>2958465</v>
      </c>
      <c r="J383" s="5">
        <v>43909</v>
      </c>
      <c r="K383" s="8">
        <f t="shared" si="34"/>
        <v>8953</v>
      </c>
      <c r="L383" s="6">
        <v>500</v>
      </c>
      <c r="M383" s="9">
        <f t="shared" si="32"/>
        <v>6.3124999999999991</v>
      </c>
      <c r="N383" s="6">
        <v>397.96</v>
      </c>
      <c r="O383" s="6">
        <v>0</v>
      </c>
      <c r="P383" s="6">
        <v>1402.48</v>
      </c>
    </row>
    <row r="384" spans="1:16" ht="18.75" hidden="1" customHeight="1" thickBot="1" x14ac:dyDescent="0.3">
      <c r="A384" s="3" t="s">
        <v>11</v>
      </c>
      <c r="B384" s="4">
        <v>17172</v>
      </c>
      <c r="C384" s="3" t="s">
        <v>15</v>
      </c>
      <c r="D384" s="7">
        <v>0.1515</v>
      </c>
      <c r="E384" s="7">
        <f t="shared" si="36"/>
        <v>1.2624999999999999E-2</v>
      </c>
      <c r="F384" s="5">
        <v>36670</v>
      </c>
      <c r="G384" s="5">
        <v>2958465</v>
      </c>
      <c r="H384" s="8">
        <f t="shared" si="33"/>
        <v>2921795</v>
      </c>
      <c r="I384" s="5">
        <v>2958465</v>
      </c>
      <c r="J384" s="5">
        <v>45890</v>
      </c>
      <c r="K384" s="8">
        <f t="shared" si="34"/>
        <v>9220</v>
      </c>
      <c r="L384" s="6">
        <v>500</v>
      </c>
      <c r="M384" s="9">
        <f t="shared" si="32"/>
        <v>6.3124999999999991</v>
      </c>
      <c r="N384" s="6">
        <v>203.75</v>
      </c>
      <c r="O384" s="6">
        <v>0</v>
      </c>
      <c r="P384" s="6">
        <v>1200</v>
      </c>
    </row>
    <row r="385" spans="1:16" ht="18.75" hidden="1" customHeight="1" thickBot="1" x14ac:dyDescent="0.3">
      <c r="A385" s="3" t="s">
        <v>11</v>
      </c>
      <c r="B385" s="4">
        <v>84068</v>
      </c>
      <c r="C385" s="3" t="s">
        <v>15</v>
      </c>
      <c r="D385" s="7">
        <v>0.1515</v>
      </c>
      <c r="E385" s="7">
        <f t="shared" si="36"/>
        <v>1.2624999999999999E-2</v>
      </c>
      <c r="F385" s="5">
        <v>36034</v>
      </c>
      <c r="G385" s="5">
        <v>2958465</v>
      </c>
      <c r="H385" s="8">
        <f t="shared" si="33"/>
        <v>2922431</v>
      </c>
      <c r="I385" s="5">
        <v>2958465</v>
      </c>
      <c r="J385" s="5">
        <v>40407</v>
      </c>
      <c r="K385" s="8">
        <f t="shared" si="34"/>
        <v>4373</v>
      </c>
      <c r="L385" s="6">
        <v>500</v>
      </c>
      <c r="M385" s="9">
        <f t="shared" si="32"/>
        <v>6.3124999999999991</v>
      </c>
      <c r="N385" s="6">
        <v>36.200000000000003</v>
      </c>
      <c r="O385" s="6">
        <v>37.090000000000003</v>
      </c>
      <c r="P385" s="6">
        <v>0</v>
      </c>
    </row>
    <row r="386" spans="1:16" ht="18.75" hidden="1" customHeight="1" thickBot="1" x14ac:dyDescent="0.3">
      <c r="A386" s="3" t="s">
        <v>11</v>
      </c>
      <c r="B386" s="4">
        <v>798488</v>
      </c>
      <c r="C386" s="3" t="s">
        <v>15</v>
      </c>
      <c r="D386" s="7">
        <v>0.1515</v>
      </c>
      <c r="E386" s="7">
        <f t="shared" si="36"/>
        <v>1.2624999999999999E-2</v>
      </c>
      <c r="F386" s="5">
        <v>36585</v>
      </c>
      <c r="G386" s="5">
        <v>2958465</v>
      </c>
      <c r="H386" s="8">
        <f t="shared" si="33"/>
        <v>2921880</v>
      </c>
      <c r="I386" s="5">
        <v>2958465</v>
      </c>
      <c r="J386" s="5">
        <v>40577</v>
      </c>
      <c r="K386" s="8">
        <f t="shared" si="34"/>
        <v>3992</v>
      </c>
      <c r="L386" s="6">
        <v>300</v>
      </c>
      <c r="M386" s="9">
        <f t="shared" ref="M386:M449" si="39">-PMT(E386,(H386/30),L386)</f>
        <v>3.7874999999999996</v>
      </c>
      <c r="N386" s="6">
        <v>252.46</v>
      </c>
      <c r="O386" s="6">
        <v>53.58</v>
      </c>
      <c r="P386" s="6">
        <v>6500</v>
      </c>
    </row>
    <row r="387" spans="1:16" ht="18.75" hidden="1" customHeight="1" thickBot="1" x14ac:dyDescent="0.3">
      <c r="A387" s="3" t="s">
        <v>11</v>
      </c>
      <c r="B387" s="4">
        <v>124469</v>
      </c>
      <c r="C387" s="3" t="s">
        <v>15</v>
      </c>
      <c r="D387" s="7">
        <v>0.1515</v>
      </c>
      <c r="E387" s="7">
        <f t="shared" ref="E387:E440" si="40">D387/12</f>
        <v>1.2624999999999999E-2</v>
      </c>
      <c r="F387" s="5">
        <v>37320</v>
      </c>
      <c r="G387" s="5">
        <v>2958465</v>
      </c>
      <c r="H387" s="8">
        <f t="shared" ref="H387:H450" si="41">G387-F387</f>
        <v>2921145</v>
      </c>
      <c r="I387" s="5">
        <v>2958465</v>
      </c>
      <c r="J387" s="5">
        <v>40886</v>
      </c>
      <c r="K387" s="8">
        <f t="shared" ref="K387:K450" si="42">J387-F387</f>
        <v>3566</v>
      </c>
      <c r="L387" s="6">
        <v>100</v>
      </c>
      <c r="M387" s="9">
        <f t="shared" si="39"/>
        <v>1.2625</v>
      </c>
      <c r="N387" s="6">
        <v>100</v>
      </c>
      <c r="O387" s="6">
        <v>0</v>
      </c>
      <c r="P387" s="6">
        <v>0</v>
      </c>
    </row>
    <row r="388" spans="1:16" ht="18.75" hidden="1" customHeight="1" thickBot="1" x14ac:dyDescent="0.3">
      <c r="A388" s="3" t="s">
        <v>11</v>
      </c>
      <c r="B388" s="4">
        <v>579100</v>
      </c>
      <c r="C388" s="3" t="s">
        <v>15</v>
      </c>
      <c r="D388" s="7">
        <v>0.1515</v>
      </c>
      <c r="E388" s="7">
        <f t="shared" si="40"/>
        <v>1.2624999999999999E-2</v>
      </c>
      <c r="F388" s="5">
        <v>40185</v>
      </c>
      <c r="G388" s="5">
        <v>2958465</v>
      </c>
      <c r="H388" s="8">
        <f t="shared" si="41"/>
        <v>2918280</v>
      </c>
      <c r="I388" s="5">
        <v>2958465</v>
      </c>
      <c r="J388" s="5">
        <v>41361</v>
      </c>
      <c r="K388" s="8">
        <f t="shared" si="42"/>
        <v>1176</v>
      </c>
      <c r="L388" s="6">
        <v>1000</v>
      </c>
      <c r="M388" s="9">
        <f t="shared" si="39"/>
        <v>12.624999999999998</v>
      </c>
      <c r="N388" s="6">
        <v>845.44</v>
      </c>
      <c r="O388" s="6">
        <v>137.63999999999999</v>
      </c>
      <c r="P388" s="6">
        <v>245.77</v>
      </c>
    </row>
    <row r="389" spans="1:16" ht="18.75" hidden="1" customHeight="1" thickBot="1" x14ac:dyDescent="0.3">
      <c r="A389" s="3" t="s">
        <v>11</v>
      </c>
      <c r="B389" s="4">
        <v>726410</v>
      </c>
      <c r="C389" s="3" t="s">
        <v>15</v>
      </c>
      <c r="D389" s="7">
        <v>0.159</v>
      </c>
      <c r="E389" s="7">
        <f t="shared" si="40"/>
        <v>1.325E-2</v>
      </c>
      <c r="F389" s="5">
        <v>42787</v>
      </c>
      <c r="G389" s="5">
        <v>2958465</v>
      </c>
      <c r="H389" s="8">
        <f t="shared" si="41"/>
        <v>2915678</v>
      </c>
      <c r="I389" s="5">
        <v>2958465</v>
      </c>
      <c r="J389" s="5">
        <v>43455</v>
      </c>
      <c r="K389" s="8">
        <f t="shared" si="42"/>
        <v>668</v>
      </c>
      <c r="L389" s="6">
        <v>500</v>
      </c>
      <c r="M389" s="9">
        <f t="shared" si="39"/>
        <v>6.625</v>
      </c>
      <c r="N389" s="6">
        <v>500</v>
      </c>
      <c r="O389" s="6">
        <v>500</v>
      </c>
      <c r="P389" s="6">
        <v>3481.51</v>
      </c>
    </row>
    <row r="390" spans="1:16" ht="18.75" hidden="1" customHeight="1" thickBot="1" x14ac:dyDescent="0.3">
      <c r="A390" s="3" t="s">
        <v>11</v>
      </c>
      <c r="B390" s="4">
        <v>113945</v>
      </c>
      <c r="C390" s="3" t="s">
        <v>15</v>
      </c>
      <c r="D390" s="7">
        <v>0.1515</v>
      </c>
      <c r="E390" s="7">
        <f t="shared" si="40"/>
        <v>1.2624999999999999E-2</v>
      </c>
      <c r="F390" s="5">
        <v>38141</v>
      </c>
      <c r="G390" s="5">
        <v>2958465</v>
      </c>
      <c r="H390" s="8">
        <f t="shared" si="41"/>
        <v>2920324</v>
      </c>
      <c r="I390" s="5">
        <v>2958465</v>
      </c>
      <c r="J390" s="5">
        <v>41521</v>
      </c>
      <c r="K390" s="8">
        <f t="shared" si="42"/>
        <v>3380</v>
      </c>
      <c r="L390" s="6">
        <v>600</v>
      </c>
      <c r="M390" s="9">
        <f t="shared" si="39"/>
        <v>7.5749999999999993</v>
      </c>
      <c r="N390" s="6">
        <v>370.41</v>
      </c>
      <c r="O390" s="6">
        <v>370.41</v>
      </c>
      <c r="P390" s="6">
        <v>1339.76</v>
      </c>
    </row>
    <row r="391" spans="1:16" ht="18.75" hidden="1" customHeight="1" thickBot="1" x14ac:dyDescent="0.3">
      <c r="A391" s="3" t="s">
        <v>11</v>
      </c>
      <c r="B391" s="4">
        <v>515008</v>
      </c>
      <c r="C391" s="3" t="s">
        <v>15</v>
      </c>
      <c r="D391" s="7">
        <v>0.1515</v>
      </c>
      <c r="E391" s="7">
        <f t="shared" si="40"/>
        <v>1.2624999999999999E-2</v>
      </c>
      <c r="F391" s="5">
        <v>38449</v>
      </c>
      <c r="G391" s="5">
        <v>2958465</v>
      </c>
      <c r="H391" s="8">
        <f t="shared" si="41"/>
        <v>2920016</v>
      </c>
      <c r="I391" s="5">
        <v>2958465</v>
      </c>
      <c r="J391" s="5">
        <v>41066</v>
      </c>
      <c r="K391" s="8">
        <f t="shared" si="42"/>
        <v>2617</v>
      </c>
      <c r="L391" s="6">
        <v>700</v>
      </c>
      <c r="M391" s="9">
        <f t="shared" si="39"/>
        <v>8.8374999999999986</v>
      </c>
      <c r="N391" s="6">
        <v>2779.77</v>
      </c>
      <c r="O391" s="6">
        <v>0</v>
      </c>
      <c r="P391" s="6">
        <v>283.64</v>
      </c>
    </row>
    <row r="392" spans="1:16" ht="18.75" hidden="1" customHeight="1" thickBot="1" x14ac:dyDescent="0.3">
      <c r="A392" s="3" t="s">
        <v>11</v>
      </c>
      <c r="B392" s="4">
        <v>477879</v>
      </c>
      <c r="C392" s="3" t="s">
        <v>15</v>
      </c>
      <c r="D392" s="7">
        <v>0.1515</v>
      </c>
      <c r="E392" s="7">
        <f t="shared" si="40"/>
        <v>1.2624999999999999E-2</v>
      </c>
      <c r="F392" s="5">
        <v>38362</v>
      </c>
      <c r="G392" s="5">
        <v>2958465</v>
      </c>
      <c r="H392" s="8">
        <f t="shared" si="41"/>
        <v>2920103</v>
      </c>
      <c r="I392" s="5">
        <v>2958465</v>
      </c>
      <c r="J392" s="5">
        <v>40723</v>
      </c>
      <c r="K392" s="8">
        <f t="shared" si="42"/>
        <v>2361</v>
      </c>
      <c r="L392" s="6">
        <v>500</v>
      </c>
      <c r="M392" s="9">
        <f t="shared" si="39"/>
        <v>6.3124999999999991</v>
      </c>
      <c r="N392" s="6">
        <v>386.45</v>
      </c>
      <c r="O392" s="6">
        <v>125</v>
      </c>
      <c r="P392" s="6">
        <v>836.2</v>
      </c>
    </row>
    <row r="393" spans="1:16" ht="18.75" hidden="1" customHeight="1" thickBot="1" x14ac:dyDescent="0.3">
      <c r="A393" s="3" t="s">
        <v>11</v>
      </c>
      <c r="B393" s="4">
        <v>817781</v>
      </c>
      <c r="C393" s="3" t="s">
        <v>15</v>
      </c>
      <c r="D393" s="7">
        <v>0.1515</v>
      </c>
      <c r="E393" s="7">
        <f t="shared" si="40"/>
        <v>1.2624999999999999E-2</v>
      </c>
      <c r="F393" s="5">
        <v>38463</v>
      </c>
      <c r="G393" s="5">
        <v>2958465</v>
      </c>
      <c r="H393" s="8">
        <f t="shared" si="41"/>
        <v>2920002</v>
      </c>
      <c r="I393" s="5">
        <v>2958465</v>
      </c>
      <c r="J393" s="5">
        <v>40617</v>
      </c>
      <c r="K393" s="8">
        <f t="shared" si="42"/>
        <v>2154</v>
      </c>
      <c r="L393" s="6">
        <v>300</v>
      </c>
      <c r="M393" s="9">
        <f t="shared" si="39"/>
        <v>3.7874999999999996</v>
      </c>
      <c r="N393" s="6">
        <v>300</v>
      </c>
      <c r="O393" s="6">
        <v>0</v>
      </c>
      <c r="P393" s="6">
        <v>0</v>
      </c>
    </row>
    <row r="394" spans="1:16" ht="18.75" hidden="1" customHeight="1" thickBot="1" x14ac:dyDescent="0.3">
      <c r="A394" s="3" t="s">
        <v>11</v>
      </c>
      <c r="B394" s="4">
        <v>769563</v>
      </c>
      <c r="C394" s="3" t="s">
        <v>15</v>
      </c>
      <c r="D394" s="7">
        <v>0.1515</v>
      </c>
      <c r="E394" s="7">
        <f t="shared" si="40"/>
        <v>1.2624999999999999E-2</v>
      </c>
      <c r="F394" s="5">
        <v>38490</v>
      </c>
      <c r="G394" s="5">
        <v>2958465</v>
      </c>
      <c r="H394" s="8">
        <f t="shared" si="41"/>
        <v>2919975</v>
      </c>
      <c r="I394" s="5">
        <v>2958465</v>
      </c>
      <c r="J394" s="5">
        <v>41088</v>
      </c>
      <c r="K394" s="8">
        <f t="shared" si="42"/>
        <v>2598</v>
      </c>
      <c r="L394" s="6">
        <v>500</v>
      </c>
      <c r="M394" s="9">
        <f t="shared" si="39"/>
        <v>6.3124999999999991</v>
      </c>
      <c r="N394" s="6">
        <v>576.16</v>
      </c>
      <c r="O394" s="6">
        <v>0</v>
      </c>
      <c r="P394" s="6">
        <v>275</v>
      </c>
    </row>
    <row r="395" spans="1:16" ht="18.75" hidden="1" customHeight="1" thickBot="1" x14ac:dyDescent="0.3">
      <c r="A395" s="3" t="s">
        <v>11</v>
      </c>
      <c r="B395" s="4">
        <v>661598</v>
      </c>
      <c r="C395" s="3" t="s">
        <v>15</v>
      </c>
      <c r="D395" s="7">
        <v>0.11650000000000001</v>
      </c>
      <c r="E395" s="7">
        <f t="shared" si="40"/>
        <v>9.7083333333333344E-3</v>
      </c>
      <c r="F395" s="5">
        <v>35859</v>
      </c>
      <c r="G395" s="5">
        <v>2958465</v>
      </c>
      <c r="H395" s="8">
        <f t="shared" si="41"/>
        <v>2922606</v>
      </c>
      <c r="I395" s="5">
        <v>2958465</v>
      </c>
      <c r="J395" s="5">
        <v>40710</v>
      </c>
      <c r="K395" s="8">
        <f t="shared" si="42"/>
        <v>4851</v>
      </c>
      <c r="L395" s="6">
        <v>900</v>
      </c>
      <c r="M395" s="9">
        <f t="shared" si="39"/>
        <v>8.7375000000000007</v>
      </c>
      <c r="N395" s="6">
        <v>902.97</v>
      </c>
      <c r="O395" s="6">
        <v>859.56</v>
      </c>
      <c r="P395" s="6">
        <v>0</v>
      </c>
    </row>
    <row r="396" spans="1:16" ht="18.75" hidden="1" customHeight="1" thickBot="1" x14ac:dyDescent="0.3">
      <c r="A396" s="3" t="s">
        <v>11</v>
      </c>
      <c r="B396" s="4">
        <v>985323</v>
      </c>
      <c r="C396" s="3" t="s">
        <v>15</v>
      </c>
      <c r="D396" s="7">
        <v>0.1515</v>
      </c>
      <c r="E396" s="7">
        <f t="shared" si="40"/>
        <v>1.2624999999999999E-2</v>
      </c>
      <c r="F396" s="5">
        <v>35859</v>
      </c>
      <c r="G396" s="5">
        <v>2958465</v>
      </c>
      <c r="H396" s="8">
        <f t="shared" si="41"/>
        <v>2922606</v>
      </c>
      <c r="I396" s="5">
        <v>2958465</v>
      </c>
      <c r="J396" s="5">
        <v>40998</v>
      </c>
      <c r="K396" s="8">
        <f t="shared" si="42"/>
        <v>5139</v>
      </c>
      <c r="L396" s="6">
        <v>300</v>
      </c>
      <c r="M396" s="9">
        <f t="shared" si="39"/>
        <v>3.7874999999999996</v>
      </c>
      <c r="N396" s="6">
        <v>238.64</v>
      </c>
      <c r="O396" s="6">
        <v>11</v>
      </c>
      <c r="P396" s="6">
        <v>1460.71</v>
      </c>
    </row>
    <row r="397" spans="1:16" ht="18.75" hidden="1" customHeight="1" thickBot="1" x14ac:dyDescent="0.3">
      <c r="A397" s="3" t="s">
        <v>11</v>
      </c>
      <c r="B397" s="4">
        <v>361640</v>
      </c>
      <c r="C397" s="3" t="s">
        <v>15</v>
      </c>
      <c r="D397" s="7">
        <v>0.1515</v>
      </c>
      <c r="E397" s="7">
        <f t="shared" si="40"/>
        <v>1.2624999999999999E-2</v>
      </c>
      <c r="F397" s="5">
        <v>40448</v>
      </c>
      <c r="G397" s="5">
        <v>2958465</v>
      </c>
      <c r="H397" s="8">
        <f t="shared" si="41"/>
        <v>2918017</v>
      </c>
      <c r="I397" s="5">
        <v>2958465</v>
      </c>
      <c r="J397" s="5">
        <v>41179</v>
      </c>
      <c r="K397" s="8">
        <f t="shared" si="42"/>
        <v>731</v>
      </c>
      <c r="L397" s="6">
        <v>200</v>
      </c>
      <c r="M397" s="9">
        <f t="shared" si="39"/>
        <v>2.5249999999999999</v>
      </c>
      <c r="N397" s="6">
        <v>300</v>
      </c>
      <c r="O397" s="6">
        <v>0</v>
      </c>
      <c r="P397" s="6">
        <v>0</v>
      </c>
    </row>
    <row r="398" spans="1:16" ht="18.75" hidden="1" customHeight="1" thickBot="1" x14ac:dyDescent="0.3">
      <c r="A398" s="3" t="s">
        <v>11</v>
      </c>
      <c r="B398" s="4">
        <v>408581</v>
      </c>
      <c r="C398" s="3" t="s">
        <v>15</v>
      </c>
      <c r="D398" s="7">
        <v>0.1515</v>
      </c>
      <c r="E398" s="7">
        <f t="shared" si="40"/>
        <v>1.2624999999999999E-2</v>
      </c>
      <c r="F398" s="5">
        <v>35710</v>
      </c>
      <c r="G398" s="5">
        <v>2958465</v>
      </c>
      <c r="H398" s="8">
        <f t="shared" si="41"/>
        <v>2922755</v>
      </c>
      <c r="I398" s="5">
        <v>2958465</v>
      </c>
      <c r="J398" s="5">
        <v>40900</v>
      </c>
      <c r="K398" s="8">
        <f t="shared" si="42"/>
        <v>5190</v>
      </c>
      <c r="L398" s="6">
        <v>500</v>
      </c>
      <c r="M398" s="9">
        <f t="shared" si="39"/>
        <v>6.3124999999999991</v>
      </c>
      <c r="N398" s="6">
        <v>461.63</v>
      </c>
      <c r="O398" s="6">
        <v>479.45</v>
      </c>
      <c r="P398" s="6">
        <v>54</v>
      </c>
    </row>
    <row r="399" spans="1:16" ht="18.75" hidden="1" customHeight="1" thickBot="1" x14ac:dyDescent="0.3">
      <c r="A399" s="3" t="s">
        <v>11</v>
      </c>
      <c r="B399" s="4">
        <v>747521</v>
      </c>
      <c r="C399" s="3" t="s">
        <v>15</v>
      </c>
      <c r="D399" s="7">
        <v>0.1515</v>
      </c>
      <c r="E399" s="7">
        <f t="shared" si="40"/>
        <v>1.2624999999999999E-2</v>
      </c>
      <c r="F399" s="5">
        <v>35811</v>
      </c>
      <c r="G399" s="5">
        <v>2958465</v>
      </c>
      <c r="H399" s="8">
        <f t="shared" si="41"/>
        <v>2922654</v>
      </c>
      <c r="I399" s="5">
        <v>2958465</v>
      </c>
      <c r="J399" s="5">
        <v>40939</v>
      </c>
      <c r="K399" s="8">
        <f t="shared" si="42"/>
        <v>5128</v>
      </c>
      <c r="L399" s="6">
        <v>500</v>
      </c>
      <c r="M399" s="9">
        <f t="shared" si="39"/>
        <v>6.3124999999999991</v>
      </c>
      <c r="N399" s="6">
        <v>274.77999999999997</v>
      </c>
      <c r="O399" s="6">
        <v>274.77999999999997</v>
      </c>
      <c r="P399" s="6">
        <v>2465.7199999999998</v>
      </c>
    </row>
    <row r="400" spans="1:16" ht="18.75" hidden="1" customHeight="1" thickBot="1" x14ac:dyDescent="0.3">
      <c r="A400" s="3" t="s">
        <v>11</v>
      </c>
      <c r="B400" s="4">
        <v>631961</v>
      </c>
      <c r="C400" s="3" t="s">
        <v>15</v>
      </c>
      <c r="D400" s="7">
        <v>0.1515</v>
      </c>
      <c r="E400" s="7">
        <f t="shared" si="40"/>
        <v>1.2624999999999999E-2</v>
      </c>
      <c r="F400" s="5">
        <v>35920</v>
      </c>
      <c r="G400" s="5">
        <v>2958465</v>
      </c>
      <c r="H400" s="8">
        <f t="shared" si="41"/>
        <v>2922545</v>
      </c>
      <c r="I400" s="5">
        <v>2958465</v>
      </c>
      <c r="J400" s="5">
        <v>40346</v>
      </c>
      <c r="K400" s="8">
        <f t="shared" si="42"/>
        <v>4426</v>
      </c>
      <c r="L400" s="6">
        <v>500</v>
      </c>
      <c r="M400" s="9">
        <f t="shared" si="39"/>
        <v>6.3124999999999991</v>
      </c>
      <c r="N400" s="6">
        <v>354.63</v>
      </c>
      <c r="O400" s="6">
        <v>0</v>
      </c>
      <c r="P400" s="6">
        <v>130</v>
      </c>
    </row>
    <row r="401" spans="1:16" ht="18.75" hidden="1" customHeight="1" thickBot="1" x14ac:dyDescent="0.3">
      <c r="A401" s="3" t="s">
        <v>11</v>
      </c>
      <c r="B401" s="4">
        <v>479213</v>
      </c>
      <c r="C401" s="3" t="s">
        <v>15</v>
      </c>
      <c r="D401" s="7">
        <v>0.1515</v>
      </c>
      <c r="E401" s="7">
        <f t="shared" si="40"/>
        <v>1.2624999999999999E-2</v>
      </c>
      <c r="F401" s="5">
        <v>36490</v>
      </c>
      <c r="G401" s="5">
        <v>2958465</v>
      </c>
      <c r="H401" s="8">
        <f t="shared" si="41"/>
        <v>2921975</v>
      </c>
      <c r="I401" s="5">
        <v>2958465</v>
      </c>
      <c r="J401" s="5">
        <v>40633</v>
      </c>
      <c r="K401" s="8">
        <f t="shared" si="42"/>
        <v>4143</v>
      </c>
      <c r="L401" s="6">
        <v>200</v>
      </c>
      <c r="M401" s="9">
        <f t="shared" si="39"/>
        <v>2.5249999999999999</v>
      </c>
      <c r="N401" s="6">
        <v>180.93</v>
      </c>
      <c r="O401" s="6">
        <v>0</v>
      </c>
      <c r="P401" s="6">
        <v>50</v>
      </c>
    </row>
    <row r="402" spans="1:16" ht="18.75" hidden="1" customHeight="1" thickBot="1" x14ac:dyDescent="0.3">
      <c r="A402" s="3" t="s">
        <v>11</v>
      </c>
      <c r="B402" s="4">
        <v>482349</v>
      </c>
      <c r="C402" s="3" t="s">
        <v>15</v>
      </c>
      <c r="D402" s="7">
        <v>0.1515</v>
      </c>
      <c r="E402" s="7">
        <f t="shared" si="40"/>
        <v>1.2624999999999999E-2</v>
      </c>
      <c r="F402" s="5">
        <v>36616</v>
      </c>
      <c r="G402" s="5">
        <v>2958465</v>
      </c>
      <c r="H402" s="8">
        <f t="shared" si="41"/>
        <v>2921849</v>
      </c>
      <c r="I402" s="5">
        <v>2958465</v>
      </c>
      <c r="J402" s="5">
        <v>40585</v>
      </c>
      <c r="K402" s="8">
        <f t="shared" si="42"/>
        <v>3969</v>
      </c>
      <c r="L402" s="6">
        <v>2000</v>
      </c>
      <c r="M402" s="9">
        <f t="shared" si="39"/>
        <v>25.249999999999996</v>
      </c>
      <c r="N402" s="6">
        <v>1632.53</v>
      </c>
      <c r="O402" s="6">
        <v>0</v>
      </c>
      <c r="P402" s="6">
        <v>6320</v>
      </c>
    </row>
    <row r="403" spans="1:16" ht="18.75" hidden="1" customHeight="1" thickBot="1" x14ac:dyDescent="0.3">
      <c r="A403" s="3" t="s">
        <v>11</v>
      </c>
      <c r="B403" s="4">
        <v>238013</v>
      </c>
      <c r="C403" s="3" t="s">
        <v>15</v>
      </c>
      <c r="D403" s="7">
        <v>0.1515</v>
      </c>
      <c r="E403" s="7">
        <f t="shared" si="40"/>
        <v>1.2624999999999999E-2</v>
      </c>
      <c r="F403" s="5">
        <v>40042</v>
      </c>
      <c r="G403" s="5">
        <v>2958465</v>
      </c>
      <c r="H403" s="8">
        <f t="shared" si="41"/>
        <v>2918423</v>
      </c>
      <c r="I403" s="5">
        <v>2958465</v>
      </c>
      <c r="J403" s="5">
        <v>43000</v>
      </c>
      <c r="K403" s="8">
        <f t="shared" si="42"/>
        <v>2958</v>
      </c>
      <c r="L403" s="6">
        <v>300</v>
      </c>
      <c r="M403" s="9">
        <f t="shared" si="39"/>
        <v>3.7874999999999996</v>
      </c>
      <c r="N403" s="6">
        <v>217.13</v>
      </c>
      <c r="O403" s="6">
        <v>0</v>
      </c>
      <c r="P403" s="6">
        <v>3433.16</v>
      </c>
    </row>
    <row r="404" spans="1:16" ht="18.75" hidden="1" customHeight="1" thickBot="1" x14ac:dyDescent="0.3">
      <c r="A404" s="3" t="s">
        <v>11</v>
      </c>
      <c r="B404" s="4">
        <v>112986</v>
      </c>
      <c r="C404" s="3" t="s">
        <v>15</v>
      </c>
      <c r="D404" s="7">
        <v>0.1515</v>
      </c>
      <c r="E404" s="7">
        <f t="shared" si="40"/>
        <v>1.2624999999999999E-2</v>
      </c>
      <c r="F404" s="5">
        <v>37649</v>
      </c>
      <c r="G404" s="5">
        <v>2958465</v>
      </c>
      <c r="H404" s="8">
        <f t="shared" si="41"/>
        <v>2920816</v>
      </c>
      <c r="I404" s="5">
        <v>2958465</v>
      </c>
      <c r="J404" s="5">
        <v>41620</v>
      </c>
      <c r="K404" s="8">
        <f t="shared" si="42"/>
        <v>3971</v>
      </c>
      <c r="L404" s="6">
        <v>1500</v>
      </c>
      <c r="M404" s="9">
        <f t="shared" si="39"/>
        <v>18.9375</v>
      </c>
      <c r="N404" s="6">
        <v>3391.24</v>
      </c>
      <c r="O404" s="6">
        <v>1900.41</v>
      </c>
      <c r="P404" s="6">
        <v>4242</v>
      </c>
    </row>
    <row r="405" spans="1:16" ht="18.75" hidden="1" customHeight="1" thickBot="1" x14ac:dyDescent="0.3">
      <c r="A405" s="3" t="s">
        <v>11</v>
      </c>
      <c r="B405" s="4">
        <v>950901</v>
      </c>
      <c r="C405" s="3" t="s">
        <v>15</v>
      </c>
      <c r="D405" s="7">
        <v>0.1515</v>
      </c>
      <c r="E405" s="7">
        <f t="shared" si="40"/>
        <v>1.2624999999999999E-2</v>
      </c>
      <c r="F405" s="5">
        <v>37733</v>
      </c>
      <c r="G405" s="5">
        <v>2958465</v>
      </c>
      <c r="H405" s="8">
        <f t="shared" si="41"/>
        <v>2920732</v>
      </c>
      <c r="I405" s="5">
        <v>2958465</v>
      </c>
      <c r="J405" s="5">
        <v>41075</v>
      </c>
      <c r="K405" s="8">
        <f t="shared" si="42"/>
        <v>3342</v>
      </c>
      <c r="L405" s="6">
        <v>500</v>
      </c>
      <c r="M405" s="9">
        <f t="shared" si="39"/>
        <v>6.3124999999999991</v>
      </c>
      <c r="N405" s="6">
        <v>5845.24</v>
      </c>
      <c r="O405" s="6">
        <v>0</v>
      </c>
      <c r="P405" s="6">
        <v>6020</v>
      </c>
    </row>
    <row r="406" spans="1:16" ht="18.75" customHeight="1" thickBot="1" x14ac:dyDescent="0.3">
      <c r="A406" s="3" t="s">
        <v>11</v>
      </c>
      <c r="B406" s="4">
        <v>933114</v>
      </c>
      <c r="C406" s="3" t="s">
        <v>9</v>
      </c>
      <c r="D406" s="18">
        <v>0.11</v>
      </c>
      <c r="E406" s="21">
        <f t="shared" ref="E406:E408" si="43">(1+D406)^(1/12)-1</f>
        <v>8.7345938235519061E-3</v>
      </c>
      <c r="F406" s="5">
        <v>35768</v>
      </c>
      <c r="G406" s="5">
        <v>36880</v>
      </c>
      <c r="H406" s="16">
        <f t="shared" si="41"/>
        <v>1112</v>
      </c>
      <c r="I406" s="5">
        <v>37001</v>
      </c>
      <c r="J406" s="5">
        <v>36249</v>
      </c>
      <c r="K406" s="16">
        <f t="shared" si="42"/>
        <v>481</v>
      </c>
      <c r="L406" s="13">
        <v>4072.67</v>
      </c>
      <c r="M406" s="15">
        <f t="shared" si="39"/>
        <v>129.09385866906081</v>
      </c>
      <c r="N406" s="13">
        <v>3997.67</v>
      </c>
      <c r="O406" s="13">
        <v>300</v>
      </c>
      <c r="P406" s="11">
        <f>IF((G406)&gt;(ConstantDateCutoff),1,0)</f>
        <v>0</v>
      </c>
    </row>
    <row r="407" spans="1:16" ht="18.75" customHeight="1" thickBot="1" x14ac:dyDescent="0.3">
      <c r="A407" s="3" t="s">
        <v>11</v>
      </c>
      <c r="B407" s="4">
        <v>706255</v>
      </c>
      <c r="C407" s="3" t="s">
        <v>9</v>
      </c>
      <c r="D407" s="18">
        <v>0.11</v>
      </c>
      <c r="E407" s="21">
        <f t="shared" si="43"/>
        <v>8.7345938235519061E-3</v>
      </c>
      <c r="F407" s="5">
        <v>35845</v>
      </c>
      <c r="G407" s="5">
        <v>36758</v>
      </c>
      <c r="H407" s="16">
        <f t="shared" si="41"/>
        <v>913</v>
      </c>
      <c r="I407" s="5">
        <v>36758</v>
      </c>
      <c r="J407" s="5">
        <v>36249</v>
      </c>
      <c r="K407" s="16">
        <f t="shared" si="42"/>
        <v>404</v>
      </c>
      <c r="L407" s="13">
        <v>6083.76</v>
      </c>
      <c r="M407" s="15">
        <f t="shared" si="39"/>
        <v>228.51651025063785</v>
      </c>
      <c r="N407" s="13">
        <v>2000</v>
      </c>
      <c r="O407" s="13">
        <v>3636</v>
      </c>
      <c r="P407" s="11">
        <f>IF((G407)&gt;(ConstantDateCutoff),1,0)</f>
        <v>0</v>
      </c>
    </row>
    <row r="408" spans="1:16" ht="18.75" customHeight="1" thickBot="1" x14ac:dyDescent="0.3">
      <c r="A408" s="3" t="s">
        <v>11</v>
      </c>
      <c r="B408" s="4">
        <v>823424</v>
      </c>
      <c r="C408" s="3" t="s">
        <v>12</v>
      </c>
      <c r="D408" s="18">
        <v>9.7500000000000003E-2</v>
      </c>
      <c r="E408" s="21">
        <f t="shared" si="43"/>
        <v>7.7830370878799737E-3</v>
      </c>
      <c r="F408" s="5">
        <v>35860</v>
      </c>
      <c r="G408" s="5">
        <v>36975</v>
      </c>
      <c r="H408" s="16">
        <f t="shared" si="41"/>
        <v>1115</v>
      </c>
      <c r="I408" s="5">
        <v>36975</v>
      </c>
      <c r="J408" s="5">
        <v>36167</v>
      </c>
      <c r="K408" s="16">
        <f t="shared" si="42"/>
        <v>307</v>
      </c>
      <c r="L408" s="13">
        <v>4644.87</v>
      </c>
      <c r="M408" s="15">
        <f t="shared" si="39"/>
        <v>144.40226961589454</v>
      </c>
      <c r="N408" s="13">
        <v>3040</v>
      </c>
      <c r="O408" s="13">
        <v>195.13</v>
      </c>
      <c r="P408" s="11">
        <f>IF((G408)&gt;(ConstantDateCutoff),1,0)</f>
        <v>0</v>
      </c>
    </row>
    <row r="409" spans="1:16" ht="18.75" hidden="1" customHeight="1" thickBot="1" x14ac:dyDescent="0.3">
      <c r="A409" s="3" t="s">
        <v>11</v>
      </c>
      <c r="B409" s="4">
        <v>432866</v>
      </c>
      <c r="C409" s="3" t="s">
        <v>15</v>
      </c>
      <c r="D409" s="7">
        <v>0.1515</v>
      </c>
      <c r="E409" s="7">
        <f t="shared" si="40"/>
        <v>1.2624999999999999E-2</v>
      </c>
      <c r="F409" s="5">
        <v>39013</v>
      </c>
      <c r="G409" s="5">
        <v>2958465</v>
      </c>
      <c r="H409" s="8">
        <f t="shared" si="41"/>
        <v>2919452</v>
      </c>
      <c r="I409" s="5">
        <v>2958465</v>
      </c>
      <c r="J409" s="5">
        <v>41913</v>
      </c>
      <c r="K409" s="8">
        <f t="shared" si="42"/>
        <v>2900</v>
      </c>
      <c r="L409" s="6">
        <v>1000</v>
      </c>
      <c r="M409" s="9">
        <f t="shared" si="39"/>
        <v>12.624999999999998</v>
      </c>
      <c r="N409" s="6">
        <v>147.79</v>
      </c>
      <c r="O409" s="6">
        <v>0</v>
      </c>
      <c r="P409" s="6">
        <v>0</v>
      </c>
    </row>
    <row r="410" spans="1:16" ht="18.75" customHeight="1" thickBot="1" x14ac:dyDescent="0.3">
      <c r="A410" s="3" t="s">
        <v>11</v>
      </c>
      <c r="B410" s="4">
        <v>860963</v>
      </c>
      <c r="C410" s="3" t="s">
        <v>9</v>
      </c>
      <c r="D410" s="18">
        <v>8.7499999999999994E-2</v>
      </c>
      <c r="E410" s="21">
        <f t="shared" ref="E410:E413" si="44">(1+D410)^(1/12)-1</f>
        <v>7.0146116041400752E-3</v>
      </c>
      <c r="F410" s="5">
        <v>36084</v>
      </c>
      <c r="G410" s="5">
        <v>37006</v>
      </c>
      <c r="H410" s="16">
        <f t="shared" si="41"/>
        <v>922</v>
      </c>
      <c r="I410" s="5">
        <v>37006</v>
      </c>
      <c r="J410" s="5">
        <v>37162</v>
      </c>
      <c r="K410" s="16">
        <f t="shared" si="42"/>
        <v>1078</v>
      </c>
      <c r="L410" s="13">
        <v>3602.97</v>
      </c>
      <c r="M410" s="15">
        <f t="shared" si="39"/>
        <v>130.73281837079946</v>
      </c>
      <c r="N410" s="13">
        <v>2060.48</v>
      </c>
      <c r="O410" s="13">
        <v>0</v>
      </c>
      <c r="P410" s="11">
        <f>IF((G410)&gt;(ConstantDateCutoff),1,0)</f>
        <v>0</v>
      </c>
    </row>
    <row r="411" spans="1:16" ht="18.75" customHeight="1" thickBot="1" x14ac:dyDescent="0.3">
      <c r="A411" s="3" t="s">
        <v>11</v>
      </c>
      <c r="B411" s="4">
        <v>211373</v>
      </c>
      <c r="C411" s="3" t="s">
        <v>9</v>
      </c>
      <c r="D411" s="18">
        <v>8.7499999999999994E-2</v>
      </c>
      <c r="E411" s="21">
        <f t="shared" si="44"/>
        <v>7.0146116041400752E-3</v>
      </c>
      <c r="F411" s="5">
        <v>36084</v>
      </c>
      <c r="G411" s="5">
        <v>37001</v>
      </c>
      <c r="H411" s="16">
        <f t="shared" si="41"/>
        <v>917</v>
      </c>
      <c r="I411" s="5">
        <v>37001</v>
      </c>
      <c r="J411" s="5">
        <v>36523</v>
      </c>
      <c r="K411" s="16">
        <f t="shared" si="42"/>
        <v>439</v>
      </c>
      <c r="L411" s="13">
        <v>3582.97</v>
      </c>
      <c r="M411" s="15">
        <f t="shared" si="39"/>
        <v>130.64258967384976</v>
      </c>
      <c r="N411" s="13">
        <v>3301.36</v>
      </c>
      <c r="O411" s="13">
        <v>150</v>
      </c>
      <c r="P411" s="11">
        <f>IF((G411)&gt;(ConstantDateCutoff),1,0)</f>
        <v>0</v>
      </c>
    </row>
    <row r="412" spans="1:16" ht="18.75" customHeight="1" thickBot="1" x14ac:dyDescent="0.3">
      <c r="A412" s="3" t="s">
        <v>11</v>
      </c>
      <c r="B412" s="4">
        <v>357355</v>
      </c>
      <c r="C412" s="3" t="s">
        <v>13</v>
      </c>
      <c r="D412" s="18">
        <v>0.1</v>
      </c>
      <c r="E412" s="21">
        <f t="shared" si="44"/>
        <v>7.9741404289037643E-3</v>
      </c>
      <c r="F412" s="5">
        <v>36139</v>
      </c>
      <c r="G412" s="5">
        <v>37796</v>
      </c>
      <c r="H412" s="16">
        <f t="shared" si="41"/>
        <v>1657</v>
      </c>
      <c r="I412" s="5">
        <v>37796</v>
      </c>
      <c r="J412" s="5">
        <v>36795</v>
      </c>
      <c r="K412" s="16">
        <f t="shared" si="42"/>
        <v>656</v>
      </c>
      <c r="L412" s="13">
        <v>13187.5</v>
      </c>
      <c r="M412" s="15">
        <f t="shared" si="39"/>
        <v>296.12207584003903</v>
      </c>
      <c r="N412" s="13">
        <v>18739.82</v>
      </c>
      <c r="O412" s="13">
        <v>11898.15</v>
      </c>
      <c r="P412" s="11">
        <f>IF((G412)&gt;(ConstantDateCutoff),1,0)</f>
        <v>0</v>
      </c>
    </row>
    <row r="413" spans="1:16" ht="18.75" customHeight="1" thickBot="1" x14ac:dyDescent="0.3">
      <c r="A413" s="3" t="s">
        <v>11</v>
      </c>
      <c r="B413" s="4">
        <v>384190</v>
      </c>
      <c r="C413" s="3" t="s">
        <v>9</v>
      </c>
      <c r="D413" s="18">
        <v>8.5000000000000006E-2</v>
      </c>
      <c r="E413" s="21">
        <f t="shared" si="44"/>
        <v>6.8214933659622723E-3</v>
      </c>
      <c r="F413" s="5">
        <v>36286</v>
      </c>
      <c r="G413" s="5">
        <v>38117</v>
      </c>
      <c r="H413" s="16">
        <f t="shared" si="41"/>
        <v>1831</v>
      </c>
      <c r="I413" s="5">
        <v>38178</v>
      </c>
      <c r="J413" s="5">
        <v>37008</v>
      </c>
      <c r="K413" s="16">
        <f t="shared" si="42"/>
        <v>722</v>
      </c>
      <c r="L413" s="13">
        <v>16090.54</v>
      </c>
      <c r="M413" s="15">
        <f t="shared" si="39"/>
        <v>323.19859784964933</v>
      </c>
      <c r="N413" s="13">
        <v>8066.93</v>
      </c>
      <c r="O413" s="13">
        <v>0</v>
      </c>
      <c r="P413" s="11">
        <f>IF((G413)&gt;(ConstantDateCutoff),1,0)</f>
        <v>0</v>
      </c>
    </row>
    <row r="414" spans="1:16" ht="18.75" hidden="1" customHeight="1" thickBot="1" x14ac:dyDescent="0.3">
      <c r="A414" s="3" t="s">
        <v>11</v>
      </c>
      <c r="B414" s="4">
        <v>22540</v>
      </c>
      <c r="C414" s="3" t="s">
        <v>15</v>
      </c>
      <c r="D414" s="7">
        <v>0.1515</v>
      </c>
      <c r="E414" s="7">
        <f t="shared" si="40"/>
        <v>1.2624999999999999E-2</v>
      </c>
      <c r="F414" s="5">
        <v>39356</v>
      </c>
      <c r="G414" s="5">
        <v>2958465</v>
      </c>
      <c r="H414" s="8">
        <f t="shared" si="41"/>
        <v>2919109</v>
      </c>
      <c r="I414" s="5">
        <v>2958465</v>
      </c>
      <c r="J414" s="5">
        <v>41087</v>
      </c>
      <c r="K414" s="8">
        <f t="shared" si="42"/>
        <v>1731</v>
      </c>
      <c r="L414" s="6">
        <v>300</v>
      </c>
      <c r="M414" s="9">
        <f t="shared" si="39"/>
        <v>3.7874999999999996</v>
      </c>
      <c r="N414" s="6">
        <v>151.62</v>
      </c>
      <c r="O414" s="6">
        <v>0</v>
      </c>
      <c r="P414" s="6">
        <v>50</v>
      </c>
    </row>
    <row r="415" spans="1:16" ht="18.75" customHeight="1" thickBot="1" x14ac:dyDescent="0.3">
      <c r="A415" s="3" t="s">
        <v>11</v>
      </c>
      <c r="B415" s="4">
        <v>780476</v>
      </c>
      <c r="C415" s="3" t="s">
        <v>9</v>
      </c>
      <c r="D415" s="18">
        <v>0.13750000000000001</v>
      </c>
      <c r="E415" s="21">
        <f t="shared" ref="E415:E419" si="45">(1+D415)^(1/12)-1</f>
        <v>1.0793911082132235E-2</v>
      </c>
      <c r="F415" s="5">
        <v>36357</v>
      </c>
      <c r="G415" s="5">
        <v>37281</v>
      </c>
      <c r="H415" s="16">
        <f t="shared" si="41"/>
        <v>924</v>
      </c>
      <c r="I415" s="5">
        <v>37281</v>
      </c>
      <c r="J415" s="5">
        <v>37252</v>
      </c>
      <c r="K415" s="16">
        <f t="shared" si="42"/>
        <v>895</v>
      </c>
      <c r="L415" s="13">
        <v>4550</v>
      </c>
      <c r="M415" s="15">
        <f t="shared" si="39"/>
        <v>174.43014593604346</v>
      </c>
      <c r="N415" s="13">
        <v>1724.8</v>
      </c>
      <c r="O415" s="13">
        <v>300</v>
      </c>
      <c r="P415" s="11">
        <f>IF((G415)&gt;(ConstantDateCutoff),1,0)</f>
        <v>0</v>
      </c>
    </row>
    <row r="416" spans="1:16" ht="18.75" customHeight="1" thickBot="1" x14ac:dyDescent="0.3">
      <c r="A416" s="3" t="s">
        <v>11</v>
      </c>
      <c r="B416" s="4">
        <v>250562</v>
      </c>
      <c r="C416" s="3" t="s">
        <v>9</v>
      </c>
      <c r="D416" s="18">
        <v>0.12</v>
      </c>
      <c r="E416" s="21">
        <f t="shared" si="45"/>
        <v>9.4887929345830457E-3</v>
      </c>
      <c r="F416" s="5">
        <v>36440</v>
      </c>
      <c r="G416" s="5">
        <v>37196</v>
      </c>
      <c r="H416" s="16">
        <f t="shared" si="41"/>
        <v>756</v>
      </c>
      <c r="I416" s="5">
        <v>37196</v>
      </c>
      <c r="J416" s="5">
        <v>37252</v>
      </c>
      <c r="K416" s="16">
        <f t="shared" si="42"/>
        <v>812</v>
      </c>
      <c r="L416" s="13">
        <v>28562.53</v>
      </c>
      <c r="M416" s="15">
        <f t="shared" si="39"/>
        <v>1279.6847117715954</v>
      </c>
      <c r="N416" s="13">
        <v>26057.46</v>
      </c>
      <c r="O416" s="13">
        <v>13689.51</v>
      </c>
      <c r="P416" s="11">
        <f>IF((G416)&gt;(ConstantDateCutoff),1,0)</f>
        <v>0</v>
      </c>
    </row>
    <row r="417" spans="1:16" ht="18.75" customHeight="1" thickBot="1" x14ac:dyDescent="0.3">
      <c r="A417" s="3" t="s">
        <v>11</v>
      </c>
      <c r="B417" s="4">
        <v>515119</v>
      </c>
      <c r="C417" s="3" t="s">
        <v>9</v>
      </c>
      <c r="D417" s="18">
        <v>0.1</v>
      </c>
      <c r="E417" s="21">
        <f t="shared" si="45"/>
        <v>7.9741404289037643E-3</v>
      </c>
      <c r="F417" s="5">
        <v>36474</v>
      </c>
      <c r="G417" s="5">
        <v>37380</v>
      </c>
      <c r="H417" s="16">
        <f t="shared" si="41"/>
        <v>906</v>
      </c>
      <c r="I417" s="5">
        <v>38331</v>
      </c>
      <c r="J417" s="5">
        <v>37610</v>
      </c>
      <c r="K417" s="16">
        <f t="shared" si="42"/>
        <v>1136</v>
      </c>
      <c r="L417" s="13">
        <v>5050</v>
      </c>
      <c r="M417" s="15">
        <f t="shared" si="39"/>
        <v>188.82323797537049</v>
      </c>
      <c r="N417" s="13">
        <v>2259.1799999999998</v>
      </c>
      <c r="O417" s="13">
        <v>3264.29</v>
      </c>
      <c r="P417" s="11">
        <f>IF((G417)&gt;(ConstantDateCutoff),1,0)</f>
        <v>0</v>
      </c>
    </row>
    <row r="418" spans="1:16" ht="18.75" customHeight="1" thickBot="1" x14ac:dyDescent="0.3">
      <c r="A418" s="3" t="s">
        <v>11</v>
      </c>
      <c r="B418" s="4">
        <v>513153</v>
      </c>
      <c r="C418" s="3" t="s">
        <v>9</v>
      </c>
      <c r="D418" s="18">
        <v>0.1125</v>
      </c>
      <c r="E418" s="21">
        <f t="shared" si="45"/>
        <v>8.9237257287477778E-3</v>
      </c>
      <c r="F418" s="5">
        <v>36508</v>
      </c>
      <c r="G418" s="5">
        <v>37610</v>
      </c>
      <c r="H418" s="16">
        <f t="shared" si="41"/>
        <v>1102</v>
      </c>
      <c r="I418" s="5">
        <v>37610</v>
      </c>
      <c r="J418" s="5">
        <v>37334</v>
      </c>
      <c r="K418" s="16">
        <f t="shared" si="42"/>
        <v>826</v>
      </c>
      <c r="L418" s="13">
        <v>13442.09</v>
      </c>
      <c r="M418" s="15">
        <f t="shared" si="39"/>
        <v>430.80062290875088</v>
      </c>
      <c r="N418" s="13">
        <v>6647.77</v>
      </c>
      <c r="O418" s="13">
        <v>4846.53</v>
      </c>
      <c r="P418" s="11">
        <f>IF((G418)&gt;(ConstantDateCutoff),1,0)</f>
        <v>0</v>
      </c>
    </row>
    <row r="419" spans="1:16" ht="18.75" customHeight="1" thickBot="1" x14ac:dyDescent="0.3">
      <c r="A419" s="3" t="s">
        <v>11</v>
      </c>
      <c r="B419" s="4">
        <v>530738</v>
      </c>
      <c r="C419" s="3" t="s">
        <v>9</v>
      </c>
      <c r="D419" s="18">
        <v>0.12</v>
      </c>
      <c r="E419" s="21">
        <f t="shared" si="45"/>
        <v>9.4887929345830457E-3</v>
      </c>
      <c r="F419" s="5">
        <v>36640</v>
      </c>
      <c r="G419" s="5">
        <v>38132</v>
      </c>
      <c r="H419" s="16">
        <f t="shared" si="41"/>
        <v>1492</v>
      </c>
      <c r="I419" s="5">
        <v>39483</v>
      </c>
      <c r="J419" s="5">
        <v>38250</v>
      </c>
      <c r="K419" s="16">
        <f t="shared" si="42"/>
        <v>1610</v>
      </c>
      <c r="L419" s="13">
        <v>19996.740000000002</v>
      </c>
      <c r="M419" s="15">
        <f t="shared" si="39"/>
        <v>506.25582910170323</v>
      </c>
      <c r="N419" s="13">
        <v>10019.1</v>
      </c>
      <c r="O419" s="13">
        <v>0</v>
      </c>
      <c r="P419" s="11">
        <f>IF((G419)&gt;(ConstantDateCutoff),1,0)</f>
        <v>0</v>
      </c>
    </row>
    <row r="420" spans="1:16" ht="18.75" hidden="1" customHeight="1" thickBot="1" x14ac:dyDescent="0.3">
      <c r="A420" s="3" t="s">
        <v>11</v>
      </c>
      <c r="B420" s="4">
        <v>818625</v>
      </c>
      <c r="C420" s="3" t="s">
        <v>15</v>
      </c>
      <c r="D420" s="7">
        <v>0.1515</v>
      </c>
      <c r="E420" s="7">
        <f t="shared" si="40"/>
        <v>1.2624999999999999E-2</v>
      </c>
      <c r="F420" s="5">
        <v>41101</v>
      </c>
      <c r="G420" s="5">
        <v>2958465</v>
      </c>
      <c r="H420" s="8">
        <f t="shared" si="41"/>
        <v>2917364</v>
      </c>
      <c r="I420" s="5">
        <v>2958465</v>
      </c>
      <c r="J420" s="5">
        <v>41425</v>
      </c>
      <c r="K420" s="8">
        <f t="shared" si="42"/>
        <v>324</v>
      </c>
      <c r="L420" s="6">
        <v>300</v>
      </c>
      <c r="M420" s="9">
        <f t="shared" si="39"/>
        <v>3.7874999999999996</v>
      </c>
      <c r="N420" s="6">
        <v>299.77</v>
      </c>
      <c r="O420" s="6">
        <v>299.77</v>
      </c>
      <c r="P420" s="6">
        <v>300</v>
      </c>
    </row>
    <row r="421" spans="1:16" ht="18.75" hidden="1" customHeight="1" thickBot="1" x14ac:dyDescent="0.3">
      <c r="A421" s="3" t="s">
        <v>11</v>
      </c>
      <c r="B421" s="4">
        <v>911365</v>
      </c>
      <c r="C421" s="3" t="s">
        <v>15</v>
      </c>
      <c r="D421" s="7">
        <v>0.1515</v>
      </c>
      <c r="E421" s="7">
        <f t="shared" si="40"/>
        <v>1.2624999999999999E-2</v>
      </c>
      <c r="F421" s="5">
        <v>39974</v>
      </c>
      <c r="G421" s="5">
        <v>2958465</v>
      </c>
      <c r="H421" s="8">
        <f t="shared" si="41"/>
        <v>2918491</v>
      </c>
      <c r="I421" s="5">
        <v>2958465</v>
      </c>
      <c r="J421" s="5">
        <v>40770</v>
      </c>
      <c r="K421" s="8">
        <f t="shared" si="42"/>
        <v>796</v>
      </c>
      <c r="L421" s="6">
        <v>1000</v>
      </c>
      <c r="M421" s="9">
        <f t="shared" si="39"/>
        <v>12.624999999999998</v>
      </c>
      <c r="N421" s="6">
        <v>928.44</v>
      </c>
      <c r="O421" s="6">
        <v>0</v>
      </c>
      <c r="P421" s="6">
        <v>0</v>
      </c>
    </row>
    <row r="422" spans="1:16" ht="18.75" customHeight="1" thickBot="1" x14ac:dyDescent="0.3">
      <c r="A422" s="3" t="s">
        <v>11</v>
      </c>
      <c r="B422" s="4">
        <v>287787</v>
      </c>
      <c r="C422" s="3" t="s">
        <v>9</v>
      </c>
      <c r="D422" s="18">
        <v>0.125</v>
      </c>
      <c r="E422" s="21">
        <f t="shared" ref="E422:E424" si="46">(1+D422)^(1/12)-1</f>
        <v>9.8635805532114595E-3</v>
      </c>
      <c r="F422" s="5">
        <v>36746</v>
      </c>
      <c r="G422" s="5">
        <v>38579</v>
      </c>
      <c r="H422" s="16">
        <f t="shared" si="41"/>
        <v>1833</v>
      </c>
      <c r="I422" s="5">
        <v>38579</v>
      </c>
      <c r="J422" s="5">
        <v>38035</v>
      </c>
      <c r="K422" s="16">
        <f t="shared" si="42"/>
        <v>1289</v>
      </c>
      <c r="L422" s="13">
        <v>12974.37</v>
      </c>
      <c r="M422" s="15">
        <f t="shared" si="39"/>
        <v>283.73649198782016</v>
      </c>
      <c r="N422" s="13">
        <v>4858.3900000000003</v>
      </c>
      <c r="O422" s="13">
        <v>0</v>
      </c>
      <c r="P422" s="11">
        <f>IF((G422)&gt;(ConstantDateCutoff),1,0)</f>
        <v>0</v>
      </c>
    </row>
    <row r="423" spans="1:16" ht="18.75" customHeight="1" thickBot="1" x14ac:dyDescent="0.3">
      <c r="A423" s="3" t="s">
        <v>11</v>
      </c>
      <c r="B423" s="4">
        <v>640944</v>
      </c>
      <c r="C423" s="3" t="s">
        <v>9</v>
      </c>
      <c r="D423" s="18">
        <v>0.11749999999999999</v>
      </c>
      <c r="E423" s="21">
        <f t="shared" si="46"/>
        <v>9.300823618865417E-3</v>
      </c>
      <c r="F423" s="5">
        <v>36788</v>
      </c>
      <c r="G423" s="5">
        <v>37700</v>
      </c>
      <c r="H423" s="16">
        <f t="shared" si="41"/>
        <v>912</v>
      </c>
      <c r="I423" s="5">
        <v>37700</v>
      </c>
      <c r="J423" s="5">
        <v>37342</v>
      </c>
      <c r="K423" s="16">
        <f t="shared" si="42"/>
        <v>554</v>
      </c>
      <c r="L423" s="13">
        <v>8576.4500000000007</v>
      </c>
      <c r="M423" s="15">
        <f t="shared" si="39"/>
        <v>325.18239026670045</v>
      </c>
      <c r="N423" s="13">
        <v>7504.02</v>
      </c>
      <c r="O423" s="13">
        <v>8874.2000000000007</v>
      </c>
      <c r="P423" s="11">
        <f>IF((G423)&gt;(ConstantDateCutoff),1,0)</f>
        <v>0</v>
      </c>
    </row>
    <row r="424" spans="1:16" ht="18.75" customHeight="1" thickBot="1" x14ac:dyDescent="0.3">
      <c r="A424" s="3" t="s">
        <v>11</v>
      </c>
      <c r="B424" s="4">
        <v>836324</v>
      </c>
      <c r="C424" s="3" t="s">
        <v>9</v>
      </c>
      <c r="D424" s="18">
        <v>0.125</v>
      </c>
      <c r="E424" s="21">
        <f t="shared" si="46"/>
        <v>9.8635805532114595E-3</v>
      </c>
      <c r="F424" s="5">
        <v>36815</v>
      </c>
      <c r="G424" s="5">
        <v>37909</v>
      </c>
      <c r="H424" s="16">
        <f t="shared" si="41"/>
        <v>1094</v>
      </c>
      <c r="I424" s="5">
        <v>38001</v>
      </c>
      <c r="J424" s="5">
        <v>37887</v>
      </c>
      <c r="K424" s="16">
        <f t="shared" si="42"/>
        <v>1072</v>
      </c>
      <c r="L424" s="13">
        <v>5694.05</v>
      </c>
      <c r="M424" s="15">
        <f t="shared" si="39"/>
        <v>186.66629229726834</v>
      </c>
      <c r="N424" s="13">
        <v>1913.81</v>
      </c>
      <c r="O424" s="13">
        <v>200</v>
      </c>
      <c r="P424" s="11">
        <f>IF((G424)&gt;(ConstantDateCutoff),1,0)</f>
        <v>0</v>
      </c>
    </row>
    <row r="425" spans="1:16" ht="18.75" hidden="1" customHeight="1" thickBot="1" x14ac:dyDescent="0.3">
      <c r="A425" s="3" t="s">
        <v>11</v>
      </c>
      <c r="B425" s="4">
        <v>761318</v>
      </c>
      <c r="C425" s="3" t="s">
        <v>15</v>
      </c>
      <c r="D425" s="7">
        <v>0.1515</v>
      </c>
      <c r="E425" s="7">
        <f t="shared" si="40"/>
        <v>1.2624999999999999E-2</v>
      </c>
      <c r="F425" s="5">
        <v>40430</v>
      </c>
      <c r="G425" s="5">
        <v>2958465</v>
      </c>
      <c r="H425" s="8">
        <f t="shared" si="41"/>
        <v>2918035</v>
      </c>
      <c r="I425" s="5">
        <v>2958465</v>
      </c>
      <c r="J425" s="5">
        <v>41246</v>
      </c>
      <c r="K425" s="8">
        <f t="shared" si="42"/>
        <v>816</v>
      </c>
      <c r="L425" s="6">
        <v>515</v>
      </c>
      <c r="M425" s="9">
        <f t="shared" si="39"/>
        <v>6.5018749999999992</v>
      </c>
      <c r="N425" s="6">
        <v>170.91</v>
      </c>
      <c r="O425" s="6">
        <v>0</v>
      </c>
      <c r="P425" s="6">
        <v>0</v>
      </c>
    </row>
    <row r="426" spans="1:16" ht="18.75" hidden="1" customHeight="1" thickBot="1" x14ac:dyDescent="0.3">
      <c r="A426" s="3" t="s">
        <v>11</v>
      </c>
      <c r="B426" s="4">
        <v>914450</v>
      </c>
      <c r="C426" s="3" t="s">
        <v>15</v>
      </c>
      <c r="D426" s="7">
        <v>0.1515</v>
      </c>
      <c r="E426" s="7">
        <f t="shared" si="40"/>
        <v>1.2624999999999999E-2</v>
      </c>
      <c r="F426" s="5">
        <v>40506</v>
      </c>
      <c r="G426" s="5">
        <v>2958465</v>
      </c>
      <c r="H426" s="8">
        <f t="shared" si="41"/>
        <v>2917959</v>
      </c>
      <c r="I426" s="5">
        <v>2958465</v>
      </c>
      <c r="J426" s="5">
        <v>43909</v>
      </c>
      <c r="K426" s="8">
        <f t="shared" si="42"/>
        <v>3403</v>
      </c>
      <c r="L426" s="6">
        <v>500</v>
      </c>
      <c r="M426" s="9">
        <f t="shared" si="39"/>
        <v>6.3124999999999991</v>
      </c>
      <c r="N426" s="6">
        <v>362.64</v>
      </c>
      <c r="O426" s="6">
        <v>0</v>
      </c>
      <c r="P426" s="6">
        <v>0</v>
      </c>
    </row>
    <row r="427" spans="1:16" ht="18.75" hidden="1" customHeight="1" thickBot="1" x14ac:dyDescent="0.3">
      <c r="A427" s="3" t="s">
        <v>11</v>
      </c>
      <c r="B427" s="4">
        <v>829809</v>
      </c>
      <c r="C427" s="3" t="s">
        <v>15</v>
      </c>
      <c r="D427" s="7">
        <v>0.1515</v>
      </c>
      <c r="E427" s="7">
        <f t="shared" si="40"/>
        <v>1.2624999999999999E-2</v>
      </c>
      <c r="F427" s="5">
        <v>40750</v>
      </c>
      <c r="G427" s="5">
        <v>2958465</v>
      </c>
      <c r="H427" s="8">
        <f t="shared" si="41"/>
        <v>2917715</v>
      </c>
      <c r="I427" s="5">
        <v>2958465</v>
      </c>
      <c r="J427" s="5">
        <v>40939</v>
      </c>
      <c r="K427" s="8">
        <f t="shared" si="42"/>
        <v>189</v>
      </c>
      <c r="L427" s="6">
        <v>800</v>
      </c>
      <c r="M427" s="9">
        <f t="shared" si="39"/>
        <v>10.1</v>
      </c>
      <c r="N427" s="6">
        <v>399.74</v>
      </c>
      <c r="O427" s="6">
        <v>74.37</v>
      </c>
      <c r="P427" s="6">
        <v>0</v>
      </c>
    </row>
    <row r="428" spans="1:16" ht="18.75" hidden="1" customHeight="1" thickBot="1" x14ac:dyDescent="0.3">
      <c r="A428" s="3" t="s">
        <v>11</v>
      </c>
      <c r="B428" s="4">
        <v>878605</v>
      </c>
      <c r="C428" s="3" t="s">
        <v>15</v>
      </c>
      <c r="D428" s="7">
        <v>0.1515</v>
      </c>
      <c r="E428" s="7">
        <f t="shared" si="40"/>
        <v>1.2624999999999999E-2</v>
      </c>
      <c r="F428" s="5">
        <v>41236</v>
      </c>
      <c r="G428" s="5">
        <v>2958465</v>
      </c>
      <c r="H428" s="8">
        <f t="shared" si="41"/>
        <v>2917229</v>
      </c>
      <c r="I428" s="5">
        <v>2958465</v>
      </c>
      <c r="J428" s="5">
        <v>46020</v>
      </c>
      <c r="K428" s="8">
        <f t="shared" si="42"/>
        <v>4784</v>
      </c>
      <c r="L428" s="6">
        <v>200</v>
      </c>
      <c r="M428" s="9">
        <f t="shared" si="39"/>
        <v>2.5249999999999999</v>
      </c>
      <c r="N428" s="6">
        <v>200</v>
      </c>
      <c r="O428" s="6">
        <v>0</v>
      </c>
      <c r="P428" s="6">
        <v>13587.37</v>
      </c>
    </row>
    <row r="429" spans="1:16" ht="18.75" customHeight="1" thickBot="1" x14ac:dyDescent="0.3">
      <c r="A429" s="3" t="s">
        <v>11</v>
      </c>
      <c r="B429" s="4">
        <v>107719</v>
      </c>
      <c r="C429" s="3" t="s">
        <v>9</v>
      </c>
      <c r="D429" s="18">
        <v>0.1</v>
      </c>
      <c r="E429" s="21">
        <f t="shared" ref="E429:E432" si="47">(1+D429)^(1/12)-1</f>
        <v>7.9741404289037643E-3</v>
      </c>
      <c r="F429" s="5">
        <v>36930</v>
      </c>
      <c r="G429" s="5">
        <v>38768</v>
      </c>
      <c r="H429" s="16">
        <f t="shared" si="41"/>
        <v>1838</v>
      </c>
      <c r="I429" s="5">
        <v>38860</v>
      </c>
      <c r="J429" s="5">
        <v>37610</v>
      </c>
      <c r="K429" s="16">
        <f t="shared" si="42"/>
        <v>680</v>
      </c>
      <c r="L429" s="13">
        <v>16738.73</v>
      </c>
      <c r="M429" s="15">
        <f t="shared" si="39"/>
        <v>346.42878351586734</v>
      </c>
      <c r="N429" s="13">
        <v>8846.2999999999993</v>
      </c>
      <c r="O429" s="13">
        <v>1402.48</v>
      </c>
      <c r="P429" s="11">
        <f>IF((G429)&gt;(ConstantDateCutoff),1,0)</f>
        <v>0</v>
      </c>
    </row>
    <row r="430" spans="1:16" ht="18.75" customHeight="1" thickBot="1" x14ac:dyDescent="0.3">
      <c r="A430" s="3" t="s">
        <v>11</v>
      </c>
      <c r="B430" s="4">
        <v>942187</v>
      </c>
      <c r="C430" s="3" t="s">
        <v>9</v>
      </c>
      <c r="D430" s="18">
        <v>9.5000000000000001E-2</v>
      </c>
      <c r="E430" s="21">
        <f t="shared" si="47"/>
        <v>7.5915342905825689E-3</v>
      </c>
      <c r="F430" s="5">
        <v>36966</v>
      </c>
      <c r="G430" s="5">
        <v>38792</v>
      </c>
      <c r="H430" s="16">
        <f t="shared" si="41"/>
        <v>1826</v>
      </c>
      <c r="I430" s="5">
        <v>38823</v>
      </c>
      <c r="J430" s="5">
        <v>37524</v>
      </c>
      <c r="K430" s="16">
        <f t="shared" si="42"/>
        <v>558</v>
      </c>
      <c r="L430" s="13">
        <v>16050</v>
      </c>
      <c r="M430" s="15">
        <f t="shared" si="39"/>
        <v>330.27041972014808</v>
      </c>
      <c r="N430" s="13">
        <v>14622.9</v>
      </c>
      <c r="O430" s="13">
        <v>1200</v>
      </c>
      <c r="P430" s="11">
        <f>IF((G430)&gt;(ConstantDateCutoff),1,0)</f>
        <v>0</v>
      </c>
    </row>
    <row r="431" spans="1:16" ht="18.75" customHeight="1" thickBot="1" x14ac:dyDescent="0.3">
      <c r="A431" s="3" t="s">
        <v>11</v>
      </c>
      <c r="B431" s="4">
        <v>760680</v>
      </c>
      <c r="C431" s="3" t="s">
        <v>9</v>
      </c>
      <c r="D431" s="18">
        <v>9.5000000000000001E-2</v>
      </c>
      <c r="E431" s="21">
        <f t="shared" si="47"/>
        <v>7.5915342905825689E-3</v>
      </c>
      <c r="F431" s="5">
        <v>37025</v>
      </c>
      <c r="G431" s="5">
        <v>38851</v>
      </c>
      <c r="H431" s="16">
        <f t="shared" si="41"/>
        <v>1826</v>
      </c>
      <c r="I431" s="5">
        <v>39004</v>
      </c>
      <c r="J431" s="5">
        <v>38202</v>
      </c>
      <c r="K431" s="16">
        <f t="shared" si="42"/>
        <v>1177</v>
      </c>
      <c r="L431" s="13">
        <v>16075</v>
      </c>
      <c r="M431" s="15">
        <f t="shared" si="39"/>
        <v>330.78485962625427</v>
      </c>
      <c r="N431" s="13">
        <v>5761.63</v>
      </c>
      <c r="O431" s="13">
        <v>0</v>
      </c>
      <c r="P431" s="11">
        <f>IF((G431)&gt;(ConstantDateCutoff),1,0)</f>
        <v>0</v>
      </c>
    </row>
    <row r="432" spans="1:16" ht="18.75" customHeight="1" thickBot="1" x14ac:dyDescent="0.3">
      <c r="A432" s="3" t="s">
        <v>11</v>
      </c>
      <c r="B432" s="4">
        <v>812066</v>
      </c>
      <c r="C432" s="3" t="s">
        <v>9</v>
      </c>
      <c r="D432" s="18">
        <v>8.5000000000000006E-2</v>
      </c>
      <c r="E432" s="21">
        <f t="shared" si="47"/>
        <v>6.8214933659622723E-3</v>
      </c>
      <c r="F432" s="5">
        <v>37042</v>
      </c>
      <c r="G432" s="5">
        <v>38878</v>
      </c>
      <c r="H432" s="16">
        <f t="shared" si="41"/>
        <v>1836</v>
      </c>
      <c r="I432" s="5">
        <v>38939</v>
      </c>
      <c r="J432" s="5">
        <v>37799</v>
      </c>
      <c r="K432" s="16">
        <f t="shared" si="42"/>
        <v>757</v>
      </c>
      <c r="L432" s="13">
        <v>12311.25</v>
      </c>
      <c r="M432" s="15">
        <f t="shared" si="39"/>
        <v>246.74349802469254</v>
      </c>
      <c r="N432" s="13">
        <v>12728.65</v>
      </c>
      <c r="O432" s="13">
        <v>6500</v>
      </c>
      <c r="P432" s="11">
        <f>IF((G432)&gt;(ConstantDateCutoff),1,0)</f>
        <v>0</v>
      </c>
    </row>
    <row r="433" spans="1:16" ht="18.75" hidden="1" customHeight="1" thickBot="1" x14ac:dyDescent="0.3">
      <c r="A433" s="3" t="s">
        <v>11</v>
      </c>
      <c r="B433" s="4">
        <v>271691</v>
      </c>
      <c r="C433" s="3" t="s">
        <v>15</v>
      </c>
      <c r="D433" s="7">
        <v>0.1515</v>
      </c>
      <c r="E433" s="7">
        <f t="shared" si="40"/>
        <v>1.2624999999999999E-2</v>
      </c>
      <c r="F433" s="5">
        <v>41397</v>
      </c>
      <c r="G433" s="5">
        <v>2958465</v>
      </c>
      <c r="H433" s="8">
        <f t="shared" si="41"/>
        <v>2917068</v>
      </c>
      <c r="I433" s="5">
        <v>2958465</v>
      </c>
      <c r="J433" s="5">
        <v>41617</v>
      </c>
      <c r="K433" s="8">
        <f t="shared" si="42"/>
        <v>220</v>
      </c>
      <c r="L433" s="6">
        <v>3500</v>
      </c>
      <c r="M433" s="9">
        <f t="shared" si="39"/>
        <v>44.1875</v>
      </c>
      <c r="N433" s="6">
        <v>3265.91</v>
      </c>
      <c r="O433" s="6">
        <v>0</v>
      </c>
      <c r="P433" s="6">
        <v>0</v>
      </c>
    </row>
    <row r="434" spans="1:16" ht="18.75" customHeight="1" thickBot="1" x14ac:dyDescent="0.3">
      <c r="A434" s="3" t="s">
        <v>11</v>
      </c>
      <c r="B434" s="4">
        <v>986211</v>
      </c>
      <c r="C434" s="3" t="s">
        <v>9</v>
      </c>
      <c r="D434" s="18">
        <v>0.12</v>
      </c>
      <c r="E434" s="21">
        <f t="shared" ref="E434:E435" si="48">(1+D434)^(1/12)-1</f>
        <v>9.4887929345830457E-3</v>
      </c>
      <c r="F434" s="5">
        <v>37067</v>
      </c>
      <c r="G434" s="5">
        <v>38153</v>
      </c>
      <c r="H434" s="16">
        <f t="shared" si="41"/>
        <v>1086</v>
      </c>
      <c r="I434" s="5">
        <v>38732</v>
      </c>
      <c r="J434" s="5">
        <v>37966</v>
      </c>
      <c r="K434" s="16">
        <f t="shared" si="42"/>
        <v>899</v>
      </c>
      <c r="L434" s="13">
        <v>5155.82</v>
      </c>
      <c r="M434" s="15">
        <f t="shared" si="39"/>
        <v>168.95295652518686</v>
      </c>
      <c r="N434" s="13">
        <v>3118.71</v>
      </c>
      <c r="O434" s="13">
        <v>0</v>
      </c>
      <c r="P434" s="11">
        <f>IF((G434)&gt;(ConstantDateCutoff),1,0)</f>
        <v>0</v>
      </c>
    </row>
    <row r="435" spans="1:16" ht="18.75" customHeight="1" thickBot="1" x14ac:dyDescent="0.3">
      <c r="A435" s="3" t="s">
        <v>11</v>
      </c>
      <c r="B435" s="4">
        <v>27159</v>
      </c>
      <c r="C435" s="3" t="s">
        <v>9</v>
      </c>
      <c r="D435" s="18">
        <v>0.1</v>
      </c>
      <c r="E435" s="21">
        <f t="shared" si="48"/>
        <v>7.9741404289037643E-3</v>
      </c>
      <c r="F435" s="5">
        <v>37089</v>
      </c>
      <c r="G435" s="5">
        <v>38918</v>
      </c>
      <c r="H435" s="16">
        <f t="shared" si="41"/>
        <v>1829</v>
      </c>
      <c r="I435" s="5">
        <v>39041</v>
      </c>
      <c r="J435" s="5">
        <v>38336</v>
      </c>
      <c r="K435" s="16">
        <f t="shared" si="42"/>
        <v>1247</v>
      </c>
      <c r="L435" s="13">
        <v>20334.39</v>
      </c>
      <c r="M435" s="15">
        <f t="shared" si="39"/>
        <v>422.45329620293666</v>
      </c>
      <c r="N435" s="13">
        <v>7048.4</v>
      </c>
      <c r="O435" s="13">
        <v>245.77</v>
      </c>
      <c r="P435" s="11">
        <f>IF((G435)&gt;(ConstantDateCutoff),1,0)</f>
        <v>0</v>
      </c>
    </row>
    <row r="436" spans="1:16" ht="18.75" hidden="1" customHeight="1" thickBot="1" x14ac:dyDescent="0.3">
      <c r="A436" s="3" t="s">
        <v>11</v>
      </c>
      <c r="B436" s="4">
        <v>34308</v>
      </c>
      <c r="C436" s="3" t="s">
        <v>15</v>
      </c>
      <c r="D436" s="7">
        <v>0.1515</v>
      </c>
      <c r="E436" s="7">
        <f t="shared" si="40"/>
        <v>1.2624999999999999E-2</v>
      </c>
      <c r="F436" s="5">
        <v>41120</v>
      </c>
      <c r="G436" s="5">
        <v>2958465</v>
      </c>
      <c r="H436" s="8">
        <f t="shared" si="41"/>
        <v>2917345</v>
      </c>
      <c r="I436" s="5">
        <v>2958465</v>
      </c>
      <c r="J436" s="5">
        <v>42821</v>
      </c>
      <c r="K436" s="8">
        <f t="shared" si="42"/>
        <v>1701</v>
      </c>
      <c r="L436" s="6">
        <v>300</v>
      </c>
      <c r="M436" s="9">
        <f t="shared" si="39"/>
        <v>3.7874999999999996</v>
      </c>
      <c r="N436" s="6">
        <v>291.05</v>
      </c>
      <c r="O436" s="6">
        <v>291.05</v>
      </c>
      <c r="P436" s="6">
        <v>15883.93</v>
      </c>
    </row>
    <row r="437" spans="1:16" ht="18.75" customHeight="1" thickBot="1" x14ac:dyDescent="0.3">
      <c r="A437" s="3" t="s">
        <v>11</v>
      </c>
      <c r="B437" s="4">
        <v>690814</v>
      </c>
      <c r="C437" s="3" t="s">
        <v>9</v>
      </c>
      <c r="D437" s="18">
        <v>8.5000000000000006E-2</v>
      </c>
      <c r="E437" s="21">
        <f t="shared" ref="E437:E439" si="49">(1+D437)^(1/12)-1</f>
        <v>6.8214933659622723E-3</v>
      </c>
      <c r="F437" s="5">
        <v>37406</v>
      </c>
      <c r="G437" s="5">
        <v>38878</v>
      </c>
      <c r="H437" s="16">
        <f t="shared" si="41"/>
        <v>1472</v>
      </c>
      <c r="I437" s="5">
        <v>38908</v>
      </c>
      <c r="J437" s="5">
        <v>37890</v>
      </c>
      <c r="K437" s="16">
        <f t="shared" si="42"/>
        <v>484</v>
      </c>
      <c r="L437" s="13">
        <v>7252</v>
      </c>
      <c r="M437" s="15">
        <f t="shared" si="39"/>
        <v>174.4097717985716</v>
      </c>
      <c r="N437" s="13">
        <v>6877.66</v>
      </c>
      <c r="O437" s="13">
        <v>3481.51</v>
      </c>
      <c r="P437" s="11">
        <f>IF((G437)&gt;(ConstantDateCutoff),1,0)</f>
        <v>0</v>
      </c>
    </row>
    <row r="438" spans="1:16" ht="18.75" customHeight="1" thickBot="1" x14ac:dyDescent="0.3">
      <c r="A438" s="3" t="s">
        <v>11</v>
      </c>
      <c r="B438" s="4">
        <v>64916</v>
      </c>
      <c r="C438" s="3" t="s">
        <v>9</v>
      </c>
      <c r="D438" s="18">
        <v>9.5000000000000001E-2</v>
      </c>
      <c r="E438" s="21">
        <f t="shared" si="49"/>
        <v>7.5915342905825689E-3</v>
      </c>
      <c r="F438" s="5">
        <v>37412</v>
      </c>
      <c r="G438" s="5">
        <v>38696</v>
      </c>
      <c r="H438" s="16">
        <f t="shared" si="41"/>
        <v>1284</v>
      </c>
      <c r="I438" s="5">
        <v>38696</v>
      </c>
      <c r="J438" s="5">
        <v>38433</v>
      </c>
      <c r="K438" s="16">
        <f t="shared" si="42"/>
        <v>1021</v>
      </c>
      <c r="L438" s="13">
        <v>11323.97</v>
      </c>
      <c r="M438" s="15">
        <f t="shared" si="39"/>
        <v>310.87973923963784</v>
      </c>
      <c r="N438" s="13">
        <v>7795.46</v>
      </c>
      <c r="O438" s="13">
        <v>1339.76</v>
      </c>
      <c r="P438" s="11">
        <f>IF((G438)&gt;(ConstantDateCutoff),1,0)</f>
        <v>0</v>
      </c>
    </row>
    <row r="439" spans="1:16" ht="18.75" hidden="1" customHeight="1" thickBot="1" x14ac:dyDescent="0.3">
      <c r="A439" s="3" t="s">
        <v>11</v>
      </c>
      <c r="B439" s="4">
        <v>573994</v>
      </c>
      <c r="C439" s="3" t="s">
        <v>16</v>
      </c>
      <c r="D439" s="18">
        <v>9.9999999999999995E-8</v>
      </c>
      <c r="E439" s="21">
        <f t="shared" si="49"/>
        <v>8.3333329126134004E-9</v>
      </c>
      <c r="F439" s="5">
        <v>37420</v>
      </c>
      <c r="G439" s="5">
        <v>37450</v>
      </c>
      <c r="H439" s="16">
        <f t="shared" si="41"/>
        <v>30</v>
      </c>
      <c r="I439" s="5">
        <v>38027</v>
      </c>
      <c r="J439" s="5">
        <v>37867</v>
      </c>
      <c r="K439" s="16">
        <f t="shared" si="42"/>
        <v>447</v>
      </c>
      <c r="L439" s="13">
        <v>6050</v>
      </c>
      <c r="M439" s="15">
        <f t="shared" si="39"/>
        <v>6050.0000504166655</v>
      </c>
      <c r="N439" s="13">
        <v>5785.78</v>
      </c>
      <c r="O439" s="13">
        <v>283.64</v>
      </c>
      <c r="P439" s="11">
        <f>IF((G439)&gt;(ConstantDateCutoff),1,0)</f>
        <v>0</v>
      </c>
    </row>
    <row r="440" spans="1:16" ht="18.75" hidden="1" customHeight="1" thickBot="1" x14ac:dyDescent="0.3">
      <c r="A440" s="3" t="s">
        <v>11</v>
      </c>
      <c r="B440" s="4">
        <v>169029</v>
      </c>
      <c r="C440" s="3" t="s">
        <v>15</v>
      </c>
      <c r="D440" s="7">
        <v>0.1515</v>
      </c>
      <c r="E440" s="7">
        <f t="shared" si="40"/>
        <v>1.2624999999999999E-2</v>
      </c>
      <c r="F440" s="5">
        <v>41226</v>
      </c>
      <c r="G440" s="5">
        <v>2958465</v>
      </c>
      <c r="H440" s="8">
        <f t="shared" si="41"/>
        <v>2917239</v>
      </c>
      <c r="I440" s="5">
        <v>2958465</v>
      </c>
      <c r="J440" s="5">
        <v>41379</v>
      </c>
      <c r="K440" s="8">
        <f t="shared" si="42"/>
        <v>153</v>
      </c>
      <c r="L440" s="6">
        <v>311</v>
      </c>
      <c r="M440" s="9">
        <f t="shared" si="39"/>
        <v>3.9263749999999997</v>
      </c>
      <c r="N440" s="6">
        <v>296.14999999999998</v>
      </c>
      <c r="O440" s="6">
        <v>0</v>
      </c>
      <c r="P440" s="6">
        <v>0</v>
      </c>
    </row>
    <row r="441" spans="1:16" ht="18.75" customHeight="1" thickBot="1" x14ac:dyDescent="0.3">
      <c r="A441" s="3" t="s">
        <v>11</v>
      </c>
      <c r="B441" s="4">
        <v>745281</v>
      </c>
      <c r="C441" s="3" t="s">
        <v>9</v>
      </c>
      <c r="D441" s="18">
        <v>0.1225</v>
      </c>
      <c r="E441" s="21">
        <f t="shared" ref="E441:E488" si="50">(1+D441)^(1/12)-1</f>
        <v>9.6763780332134175E-3</v>
      </c>
      <c r="F441" s="5">
        <v>37468</v>
      </c>
      <c r="G441" s="5">
        <v>38200</v>
      </c>
      <c r="H441" s="16">
        <f t="shared" si="41"/>
        <v>732</v>
      </c>
      <c r="I441" s="5">
        <v>38280</v>
      </c>
      <c r="J441" s="5">
        <v>37966</v>
      </c>
      <c r="K441" s="16">
        <f t="shared" si="42"/>
        <v>498</v>
      </c>
      <c r="L441" s="13">
        <v>7488.42</v>
      </c>
      <c r="M441" s="15">
        <f t="shared" si="39"/>
        <v>346.03284972666893</v>
      </c>
      <c r="N441" s="13">
        <v>4859.1099999999997</v>
      </c>
      <c r="O441" s="13">
        <v>836.2</v>
      </c>
      <c r="P441" s="11">
        <f t="shared" ref="P441:P488" si="51">IF((G441)&gt;(ConstantDateCutoff),1,0)</f>
        <v>0</v>
      </c>
    </row>
    <row r="442" spans="1:16" ht="18.75" customHeight="1" thickBot="1" x14ac:dyDescent="0.3">
      <c r="A442" s="3" t="s">
        <v>11</v>
      </c>
      <c r="B442" s="4">
        <v>806603</v>
      </c>
      <c r="C442" s="3" t="s">
        <v>9</v>
      </c>
      <c r="D442" s="18">
        <v>0.125</v>
      </c>
      <c r="E442" s="21">
        <f t="shared" si="50"/>
        <v>9.8635805532114595E-3</v>
      </c>
      <c r="F442" s="5">
        <v>37509</v>
      </c>
      <c r="G442" s="5">
        <v>38239</v>
      </c>
      <c r="H442" s="16">
        <f t="shared" si="41"/>
        <v>730</v>
      </c>
      <c r="I442" s="5">
        <v>38239</v>
      </c>
      <c r="J442" s="5">
        <v>37887</v>
      </c>
      <c r="K442" s="16">
        <f t="shared" si="42"/>
        <v>378</v>
      </c>
      <c r="L442" s="13">
        <v>2507.56</v>
      </c>
      <c r="M442" s="15">
        <f t="shared" si="39"/>
        <v>116.41637023357731</v>
      </c>
      <c r="N442" s="13">
        <v>2108.7600000000002</v>
      </c>
      <c r="O442" s="13">
        <v>0</v>
      </c>
      <c r="P442" s="11">
        <f t="shared" si="51"/>
        <v>0</v>
      </c>
    </row>
    <row r="443" spans="1:16" ht="18.75" customHeight="1" thickBot="1" x14ac:dyDescent="0.3">
      <c r="A443" s="3" t="s">
        <v>11</v>
      </c>
      <c r="B443" s="4">
        <v>656124</v>
      </c>
      <c r="C443" s="3" t="s">
        <v>12</v>
      </c>
      <c r="D443" s="18">
        <v>9.2499999999999999E-2</v>
      </c>
      <c r="E443" s="21">
        <f t="shared" si="50"/>
        <v>7.3996302871768282E-3</v>
      </c>
      <c r="F443" s="5">
        <v>37516</v>
      </c>
      <c r="G443" s="5">
        <v>39342</v>
      </c>
      <c r="H443" s="16">
        <f t="shared" si="41"/>
        <v>1826</v>
      </c>
      <c r="I443" s="5">
        <v>40009</v>
      </c>
      <c r="J443" s="5">
        <v>39429</v>
      </c>
      <c r="K443" s="16">
        <f t="shared" si="42"/>
        <v>1913</v>
      </c>
      <c r="L443" s="13">
        <v>14228.34</v>
      </c>
      <c r="M443" s="15">
        <f t="shared" si="39"/>
        <v>291.19237232257763</v>
      </c>
      <c r="N443" s="13">
        <v>2504.11</v>
      </c>
      <c r="O443" s="13">
        <v>275</v>
      </c>
      <c r="P443" s="11">
        <f t="shared" si="51"/>
        <v>0</v>
      </c>
    </row>
    <row r="444" spans="1:16" ht="18.75" customHeight="1" thickBot="1" x14ac:dyDescent="0.3">
      <c r="A444" s="3" t="s">
        <v>11</v>
      </c>
      <c r="B444" s="4">
        <v>140690</v>
      </c>
      <c r="C444" s="3" t="s">
        <v>9</v>
      </c>
      <c r="D444" s="18">
        <v>0.1275</v>
      </c>
      <c r="E444" s="21">
        <f t="shared" si="50"/>
        <v>1.0050402122422808E-2</v>
      </c>
      <c r="F444" s="5">
        <v>37606</v>
      </c>
      <c r="G444" s="5">
        <v>38337</v>
      </c>
      <c r="H444" s="16">
        <f t="shared" si="41"/>
        <v>731</v>
      </c>
      <c r="I444" s="5">
        <v>38411</v>
      </c>
      <c r="J444" s="5">
        <v>38149</v>
      </c>
      <c r="K444" s="16">
        <f t="shared" si="42"/>
        <v>543</v>
      </c>
      <c r="L444" s="13">
        <v>4566.42</v>
      </c>
      <c r="M444" s="15">
        <f t="shared" si="39"/>
        <v>212.22274242872513</v>
      </c>
      <c r="N444" s="13">
        <v>2970.77</v>
      </c>
      <c r="O444" s="13">
        <v>0</v>
      </c>
      <c r="P444" s="11">
        <f t="shared" si="51"/>
        <v>0</v>
      </c>
    </row>
    <row r="445" spans="1:16" ht="18.75" customHeight="1" thickBot="1" x14ac:dyDescent="0.3">
      <c r="A445" s="3" t="s">
        <v>11</v>
      </c>
      <c r="B445" s="4">
        <v>110583</v>
      </c>
      <c r="C445" s="3" t="s">
        <v>9</v>
      </c>
      <c r="D445" s="18">
        <v>7.7499999999999999E-2</v>
      </c>
      <c r="E445" s="21">
        <f t="shared" si="50"/>
        <v>6.2396814612857288E-3</v>
      </c>
      <c r="F445" s="5">
        <v>37718</v>
      </c>
      <c r="G445" s="5">
        <v>38817</v>
      </c>
      <c r="H445" s="16">
        <f t="shared" si="41"/>
        <v>1099</v>
      </c>
      <c r="I445" s="5">
        <v>38878</v>
      </c>
      <c r="J445" s="5">
        <v>38531</v>
      </c>
      <c r="K445" s="16">
        <f t="shared" si="42"/>
        <v>813</v>
      </c>
      <c r="L445" s="13">
        <v>5296.22</v>
      </c>
      <c r="M445" s="15">
        <f t="shared" si="39"/>
        <v>162.17472462938011</v>
      </c>
      <c r="N445" s="13">
        <v>2684.02</v>
      </c>
      <c r="O445" s="13">
        <v>1460.71</v>
      </c>
      <c r="P445" s="11">
        <f t="shared" si="51"/>
        <v>0</v>
      </c>
    </row>
    <row r="446" spans="1:16" ht="18.75" customHeight="1" thickBot="1" x14ac:dyDescent="0.3">
      <c r="A446" s="3" t="s">
        <v>11</v>
      </c>
      <c r="B446" s="4">
        <v>79971</v>
      </c>
      <c r="C446" s="3" t="s">
        <v>9</v>
      </c>
      <c r="D446" s="18">
        <v>0.08</v>
      </c>
      <c r="E446" s="21">
        <f t="shared" si="50"/>
        <v>6.4340301100034303E-3</v>
      </c>
      <c r="F446" s="5">
        <v>37735</v>
      </c>
      <c r="G446" s="5">
        <v>39196</v>
      </c>
      <c r="H446" s="16">
        <f t="shared" si="41"/>
        <v>1461</v>
      </c>
      <c r="I446" s="5">
        <v>39226</v>
      </c>
      <c r="J446" s="5">
        <v>38162</v>
      </c>
      <c r="K446" s="16">
        <f t="shared" si="42"/>
        <v>427</v>
      </c>
      <c r="L446" s="13">
        <v>9140.2000000000007</v>
      </c>
      <c r="M446" s="15">
        <f t="shared" si="39"/>
        <v>219.21924356242329</v>
      </c>
      <c r="N446" s="13">
        <v>3831.48</v>
      </c>
      <c r="O446" s="13">
        <v>0</v>
      </c>
      <c r="P446" s="11">
        <f t="shared" si="51"/>
        <v>0</v>
      </c>
    </row>
    <row r="447" spans="1:16" ht="18.75" customHeight="1" thickBot="1" x14ac:dyDescent="0.3">
      <c r="A447" s="3" t="s">
        <v>11</v>
      </c>
      <c r="B447" s="4">
        <v>195335</v>
      </c>
      <c r="C447" s="3" t="s">
        <v>12</v>
      </c>
      <c r="D447" s="18">
        <v>7.4999999999999997E-2</v>
      </c>
      <c r="E447" s="21">
        <f t="shared" si="50"/>
        <v>6.0449190242917172E-3</v>
      </c>
      <c r="F447" s="5">
        <v>37756</v>
      </c>
      <c r="G447" s="5">
        <v>38852</v>
      </c>
      <c r="H447" s="16">
        <f t="shared" si="41"/>
        <v>1096</v>
      </c>
      <c r="I447" s="5">
        <v>38852</v>
      </c>
      <c r="J447" s="5">
        <v>38062</v>
      </c>
      <c r="K447" s="16">
        <f t="shared" si="42"/>
        <v>306</v>
      </c>
      <c r="L447" s="13">
        <v>5904</v>
      </c>
      <c r="M447" s="15">
        <f t="shared" si="39"/>
        <v>180.59269457678849</v>
      </c>
      <c r="N447" s="13">
        <v>6525.47</v>
      </c>
      <c r="O447" s="13">
        <v>54</v>
      </c>
      <c r="P447" s="11">
        <f t="shared" si="51"/>
        <v>0</v>
      </c>
    </row>
    <row r="448" spans="1:16" ht="18.75" customHeight="1" thickBot="1" x14ac:dyDescent="0.3">
      <c r="A448" s="3" t="s">
        <v>11</v>
      </c>
      <c r="B448" s="4">
        <v>375256</v>
      </c>
      <c r="C448" s="3" t="s">
        <v>16</v>
      </c>
      <c r="D448" s="18">
        <v>0.12</v>
      </c>
      <c r="E448" s="21">
        <f t="shared" si="50"/>
        <v>9.4887929345830457E-3</v>
      </c>
      <c r="F448" s="5">
        <v>37756</v>
      </c>
      <c r="G448" s="5">
        <v>38487</v>
      </c>
      <c r="H448" s="16">
        <f t="shared" si="41"/>
        <v>731</v>
      </c>
      <c r="I448" s="5">
        <v>39291</v>
      </c>
      <c r="J448" s="5">
        <v>39262</v>
      </c>
      <c r="K448" s="16">
        <f t="shared" si="42"/>
        <v>1506</v>
      </c>
      <c r="L448" s="13">
        <v>15050</v>
      </c>
      <c r="M448" s="15">
        <f t="shared" si="39"/>
        <v>694.71211353622766</v>
      </c>
      <c r="N448" s="13">
        <v>8211.73</v>
      </c>
      <c r="O448" s="13">
        <v>2465.7199999999998</v>
      </c>
      <c r="P448" s="11">
        <f t="shared" si="51"/>
        <v>0</v>
      </c>
    </row>
    <row r="449" spans="1:16" ht="18.75" customHeight="1" thickBot="1" x14ac:dyDescent="0.3">
      <c r="A449" s="3" t="s">
        <v>11</v>
      </c>
      <c r="B449" s="4">
        <v>337692</v>
      </c>
      <c r="C449" s="3" t="s">
        <v>16</v>
      </c>
      <c r="D449" s="18">
        <v>0.105</v>
      </c>
      <c r="E449" s="21">
        <f t="shared" si="50"/>
        <v>8.355155683635207E-3</v>
      </c>
      <c r="F449" s="5">
        <v>37804</v>
      </c>
      <c r="G449" s="5">
        <v>38732</v>
      </c>
      <c r="H449" s="16">
        <f t="shared" si="41"/>
        <v>928</v>
      </c>
      <c r="I449" s="5">
        <v>38791</v>
      </c>
      <c r="J449" s="5">
        <v>38694</v>
      </c>
      <c r="K449" s="16">
        <f t="shared" si="42"/>
        <v>890</v>
      </c>
      <c r="L449" s="13">
        <v>3340.61</v>
      </c>
      <c r="M449" s="15">
        <f t="shared" si="39"/>
        <v>122.99803237732192</v>
      </c>
      <c r="N449" s="13">
        <v>912.01</v>
      </c>
      <c r="O449" s="13">
        <v>130</v>
      </c>
      <c r="P449" s="11">
        <f t="shared" si="51"/>
        <v>0</v>
      </c>
    </row>
    <row r="450" spans="1:16" ht="18.75" customHeight="1" thickBot="1" x14ac:dyDescent="0.3">
      <c r="A450" s="3" t="s">
        <v>11</v>
      </c>
      <c r="B450" s="4">
        <v>359518</v>
      </c>
      <c r="C450" s="3" t="s">
        <v>9</v>
      </c>
      <c r="D450" s="18">
        <v>0.125</v>
      </c>
      <c r="E450" s="21">
        <f t="shared" si="50"/>
        <v>9.8635805532114595E-3</v>
      </c>
      <c r="F450" s="5">
        <v>37834</v>
      </c>
      <c r="G450" s="5">
        <v>38563</v>
      </c>
      <c r="H450" s="16">
        <f t="shared" si="41"/>
        <v>729</v>
      </c>
      <c r="I450" s="5">
        <v>38594</v>
      </c>
      <c r="J450" s="5">
        <v>38531</v>
      </c>
      <c r="K450" s="16">
        <f t="shared" si="42"/>
        <v>697</v>
      </c>
      <c r="L450" s="13">
        <v>3550</v>
      </c>
      <c r="M450" s="15">
        <f t="shared" ref="M450:M513" si="52">-PMT(E450,(H450/30),L450)</f>
        <v>165.01300906791528</v>
      </c>
      <c r="N450" s="13">
        <v>664.74</v>
      </c>
      <c r="O450" s="13">
        <v>50</v>
      </c>
      <c r="P450" s="11">
        <f t="shared" si="51"/>
        <v>0</v>
      </c>
    </row>
    <row r="451" spans="1:16" ht="18.75" customHeight="1" thickBot="1" x14ac:dyDescent="0.3">
      <c r="A451" s="3" t="s">
        <v>11</v>
      </c>
      <c r="B451" s="4">
        <v>277004</v>
      </c>
      <c r="C451" s="3" t="s">
        <v>9</v>
      </c>
      <c r="D451" s="18">
        <v>0.06</v>
      </c>
      <c r="E451" s="21">
        <f t="shared" si="50"/>
        <v>4.8675505653430484E-3</v>
      </c>
      <c r="F451" s="5">
        <v>37909</v>
      </c>
      <c r="G451" s="5">
        <v>39558</v>
      </c>
      <c r="H451" s="16">
        <f t="shared" ref="H451:H514" si="53">G451-F451</f>
        <v>1649</v>
      </c>
      <c r="I451" s="5">
        <v>39588</v>
      </c>
      <c r="J451" s="5">
        <v>38433</v>
      </c>
      <c r="K451" s="16">
        <f t="shared" ref="K451:K514" si="54">J451-F451</f>
        <v>524</v>
      </c>
      <c r="L451" s="13">
        <v>17189.75</v>
      </c>
      <c r="M451" s="15">
        <f t="shared" si="52"/>
        <v>357.18575707874322</v>
      </c>
      <c r="N451" s="13">
        <v>13904.53</v>
      </c>
      <c r="O451" s="13">
        <v>6320</v>
      </c>
      <c r="P451" s="11">
        <f t="shared" si="51"/>
        <v>0</v>
      </c>
    </row>
    <row r="452" spans="1:16" ht="18.75" customHeight="1" thickBot="1" x14ac:dyDescent="0.3">
      <c r="A452" s="3" t="s">
        <v>11</v>
      </c>
      <c r="B452" s="4">
        <v>485370</v>
      </c>
      <c r="C452" s="3" t="s">
        <v>9</v>
      </c>
      <c r="D452" s="18">
        <v>7.7499999999999999E-2</v>
      </c>
      <c r="E452" s="21">
        <f t="shared" si="50"/>
        <v>6.2396814612857288E-3</v>
      </c>
      <c r="F452" s="5">
        <v>37937</v>
      </c>
      <c r="G452" s="5">
        <v>39401</v>
      </c>
      <c r="H452" s="16">
        <f t="shared" si="53"/>
        <v>1464</v>
      </c>
      <c r="I452" s="5">
        <v>39401</v>
      </c>
      <c r="J452" s="5">
        <v>38342</v>
      </c>
      <c r="K452" s="16">
        <f t="shared" si="54"/>
        <v>405</v>
      </c>
      <c r="L452" s="13">
        <v>29715.91</v>
      </c>
      <c r="M452" s="15">
        <f t="shared" si="52"/>
        <v>708.22240867566529</v>
      </c>
      <c r="N452" s="13">
        <v>27868.69</v>
      </c>
      <c r="O452" s="13">
        <v>3433.16</v>
      </c>
      <c r="P452" s="11">
        <f t="shared" si="51"/>
        <v>0</v>
      </c>
    </row>
    <row r="453" spans="1:16" ht="18.75" customHeight="1" thickBot="1" x14ac:dyDescent="0.3">
      <c r="A453" s="3" t="s">
        <v>11</v>
      </c>
      <c r="B453" s="4">
        <v>283972</v>
      </c>
      <c r="C453" s="3" t="s">
        <v>9</v>
      </c>
      <c r="D453" s="18">
        <v>8.5000000000000006E-2</v>
      </c>
      <c r="E453" s="21">
        <f t="shared" si="50"/>
        <v>6.8214933659622723E-3</v>
      </c>
      <c r="F453" s="5">
        <v>38054</v>
      </c>
      <c r="G453" s="5">
        <v>39880</v>
      </c>
      <c r="H453" s="16">
        <f t="shared" si="53"/>
        <v>1826</v>
      </c>
      <c r="I453" s="5">
        <v>39984</v>
      </c>
      <c r="J453" s="5">
        <v>38617</v>
      </c>
      <c r="K453" s="16">
        <f t="shared" si="54"/>
        <v>563</v>
      </c>
      <c r="L453" s="13">
        <v>16355.24</v>
      </c>
      <c r="M453" s="15">
        <f t="shared" si="52"/>
        <v>329.24125190772702</v>
      </c>
      <c r="N453" s="13">
        <v>13660.68</v>
      </c>
      <c r="O453" s="13">
        <v>4242</v>
      </c>
      <c r="P453" s="11">
        <f t="shared" si="51"/>
        <v>0</v>
      </c>
    </row>
    <row r="454" spans="1:16" ht="18.75" customHeight="1" thickBot="1" x14ac:dyDescent="0.3">
      <c r="A454" s="3" t="s">
        <v>11</v>
      </c>
      <c r="B454" s="4">
        <v>761894</v>
      </c>
      <c r="C454" s="3" t="s">
        <v>9</v>
      </c>
      <c r="D454" s="18">
        <v>7.1499999999999994E-2</v>
      </c>
      <c r="E454" s="21">
        <f t="shared" si="50"/>
        <v>5.7715529303064006E-3</v>
      </c>
      <c r="F454" s="5">
        <v>38532</v>
      </c>
      <c r="G454" s="5">
        <v>40723</v>
      </c>
      <c r="H454" s="16">
        <f t="shared" si="53"/>
        <v>2191</v>
      </c>
      <c r="I454" s="5">
        <v>40753</v>
      </c>
      <c r="J454" s="5">
        <v>39798</v>
      </c>
      <c r="K454" s="16">
        <f t="shared" si="54"/>
        <v>1266</v>
      </c>
      <c r="L454" s="13">
        <v>36520.06</v>
      </c>
      <c r="M454" s="15">
        <f t="shared" si="52"/>
        <v>614.23773649999293</v>
      </c>
      <c r="N454" s="13">
        <v>19325.02</v>
      </c>
      <c r="O454" s="13">
        <v>6020</v>
      </c>
      <c r="P454" s="11">
        <f t="shared" si="51"/>
        <v>0</v>
      </c>
    </row>
    <row r="455" spans="1:16" ht="18.75" customHeight="1" thickBot="1" x14ac:dyDescent="0.3">
      <c r="A455" s="3" t="s">
        <v>11</v>
      </c>
      <c r="B455" s="4">
        <v>612833</v>
      </c>
      <c r="C455" s="3" t="s">
        <v>9</v>
      </c>
      <c r="D455" s="18">
        <v>0.1</v>
      </c>
      <c r="E455" s="21">
        <f t="shared" si="50"/>
        <v>7.9741404289037643E-3</v>
      </c>
      <c r="F455" s="5">
        <v>38561</v>
      </c>
      <c r="G455" s="5">
        <v>39161</v>
      </c>
      <c r="H455" s="16">
        <f t="shared" si="53"/>
        <v>600</v>
      </c>
      <c r="I455" s="5">
        <v>39706</v>
      </c>
      <c r="J455" s="5">
        <v>39349</v>
      </c>
      <c r="K455" s="16">
        <f t="shared" si="54"/>
        <v>788</v>
      </c>
      <c r="L455" s="13">
        <v>8475.1</v>
      </c>
      <c r="M455" s="15">
        <f t="shared" si="52"/>
        <v>460.12736078621469</v>
      </c>
      <c r="N455" s="13">
        <v>2688.69</v>
      </c>
      <c r="O455" s="13">
        <v>1778.87</v>
      </c>
      <c r="P455" s="11">
        <f t="shared" si="51"/>
        <v>0</v>
      </c>
    </row>
    <row r="456" spans="1:16" ht="18.75" customHeight="1" thickBot="1" x14ac:dyDescent="0.3">
      <c r="A456" s="3" t="s">
        <v>11</v>
      </c>
      <c r="B456" s="4">
        <v>678491</v>
      </c>
      <c r="C456" s="3" t="s">
        <v>9</v>
      </c>
      <c r="D456" s="18">
        <v>0.13650000000000001</v>
      </c>
      <c r="E456" s="21">
        <f t="shared" si="50"/>
        <v>1.0719830392053042E-2</v>
      </c>
      <c r="F456" s="5">
        <v>38566</v>
      </c>
      <c r="G456" s="5">
        <v>39314</v>
      </c>
      <c r="H456" s="16">
        <f t="shared" si="53"/>
        <v>748</v>
      </c>
      <c r="I456" s="5">
        <v>39406</v>
      </c>
      <c r="J456" s="5">
        <v>38883</v>
      </c>
      <c r="K456" s="16">
        <f t="shared" si="54"/>
        <v>317</v>
      </c>
      <c r="L456" s="13">
        <v>3126.83</v>
      </c>
      <c r="M456" s="15">
        <f t="shared" si="52"/>
        <v>143.57988191413844</v>
      </c>
      <c r="N456" s="13">
        <v>2745.28</v>
      </c>
      <c r="O456" s="13">
        <v>0</v>
      </c>
      <c r="P456" s="11">
        <f t="shared" si="51"/>
        <v>0</v>
      </c>
    </row>
    <row r="457" spans="1:16" ht="18.75" customHeight="1" thickBot="1" x14ac:dyDescent="0.3">
      <c r="A457" s="3" t="s">
        <v>11</v>
      </c>
      <c r="B457" s="4">
        <v>575392</v>
      </c>
      <c r="C457" s="3" t="s">
        <v>9</v>
      </c>
      <c r="D457" s="18">
        <v>7.6499999999999999E-2</v>
      </c>
      <c r="E457" s="21">
        <f t="shared" si="50"/>
        <v>6.1618262441982541E-3</v>
      </c>
      <c r="F457" s="5">
        <v>38579</v>
      </c>
      <c r="G457" s="5">
        <v>40405</v>
      </c>
      <c r="H457" s="16">
        <f t="shared" si="53"/>
        <v>1826</v>
      </c>
      <c r="I457" s="5">
        <v>40405</v>
      </c>
      <c r="J457" s="5">
        <v>39429</v>
      </c>
      <c r="K457" s="16">
        <f t="shared" si="54"/>
        <v>850</v>
      </c>
      <c r="L457" s="13">
        <v>20580.939999999999</v>
      </c>
      <c r="M457" s="15">
        <f t="shared" si="52"/>
        <v>406.52251430890345</v>
      </c>
      <c r="N457" s="13">
        <v>1676.52</v>
      </c>
      <c r="O457" s="13">
        <v>337.84</v>
      </c>
      <c r="P457" s="11">
        <f t="shared" si="51"/>
        <v>0</v>
      </c>
    </row>
    <row r="458" spans="1:16" ht="18.75" customHeight="1" thickBot="1" x14ac:dyDescent="0.3">
      <c r="A458" s="3" t="s">
        <v>11</v>
      </c>
      <c r="B458" s="4">
        <v>262642</v>
      </c>
      <c r="C458" s="3" t="s">
        <v>16</v>
      </c>
      <c r="D458" s="18">
        <v>9.5000000000000001E-2</v>
      </c>
      <c r="E458" s="21">
        <f t="shared" si="50"/>
        <v>7.5915342905825689E-3</v>
      </c>
      <c r="F458" s="5">
        <v>38580</v>
      </c>
      <c r="G458" s="5">
        <v>39156</v>
      </c>
      <c r="H458" s="16">
        <f t="shared" si="53"/>
        <v>576</v>
      </c>
      <c r="I458" s="5">
        <v>39156</v>
      </c>
      <c r="J458" s="5">
        <v>39069</v>
      </c>
      <c r="K458" s="16">
        <f t="shared" si="54"/>
        <v>489</v>
      </c>
      <c r="L458" s="13">
        <v>3550</v>
      </c>
      <c r="M458" s="15">
        <f t="shared" si="52"/>
        <v>199.39773909007857</v>
      </c>
      <c r="N458" s="13">
        <v>3550</v>
      </c>
      <c r="O458" s="13">
        <v>0</v>
      </c>
      <c r="P458" s="11">
        <f t="shared" si="51"/>
        <v>0</v>
      </c>
    </row>
    <row r="459" spans="1:16" ht="18.75" customHeight="1" thickBot="1" x14ac:dyDescent="0.3">
      <c r="A459" s="3" t="s">
        <v>11</v>
      </c>
      <c r="B459" s="4">
        <v>936379</v>
      </c>
      <c r="C459" s="3" t="s">
        <v>9</v>
      </c>
      <c r="D459" s="18">
        <v>0.09</v>
      </c>
      <c r="E459" s="21">
        <f t="shared" si="50"/>
        <v>7.2073233161367156E-3</v>
      </c>
      <c r="F459" s="5">
        <v>38653</v>
      </c>
      <c r="G459" s="5">
        <v>40118</v>
      </c>
      <c r="H459" s="16">
        <f t="shared" si="53"/>
        <v>1465</v>
      </c>
      <c r="I459" s="5">
        <v>40959</v>
      </c>
      <c r="J459" s="5">
        <v>40171</v>
      </c>
      <c r="K459" s="16">
        <f t="shared" si="54"/>
        <v>1518</v>
      </c>
      <c r="L459" s="13">
        <v>34238.51</v>
      </c>
      <c r="M459" s="15">
        <f t="shared" si="52"/>
        <v>834.23447425816676</v>
      </c>
      <c r="N459" s="13">
        <v>12524.8</v>
      </c>
      <c r="O459" s="13">
        <v>2052.5500000000002</v>
      </c>
      <c r="P459" s="11">
        <f t="shared" si="51"/>
        <v>0</v>
      </c>
    </row>
    <row r="460" spans="1:16" ht="18.75" customHeight="1" thickBot="1" x14ac:dyDescent="0.3">
      <c r="A460" s="3" t="s">
        <v>11</v>
      </c>
      <c r="B460" s="4">
        <v>6359</v>
      </c>
      <c r="C460" s="3" t="s">
        <v>9</v>
      </c>
      <c r="D460" s="18">
        <v>0.12</v>
      </c>
      <c r="E460" s="21">
        <f t="shared" si="50"/>
        <v>9.4887929345830457E-3</v>
      </c>
      <c r="F460" s="5">
        <v>39105</v>
      </c>
      <c r="G460" s="5">
        <v>39833</v>
      </c>
      <c r="H460" s="16">
        <f t="shared" si="53"/>
        <v>728</v>
      </c>
      <c r="I460" s="5">
        <v>39833</v>
      </c>
      <c r="J460" s="5">
        <v>39429</v>
      </c>
      <c r="K460" s="16">
        <f t="shared" si="54"/>
        <v>324</v>
      </c>
      <c r="L460" s="13">
        <v>1960</v>
      </c>
      <c r="M460" s="15">
        <f t="shared" si="52"/>
        <v>90.805720335016431</v>
      </c>
      <c r="N460" s="13">
        <v>1183.98</v>
      </c>
      <c r="O460" s="13">
        <v>400</v>
      </c>
      <c r="P460" s="11">
        <f t="shared" si="51"/>
        <v>0</v>
      </c>
    </row>
    <row r="461" spans="1:16" ht="18.75" customHeight="1" thickBot="1" x14ac:dyDescent="0.3">
      <c r="A461" s="3" t="s">
        <v>11</v>
      </c>
      <c r="B461" s="4">
        <v>860711</v>
      </c>
      <c r="C461" s="3" t="s">
        <v>9</v>
      </c>
      <c r="D461" s="18">
        <v>9.4E-2</v>
      </c>
      <c r="E461" s="21">
        <f t="shared" si="50"/>
        <v>7.5148209323356863E-3</v>
      </c>
      <c r="F461" s="5">
        <v>39111</v>
      </c>
      <c r="G461" s="5">
        <v>40571</v>
      </c>
      <c r="H461" s="16">
        <f t="shared" si="53"/>
        <v>1460</v>
      </c>
      <c r="I461" s="5">
        <v>40571</v>
      </c>
      <c r="J461" s="5">
        <v>39798</v>
      </c>
      <c r="K461" s="16">
        <f t="shared" si="54"/>
        <v>687</v>
      </c>
      <c r="L461" s="13">
        <v>9060</v>
      </c>
      <c r="M461" s="15">
        <f t="shared" si="52"/>
        <v>222.96781747844705</v>
      </c>
      <c r="N461" s="13">
        <v>6093.82</v>
      </c>
      <c r="O461" s="13">
        <v>2428.7600000000002</v>
      </c>
      <c r="P461" s="11">
        <f t="shared" si="51"/>
        <v>0</v>
      </c>
    </row>
    <row r="462" spans="1:16" ht="18.75" customHeight="1" thickBot="1" x14ac:dyDescent="0.3">
      <c r="A462" s="3" t="s">
        <v>11</v>
      </c>
      <c r="B462" s="4">
        <v>474216</v>
      </c>
      <c r="C462" s="3" t="s">
        <v>2</v>
      </c>
      <c r="D462" s="18">
        <v>4.9799999999999997E-2</v>
      </c>
      <c r="E462" s="21">
        <f t="shared" si="50"/>
        <v>4.0581847075893407E-3</v>
      </c>
      <c r="F462" s="5">
        <v>39121</v>
      </c>
      <c r="G462" s="5">
        <v>43511</v>
      </c>
      <c r="H462" s="16">
        <f t="shared" si="53"/>
        <v>4390</v>
      </c>
      <c r="I462" s="5">
        <v>47557</v>
      </c>
      <c r="J462" s="5">
        <v>45441</v>
      </c>
      <c r="K462" s="16">
        <f t="shared" si="54"/>
        <v>6320</v>
      </c>
      <c r="L462" s="13">
        <v>210039.82</v>
      </c>
      <c r="M462" s="15">
        <f t="shared" si="52"/>
        <v>1906.3048002968781</v>
      </c>
      <c r="N462" s="13">
        <v>120478.85</v>
      </c>
      <c r="O462" s="13">
        <v>0</v>
      </c>
      <c r="P462" s="11">
        <f t="shared" si="51"/>
        <v>1</v>
      </c>
    </row>
    <row r="463" spans="1:16" ht="18.75" customHeight="1" thickBot="1" x14ac:dyDescent="0.3">
      <c r="A463" s="3" t="s">
        <v>11</v>
      </c>
      <c r="B463" s="4">
        <v>208871</v>
      </c>
      <c r="C463" s="3" t="s">
        <v>9</v>
      </c>
      <c r="D463" s="18">
        <v>0.14899999999999999</v>
      </c>
      <c r="E463" s="21">
        <f t="shared" si="50"/>
        <v>1.1641575009651461E-2</v>
      </c>
      <c r="F463" s="5">
        <v>39171</v>
      </c>
      <c r="G463" s="5">
        <v>39918</v>
      </c>
      <c r="H463" s="16">
        <f t="shared" si="53"/>
        <v>747</v>
      </c>
      <c r="I463" s="5">
        <v>39918</v>
      </c>
      <c r="J463" s="5">
        <v>39716</v>
      </c>
      <c r="K463" s="16">
        <f t="shared" si="54"/>
        <v>545</v>
      </c>
      <c r="L463" s="13">
        <v>4259.6499999999996</v>
      </c>
      <c r="M463" s="15">
        <f t="shared" si="52"/>
        <v>198.04796309124762</v>
      </c>
      <c r="N463" s="13">
        <v>2663.4</v>
      </c>
      <c r="O463" s="13">
        <v>50</v>
      </c>
      <c r="P463" s="11">
        <f t="shared" si="51"/>
        <v>0</v>
      </c>
    </row>
    <row r="464" spans="1:16" ht="18.75" customHeight="1" thickBot="1" x14ac:dyDescent="0.3">
      <c r="A464" s="3" t="s">
        <v>11</v>
      </c>
      <c r="B464" s="4">
        <v>561412</v>
      </c>
      <c r="C464" s="3" t="s">
        <v>9</v>
      </c>
      <c r="D464" s="18">
        <v>9.9000000000000005E-2</v>
      </c>
      <c r="E464" s="21">
        <f t="shared" si="50"/>
        <v>7.8977469157408553E-3</v>
      </c>
      <c r="F464" s="5">
        <v>39204</v>
      </c>
      <c r="G464" s="5">
        <v>40684</v>
      </c>
      <c r="H464" s="16">
        <f t="shared" si="53"/>
        <v>1480</v>
      </c>
      <c r="I464" s="5">
        <v>40684</v>
      </c>
      <c r="J464" s="5">
        <v>39393</v>
      </c>
      <c r="K464" s="16">
        <f t="shared" si="54"/>
        <v>189</v>
      </c>
      <c r="L464" s="13">
        <v>12246.57</v>
      </c>
      <c r="M464" s="15">
        <f t="shared" si="52"/>
        <v>300.70063194414877</v>
      </c>
      <c r="N464" s="13">
        <v>7110</v>
      </c>
      <c r="O464" s="13">
        <v>0</v>
      </c>
      <c r="P464" s="11">
        <f t="shared" si="51"/>
        <v>0</v>
      </c>
    </row>
    <row r="465" spans="1:16" ht="18.75" customHeight="1" thickBot="1" x14ac:dyDescent="0.3">
      <c r="A465" s="3" t="s">
        <v>11</v>
      </c>
      <c r="B465" s="4">
        <v>591865</v>
      </c>
      <c r="C465" s="3" t="s">
        <v>9</v>
      </c>
      <c r="D465" s="18">
        <v>0.1</v>
      </c>
      <c r="E465" s="21">
        <f t="shared" si="50"/>
        <v>7.9741404289037643E-3</v>
      </c>
      <c r="F465" s="5">
        <v>39281</v>
      </c>
      <c r="G465" s="5">
        <v>40379</v>
      </c>
      <c r="H465" s="16">
        <f t="shared" si="53"/>
        <v>1098</v>
      </c>
      <c r="I465" s="5">
        <v>40471</v>
      </c>
      <c r="J465" s="5">
        <v>39897</v>
      </c>
      <c r="K465" s="16">
        <f t="shared" si="54"/>
        <v>616</v>
      </c>
      <c r="L465" s="13">
        <v>8181.57</v>
      </c>
      <c r="M465" s="15">
        <f t="shared" si="52"/>
        <v>258.62896852151317</v>
      </c>
      <c r="N465" s="13">
        <v>2769.19</v>
      </c>
      <c r="O465" s="13">
        <v>0</v>
      </c>
      <c r="P465" s="11">
        <f t="shared" si="51"/>
        <v>0</v>
      </c>
    </row>
    <row r="466" spans="1:16" ht="18.75" customHeight="1" thickBot="1" x14ac:dyDescent="0.3">
      <c r="A466" s="3" t="s">
        <v>11</v>
      </c>
      <c r="B466" s="4">
        <v>683791</v>
      </c>
      <c r="C466" s="3" t="s">
        <v>9</v>
      </c>
      <c r="D466" s="18">
        <v>0.129</v>
      </c>
      <c r="E466" s="21">
        <f t="shared" si="50"/>
        <v>1.0162312880815705E-2</v>
      </c>
      <c r="F466" s="5">
        <v>39317</v>
      </c>
      <c r="G466" s="5">
        <v>40612</v>
      </c>
      <c r="H466" s="16">
        <f t="shared" si="53"/>
        <v>1295</v>
      </c>
      <c r="I466" s="5">
        <v>40688</v>
      </c>
      <c r="J466" s="5">
        <v>40078</v>
      </c>
      <c r="K466" s="16">
        <f t="shared" si="54"/>
        <v>761</v>
      </c>
      <c r="L466" s="13">
        <v>9748.8799999999992</v>
      </c>
      <c r="M466" s="15">
        <f t="shared" si="52"/>
        <v>280.11596100170919</v>
      </c>
      <c r="N466" s="13">
        <v>6741.17</v>
      </c>
      <c r="O466" s="13">
        <v>3150</v>
      </c>
      <c r="P466" s="11">
        <f t="shared" si="51"/>
        <v>0</v>
      </c>
    </row>
    <row r="467" spans="1:16" ht="18.75" customHeight="1" thickBot="1" x14ac:dyDescent="0.3">
      <c r="A467" s="3" t="s">
        <v>11</v>
      </c>
      <c r="B467" s="4">
        <v>443443</v>
      </c>
      <c r="C467" s="3" t="s">
        <v>9</v>
      </c>
      <c r="D467" s="18">
        <v>0.114</v>
      </c>
      <c r="E467" s="21">
        <f t="shared" si="50"/>
        <v>9.0370179501075842E-3</v>
      </c>
      <c r="F467" s="5">
        <v>39345</v>
      </c>
      <c r="G467" s="5">
        <v>40801</v>
      </c>
      <c r="H467" s="16">
        <f t="shared" si="53"/>
        <v>1456</v>
      </c>
      <c r="I467" s="5">
        <v>40801</v>
      </c>
      <c r="J467" s="5">
        <v>39794</v>
      </c>
      <c r="K467" s="16">
        <f t="shared" si="54"/>
        <v>449</v>
      </c>
      <c r="L467" s="13">
        <v>13141.42</v>
      </c>
      <c r="M467" s="15">
        <f t="shared" si="52"/>
        <v>335.67974083163023</v>
      </c>
      <c r="N467" s="13">
        <v>8105.58</v>
      </c>
      <c r="O467" s="13">
        <v>1.64</v>
      </c>
      <c r="P467" s="11">
        <f t="shared" si="51"/>
        <v>0</v>
      </c>
    </row>
    <row r="468" spans="1:16" ht="18.75" customHeight="1" thickBot="1" x14ac:dyDescent="0.3">
      <c r="A468" s="3" t="s">
        <v>11</v>
      </c>
      <c r="B468" s="4">
        <v>141508</v>
      </c>
      <c r="C468" s="3" t="s">
        <v>9</v>
      </c>
      <c r="D468" s="18">
        <v>0.124</v>
      </c>
      <c r="E468" s="21">
        <f t="shared" si="50"/>
        <v>9.7887453502294441E-3</v>
      </c>
      <c r="F468" s="5">
        <v>39414</v>
      </c>
      <c r="G468" s="5">
        <v>40522</v>
      </c>
      <c r="H468" s="16">
        <f t="shared" si="53"/>
        <v>1108</v>
      </c>
      <c r="I468" s="5">
        <v>40522</v>
      </c>
      <c r="J468" s="5">
        <v>39576</v>
      </c>
      <c r="K468" s="16">
        <f t="shared" si="54"/>
        <v>162</v>
      </c>
      <c r="L468" s="13">
        <v>4597.3500000000004</v>
      </c>
      <c r="M468" s="15">
        <f t="shared" si="52"/>
        <v>148.93269305583601</v>
      </c>
      <c r="N468" s="13">
        <v>4216.5200000000004</v>
      </c>
      <c r="O468" s="13">
        <v>0</v>
      </c>
      <c r="P468" s="11">
        <f t="shared" si="51"/>
        <v>0</v>
      </c>
    </row>
    <row r="469" spans="1:16" ht="18.75" customHeight="1" thickBot="1" x14ac:dyDescent="0.3">
      <c r="A469" s="3" t="s">
        <v>11</v>
      </c>
      <c r="B469" s="4">
        <v>606955</v>
      </c>
      <c r="C469" s="3" t="s">
        <v>9</v>
      </c>
      <c r="D469" s="18">
        <v>0.14899999999999999</v>
      </c>
      <c r="E469" s="21">
        <f t="shared" si="50"/>
        <v>1.1641575009651461E-2</v>
      </c>
      <c r="F469" s="5">
        <v>39504</v>
      </c>
      <c r="G469" s="5">
        <v>40242</v>
      </c>
      <c r="H469" s="16">
        <f t="shared" si="53"/>
        <v>738</v>
      </c>
      <c r="I469" s="5">
        <v>41430</v>
      </c>
      <c r="J469" s="5">
        <v>39994</v>
      </c>
      <c r="K469" s="16">
        <f t="shared" si="54"/>
        <v>490</v>
      </c>
      <c r="L469" s="13">
        <v>3364.47</v>
      </c>
      <c r="M469" s="15">
        <f t="shared" si="52"/>
        <v>158.07358891813905</v>
      </c>
      <c r="N469" s="13">
        <v>2913.3</v>
      </c>
      <c r="O469" s="13">
        <v>300</v>
      </c>
      <c r="P469" s="11">
        <f t="shared" si="51"/>
        <v>0</v>
      </c>
    </row>
    <row r="470" spans="1:16" ht="18.75" customHeight="1" thickBot="1" x14ac:dyDescent="0.3">
      <c r="A470" s="3" t="s">
        <v>11</v>
      </c>
      <c r="B470" s="4">
        <v>456295</v>
      </c>
      <c r="C470" s="3" t="s">
        <v>9</v>
      </c>
      <c r="D470" s="18">
        <v>9.5000000000000001E-2</v>
      </c>
      <c r="E470" s="21">
        <f t="shared" si="50"/>
        <v>7.5915342905825689E-3</v>
      </c>
      <c r="F470" s="5">
        <v>39526</v>
      </c>
      <c r="G470" s="5">
        <v>41348</v>
      </c>
      <c r="H470" s="16">
        <f t="shared" si="53"/>
        <v>1822</v>
      </c>
      <c r="I470" s="5">
        <v>41379</v>
      </c>
      <c r="J470" s="5">
        <v>40248</v>
      </c>
      <c r="K470" s="16">
        <f t="shared" si="54"/>
        <v>722</v>
      </c>
      <c r="L470" s="13">
        <v>15340.21</v>
      </c>
      <c r="M470" s="15">
        <f t="shared" si="52"/>
        <v>316.21036533759286</v>
      </c>
      <c r="N470" s="13">
        <v>7806.22</v>
      </c>
      <c r="O470" s="13">
        <v>0</v>
      </c>
      <c r="P470" s="11">
        <f t="shared" si="51"/>
        <v>0</v>
      </c>
    </row>
    <row r="471" spans="1:16" ht="18.75" customHeight="1" thickBot="1" x14ac:dyDescent="0.3">
      <c r="A471" s="3" t="s">
        <v>11</v>
      </c>
      <c r="B471" s="4">
        <v>956596</v>
      </c>
      <c r="C471" s="3" t="s">
        <v>9</v>
      </c>
      <c r="D471" s="18">
        <v>5.8900000000000001E-2</v>
      </c>
      <c r="E471" s="21">
        <f t="shared" si="50"/>
        <v>4.7806102828795716E-3</v>
      </c>
      <c r="F471" s="5">
        <v>39605</v>
      </c>
      <c r="G471" s="5">
        <v>41430</v>
      </c>
      <c r="H471" s="16">
        <f t="shared" si="53"/>
        <v>1825</v>
      </c>
      <c r="I471" s="5">
        <v>41460</v>
      </c>
      <c r="J471" s="5">
        <v>40814</v>
      </c>
      <c r="K471" s="16">
        <f t="shared" si="54"/>
        <v>1209</v>
      </c>
      <c r="L471" s="13">
        <v>26269.15</v>
      </c>
      <c r="M471" s="15">
        <f t="shared" si="52"/>
        <v>498.67628871974313</v>
      </c>
      <c r="N471" s="13">
        <v>12032.32</v>
      </c>
      <c r="O471" s="13">
        <v>10500</v>
      </c>
      <c r="P471" s="11">
        <f t="shared" si="51"/>
        <v>0</v>
      </c>
    </row>
    <row r="472" spans="1:16" ht="18.75" customHeight="1" thickBot="1" x14ac:dyDescent="0.3">
      <c r="A472" s="3" t="s">
        <v>11</v>
      </c>
      <c r="B472" s="4">
        <v>360003</v>
      </c>
      <c r="C472" s="3" t="s">
        <v>9</v>
      </c>
      <c r="D472" s="18">
        <v>9.7500000000000003E-2</v>
      </c>
      <c r="E472" s="21">
        <f t="shared" si="50"/>
        <v>7.7830370878799737E-3</v>
      </c>
      <c r="F472" s="5">
        <v>39638</v>
      </c>
      <c r="G472" s="5">
        <v>41470</v>
      </c>
      <c r="H472" s="16">
        <f t="shared" si="53"/>
        <v>1832</v>
      </c>
      <c r="I472" s="5">
        <v>41593</v>
      </c>
      <c r="J472" s="5">
        <v>41129</v>
      </c>
      <c r="K472" s="16">
        <f t="shared" si="54"/>
        <v>1491</v>
      </c>
      <c r="L472" s="13">
        <v>16010</v>
      </c>
      <c r="M472" s="15">
        <f t="shared" si="52"/>
        <v>330.39254455530158</v>
      </c>
      <c r="N472" s="13">
        <v>5010</v>
      </c>
      <c r="O472" s="13">
        <v>0</v>
      </c>
      <c r="P472" s="11">
        <f t="shared" si="51"/>
        <v>0</v>
      </c>
    </row>
    <row r="473" spans="1:16" ht="18.75" customHeight="1" thickBot="1" x14ac:dyDescent="0.3">
      <c r="A473" s="3" t="s">
        <v>11</v>
      </c>
      <c r="B473" s="4">
        <v>523552</v>
      </c>
      <c r="C473" s="3" t="s">
        <v>9</v>
      </c>
      <c r="D473" s="18">
        <v>6.6500000000000004E-2</v>
      </c>
      <c r="E473" s="21">
        <f t="shared" si="50"/>
        <v>5.3796066408242638E-3</v>
      </c>
      <c r="F473" s="5">
        <v>39702</v>
      </c>
      <c r="G473" s="5">
        <v>41532</v>
      </c>
      <c r="H473" s="16">
        <f t="shared" si="53"/>
        <v>1830</v>
      </c>
      <c r="I473" s="5">
        <v>41593</v>
      </c>
      <c r="J473" s="5">
        <v>41214</v>
      </c>
      <c r="K473" s="16">
        <f t="shared" si="54"/>
        <v>1512</v>
      </c>
      <c r="L473" s="13">
        <v>6560</v>
      </c>
      <c r="M473" s="15">
        <f t="shared" si="52"/>
        <v>126.43585660177965</v>
      </c>
      <c r="N473" s="13">
        <v>3162.96</v>
      </c>
      <c r="O473" s="13">
        <v>2981.47</v>
      </c>
      <c r="P473" s="11">
        <f t="shared" si="51"/>
        <v>0</v>
      </c>
    </row>
    <row r="474" spans="1:16" ht="18.75" customHeight="1" thickBot="1" x14ac:dyDescent="0.3">
      <c r="A474" s="3" t="s">
        <v>11</v>
      </c>
      <c r="B474" s="4">
        <v>666317</v>
      </c>
      <c r="C474" s="3" t="s">
        <v>12</v>
      </c>
      <c r="D474" s="18">
        <v>7.2499999999999995E-2</v>
      </c>
      <c r="E474" s="21">
        <f t="shared" si="50"/>
        <v>5.8497409526456767E-3</v>
      </c>
      <c r="F474" s="5">
        <v>39982</v>
      </c>
      <c r="G474" s="5">
        <v>42175</v>
      </c>
      <c r="H474" s="16">
        <f t="shared" si="53"/>
        <v>2193</v>
      </c>
      <c r="I474" s="5">
        <v>42205</v>
      </c>
      <c r="J474" s="5">
        <v>40401</v>
      </c>
      <c r="K474" s="16">
        <f t="shared" si="54"/>
        <v>419</v>
      </c>
      <c r="L474" s="13">
        <v>18670.62</v>
      </c>
      <c r="M474" s="15">
        <f t="shared" si="52"/>
        <v>314.63641604316985</v>
      </c>
      <c r="N474" s="13">
        <v>5908.07</v>
      </c>
      <c r="O474" s="13">
        <v>0</v>
      </c>
      <c r="P474" s="11">
        <f t="shared" si="51"/>
        <v>1</v>
      </c>
    </row>
    <row r="475" spans="1:16" ht="18.75" customHeight="1" thickBot="1" x14ac:dyDescent="0.3">
      <c r="A475" s="3" t="s">
        <v>11</v>
      </c>
      <c r="B475" s="4">
        <v>657650</v>
      </c>
      <c r="C475" s="3" t="s">
        <v>9</v>
      </c>
      <c r="D475" s="18">
        <v>9.5000000000000001E-2</v>
      </c>
      <c r="E475" s="21">
        <f t="shared" si="50"/>
        <v>7.5915342905825689E-3</v>
      </c>
      <c r="F475" s="5">
        <v>40591</v>
      </c>
      <c r="G475" s="5">
        <v>42236</v>
      </c>
      <c r="H475" s="16">
        <f t="shared" si="53"/>
        <v>1645</v>
      </c>
      <c r="I475" s="5">
        <v>42236</v>
      </c>
      <c r="J475" s="5">
        <v>41620</v>
      </c>
      <c r="K475" s="16">
        <f t="shared" si="54"/>
        <v>1029</v>
      </c>
      <c r="L475" s="13">
        <v>8075</v>
      </c>
      <c r="M475" s="15">
        <f t="shared" si="52"/>
        <v>180.58595433788841</v>
      </c>
      <c r="N475" s="13">
        <v>4208.3500000000004</v>
      </c>
      <c r="O475" s="13">
        <v>0</v>
      </c>
      <c r="P475" s="11">
        <f t="shared" si="51"/>
        <v>1</v>
      </c>
    </row>
    <row r="476" spans="1:16" ht="18.75" customHeight="1" thickBot="1" x14ac:dyDescent="0.3">
      <c r="A476" s="3" t="s">
        <v>11</v>
      </c>
      <c r="B476" s="4">
        <v>297584</v>
      </c>
      <c r="C476" s="3" t="s">
        <v>3</v>
      </c>
      <c r="D476" s="18">
        <v>5.5E-2</v>
      </c>
      <c r="E476" s="21">
        <f t="shared" si="50"/>
        <v>4.471698917043021E-3</v>
      </c>
      <c r="F476" s="5">
        <v>40654</v>
      </c>
      <c r="G476" s="5">
        <v>41020</v>
      </c>
      <c r="H476" s="16">
        <f t="shared" si="53"/>
        <v>366</v>
      </c>
      <c r="I476" s="5">
        <v>45037</v>
      </c>
      <c r="J476" s="5">
        <v>44869</v>
      </c>
      <c r="K476" s="16">
        <f t="shared" si="54"/>
        <v>4215</v>
      </c>
      <c r="L476" s="13">
        <v>451500</v>
      </c>
      <c r="M476" s="15">
        <f t="shared" si="52"/>
        <v>38109.523769961452</v>
      </c>
      <c r="N476" s="13">
        <v>137185</v>
      </c>
      <c r="O476" s="13">
        <v>0</v>
      </c>
      <c r="P476" s="11">
        <f t="shared" si="51"/>
        <v>0</v>
      </c>
    </row>
    <row r="477" spans="1:16" ht="18.75" customHeight="1" thickBot="1" x14ac:dyDescent="0.3">
      <c r="A477" s="3" t="s">
        <v>11</v>
      </c>
      <c r="B477" s="4">
        <v>977584</v>
      </c>
      <c r="C477" s="3" t="s">
        <v>4</v>
      </c>
      <c r="D477" s="18">
        <v>9.5000000000000001E-2</v>
      </c>
      <c r="E477" s="21">
        <f t="shared" si="50"/>
        <v>7.5915342905825689E-3</v>
      </c>
      <c r="F477" s="5">
        <v>41177</v>
      </c>
      <c r="G477" s="5">
        <v>43009</v>
      </c>
      <c r="H477" s="16">
        <f t="shared" si="53"/>
        <v>1832</v>
      </c>
      <c r="I477" s="5">
        <v>43009</v>
      </c>
      <c r="J477" s="5">
        <v>41908</v>
      </c>
      <c r="K477" s="16">
        <f t="shared" si="54"/>
        <v>731</v>
      </c>
      <c r="L477" s="13">
        <v>100000</v>
      </c>
      <c r="M477" s="15">
        <f t="shared" si="52"/>
        <v>2052.453114124834</v>
      </c>
      <c r="N477" s="13">
        <v>50000</v>
      </c>
      <c r="O477" s="13">
        <v>13587.37</v>
      </c>
      <c r="P477" s="11">
        <f t="shared" si="51"/>
        <v>1</v>
      </c>
    </row>
    <row r="478" spans="1:16" ht="18.75" customHeight="1" thickBot="1" x14ac:dyDescent="0.3">
      <c r="A478" s="3" t="s">
        <v>11</v>
      </c>
      <c r="B478" s="4">
        <v>188398</v>
      </c>
      <c r="C478" s="3" t="s">
        <v>2</v>
      </c>
      <c r="D478" s="18">
        <v>5.5E-2</v>
      </c>
      <c r="E478" s="21">
        <f t="shared" si="50"/>
        <v>4.471698917043021E-3</v>
      </c>
      <c r="F478" s="5">
        <v>41045</v>
      </c>
      <c r="G478" s="5">
        <v>42161</v>
      </c>
      <c r="H478" s="16">
        <f t="shared" si="53"/>
        <v>1116</v>
      </c>
      <c r="I478" s="5">
        <v>42161</v>
      </c>
      <c r="J478" s="5">
        <v>41908</v>
      </c>
      <c r="K478" s="16">
        <f t="shared" si="54"/>
        <v>863</v>
      </c>
      <c r="L478" s="13">
        <v>25362</v>
      </c>
      <c r="M478" s="15">
        <f t="shared" si="52"/>
        <v>741.57093076303147</v>
      </c>
      <c r="N478" s="13">
        <v>13207.58</v>
      </c>
      <c r="O478" s="13">
        <v>1884.98</v>
      </c>
      <c r="P478" s="11">
        <f t="shared" si="51"/>
        <v>1</v>
      </c>
    </row>
    <row r="479" spans="1:16" ht="18.75" customHeight="1" thickBot="1" x14ac:dyDescent="0.3">
      <c r="A479" s="3" t="s">
        <v>11</v>
      </c>
      <c r="B479" s="4">
        <v>640483</v>
      </c>
      <c r="C479" s="3" t="s">
        <v>2</v>
      </c>
      <c r="D479" s="18">
        <v>0.04</v>
      </c>
      <c r="E479" s="21">
        <f t="shared" si="50"/>
        <v>3.2737397821989145E-3</v>
      </c>
      <c r="F479" s="5">
        <v>41411</v>
      </c>
      <c r="G479" s="5">
        <v>42139</v>
      </c>
      <c r="H479" s="16">
        <f t="shared" si="53"/>
        <v>728</v>
      </c>
      <c r="I479" s="5">
        <v>42868</v>
      </c>
      <c r="J479" s="5">
        <v>42944</v>
      </c>
      <c r="K479" s="16">
        <f t="shared" si="54"/>
        <v>1533</v>
      </c>
      <c r="L479" s="13">
        <v>125901.44</v>
      </c>
      <c r="M479" s="15">
        <f t="shared" si="52"/>
        <v>5405.5421960719441</v>
      </c>
      <c r="N479" s="13">
        <v>73490.41</v>
      </c>
      <c r="O479" s="13">
        <v>0</v>
      </c>
      <c r="P479" s="11">
        <f t="shared" si="51"/>
        <v>1</v>
      </c>
    </row>
    <row r="480" spans="1:16" ht="18.75" customHeight="1" thickBot="1" x14ac:dyDescent="0.3">
      <c r="A480" s="3" t="s">
        <v>11</v>
      </c>
      <c r="B480" s="4">
        <v>785132</v>
      </c>
      <c r="C480" s="3" t="s">
        <v>3</v>
      </c>
      <c r="D480" s="18">
        <v>5.2499999999999998E-2</v>
      </c>
      <c r="E480" s="21">
        <f t="shared" si="50"/>
        <v>4.2731277661580691E-3</v>
      </c>
      <c r="F480" s="5">
        <v>41929</v>
      </c>
      <c r="G480" s="5">
        <v>42278</v>
      </c>
      <c r="H480" s="16">
        <f t="shared" si="53"/>
        <v>349</v>
      </c>
      <c r="I480" s="5">
        <v>44865</v>
      </c>
      <c r="J480" s="5">
        <v>44869</v>
      </c>
      <c r="K480" s="16">
        <f t="shared" si="54"/>
        <v>2940</v>
      </c>
      <c r="L480" s="13">
        <v>603000</v>
      </c>
      <c r="M480" s="15">
        <f t="shared" si="52"/>
        <v>53243.477393854213</v>
      </c>
      <c r="N480" s="13">
        <v>162815</v>
      </c>
      <c r="O480" s="13">
        <v>0</v>
      </c>
      <c r="P480" s="11">
        <f t="shared" si="51"/>
        <v>1</v>
      </c>
    </row>
    <row r="481" spans="1:16" ht="18.75" customHeight="1" thickBot="1" x14ac:dyDescent="0.3">
      <c r="A481" s="3" t="s">
        <v>11</v>
      </c>
      <c r="B481" s="4">
        <v>211227</v>
      </c>
      <c r="C481" s="3" t="s">
        <v>9</v>
      </c>
      <c r="D481" s="18">
        <v>5.7500000000000002E-2</v>
      </c>
      <c r="E481" s="21">
        <f t="shared" si="50"/>
        <v>4.6698392000357192E-3</v>
      </c>
      <c r="F481" s="5">
        <v>42185</v>
      </c>
      <c r="G481" s="5">
        <v>43126</v>
      </c>
      <c r="H481" s="16">
        <f t="shared" si="53"/>
        <v>941</v>
      </c>
      <c r="I481" s="5">
        <v>43126</v>
      </c>
      <c r="J481" s="5">
        <v>42451</v>
      </c>
      <c r="K481" s="16">
        <f t="shared" si="54"/>
        <v>266</v>
      </c>
      <c r="L481" s="13">
        <v>5029.8999999999996</v>
      </c>
      <c r="M481" s="15">
        <f t="shared" si="52"/>
        <v>172.76262014884176</v>
      </c>
      <c r="N481" s="13">
        <v>4629.79</v>
      </c>
      <c r="O481" s="13">
        <v>1260</v>
      </c>
      <c r="P481" s="11">
        <f t="shared" si="51"/>
        <v>1</v>
      </c>
    </row>
    <row r="482" spans="1:16" ht="18.75" customHeight="1" thickBot="1" x14ac:dyDescent="0.3">
      <c r="A482" s="3" t="s">
        <v>11</v>
      </c>
      <c r="B482" s="4">
        <v>897031</v>
      </c>
      <c r="C482" s="3" t="s">
        <v>9</v>
      </c>
      <c r="D482" s="18">
        <v>0.115</v>
      </c>
      <c r="E482" s="21">
        <f t="shared" si="50"/>
        <v>9.1124684369046083E-3</v>
      </c>
      <c r="F482" s="5">
        <v>42604</v>
      </c>
      <c r="G482" s="5">
        <v>43521</v>
      </c>
      <c r="H482" s="16">
        <f t="shared" si="53"/>
        <v>917</v>
      </c>
      <c r="I482" s="5">
        <v>43521</v>
      </c>
      <c r="J482" s="5">
        <v>43080</v>
      </c>
      <c r="K482" s="16">
        <f t="shared" si="54"/>
        <v>476</v>
      </c>
      <c r="L482" s="13">
        <v>3080</v>
      </c>
      <c r="M482" s="15">
        <f t="shared" si="52"/>
        <v>115.9026505677039</v>
      </c>
      <c r="N482" s="13">
        <v>2077.1999999999998</v>
      </c>
      <c r="O482" s="13">
        <v>0</v>
      </c>
      <c r="P482" s="11">
        <f t="shared" si="51"/>
        <v>1</v>
      </c>
    </row>
    <row r="483" spans="1:16" ht="18.75" customHeight="1" thickBot="1" x14ac:dyDescent="0.3">
      <c r="A483" s="3" t="s">
        <v>11</v>
      </c>
      <c r="B483" s="4">
        <v>757748</v>
      </c>
      <c r="C483" s="3" t="s">
        <v>9</v>
      </c>
      <c r="D483" s="18">
        <v>7.2499999999999995E-2</v>
      </c>
      <c r="E483" s="21">
        <f t="shared" si="50"/>
        <v>5.8497409526456767E-3</v>
      </c>
      <c r="F483" s="5">
        <v>42878</v>
      </c>
      <c r="G483" s="5">
        <v>44727</v>
      </c>
      <c r="H483" s="16">
        <f t="shared" si="53"/>
        <v>1849</v>
      </c>
      <c r="I483" s="5">
        <v>44727</v>
      </c>
      <c r="J483" s="5">
        <v>44739</v>
      </c>
      <c r="K483" s="16">
        <f t="shared" si="54"/>
        <v>1861</v>
      </c>
      <c r="L483" s="13">
        <v>10875</v>
      </c>
      <c r="M483" s="15">
        <f t="shared" si="52"/>
        <v>210.67195122257698</v>
      </c>
      <c r="N483" s="13">
        <v>880.52</v>
      </c>
      <c r="O483" s="13">
        <v>0</v>
      </c>
      <c r="P483" s="11">
        <f t="shared" si="51"/>
        <v>1</v>
      </c>
    </row>
    <row r="484" spans="1:16" ht="18.75" customHeight="1" thickBot="1" x14ac:dyDescent="0.3">
      <c r="A484" s="3" t="s">
        <v>11</v>
      </c>
      <c r="B484" s="4">
        <v>731543</v>
      </c>
      <c r="C484" s="3" t="s">
        <v>12</v>
      </c>
      <c r="D484" s="18">
        <v>0.08</v>
      </c>
      <c r="E484" s="21">
        <f t="shared" si="50"/>
        <v>6.4340301100034303E-3</v>
      </c>
      <c r="F484" s="5">
        <v>42901</v>
      </c>
      <c r="G484" s="5">
        <v>43814</v>
      </c>
      <c r="H484" s="16">
        <f t="shared" si="53"/>
        <v>913</v>
      </c>
      <c r="I484" s="5">
        <v>43905</v>
      </c>
      <c r="J484" s="5">
        <v>43714</v>
      </c>
      <c r="K484" s="16">
        <f t="shared" si="54"/>
        <v>813</v>
      </c>
      <c r="L484" s="13">
        <v>4495</v>
      </c>
      <c r="M484" s="15">
        <f t="shared" si="52"/>
        <v>163.10512334144101</v>
      </c>
      <c r="N484" s="13">
        <v>1978.87</v>
      </c>
      <c r="O484" s="13">
        <v>1978.87</v>
      </c>
      <c r="P484" s="11">
        <f t="shared" si="51"/>
        <v>1</v>
      </c>
    </row>
    <row r="485" spans="1:16" ht="18.75" customHeight="1" thickBot="1" x14ac:dyDescent="0.3">
      <c r="A485" s="3" t="s">
        <v>11</v>
      </c>
      <c r="B485" s="4">
        <v>323430</v>
      </c>
      <c r="C485" s="3" t="s">
        <v>9</v>
      </c>
      <c r="D485" s="18">
        <v>3.7499999999999999E-2</v>
      </c>
      <c r="E485" s="21">
        <f t="shared" si="50"/>
        <v>3.0725417032555491E-3</v>
      </c>
      <c r="F485" s="5">
        <v>42949</v>
      </c>
      <c r="G485" s="5">
        <v>44593</v>
      </c>
      <c r="H485" s="16">
        <f t="shared" si="53"/>
        <v>1644</v>
      </c>
      <c r="I485" s="5">
        <v>44621</v>
      </c>
      <c r="J485" s="5">
        <v>43455</v>
      </c>
      <c r="K485" s="16">
        <f t="shared" si="54"/>
        <v>506</v>
      </c>
      <c r="L485" s="13">
        <v>20081</v>
      </c>
      <c r="M485" s="15">
        <f t="shared" si="52"/>
        <v>398.7181178728261</v>
      </c>
      <c r="N485" s="13">
        <v>15883.93</v>
      </c>
      <c r="O485" s="13">
        <v>15883.93</v>
      </c>
      <c r="P485" s="11">
        <f t="shared" si="51"/>
        <v>1</v>
      </c>
    </row>
    <row r="486" spans="1:16" ht="18.75" customHeight="1" thickBot="1" x14ac:dyDescent="0.3">
      <c r="A486" s="3" t="s">
        <v>11</v>
      </c>
      <c r="B486" s="4">
        <v>77479</v>
      </c>
      <c r="C486" s="3" t="s">
        <v>9</v>
      </c>
      <c r="D486" s="18">
        <v>0.125</v>
      </c>
      <c r="E486" s="21">
        <f t="shared" si="50"/>
        <v>9.8635805532114595E-3</v>
      </c>
      <c r="F486" s="5">
        <v>36740</v>
      </c>
      <c r="G486" s="5">
        <v>37853</v>
      </c>
      <c r="H486" s="16">
        <f t="shared" si="53"/>
        <v>1113</v>
      </c>
      <c r="I486" s="5">
        <v>37853</v>
      </c>
      <c r="J486" s="5">
        <v>37334</v>
      </c>
      <c r="K486" s="16">
        <f t="shared" si="54"/>
        <v>594</v>
      </c>
      <c r="L486" s="13">
        <v>6227.64</v>
      </c>
      <c r="M486" s="15">
        <f t="shared" si="52"/>
        <v>201.26075205025404</v>
      </c>
      <c r="N486" s="13">
        <v>4860.95</v>
      </c>
      <c r="O486" s="13">
        <v>2427.94</v>
      </c>
      <c r="P486" s="11">
        <f t="shared" si="51"/>
        <v>0</v>
      </c>
    </row>
    <row r="487" spans="1:16" ht="18.75" customHeight="1" thickBot="1" x14ac:dyDescent="0.3">
      <c r="A487" s="3" t="s">
        <v>11</v>
      </c>
      <c r="B487" s="4">
        <v>277309</v>
      </c>
      <c r="C487" s="3" t="s">
        <v>9</v>
      </c>
      <c r="D487" s="18">
        <v>9.2499999999999999E-2</v>
      </c>
      <c r="E487" s="21">
        <f t="shared" si="50"/>
        <v>7.3996302871768282E-3</v>
      </c>
      <c r="F487" s="5">
        <v>39423</v>
      </c>
      <c r="G487" s="5">
        <v>41105</v>
      </c>
      <c r="H487" s="16">
        <f t="shared" si="53"/>
        <v>1682</v>
      </c>
      <c r="I487" s="5">
        <v>41105</v>
      </c>
      <c r="J487" s="5">
        <v>39808</v>
      </c>
      <c r="K487" s="16">
        <f t="shared" si="54"/>
        <v>385</v>
      </c>
      <c r="L487" s="13">
        <v>31438.32</v>
      </c>
      <c r="M487" s="15">
        <f t="shared" si="52"/>
        <v>687.10944131215695</v>
      </c>
      <c r="N487" s="13">
        <v>24138.86</v>
      </c>
      <c r="O487" s="13">
        <v>6200</v>
      </c>
      <c r="P487" s="11">
        <f t="shared" si="51"/>
        <v>0</v>
      </c>
    </row>
    <row r="488" spans="1:16" ht="18.75" customHeight="1" thickBot="1" x14ac:dyDescent="0.3">
      <c r="A488" s="3" t="s">
        <v>11</v>
      </c>
      <c r="B488" s="4">
        <v>568947</v>
      </c>
      <c r="C488" s="3" t="s">
        <v>17</v>
      </c>
      <c r="D488" s="18">
        <v>0.05</v>
      </c>
      <c r="E488" s="21">
        <f t="shared" si="50"/>
        <v>4.0741237836483535E-3</v>
      </c>
      <c r="F488" s="5">
        <v>39547</v>
      </c>
      <c r="G488" s="5">
        <v>41379</v>
      </c>
      <c r="H488" s="16">
        <f t="shared" si="53"/>
        <v>1832</v>
      </c>
      <c r="I488" s="5">
        <v>44722</v>
      </c>
      <c r="J488" s="5">
        <v>44768</v>
      </c>
      <c r="K488" s="16">
        <f t="shared" si="54"/>
        <v>5221</v>
      </c>
      <c r="L488" s="13">
        <v>152905</v>
      </c>
      <c r="M488" s="15">
        <f t="shared" si="52"/>
        <v>2833.3530291182278</v>
      </c>
      <c r="N488" s="13">
        <v>79761.41</v>
      </c>
      <c r="O488" s="13">
        <v>35889.360000000001</v>
      </c>
      <c r="P488" s="11">
        <f t="shared" si="51"/>
        <v>0</v>
      </c>
    </row>
    <row r="489" spans="1:16" ht="18.75" hidden="1" customHeight="1" thickBot="1" x14ac:dyDescent="0.3">
      <c r="A489" s="3" t="s">
        <v>11</v>
      </c>
      <c r="B489" s="4">
        <v>865027</v>
      </c>
      <c r="C489" s="3" t="s">
        <v>15</v>
      </c>
      <c r="D489" s="7">
        <v>0.1515</v>
      </c>
      <c r="E489" s="7">
        <f t="shared" ref="E489:E506" si="55">D489/12</f>
        <v>1.2624999999999999E-2</v>
      </c>
      <c r="F489" s="5">
        <v>41458</v>
      </c>
      <c r="G489" s="5">
        <v>2958465</v>
      </c>
      <c r="H489" s="8">
        <f t="shared" si="53"/>
        <v>2917007</v>
      </c>
      <c r="I489" s="5">
        <v>2958465</v>
      </c>
      <c r="J489" s="5">
        <v>42038</v>
      </c>
      <c r="K489" s="8">
        <f t="shared" si="54"/>
        <v>580</v>
      </c>
      <c r="L489" s="6">
        <v>300</v>
      </c>
      <c r="M489" s="9">
        <f t="shared" si="52"/>
        <v>3.7874999999999996</v>
      </c>
      <c r="N489" s="6">
        <v>300</v>
      </c>
      <c r="O489" s="6">
        <v>325</v>
      </c>
      <c r="P489" s="6">
        <v>0</v>
      </c>
    </row>
    <row r="490" spans="1:16" ht="18.75" hidden="1" customHeight="1" thickBot="1" x14ac:dyDescent="0.3">
      <c r="A490" s="3" t="s">
        <v>11</v>
      </c>
      <c r="B490" s="4">
        <v>540468</v>
      </c>
      <c r="C490" s="3" t="s">
        <v>15</v>
      </c>
      <c r="D490" s="7">
        <v>0.11650000000000001</v>
      </c>
      <c r="E490" s="7">
        <f t="shared" si="55"/>
        <v>9.7083333333333344E-3</v>
      </c>
      <c r="F490" s="5">
        <v>44406</v>
      </c>
      <c r="G490" s="5">
        <v>2958465</v>
      </c>
      <c r="H490" s="8">
        <f t="shared" si="53"/>
        <v>2914059</v>
      </c>
      <c r="I490" s="5">
        <v>2958465</v>
      </c>
      <c r="J490" s="5">
        <v>44504</v>
      </c>
      <c r="K490" s="8">
        <f t="shared" si="54"/>
        <v>98</v>
      </c>
      <c r="L490" s="6">
        <v>500</v>
      </c>
      <c r="M490" s="9">
        <f t="shared" si="52"/>
        <v>4.854166666666667</v>
      </c>
      <c r="N490" s="6">
        <v>500</v>
      </c>
      <c r="O490" s="6">
        <v>500</v>
      </c>
      <c r="P490" s="6">
        <v>0</v>
      </c>
    </row>
    <row r="491" spans="1:16" ht="18.75" hidden="1" customHeight="1" thickBot="1" x14ac:dyDescent="0.3">
      <c r="A491" s="3" t="s">
        <v>11</v>
      </c>
      <c r="B491" s="4">
        <v>120921</v>
      </c>
      <c r="C491" s="3" t="s">
        <v>15</v>
      </c>
      <c r="D491" s="7">
        <v>0.11650000000000001</v>
      </c>
      <c r="E491" s="7">
        <f t="shared" si="55"/>
        <v>9.7083333333333344E-3</v>
      </c>
      <c r="F491" s="5">
        <v>42759</v>
      </c>
      <c r="G491" s="5">
        <v>2958465</v>
      </c>
      <c r="H491" s="8">
        <f t="shared" si="53"/>
        <v>2915706</v>
      </c>
      <c r="I491" s="5">
        <v>2958465</v>
      </c>
      <c r="J491" s="5">
        <v>43909</v>
      </c>
      <c r="K491" s="8">
        <f t="shared" si="54"/>
        <v>1150</v>
      </c>
      <c r="L491" s="6">
        <v>1000</v>
      </c>
      <c r="M491" s="9">
        <f t="shared" si="52"/>
        <v>9.7083333333333339</v>
      </c>
      <c r="N491" s="6">
        <v>756.37</v>
      </c>
      <c r="O491" s="6">
        <v>756.37</v>
      </c>
      <c r="P491" s="6">
        <v>0</v>
      </c>
    </row>
    <row r="492" spans="1:16" ht="18.75" hidden="1" customHeight="1" thickBot="1" x14ac:dyDescent="0.3">
      <c r="A492" s="3" t="s">
        <v>11</v>
      </c>
      <c r="B492" s="4">
        <v>359134</v>
      </c>
      <c r="C492" s="3" t="s">
        <v>15</v>
      </c>
      <c r="D492" s="7">
        <v>0.1515</v>
      </c>
      <c r="E492" s="7">
        <f t="shared" si="55"/>
        <v>1.2624999999999999E-2</v>
      </c>
      <c r="F492" s="5">
        <v>42493</v>
      </c>
      <c r="G492" s="5">
        <v>2958465</v>
      </c>
      <c r="H492" s="8">
        <f t="shared" si="53"/>
        <v>2915972</v>
      </c>
      <c r="I492" s="5">
        <v>2958465</v>
      </c>
      <c r="J492" s="5">
        <v>43042</v>
      </c>
      <c r="K492" s="8">
        <f t="shared" si="54"/>
        <v>549</v>
      </c>
      <c r="L492" s="6">
        <v>300</v>
      </c>
      <c r="M492" s="9">
        <f t="shared" si="52"/>
        <v>3.7874999999999996</v>
      </c>
      <c r="N492" s="6">
        <v>300</v>
      </c>
      <c r="O492" s="6">
        <v>0</v>
      </c>
      <c r="P492" s="6">
        <v>0</v>
      </c>
    </row>
    <row r="493" spans="1:16" ht="18.75" hidden="1" customHeight="1" thickBot="1" x14ac:dyDescent="0.3">
      <c r="A493" s="3" t="s">
        <v>11</v>
      </c>
      <c r="B493" s="4">
        <v>222749</v>
      </c>
      <c r="C493" s="3" t="s">
        <v>15</v>
      </c>
      <c r="D493" s="7">
        <v>0.1515</v>
      </c>
      <c r="E493" s="7">
        <f t="shared" si="55"/>
        <v>1.2624999999999999E-2</v>
      </c>
      <c r="F493" s="5">
        <v>42577</v>
      </c>
      <c r="G493" s="5">
        <v>2958465</v>
      </c>
      <c r="H493" s="8">
        <f t="shared" si="53"/>
        <v>2915888</v>
      </c>
      <c r="I493" s="5">
        <v>2958465</v>
      </c>
      <c r="J493" s="5">
        <v>45957</v>
      </c>
      <c r="K493" s="8">
        <f t="shared" si="54"/>
        <v>3380</v>
      </c>
      <c r="L493" s="6">
        <v>100</v>
      </c>
      <c r="M493" s="9">
        <f t="shared" si="52"/>
        <v>1.2625</v>
      </c>
      <c r="N493" s="6">
        <v>59.47</v>
      </c>
      <c r="O493" s="6">
        <v>59.47</v>
      </c>
      <c r="P493" s="6">
        <v>257.20999999999998</v>
      </c>
    </row>
    <row r="494" spans="1:16" ht="18.75" hidden="1" customHeight="1" thickBot="1" x14ac:dyDescent="0.3">
      <c r="A494" s="3" t="s">
        <v>11</v>
      </c>
      <c r="B494" s="4">
        <v>331194</v>
      </c>
      <c r="C494" s="3" t="s">
        <v>15</v>
      </c>
      <c r="D494" s="7">
        <v>9.7500000000000003E-2</v>
      </c>
      <c r="E494" s="7">
        <f t="shared" si="55"/>
        <v>8.1250000000000003E-3</v>
      </c>
      <c r="F494" s="5">
        <v>42684</v>
      </c>
      <c r="G494" s="5">
        <v>2958465</v>
      </c>
      <c r="H494" s="8">
        <f t="shared" si="53"/>
        <v>2915781</v>
      </c>
      <c r="I494" s="5">
        <v>2958465</v>
      </c>
      <c r="J494" s="5">
        <v>45504</v>
      </c>
      <c r="K494" s="8">
        <f t="shared" si="54"/>
        <v>2820</v>
      </c>
      <c r="L494" s="6">
        <v>1000</v>
      </c>
      <c r="M494" s="9">
        <f t="shared" si="52"/>
        <v>8.125</v>
      </c>
      <c r="N494" s="6">
        <v>944.58</v>
      </c>
      <c r="O494" s="6">
        <v>0</v>
      </c>
      <c r="P494" s="6">
        <v>50</v>
      </c>
    </row>
    <row r="495" spans="1:16" ht="18.75" hidden="1" customHeight="1" thickBot="1" x14ac:dyDescent="0.3">
      <c r="A495" s="3" t="s">
        <v>11</v>
      </c>
      <c r="B495" s="4">
        <v>307038</v>
      </c>
      <c r="C495" s="3" t="s">
        <v>15</v>
      </c>
      <c r="D495" s="7">
        <v>0.1515</v>
      </c>
      <c r="E495" s="7">
        <f t="shared" si="55"/>
        <v>1.2624999999999999E-2</v>
      </c>
      <c r="F495" s="5">
        <v>43299</v>
      </c>
      <c r="G495" s="5">
        <v>2958465</v>
      </c>
      <c r="H495" s="8">
        <f t="shared" si="53"/>
        <v>2915166</v>
      </c>
      <c r="I495" s="5">
        <v>2958465</v>
      </c>
      <c r="J495" s="5">
        <v>43874</v>
      </c>
      <c r="K495" s="8">
        <f t="shared" si="54"/>
        <v>575</v>
      </c>
      <c r="L495" s="6">
        <v>1000</v>
      </c>
      <c r="M495" s="9">
        <f t="shared" si="52"/>
        <v>12.624999999999998</v>
      </c>
      <c r="N495" s="6">
        <v>1000</v>
      </c>
      <c r="O495" s="6">
        <v>1000</v>
      </c>
      <c r="P495" s="6">
        <v>0</v>
      </c>
    </row>
    <row r="496" spans="1:16" ht="18.75" hidden="1" customHeight="1" thickBot="1" x14ac:dyDescent="0.3">
      <c r="A496" s="3" t="s">
        <v>11</v>
      </c>
      <c r="B496" s="4">
        <v>909860</v>
      </c>
      <c r="C496" s="3" t="s">
        <v>9</v>
      </c>
      <c r="D496" s="7">
        <v>2.7400000000000001E-2</v>
      </c>
      <c r="E496" s="7">
        <f t="shared" si="55"/>
        <v>2.2833333333333334E-3</v>
      </c>
      <c r="F496" s="5">
        <v>44727</v>
      </c>
      <c r="G496" s="5">
        <v>46553</v>
      </c>
      <c r="H496" s="8">
        <f t="shared" si="53"/>
        <v>1826</v>
      </c>
      <c r="I496" s="5">
        <v>46675</v>
      </c>
      <c r="J496" s="5">
        <v>45467</v>
      </c>
      <c r="K496" s="8">
        <f t="shared" si="54"/>
        <v>740</v>
      </c>
      <c r="L496" s="6">
        <v>68305.61</v>
      </c>
      <c r="M496" s="9">
        <f t="shared" si="52"/>
        <v>1203.2836564378513</v>
      </c>
      <c r="N496" s="6">
        <v>51351.66</v>
      </c>
      <c r="O496" s="6">
        <v>41000</v>
      </c>
      <c r="P496" s="6">
        <v>0</v>
      </c>
    </row>
    <row r="497" spans="1:16" ht="18.75" customHeight="1" thickBot="1" x14ac:dyDescent="0.3">
      <c r="A497" s="3" t="s">
        <v>11</v>
      </c>
      <c r="B497" s="4">
        <v>211451</v>
      </c>
      <c r="C497" s="3" t="s">
        <v>16</v>
      </c>
      <c r="D497" s="18">
        <v>8.5000000000000006E-2</v>
      </c>
      <c r="E497" s="21">
        <f t="shared" ref="E497:E498" si="56">(1+D497)^(1/12)-1</f>
        <v>6.8214933659622723E-3</v>
      </c>
      <c r="F497" s="5">
        <v>44848</v>
      </c>
      <c r="G497" s="5">
        <v>45762</v>
      </c>
      <c r="H497" s="16">
        <f t="shared" si="53"/>
        <v>914</v>
      </c>
      <c r="I497" s="5">
        <v>45762</v>
      </c>
      <c r="J497" s="5">
        <v>45190</v>
      </c>
      <c r="K497" s="16">
        <f t="shared" si="54"/>
        <v>342</v>
      </c>
      <c r="L497" s="13">
        <v>3075</v>
      </c>
      <c r="M497" s="15">
        <f t="shared" si="52"/>
        <v>112.12367386401007</v>
      </c>
      <c r="N497" s="13">
        <v>2318.64</v>
      </c>
      <c r="O497" s="13">
        <v>0</v>
      </c>
      <c r="P497" s="11">
        <f>IF((G497)&gt;(ConstantDateCutoff),1,0)</f>
        <v>1</v>
      </c>
    </row>
    <row r="498" spans="1:16" ht="18.75" customHeight="1" thickBot="1" x14ac:dyDescent="0.3">
      <c r="A498" s="3" t="s">
        <v>11</v>
      </c>
      <c r="B498" s="4">
        <v>727071</v>
      </c>
      <c r="C498" s="3" t="s">
        <v>9</v>
      </c>
      <c r="D498" s="18">
        <v>0.13</v>
      </c>
      <c r="E498" s="21">
        <f t="shared" si="56"/>
        <v>1.02368443581764E-2</v>
      </c>
      <c r="F498" s="5">
        <v>45028</v>
      </c>
      <c r="G498" s="5">
        <v>45945</v>
      </c>
      <c r="H498" s="16">
        <f t="shared" si="53"/>
        <v>917</v>
      </c>
      <c r="I498" s="5">
        <v>46127</v>
      </c>
      <c r="J498" s="5">
        <v>46007</v>
      </c>
      <c r="K498" s="16">
        <f t="shared" si="54"/>
        <v>979</v>
      </c>
      <c r="L498" s="13">
        <v>16665</v>
      </c>
      <c r="M498" s="15">
        <f t="shared" si="52"/>
        <v>637.70474449498204</v>
      </c>
      <c r="N498" s="13">
        <v>4654.3900000000003</v>
      </c>
      <c r="O498" s="13">
        <v>0</v>
      </c>
      <c r="P498" s="11">
        <f>IF((G498)&gt;(ConstantDateCutoff),1,0)</f>
        <v>1</v>
      </c>
    </row>
    <row r="499" spans="1:16" ht="18.75" hidden="1" customHeight="1" thickBot="1" x14ac:dyDescent="0.3">
      <c r="A499" s="3" t="s">
        <v>11</v>
      </c>
      <c r="B499" s="4">
        <v>961903</v>
      </c>
      <c r="C499" s="3" t="s">
        <v>16</v>
      </c>
      <c r="D499" s="7">
        <v>0.115</v>
      </c>
      <c r="E499" s="7">
        <f t="shared" si="55"/>
        <v>9.5833333333333343E-3</v>
      </c>
      <c r="F499" s="5">
        <v>45142</v>
      </c>
      <c r="G499" s="5">
        <v>46250</v>
      </c>
      <c r="H499" s="8">
        <f t="shared" si="53"/>
        <v>1108</v>
      </c>
      <c r="I499" s="5">
        <v>46281</v>
      </c>
      <c r="J499" s="5">
        <v>45817</v>
      </c>
      <c r="K499" s="8">
        <f t="shared" si="54"/>
        <v>675</v>
      </c>
      <c r="L499" s="6">
        <v>18075</v>
      </c>
      <c r="M499" s="9">
        <f t="shared" si="52"/>
        <v>583.42031348880835</v>
      </c>
      <c r="N499" s="6">
        <v>9431.3799999999992</v>
      </c>
      <c r="O499" s="6">
        <v>0</v>
      </c>
      <c r="P499" s="6">
        <v>0</v>
      </c>
    </row>
    <row r="500" spans="1:16" ht="18.75" customHeight="1" thickBot="1" x14ac:dyDescent="0.3">
      <c r="A500" s="3" t="s">
        <v>11</v>
      </c>
      <c r="B500" s="4">
        <v>889644</v>
      </c>
      <c r="C500" s="3" t="s">
        <v>2</v>
      </c>
      <c r="D500" s="18">
        <v>0.1075</v>
      </c>
      <c r="E500" s="21">
        <f>(1+D500)^(1/12)-1</f>
        <v>8.5450710394860963E-3</v>
      </c>
      <c r="F500" s="5">
        <v>45656</v>
      </c>
      <c r="G500" s="5">
        <v>46027</v>
      </c>
      <c r="H500" s="16">
        <f t="shared" si="53"/>
        <v>371</v>
      </c>
      <c r="I500" s="5">
        <v>46027</v>
      </c>
      <c r="J500" s="5">
        <v>46009</v>
      </c>
      <c r="K500" s="16">
        <f t="shared" si="54"/>
        <v>353</v>
      </c>
      <c r="L500" s="13">
        <v>9700</v>
      </c>
      <c r="M500" s="15">
        <f t="shared" si="52"/>
        <v>829.88333661956938</v>
      </c>
      <c r="N500" s="13">
        <v>4257.8100000000004</v>
      </c>
      <c r="O500" s="13">
        <v>0</v>
      </c>
      <c r="P500" s="11">
        <f>IF((G500)&gt;(ConstantDateCutoff),1,0)</f>
        <v>1</v>
      </c>
    </row>
    <row r="501" spans="1:16" ht="18.75" hidden="1" customHeight="1" thickBot="1" x14ac:dyDescent="0.3">
      <c r="A501" s="3" t="s">
        <v>11</v>
      </c>
      <c r="B501" s="4">
        <v>940934</v>
      </c>
      <c r="C501" s="3" t="s">
        <v>12</v>
      </c>
      <c r="D501" s="7">
        <v>0.1024</v>
      </c>
      <c r="E501" s="7">
        <f t="shared" si="55"/>
        <v>8.5333333333333337E-3</v>
      </c>
      <c r="F501" s="5">
        <v>45821</v>
      </c>
      <c r="G501" s="5">
        <v>46917</v>
      </c>
      <c r="H501" s="8">
        <f t="shared" si="53"/>
        <v>1096</v>
      </c>
      <c r="I501" s="5">
        <v>46917</v>
      </c>
      <c r="J501" s="5">
        <v>45930</v>
      </c>
      <c r="K501" s="8">
        <f t="shared" si="54"/>
        <v>109</v>
      </c>
      <c r="L501" s="6">
        <v>4081</v>
      </c>
      <c r="M501" s="9">
        <f t="shared" si="52"/>
        <v>130.49384290727468</v>
      </c>
      <c r="N501" s="6">
        <v>4081</v>
      </c>
      <c r="O501" s="6">
        <v>4081</v>
      </c>
      <c r="P501" s="6">
        <v>240.89</v>
      </c>
    </row>
    <row r="502" spans="1:16" ht="18.75" customHeight="1" thickBot="1" x14ac:dyDescent="0.3">
      <c r="A502" s="3" t="s">
        <v>11</v>
      </c>
      <c r="B502" s="4">
        <v>708758</v>
      </c>
      <c r="C502" s="3" t="s">
        <v>2</v>
      </c>
      <c r="D502" s="18">
        <v>0.06</v>
      </c>
      <c r="E502" s="21">
        <f t="shared" ref="E502:E504" si="57">(1+D502)^(1/12)-1</f>
        <v>4.8675505653430484E-3</v>
      </c>
      <c r="F502" s="5">
        <v>43382</v>
      </c>
      <c r="G502" s="5">
        <v>43575</v>
      </c>
      <c r="H502" s="16">
        <f t="shared" si="53"/>
        <v>193</v>
      </c>
      <c r="I502" s="5">
        <v>45402</v>
      </c>
      <c r="J502" s="5">
        <v>44279</v>
      </c>
      <c r="K502" s="16">
        <f t="shared" si="54"/>
        <v>897</v>
      </c>
      <c r="L502" s="13">
        <v>122450</v>
      </c>
      <c r="M502" s="15">
        <f t="shared" si="52"/>
        <v>19379.532321951945</v>
      </c>
      <c r="N502" s="13">
        <v>51415.91</v>
      </c>
      <c r="O502" s="13">
        <v>0</v>
      </c>
      <c r="P502" s="11">
        <f>IF((G502)&gt;(ConstantDateCutoff),1,0)</f>
        <v>1</v>
      </c>
    </row>
    <row r="503" spans="1:16" ht="18.75" customHeight="1" thickBot="1" x14ac:dyDescent="0.3">
      <c r="A503" s="3" t="s">
        <v>11</v>
      </c>
      <c r="B503" s="4">
        <v>720744</v>
      </c>
      <c r="C503" s="3" t="s">
        <v>9</v>
      </c>
      <c r="D503" s="18">
        <v>0.13250000000000001</v>
      </c>
      <c r="E503" s="21">
        <f t="shared" si="57"/>
        <v>1.0422908867375291E-2</v>
      </c>
      <c r="F503" s="5">
        <v>43525</v>
      </c>
      <c r="G503" s="5">
        <v>44444</v>
      </c>
      <c r="H503" s="16">
        <f t="shared" si="53"/>
        <v>919</v>
      </c>
      <c r="I503" s="5">
        <v>44474</v>
      </c>
      <c r="J503" s="5">
        <v>44070</v>
      </c>
      <c r="K503" s="16">
        <f t="shared" si="54"/>
        <v>545</v>
      </c>
      <c r="L503" s="13">
        <v>2428.1999999999998</v>
      </c>
      <c r="M503" s="15">
        <f t="shared" si="52"/>
        <v>93.002222583592157</v>
      </c>
      <c r="N503" s="13">
        <v>1537.19</v>
      </c>
      <c r="O503" s="13">
        <v>391.46</v>
      </c>
      <c r="P503" s="11">
        <f>IF((G503)&gt;(ConstantDateCutoff),1,0)</f>
        <v>1</v>
      </c>
    </row>
    <row r="504" spans="1:16" ht="18.75" customHeight="1" thickBot="1" x14ac:dyDescent="0.3">
      <c r="A504" s="3" t="s">
        <v>11</v>
      </c>
      <c r="B504" s="4">
        <v>496838</v>
      </c>
      <c r="C504" s="3" t="s">
        <v>12</v>
      </c>
      <c r="D504" s="18">
        <v>0.115</v>
      </c>
      <c r="E504" s="21">
        <f t="shared" si="57"/>
        <v>9.1124684369046083E-3</v>
      </c>
      <c r="F504" s="5">
        <v>43586</v>
      </c>
      <c r="G504" s="5">
        <v>45413</v>
      </c>
      <c r="H504" s="16">
        <f t="shared" si="53"/>
        <v>1827</v>
      </c>
      <c r="I504" s="5">
        <v>45413</v>
      </c>
      <c r="J504" s="5">
        <v>44460</v>
      </c>
      <c r="K504" s="16">
        <f t="shared" si="54"/>
        <v>874</v>
      </c>
      <c r="L504" s="13">
        <v>6109</v>
      </c>
      <c r="M504" s="15">
        <f t="shared" si="52"/>
        <v>131.15218865726882</v>
      </c>
      <c r="N504" s="13">
        <v>3984.96</v>
      </c>
      <c r="O504" s="13">
        <v>2822.64</v>
      </c>
      <c r="P504" s="11">
        <f>IF((G504)&gt;(ConstantDateCutoff),1,0)</f>
        <v>1</v>
      </c>
    </row>
    <row r="505" spans="1:16" ht="18.75" hidden="1" customHeight="1" thickBot="1" x14ac:dyDescent="0.3">
      <c r="A505" s="3" t="s">
        <v>11</v>
      </c>
      <c r="B505" s="4">
        <v>512932</v>
      </c>
      <c r="C505" s="3" t="s">
        <v>12</v>
      </c>
      <c r="D505" s="7">
        <v>8.7499999999999994E-2</v>
      </c>
      <c r="E505" s="7">
        <f t="shared" si="55"/>
        <v>7.2916666666666659E-3</v>
      </c>
      <c r="F505" s="5">
        <v>44651</v>
      </c>
      <c r="G505" s="5">
        <v>46858</v>
      </c>
      <c r="H505" s="8">
        <f t="shared" si="53"/>
        <v>2207</v>
      </c>
      <c r="I505" s="5">
        <v>46858</v>
      </c>
      <c r="J505" s="5">
        <v>45643</v>
      </c>
      <c r="K505" s="8">
        <f t="shared" si="54"/>
        <v>992</v>
      </c>
      <c r="L505" s="6">
        <v>25861.15</v>
      </c>
      <c r="M505" s="9">
        <f t="shared" si="52"/>
        <v>455.45824085333385</v>
      </c>
      <c r="N505" s="6">
        <v>18407.599999999999</v>
      </c>
      <c r="O505" s="6">
        <v>18407.599999999999</v>
      </c>
      <c r="P505" s="6">
        <v>0</v>
      </c>
    </row>
    <row r="506" spans="1:16" ht="18.75" hidden="1" customHeight="1" thickBot="1" x14ac:dyDescent="0.3">
      <c r="A506" s="3" t="s">
        <v>11</v>
      </c>
      <c r="B506" s="4">
        <v>292462</v>
      </c>
      <c r="C506" s="3" t="s">
        <v>9</v>
      </c>
      <c r="D506" s="7">
        <v>7.7499999999999999E-2</v>
      </c>
      <c r="E506" s="7">
        <f t="shared" si="55"/>
        <v>6.4583333333333333E-3</v>
      </c>
      <c r="F506" s="5">
        <v>44663</v>
      </c>
      <c r="G506" s="5">
        <v>46128</v>
      </c>
      <c r="H506" s="8">
        <f t="shared" si="53"/>
        <v>1465</v>
      </c>
      <c r="I506" s="5">
        <v>46128</v>
      </c>
      <c r="J506" s="5">
        <v>45013</v>
      </c>
      <c r="K506" s="8">
        <f t="shared" si="54"/>
        <v>350</v>
      </c>
      <c r="L506" s="6">
        <v>6443.25</v>
      </c>
      <c r="M506" s="9">
        <f t="shared" si="52"/>
        <v>154.263974003817</v>
      </c>
      <c r="N506" s="6">
        <v>5248.31</v>
      </c>
      <c r="O506" s="6">
        <v>1810.96</v>
      </c>
      <c r="P506" s="6">
        <v>1500</v>
      </c>
    </row>
    <row r="507" spans="1:16" ht="18.75" customHeight="1" thickBot="1" x14ac:dyDescent="0.3">
      <c r="A507" s="3" t="s">
        <v>11</v>
      </c>
      <c r="B507" s="4">
        <v>862735</v>
      </c>
      <c r="C507" s="3" t="s">
        <v>9</v>
      </c>
      <c r="D507" s="18">
        <v>0.105</v>
      </c>
      <c r="E507" s="21">
        <f t="shared" ref="E507:E525" si="58">(1+D507)^(1/12)-1</f>
        <v>8.355155683635207E-3</v>
      </c>
      <c r="F507" s="5">
        <v>34885</v>
      </c>
      <c r="G507" s="5">
        <v>36175</v>
      </c>
      <c r="H507" s="16">
        <f t="shared" si="53"/>
        <v>1290</v>
      </c>
      <c r="I507" s="5">
        <v>36845</v>
      </c>
      <c r="J507" s="5">
        <v>36144</v>
      </c>
      <c r="K507" s="16">
        <f t="shared" si="54"/>
        <v>1259</v>
      </c>
      <c r="L507" s="13">
        <v>7000.83</v>
      </c>
      <c r="M507" s="15">
        <f t="shared" si="52"/>
        <v>194.4759764341519</v>
      </c>
      <c r="N507" s="13">
        <v>4749.79</v>
      </c>
      <c r="O507" s="13">
        <v>3000</v>
      </c>
      <c r="P507" s="11">
        <f t="shared" ref="P507:P525" si="59">IF((G507)&gt;(ConstantDateCutoff),1,0)</f>
        <v>0</v>
      </c>
    </row>
    <row r="508" spans="1:16" ht="18.75" customHeight="1" thickBot="1" x14ac:dyDescent="0.3">
      <c r="A508" s="3" t="s">
        <v>11</v>
      </c>
      <c r="B508" s="4">
        <v>998113</v>
      </c>
      <c r="C508" s="3" t="s">
        <v>9</v>
      </c>
      <c r="D508" s="18">
        <v>0.105</v>
      </c>
      <c r="E508" s="21">
        <f t="shared" si="58"/>
        <v>8.355155683635207E-3</v>
      </c>
      <c r="F508" s="5">
        <v>35548</v>
      </c>
      <c r="G508" s="5">
        <v>36278</v>
      </c>
      <c r="H508" s="16">
        <f t="shared" si="53"/>
        <v>730</v>
      </c>
      <c r="I508" s="5">
        <v>37284</v>
      </c>
      <c r="J508" s="5">
        <v>36455</v>
      </c>
      <c r="K508" s="16">
        <f t="shared" si="54"/>
        <v>907</v>
      </c>
      <c r="L508" s="13">
        <v>5045</v>
      </c>
      <c r="M508" s="15">
        <f t="shared" si="52"/>
        <v>229.98027792871329</v>
      </c>
      <c r="N508" s="13">
        <v>1679.96</v>
      </c>
      <c r="O508" s="13">
        <v>2185</v>
      </c>
      <c r="P508" s="11">
        <f t="shared" si="59"/>
        <v>0</v>
      </c>
    </row>
    <row r="509" spans="1:16" ht="18.75" customHeight="1" thickBot="1" x14ac:dyDescent="0.3">
      <c r="A509" s="3" t="s">
        <v>11</v>
      </c>
      <c r="B509" s="4">
        <v>382871</v>
      </c>
      <c r="C509" s="3" t="s">
        <v>9</v>
      </c>
      <c r="D509" s="18">
        <v>0.11</v>
      </c>
      <c r="E509" s="21">
        <f t="shared" si="58"/>
        <v>8.7345938235519061E-3</v>
      </c>
      <c r="F509" s="5">
        <v>35751</v>
      </c>
      <c r="G509" s="5">
        <v>36852</v>
      </c>
      <c r="H509" s="16">
        <f t="shared" si="53"/>
        <v>1101</v>
      </c>
      <c r="I509" s="5">
        <v>36882</v>
      </c>
      <c r="J509" s="5">
        <v>36144</v>
      </c>
      <c r="K509" s="16">
        <f t="shared" si="54"/>
        <v>393</v>
      </c>
      <c r="L509" s="13">
        <v>6970.92</v>
      </c>
      <c r="M509" s="15">
        <f t="shared" si="52"/>
        <v>222.8324563882264</v>
      </c>
      <c r="N509" s="13">
        <v>6482.18</v>
      </c>
      <c r="O509" s="13">
        <v>450</v>
      </c>
      <c r="P509" s="11">
        <f t="shared" si="59"/>
        <v>0</v>
      </c>
    </row>
    <row r="510" spans="1:16" ht="18.75" customHeight="1" thickBot="1" x14ac:dyDescent="0.3">
      <c r="A510" s="3" t="s">
        <v>11</v>
      </c>
      <c r="B510" s="4">
        <v>277815</v>
      </c>
      <c r="C510" s="3" t="s">
        <v>12</v>
      </c>
      <c r="D510" s="18">
        <v>0.12</v>
      </c>
      <c r="E510" s="21">
        <f t="shared" si="58"/>
        <v>9.4887929345830457E-3</v>
      </c>
      <c r="F510" s="5">
        <v>35783</v>
      </c>
      <c r="G510" s="5">
        <v>37610</v>
      </c>
      <c r="H510" s="16">
        <f t="shared" si="53"/>
        <v>1827</v>
      </c>
      <c r="I510" s="5">
        <v>37731</v>
      </c>
      <c r="J510" s="5">
        <v>36704</v>
      </c>
      <c r="K510" s="16">
        <f t="shared" si="54"/>
        <v>921</v>
      </c>
      <c r="L510" s="13">
        <v>10050</v>
      </c>
      <c r="M510" s="15">
        <f t="shared" si="52"/>
        <v>218.03310730005143</v>
      </c>
      <c r="N510" s="13">
        <v>5914.58</v>
      </c>
      <c r="O510" s="13">
        <v>14.33</v>
      </c>
      <c r="P510" s="11">
        <f t="shared" si="59"/>
        <v>0</v>
      </c>
    </row>
    <row r="511" spans="1:16" ht="18.75" customHeight="1" thickBot="1" x14ac:dyDescent="0.3">
      <c r="A511" s="3" t="s">
        <v>11</v>
      </c>
      <c r="B511" s="4">
        <v>723391</v>
      </c>
      <c r="C511" s="3" t="s">
        <v>9</v>
      </c>
      <c r="D511" s="18">
        <v>0.09</v>
      </c>
      <c r="E511" s="21">
        <f t="shared" si="58"/>
        <v>7.2073233161367156E-3</v>
      </c>
      <c r="F511" s="5">
        <v>35979</v>
      </c>
      <c r="G511" s="5">
        <v>37805</v>
      </c>
      <c r="H511" s="16">
        <f t="shared" si="53"/>
        <v>1826</v>
      </c>
      <c r="I511" s="5">
        <v>37805</v>
      </c>
      <c r="J511" s="5">
        <v>36704</v>
      </c>
      <c r="K511" s="16">
        <f t="shared" si="54"/>
        <v>725</v>
      </c>
      <c r="L511" s="13">
        <v>11152.29</v>
      </c>
      <c r="M511" s="15">
        <f t="shared" si="52"/>
        <v>226.99206432347103</v>
      </c>
      <c r="N511" s="13">
        <v>5916.27</v>
      </c>
      <c r="O511" s="13">
        <v>0</v>
      </c>
      <c r="P511" s="11">
        <f t="shared" si="59"/>
        <v>0</v>
      </c>
    </row>
    <row r="512" spans="1:16" ht="18.75" customHeight="1" thickBot="1" x14ac:dyDescent="0.3">
      <c r="A512" s="3" t="s">
        <v>11</v>
      </c>
      <c r="B512" s="4">
        <v>227838</v>
      </c>
      <c r="C512" s="3" t="s">
        <v>9</v>
      </c>
      <c r="D512" s="18">
        <v>0.105</v>
      </c>
      <c r="E512" s="21">
        <f t="shared" si="58"/>
        <v>8.355155683635207E-3</v>
      </c>
      <c r="F512" s="5">
        <v>36175</v>
      </c>
      <c r="G512" s="5">
        <v>37636</v>
      </c>
      <c r="H512" s="16">
        <f t="shared" si="53"/>
        <v>1461</v>
      </c>
      <c r="I512" s="5">
        <v>37636</v>
      </c>
      <c r="J512" s="5">
        <v>36795</v>
      </c>
      <c r="K512" s="16">
        <f t="shared" si="54"/>
        <v>620</v>
      </c>
      <c r="L512" s="13">
        <v>6841.19</v>
      </c>
      <c r="M512" s="15">
        <f t="shared" si="52"/>
        <v>171.56666243536938</v>
      </c>
      <c r="N512" s="13">
        <v>5477.12</v>
      </c>
      <c r="O512" s="13">
        <v>1450</v>
      </c>
      <c r="P512" s="11">
        <f t="shared" si="59"/>
        <v>0</v>
      </c>
    </row>
    <row r="513" spans="1:16" ht="18.75" customHeight="1" thickBot="1" x14ac:dyDescent="0.3">
      <c r="A513" s="3" t="s">
        <v>11</v>
      </c>
      <c r="B513" s="4">
        <v>416060</v>
      </c>
      <c r="C513" s="3" t="s">
        <v>9</v>
      </c>
      <c r="D513" s="18">
        <v>0.1</v>
      </c>
      <c r="E513" s="21">
        <f t="shared" si="58"/>
        <v>7.9741404289037643E-3</v>
      </c>
      <c r="F513" s="5">
        <v>36389</v>
      </c>
      <c r="G513" s="5">
        <v>37120</v>
      </c>
      <c r="H513" s="16">
        <f t="shared" si="53"/>
        <v>731</v>
      </c>
      <c r="I513" s="5">
        <v>37120</v>
      </c>
      <c r="J513" s="5">
        <v>37069</v>
      </c>
      <c r="K513" s="16">
        <f t="shared" si="54"/>
        <v>680</v>
      </c>
      <c r="L513" s="13">
        <v>4716.78</v>
      </c>
      <c r="M513" s="15">
        <f t="shared" si="52"/>
        <v>213.75823318996623</v>
      </c>
      <c r="N513" s="13">
        <v>1961.29</v>
      </c>
      <c r="O513" s="13">
        <v>0</v>
      </c>
      <c r="P513" s="11">
        <f t="shared" si="59"/>
        <v>0</v>
      </c>
    </row>
    <row r="514" spans="1:16" ht="18.75" customHeight="1" thickBot="1" x14ac:dyDescent="0.3">
      <c r="A514" s="3" t="s">
        <v>11</v>
      </c>
      <c r="B514" s="4">
        <v>470353</v>
      </c>
      <c r="C514" s="3" t="s">
        <v>9</v>
      </c>
      <c r="D514" s="18">
        <v>0.105</v>
      </c>
      <c r="E514" s="21">
        <f t="shared" si="58"/>
        <v>8.355155683635207E-3</v>
      </c>
      <c r="F514" s="5">
        <v>36873</v>
      </c>
      <c r="G514" s="5">
        <v>38711</v>
      </c>
      <c r="H514" s="16">
        <f t="shared" si="53"/>
        <v>1838</v>
      </c>
      <c r="I514" s="5">
        <v>38801</v>
      </c>
      <c r="J514" s="5">
        <v>38692</v>
      </c>
      <c r="K514" s="16">
        <f t="shared" si="54"/>
        <v>1819</v>
      </c>
      <c r="L514" s="13">
        <v>13701.5</v>
      </c>
      <c r="M514" s="15">
        <f t="shared" ref="M514:M577" si="60">-PMT(E514,(H514/30),L514)</f>
        <v>286.65131032603966</v>
      </c>
      <c r="N514" s="13">
        <v>5983.89</v>
      </c>
      <c r="O514" s="13">
        <v>3450</v>
      </c>
      <c r="P514" s="11">
        <f t="shared" si="59"/>
        <v>0</v>
      </c>
    </row>
    <row r="515" spans="1:16" ht="18.75" customHeight="1" thickBot="1" x14ac:dyDescent="0.3">
      <c r="A515" s="3" t="s">
        <v>11</v>
      </c>
      <c r="B515" s="4">
        <v>261186</v>
      </c>
      <c r="C515" s="3" t="s">
        <v>9</v>
      </c>
      <c r="D515" s="18">
        <v>0.09</v>
      </c>
      <c r="E515" s="21">
        <f t="shared" si="58"/>
        <v>7.2073233161367156E-3</v>
      </c>
      <c r="F515" s="5">
        <v>37130</v>
      </c>
      <c r="G515" s="5">
        <v>38219</v>
      </c>
      <c r="H515" s="16">
        <f t="shared" ref="H515:H578" si="61">G515-F515</f>
        <v>1089</v>
      </c>
      <c r="I515" s="5">
        <v>38311</v>
      </c>
      <c r="J515" s="5">
        <v>37931</v>
      </c>
      <c r="K515" s="16">
        <f t="shared" ref="K515:K578" si="62">J515-F515</f>
        <v>801</v>
      </c>
      <c r="L515" s="13">
        <v>15842.75</v>
      </c>
      <c r="M515" s="15">
        <f t="shared" si="60"/>
        <v>497.57992199415514</v>
      </c>
      <c r="N515" s="13">
        <v>7700.75</v>
      </c>
      <c r="O515" s="13">
        <v>552.52</v>
      </c>
      <c r="P515" s="11">
        <f t="shared" si="59"/>
        <v>0</v>
      </c>
    </row>
    <row r="516" spans="1:16" ht="18.75" customHeight="1" thickBot="1" x14ac:dyDescent="0.3">
      <c r="A516" s="3" t="s">
        <v>11</v>
      </c>
      <c r="B516" s="4">
        <v>600909</v>
      </c>
      <c r="C516" s="3" t="s">
        <v>9</v>
      </c>
      <c r="D516" s="18">
        <v>0.1125</v>
      </c>
      <c r="E516" s="21">
        <f t="shared" si="58"/>
        <v>8.9237257287477778E-3</v>
      </c>
      <c r="F516" s="5">
        <v>37322</v>
      </c>
      <c r="G516" s="5">
        <v>38791</v>
      </c>
      <c r="H516" s="16">
        <f t="shared" si="61"/>
        <v>1469</v>
      </c>
      <c r="I516" s="5">
        <v>38852</v>
      </c>
      <c r="J516" s="5">
        <v>38800</v>
      </c>
      <c r="K516" s="16">
        <f t="shared" si="62"/>
        <v>1478</v>
      </c>
      <c r="L516" s="13">
        <v>3897.98</v>
      </c>
      <c r="M516" s="15">
        <f t="shared" si="60"/>
        <v>98.608733790583173</v>
      </c>
      <c r="N516" s="13">
        <v>567.67999999999995</v>
      </c>
      <c r="O516" s="13">
        <v>647.05999999999995</v>
      </c>
      <c r="P516" s="11">
        <f t="shared" si="59"/>
        <v>0</v>
      </c>
    </row>
    <row r="517" spans="1:16" ht="18.75" customHeight="1" thickBot="1" x14ac:dyDescent="0.3">
      <c r="A517" s="3" t="s">
        <v>11</v>
      </c>
      <c r="B517" s="4">
        <v>549946</v>
      </c>
      <c r="C517" s="3" t="s">
        <v>9</v>
      </c>
      <c r="D517" s="18">
        <v>0.09</v>
      </c>
      <c r="E517" s="21">
        <f t="shared" si="58"/>
        <v>7.2073233161367156E-3</v>
      </c>
      <c r="F517" s="5">
        <v>37351</v>
      </c>
      <c r="G517" s="5">
        <v>37716</v>
      </c>
      <c r="H517" s="16">
        <f t="shared" si="61"/>
        <v>365</v>
      </c>
      <c r="I517" s="5">
        <v>38822</v>
      </c>
      <c r="J517" s="5">
        <v>38895</v>
      </c>
      <c r="K517" s="16">
        <f t="shared" si="62"/>
        <v>1544</v>
      </c>
      <c r="L517" s="13">
        <v>5186.99</v>
      </c>
      <c r="M517" s="15">
        <f t="shared" si="60"/>
        <v>446.82677368277393</v>
      </c>
      <c r="N517" s="13">
        <v>4211.1000000000004</v>
      </c>
      <c r="O517" s="13">
        <v>410.14</v>
      </c>
      <c r="P517" s="11">
        <f t="shared" si="59"/>
        <v>0</v>
      </c>
    </row>
    <row r="518" spans="1:16" ht="18.75" customHeight="1" thickBot="1" x14ac:dyDescent="0.3">
      <c r="A518" s="3" t="s">
        <v>11</v>
      </c>
      <c r="B518" s="4">
        <v>677165</v>
      </c>
      <c r="C518" s="3" t="s">
        <v>9</v>
      </c>
      <c r="D518" s="18">
        <v>7.7499999999999999E-2</v>
      </c>
      <c r="E518" s="21">
        <f t="shared" si="58"/>
        <v>6.2396814612857288E-3</v>
      </c>
      <c r="F518" s="5">
        <v>37782</v>
      </c>
      <c r="G518" s="5">
        <v>39243</v>
      </c>
      <c r="H518" s="16">
        <f t="shared" si="61"/>
        <v>1461</v>
      </c>
      <c r="I518" s="5">
        <v>39182</v>
      </c>
      <c r="J518" s="5">
        <v>38336</v>
      </c>
      <c r="K518" s="16">
        <f t="shared" si="62"/>
        <v>554</v>
      </c>
      <c r="L518" s="13">
        <v>19836.419999999998</v>
      </c>
      <c r="M518" s="15">
        <f t="shared" si="60"/>
        <v>473.59436863547734</v>
      </c>
      <c r="N518" s="13">
        <v>7930.19</v>
      </c>
      <c r="O518" s="13">
        <v>3982.22</v>
      </c>
      <c r="P518" s="11">
        <f t="shared" si="59"/>
        <v>0</v>
      </c>
    </row>
    <row r="519" spans="1:16" ht="18.75" customHeight="1" thickBot="1" x14ac:dyDescent="0.3">
      <c r="A519" s="3" t="s">
        <v>11</v>
      </c>
      <c r="B519" s="4">
        <v>770701</v>
      </c>
      <c r="C519" s="3" t="s">
        <v>9</v>
      </c>
      <c r="D519" s="18">
        <v>0.1</v>
      </c>
      <c r="E519" s="21">
        <f t="shared" si="58"/>
        <v>7.9741404289037643E-3</v>
      </c>
      <c r="F519" s="5">
        <v>37817</v>
      </c>
      <c r="G519" s="5">
        <v>38671</v>
      </c>
      <c r="H519" s="16">
        <f t="shared" si="61"/>
        <v>854</v>
      </c>
      <c r="I519" s="5">
        <v>38791</v>
      </c>
      <c r="J519" s="5">
        <v>38845</v>
      </c>
      <c r="K519" s="16">
        <f t="shared" si="62"/>
        <v>1028</v>
      </c>
      <c r="L519" s="13">
        <v>1856</v>
      </c>
      <c r="M519" s="15">
        <f t="shared" si="60"/>
        <v>73.137290349824184</v>
      </c>
      <c r="N519" s="13">
        <v>334.08</v>
      </c>
      <c r="O519" s="13">
        <v>0</v>
      </c>
      <c r="P519" s="11">
        <f t="shared" si="59"/>
        <v>0</v>
      </c>
    </row>
    <row r="520" spans="1:16" ht="18.75" customHeight="1" thickBot="1" x14ac:dyDescent="0.3">
      <c r="A520" s="3" t="s">
        <v>11</v>
      </c>
      <c r="B520" s="4">
        <v>194529</v>
      </c>
      <c r="C520" s="3" t="s">
        <v>9</v>
      </c>
      <c r="D520" s="18">
        <v>0.06</v>
      </c>
      <c r="E520" s="21">
        <f t="shared" si="58"/>
        <v>4.8675505653430484E-3</v>
      </c>
      <c r="F520" s="5">
        <v>38082</v>
      </c>
      <c r="G520" s="5">
        <v>39182</v>
      </c>
      <c r="H520" s="16">
        <f t="shared" si="61"/>
        <v>1100</v>
      </c>
      <c r="I520" s="5">
        <v>39212</v>
      </c>
      <c r="J520" s="5">
        <v>38735</v>
      </c>
      <c r="K520" s="16">
        <f t="shared" si="62"/>
        <v>653</v>
      </c>
      <c r="L520" s="13">
        <v>6056</v>
      </c>
      <c r="M520" s="15">
        <f t="shared" si="60"/>
        <v>180.74135756117184</v>
      </c>
      <c r="N520" s="13">
        <v>4074.9</v>
      </c>
      <c r="O520" s="13">
        <v>193</v>
      </c>
      <c r="P520" s="11">
        <f t="shared" si="59"/>
        <v>0</v>
      </c>
    </row>
    <row r="521" spans="1:16" ht="18.75" customHeight="1" thickBot="1" x14ac:dyDescent="0.3">
      <c r="A521" s="3" t="s">
        <v>11</v>
      </c>
      <c r="B521" s="4">
        <v>165568</v>
      </c>
      <c r="C521" s="3" t="s">
        <v>9</v>
      </c>
      <c r="D521" s="18">
        <v>0.105</v>
      </c>
      <c r="E521" s="21">
        <f t="shared" si="58"/>
        <v>8.355155683635207E-3</v>
      </c>
      <c r="F521" s="5">
        <v>38197</v>
      </c>
      <c r="G521" s="5">
        <v>38939</v>
      </c>
      <c r="H521" s="16">
        <f t="shared" si="61"/>
        <v>742</v>
      </c>
      <c r="I521" s="5">
        <v>38939</v>
      </c>
      <c r="J521" s="5">
        <v>38554</v>
      </c>
      <c r="K521" s="16">
        <f t="shared" si="62"/>
        <v>357</v>
      </c>
      <c r="L521" s="13">
        <v>9056</v>
      </c>
      <c r="M521" s="15">
        <f t="shared" si="60"/>
        <v>406.80185711668599</v>
      </c>
      <c r="N521" s="13">
        <v>4756</v>
      </c>
      <c r="O521" s="13">
        <v>0</v>
      </c>
      <c r="P521" s="11">
        <f t="shared" si="59"/>
        <v>0</v>
      </c>
    </row>
    <row r="522" spans="1:16" ht="18.75" customHeight="1" thickBot="1" x14ac:dyDescent="0.3">
      <c r="A522" s="3" t="s">
        <v>11</v>
      </c>
      <c r="B522" s="4">
        <v>546447</v>
      </c>
      <c r="C522" s="3" t="s">
        <v>9</v>
      </c>
      <c r="D522" s="18">
        <v>0.129</v>
      </c>
      <c r="E522" s="21">
        <f t="shared" si="58"/>
        <v>1.0162312880815705E-2</v>
      </c>
      <c r="F522" s="5">
        <v>38392</v>
      </c>
      <c r="G522" s="5">
        <v>38852</v>
      </c>
      <c r="H522" s="16">
        <f t="shared" si="61"/>
        <v>460</v>
      </c>
      <c r="I522" s="5">
        <v>38913</v>
      </c>
      <c r="J522" s="5">
        <v>38800</v>
      </c>
      <c r="K522" s="16">
        <f t="shared" si="62"/>
        <v>408</v>
      </c>
      <c r="L522" s="13">
        <v>1406</v>
      </c>
      <c r="M522" s="15">
        <f t="shared" si="60"/>
        <v>99.489417596561296</v>
      </c>
      <c r="N522" s="13">
        <v>974.74</v>
      </c>
      <c r="O522" s="13">
        <v>809.97</v>
      </c>
      <c r="P522" s="11">
        <f t="shared" si="59"/>
        <v>0</v>
      </c>
    </row>
    <row r="523" spans="1:16" ht="18.75" customHeight="1" thickBot="1" x14ac:dyDescent="0.3">
      <c r="A523" s="3" t="s">
        <v>11</v>
      </c>
      <c r="B523" s="4">
        <v>358994</v>
      </c>
      <c r="C523" s="3" t="s">
        <v>9</v>
      </c>
      <c r="D523" s="18">
        <v>8.4000000000000005E-2</v>
      </c>
      <c r="E523" s="21">
        <f t="shared" si="58"/>
        <v>6.7441318411856077E-3</v>
      </c>
      <c r="F523" s="5">
        <v>39366</v>
      </c>
      <c r="G523" s="5">
        <v>40831</v>
      </c>
      <c r="H523" s="16">
        <f t="shared" si="61"/>
        <v>1465</v>
      </c>
      <c r="I523" s="5">
        <v>40862</v>
      </c>
      <c r="J523" s="5">
        <v>40135</v>
      </c>
      <c r="K523" s="16">
        <f t="shared" si="62"/>
        <v>769</v>
      </c>
      <c r="L523" s="13">
        <v>17066</v>
      </c>
      <c r="M523" s="15">
        <f t="shared" si="60"/>
        <v>411.34174491434214</v>
      </c>
      <c r="N523" s="13">
        <v>8900</v>
      </c>
      <c r="O523" s="13">
        <v>0</v>
      </c>
      <c r="P523" s="11">
        <f t="shared" si="59"/>
        <v>0</v>
      </c>
    </row>
    <row r="524" spans="1:16" ht="18.75" customHeight="1" thickBot="1" x14ac:dyDescent="0.3">
      <c r="A524" s="3" t="s">
        <v>11</v>
      </c>
      <c r="B524" s="4">
        <v>494804</v>
      </c>
      <c r="C524" s="3" t="s">
        <v>9</v>
      </c>
      <c r="D524" s="18">
        <v>7.0000000000000007E-2</v>
      </c>
      <c r="E524" s="21">
        <f t="shared" si="58"/>
        <v>5.6541453874052738E-3</v>
      </c>
      <c r="F524" s="5">
        <v>44782</v>
      </c>
      <c r="G524" s="5">
        <v>45696</v>
      </c>
      <c r="H524" s="16">
        <f t="shared" si="61"/>
        <v>914</v>
      </c>
      <c r="I524" s="5">
        <v>45999</v>
      </c>
      <c r="J524" s="5">
        <v>45833</v>
      </c>
      <c r="K524" s="16">
        <f t="shared" si="62"/>
        <v>1051</v>
      </c>
      <c r="L524" s="13">
        <v>9081</v>
      </c>
      <c r="M524" s="15">
        <f t="shared" si="60"/>
        <v>325.31259690643662</v>
      </c>
      <c r="N524" s="13">
        <v>2439.36</v>
      </c>
      <c r="O524" s="13">
        <v>0</v>
      </c>
      <c r="P524" s="11">
        <f t="shared" si="59"/>
        <v>1</v>
      </c>
    </row>
    <row r="525" spans="1:16" ht="18.75" customHeight="1" thickBot="1" x14ac:dyDescent="0.3">
      <c r="A525" s="3" t="s">
        <v>11</v>
      </c>
      <c r="B525" s="4">
        <v>481627</v>
      </c>
      <c r="C525" s="3" t="s">
        <v>9</v>
      </c>
      <c r="D525" s="18">
        <v>0.1575</v>
      </c>
      <c r="E525" s="21">
        <f t="shared" si="58"/>
        <v>1.2263125240543182E-2</v>
      </c>
      <c r="F525" s="5">
        <v>45063</v>
      </c>
      <c r="G525" s="5">
        <v>45733</v>
      </c>
      <c r="H525" s="16">
        <f t="shared" si="61"/>
        <v>670</v>
      </c>
      <c r="I525" s="5">
        <v>45870</v>
      </c>
      <c r="J525" s="5">
        <v>45930</v>
      </c>
      <c r="K525" s="16">
        <f t="shared" si="62"/>
        <v>867</v>
      </c>
      <c r="L525" s="13">
        <v>4532.41</v>
      </c>
      <c r="M525" s="15">
        <f t="shared" si="60"/>
        <v>233.23559097539336</v>
      </c>
      <c r="N525" s="13">
        <v>713.35</v>
      </c>
      <c r="O525" s="13">
        <v>0</v>
      </c>
      <c r="P525" s="11">
        <f t="shared" si="59"/>
        <v>1</v>
      </c>
    </row>
    <row r="526" spans="1:16" ht="18.75" hidden="1" customHeight="1" thickBot="1" x14ac:dyDescent="0.3">
      <c r="A526" s="3" t="s">
        <v>11</v>
      </c>
      <c r="B526" s="4">
        <v>926175</v>
      </c>
      <c r="C526" s="3" t="s">
        <v>15</v>
      </c>
      <c r="D526" s="7">
        <v>0.1515</v>
      </c>
      <c r="E526" s="7">
        <f t="shared" ref="E526:E571" si="63">D526/12</f>
        <v>1.2624999999999999E-2</v>
      </c>
      <c r="F526" s="5">
        <v>37935</v>
      </c>
      <c r="G526" s="5">
        <v>2958465</v>
      </c>
      <c r="H526" s="8">
        <f t="shared" si="61"/>
        <v>2920530</v>
      </c>
      <c r="I526" s="5">
        <v>2958465</v>
      </c>
      <c r="J526" s="5">
        <v>41617</v>
      </c>
      <c r="K526" s="8">
        <f t="shared" si="62"/>
        <v>3682</v>
      </c>
      <c r="L526" s="6">
        <v>100</v>
      </c>
      <c r="M526" s="9">
        <f t="shared" si="60"/>
        <v>1.2625</v>
      </c>
      <c r="N526" s="6">
        <v>93.65</v>
      </c>
      <c r="O526" s="6">
        <v>0</v>
      </c>
      <c r="P526" s="6">
        <v>0</v>
      </c>
    </row>
    <row r="527" spans="1:16" ht="18.75" hidden="1" customHeight="1" thickBot="1" x14ac:dyDescent="0.3">
      <c r="A527" s="3" t="s">
        <v>11</v>
      </c>
      <c r="B527" s="4">
        <v>800727</v>
      </c>
      <c r="C527" s="3" t="s">
        <v>15</v>
      </c>
      <c r="D527" s="7">
        <v>0.11650000000000001</v>
      </c>
      <c r="E527" s="7">
        <f t="shared" si="63"/>
        <v>9.7083333333333344E-3</v>
      </c>
      <c r="F527" s="5">
        <v>37546</v>
      </c>
      <c r="G527" s="5">
        <v>2958465</v>
      </c>
      <c r="H527" s="8">
        <f t="shared" si="61"/>
        <v>2920919</v>
      </c>
      <c r="I527" s="5">
        <v>2958465</v>
      </c>
      <c r="J527" s="5">
        <v>44138</v>
      </c>
      <c r="K527" s="8">
        <f t="shared" si="62"/>
        <v>6592</v>
      </c>
      <c r="L527" s="6">
        <v>1000</v>
      </c>
      <c r="M527" s="9">
        <f t="shared" si="60"/>
        <v>9.7083333333333339</v>
      </c>
      <c r="N527" s="6">
        <v>119.27</v>
      </c>
      <c r="O527" s="6">
        <v>119.27</v>
      </c>
      <c r="P527" s="6">
        <v>0</v>
      </c>
    </row>
    <row r="528" spans="1:16" ht="18.75" hidden="1" customHeight="1" thickBot="1" x14ac:dyDescent="0.3">
      <c r="A528" s="3" t="s">
        <v>11</v>
      </c>
      <c r="B528" s="4">
        <v>208365</v>
      </c>
      <c r="C528" s="3" t="s">
        <v>15</v>
      </c>
      <c r="D528" s="7">
        <v>0.1515</v>
      </c>
      <c r="E528" s="7">
        <f t="shared" si="63"/>
        <v>1.2624999999999999E-2</v>
      </c>
      <c r="F528" s="5">
        <v>39652</v>
      </c>
      <c r="G528" s="5">
        <v>2958465</v>
      </c>
      <c r="H528" s="8">
        <f t="shared" si="61"/>
        <v>2918813</v>
      </c>
      <c r="I528" s="5">
        <v>2958465</v>
      </c>
      <c r="J528" s="5">
        <v>44277</v>
      </c>
      <c r="K528" s="8">
        <f t="shared" si="62"/>
        <v>4625</v>
      </c>
      <c r="L528" s="6">
        <v>300</v>
      </c>
      <c r="M528" s="9">
        <f t="shared" si="60"/>
        <v>3.7874999999999996</v>
      </c>
      <c r="N528" s="6">
        <v>149.19999999999999</v>
      </c>
      <c r="O528" s="6">
        <v>0</v>
      </c>
      <c r="P528" s="6">
        <v>0</v>
      </c>
    </row>
    <row r="529" spans="1:16" ht="18.75" hidden="1" customHeight="1" thickBot="1" x14ac:dyDescent="0.3">
      <c r="A529" s="3" t="s">
        <v>11</v>
      </c>
      <c r="B529" s="4">
        <v>195630</v>
      </c>
      <c r="C529" s="3" t="s">
        <v>15</v>
      </c>
      <c r="D529" s="7">
        <v>0.1515</v>
      </c>
      <c r="E529" s="7">
        <f t="shared" si="63"/>
        <v>1.2624999999999999E-2</v>
      </c>
      <c r="F529" s="5">
        <v>39703</v>
      </c>
      <c r="G529" s="5">
        <v>2958465</v>
      </c>
      <c r="H529" s="8">
        <f t="shared" si="61"/>
        <v>2918762</v>
      </c>
      <c r="I529" s="5">
        <v>2958465</v>
      </c>
      <c r="J529" s="5">
        <v>40900</v>
      </c>
      <c r="K529" s="8">
        <f t="shared" si="62"/>
        <v>1197</v>
      </c>
      <c r="L529" s="6">
        <v>500</v>
      </c>
      <c r="M529" s="9">
        <f t="shared" si="60"/>
        <v>6.3124999999999991</v>
      </c>
      <c r="N529" s="6">
        <v>473.41</v>
      </c>
      <c r="O529" s="6">
        <v>490.42</v>
      </c>
      <c r="P529" s="6">
        <v>0</v>
      </c>
    </row>
    <row r="530" spans="1:16" ht="18.75" hidden="1" customHeight="1" thickBot="1" x14ac:dyDescent="0.3">
      <c r="A530" s="3" t="s">
        <v>11</v>
      </c>
      <c r="B530" s="4">
        <v>858312</v>
      </c>
      <c r="C530" s="3" t="s">
        <v>15</v>
      </c>
      <c r="D530" s="7">
        <v>0.16400000000000001</v>
      </c>
      <c r="E530" s="7">
        <f t="shared" si="63"/>
        <v>1.3666666666666667E-2</v>
      </c>
      <c r="F530" s="5">
        <v>40290</v>
      </c>
      <c r="G530" s="5">
        <v>2958465</v>
      </c>
      <c r="H530" s="8">
        <f t="shared" si="61"/>
        <v>2918175</v>
      </c>
      <c r="I530" s="5">
        <v>2958465</v>
      </c>
      <c r="J530" s="5">
        <v>44257</v>
      </c>
      <c r="K530" s="8">
        <f t="shared" si="62"/>
        <v>3967</v>
      </c>
      <c r="L530" s="6">
        <v>300</v>
      </c>
      <c r="M530" s="9">
        <f t="shared" si="60"/>
        <v>4.1000000000000005</v>
      </c>
      <c r="N530" s="6">
        <v>300</v>
      </c>
      <c r="O530" s="6">
        <v>300</v>
      </c>
      <c r="P530" s="6">
        <v>0</v>
      </c>
    </row>
    <row r="531" spans="1:16" ht="18.75" hidden="1" customHeight="1" thickBot="1" x14ac:dyDescent="0.3">
      <c r="A531" s="3" t="s">
        <v>11</v>
      </c>
      <c r="B531" s="4">
        <v>313170</v>
      </c>
      <c r="C531" s="3" t="s">
        <v>15</v>
      </c>
      <c r="D531" s="7">
        <v>0.1515</v>
      </c>
      <c r="E531" s="7">
        <f t="shared" si="63"/>
        <v>1.2624999999999999E-2</v>
      </c>
      <c r="F531" s="5">
        <v>41338</v>
      </c>
      <c r="G531" s="5">
        <v>2958465</v>
      </c>
      <c r="H531" s="8">
        <f t="shared" si="61"/>
        <v>2917127</v>
      </c>
      <c r="I531" s="5">
        <v>2958465</v>
      </c>
      <c r="J531" s="5">
        <v>43909</v>
      </c>
      <c r="K531" s="8">
        <f t="shared" si="62"/>
        <v>2571</v>
      </c>
      <c r="L531" s="6">
        <v>300</v>
      </c>
      <c r="M531" s="9">
        <f t="shared" si="60"/>
        <v>3.7874999999999996</v>
      </c>
      <c r="N531" s="6">
        <v>171.19</v>
      </c>
      <c r="O531" s="6">
        <v>0</v>
      </c>
      <c r="P531" s="6">
        <v>0</v>
      </c>
    </row>
    <row r="532" spans="1:16" ht="18.75" hidden="1" customHeight="1" thickBot="1" x14ac:dyDescent="0.3">
      <c r="A532" s="3" t="s">
        <v>11</v>
      </c>
      <c r="B532" s="4">
        <v>943182</v>
      </c>
      <c r="C532" s="3" t="s">
        <v>15</v>
      </c>
      <c r="D532" s="7">
        <v>0.1515</v>
      </c>
      <c r="E532" s="7">
        <f t="shared" si="63"/>
        <v>1.2624999999999999E-2</v>
      </c>
      <c r="F532" s="5">
        <v>42198</v>
      </c>
      <c r="G532" s="5">
        <v>2958465</v>
      </c>
      <c r="H532" s="8">
        <f t="shared" si="61"/>
        <v>2916267</v>
      </c>
      <c r="I532" s="5">
        <v>2958465</v>
      </c>
      <c r="J532" s="5">
        <v>43874</v>
      </c>
      <c r="K532" s="8">
        <f t="shared" si="62"/>
        <v>1676</v>
      </c>
      <c r="L532" s="6">
        <v>100</v>
      </c>
      <c r="M532" s="9">
        <f t="shared" si="60"/>
        <v>1.2625</v>
      </c>
      <c r="N532" s="6">
        <v>100</v>
      </c>
      <c r="O532" s="6">
        <v>100</v>
      </c>
      <c r="P532" s="6">
        <v>0</v>
      </c>
    </row>
    <row r="533" spans="1:16" ht="18.75" hidden="1" customHeight="1" thickBot="1" x14ac:dyDescent="0.3">
      <c r="A533" s="3" t="s">
        <v>11</v>
      </c>
      <c r="B533" s="4">
        <v>43550</v>
      </c>
      <c r="C533" s="3" t="s">
        <v>15</v>
      </c>
      <c r="D533" s="7">
        <v>0.1515</v>
      </c>
      <c r="E533" s="7">
        <f t="shared" si="63"/>
        <v>1.2624999999999999E-2</v>
      </c>
      <c r="F533" s="5">
        <v>43256</v>
      </c>
      <c r="G533" s="5">
        <v>2958465</v>
      </c>
      <c r="H533" s="8">
        <f t="shared" si="61"/>
        <v>2915209</v>
      </c>
      <c r="I533" s="5">
        <v>2958465</v>
      </c>
      <c r="J533" s="5">
        <v>43875</v>
      </c>
      <c r="K533" s="8">
        <f t="shared" si="62"/>
        <v>619</v>
      </c>
      <c r="L533" s="6">
        <v>100</v>
      </c>
      <c r="M533" s="9">
        <f t="shared" si="60"/>
        <v>1.2625</v>
      </c>
      <c r="N533" s="6">
        <v>100</v>
      </c>
      <c r="O533" s="6">
        <v>0</v>
      </c>
      <c r="P533" s="6">
        <v>0</v>
      </c>
    </row>
    <row r="534" spans="1:16" ht="18.75" hidden="1" customHeight="1" thickBot="1" x14ac:dyDescent="0.3">
      <c r="A534" s="3" t="s">
        <v>11</v>
      </c>
      <c r="B534" s="4">
        <v>395713</v>
      </c>
      <c r="C534" s="3" t="s">
        <v>15</v>
      </c>
      <c r="D534" s="7">
        <v>0.1515</v>
      </c>
      <c r="E534" s="7">
        <f t="shared" si="63"/>
        <v>1.2624999999999999E-2</v>
      </c>
      <c r="F534" s="5">
        <v>35820</v>
      </c>
      <c r="G534" s="5">
        <v>2958465</v>
      </c>
      <c r="H534" s="8">
        <f t="shared" si="61"/>
        <v>2922645</v>
      </c>
      <c r="I534" s="5">
        <v>2958465</v>
      </c>
      <c r="J534" s="5">
        <v>41852</v>
      </c>
      <c r="K534" s="8">
        <f t="shared" si="62"/>
        <v>6032</v>
      </c>
      <c r="L534" s="6">
        <v>1000</v>
      </c>
      <c r="M534" s="9">
        <f t="shared" si="60"/>
        <v>12.624999999999998</v>
      </c>
      <c r="N534" s="6">
        <v>622.71</v>
      </c>
      <c r="O534" s="6">
        <v>126.98</v>
      </c>
      <c r="P534" s="6">
        <v>0</v>
      </c>
    </row>
    <row r="535" spans="1:16" ht="18.75" hidden="1" customHeight="1" thickBot="1" x14ac:dyDescent="0.3">
      <c r="A535" s="3" t="s">
        <v>11</v>
      </c>
      <c r="B535" s="4">
        <v>643560</v>
      </c>
      <c r="C535" s="3" t="s">
        <v>15</v>
      </c>
      <c r="D535" s="7">
        <v>0.1515</v>
      </c>
      <c r="E535" s="7">
        <f t="shared" si="63"/>
        <v>1.2624999999999999E-2</v>
      </c>
      <c r="F535" s="5">
        <v>35820</v>
      </c>
      <c r="G535" s="5">
        <v>2958465</v>
      </c>
      <c r="H535" s="8">
        <f t="shared" si="61"/>
        <v>2922645</v>
      </c>
      <c r="I535" s="5">
        <v>2958465</v>
      </c>
      <c r="J535" s="5">
        <v>40577</v>
      </c>
      <c r="K535" s="8">
        <f t="shared" si="62"/>
        <v>4757</v>
      </c>
      <c r="L535" s="6">
        <v>1000</v>
      </c>
      <c r="M535" s="9">
        <f t="shared" si="60"/>
        <v>12.624999999999998</v>
      </c>
      <c r="N535" s="6">
        <v>143.56</v>
      </c>
      <c r="O535" s="6">
        <v>0</v>
      </c>
      <c r="P535" s="6">
        <v>0</v>
      </c>
    </row>
    <row r="536" spans="1:16" ht="18.75" hidden="1" customHeight="1" thickBot="1" x14ac:dyDescent="0.3">
      <c r="A536" s="3" t="s">
        <v>11</v>
      </c>
      <c r="B536" s="4">
        <v>380587</v>
      </c>
      <c r="C536" s="3" t="s">
        <v>15</v>
      </c>
      <c r="D536" s="7">
        <v>0.1515</v>
      </c>
      <c r="E536" s="7">
        <f t="shared" si="63"/>
        <v>1.2624999999999999E-2</v>
      </c>
      <c r="F536" s="5">
        <v>37153</v>
      </c>
      <c r="G536" s="5">
        <v>2958465</v>
      </c>
      <c r="H536" s="8">
        <f t="shared" si="61"/>
        <v>2921312</v>
      </c>
      <c r="I536" s="5">
        <v>2958465</v>
      </c>
      <c r="J536" s="5">
        <v>44901</v>
      </c>
      <c r="K536" s="8">
        <f t="shared" si="62"/>
        <v>7748</v>
      </c>
      <c r="L536" s="6">
        <v>1000</v>
      </c>
      <c r="M536" s="9">
        <f t="shared" si="60"/>
        <v>12.624999999999998</v>
      </c>
      <c r="N536" s="6">
        <v>990.57</v>
      </c>
      <c r="O536" s="6">
        <v>0</v>
      </c>
      <c r="P536" s="6">
        <v>0</v>
      </c>
    </row>
    <row r="537" spans="1:16" ht="18.75" hidden="1" customHeight="1" thickBot="1" x14ac:dyDescent="0.3">
      <c r="A537" s="3" t="s">
        <v>11</v>
      </c>
      <c r="B537" s="4">
        <v>963293</v>
      </c>
      <c r="C537" s="3" t="s">
        <v>15</v>
      </c>
      <c r="D537" s="7">
        <v>0.1515</v>
      </c>
      <c r="E537" s="7">
        <f t="shared" si="63"/>
        <v>1.2624999999999999E-2</v>
      </c>
      <c r="F537" s="5">
        <v>37708</v>
      </c>
      <c r="G537" s="5">
        <v>2958465</v>
      </c>
      <c r="H537" s="8">
        <f t="shared" si="61"/>
        <v>2920757</v>
      </c>
      <c r="I537" s="5">
        <v>2958465</v>
      </c>
      <c r="J537" s="5">
        <v>41605</v>
      </c>
      <c r="K537" s="8">
        <f t="shared" si="62"/>
        <v>3897</v>
      </c>
      <c r="L537" s="6">
        <v>500</v>
      </c>
      <c r="M537" s="9">
        <f t="shared" si="60"/>
        <v>6.3124999999999991</v>
      </c>
      <c r="N537" s="6">
        <v>347.73</v>
      </c>
      <c r="O537" s="6">
        <v>0</v>
      </c>
      <c r="P537" s="6">
        <v>0</v>
      </c>
    </row>
    <row r="538" spans="1:16" ht="18.75" hidden="1" customHeight="1" thickBot="1" x14ac:dyDescent="0.3">
      <c r="A538" s="3" t="s">
        <v>11</v>
      </c>
      <c r="B538" s="4">
        <v>652197</v>
      </c>
      <c r="C538" s="3" t="s">
        <v>15</v>
      </c>
      <c r="D538" s="7">
        <v>0.1515</v>
      </c>
      <c r="E538" s="7">
        <f t="shared" si="63"/>
        <v>1.2624999999999999E-2</v>
      </c>
      <c r="F538" s="5">
        <v>38320</v>
      </c>
      <c r="G538" s="5">
        <v>2958465</v>
      </c>
      <c r="H538" s="8">
        <f t="shared" si="61"/>
        <v>2920145</v>
      </c>
      <c r="I538" s="5">
        <v>2958465</v>
      </c>
      <c r="J538" s="5">
        <v>41120</v>
      </c>
      <c r="K538" s="8">
        <f t="shared" si="62"/>
        <v>2800</v>
      </c>
      <c r="L538" s="6">
        <v>300</v>
      </c>
      <c r="M538" s="9">
        <f t="shared" si="60"/>
        <v>3.7874999999999996</v>
      </c>
      <c r="N538" s="6">
        <v>300</v>
      </c>
      <c r="O538" s="6">
        <v>0</v>
      </c>
      <c r="P538" s="6">
        <v>0</v>
      </c>
    </row>
    <row r="539" spans="1:16" ht="18.75" hidden="1" customHeight="1" thickBot="1" x14ac:dyDescent="0.3">
      <c r="A539" s="3" t="s">
        <v>11</v>
      </c>
      <c r="B539" s="4">
        <v>245426</v>
      </c>
      <c r="C539" s="3" t="s">
        <v>15</v>
      </c>
      <c r="D539" s="7">
        <v>0.1515</v>
      </c>
      <c r="E539" s="7">
        <f t="shared" si="63"/>
        <v>1.2624999999999999E-2</v>
      </c>
      <c r="F539" s="5">
        <v>38824</v>
      </c>
      <c r="G539" s="5">
        <v>2958465</v>
      </c>
      <c r="H539" s="8">
        <f t="shared" si="61"/>
        <v>2919641</v>
      </c>
      <c r="I539" s="5">
        <v>2958465</v>
      </c>
      <c r="J539" s="5">
        <v>43829</v>
      </c>
      <c r="K539" s="8">
        <f t="shared" si="62"/>
        <v>5005</v>
      </c>
      <c r="L539" s="6">
        <v>500</v>
      </c>
      <c r="M539" s="9">
        <f t="shared" si="60"/>
        <v>6.3124999999999991</v>
      </c>
      <c r="N539" s="6">
        <v>500</v>
      </c>
      <c r="O539" s="6">
        <v>0</v>
      </c>
      <c r="P539" s="6">
        <v>0</v>
      </c>
    </row>
    <row r="540" spans="1:16" ht="18.75" hidden="1" customHeight="1" thickBot="1" x14ac:dyDescent="0.3">
      <c r="A540" s="3" t="s">
        <v>11</v>
      </c>
      <c r="B540" s="4">
        <v>33285</v>
      </c>
      <c r="C540" s="3" t="s">
        <v>15</v>
      </c>
      <c r="D540" s="7">
        <v>0.1515</v>
      </c>
      <c r="E540" s="7">
        <f t="shared" si="63"/>
        <v>1.2624999999999999E-2</v>
      </c>
      <c r="F540" s="5">
        <v>39581</v>
      </c>
      <c r="G540" s="5">
        <v>2958465</v>
      </c>
      <c r="H540" s="8">
        <f t="shared" si="61"/>
        <v>2918884</v>
      </c>
      <c r="I540" s="5">
        <v>2958465</v>
      </c>
      <c r="J540" s="5">
        <v>45313</v>
      </c>
      <c r="K540" s="8">
        <f t="shared" si="62"/>
        <v>5732</v>
      </c>
      <c r="L540" s="6">
        <v>300</v>
      </c>
      <c r="M540" s="9">
        <f t="shared" si="60"/>
        <v>3.7874999999999996</v>
      </c>
      <c r="N540" s="6">
        <v>145.77000000000001</v>
      </c>
      <c r="O540" s="6">
        <v>0</v>
      </c>
      <c r="P540" s="6">
        <v>0</v>
      </c>
    </row>
    <row r="541" spans="1:16" ht="18.75" hidden="1" customHeight="1" thickBot="1" x14ac:dyDescent="0.3">
      <c r="A541" s="3" t="s">
        <v>11</v>
      </c>
      <c r="B541" s="4">
        <v>27146</v>
      </c>
      <c r="C541" s="3" t="s">
        <v>15</v>
      </c>
      <c r="D541" s="7">
        <v>0.1515</v>
      </c>
      <c r="E541" s="7">
        <f t="shared" si="63"/>
        <v>1.2624999999999999E-2</v>
      </c>
      <c r="F541" s="5">
        <v>43728</v>
      </c>
      <c r="G541" s="5">
        <v>2958465</v>
      </c>
      <c r="H541" s="8">
        <f t="shared" si="61"/>
        <v>2914737</v>
      </c>
      <c r="I541" s="5">
        <v>2958465</v>
      </c>
      <c r="J541" s="5">
        <v>45148</v>
      </c>
      <c r="K541" s="8">
        <f t="shared" si="62"/>
        <v>1420</v>
      </c>
      <c r="L541" s="6">
        <v>300</v>
      </c>
      <c r="M541" s="9">
        <f t="shared" si="60"/>
        <v>3.7874999999999996</v>
      </c>
      <c r="N541" s="6">
        <v>300</v>
      </c>
      <c r="O541" s="6">
        <v>300</v>
      </c>
      <c r="P541" s="6">
        <v>0</v>
      </c>
    </row>
    <row r="542" spans="1:16" ht="18.75" hidden="1" customHeight="1" thickBot="1" x14ac:dyDescent="0.3">
      <c r="A542" s="3" t="s">
        <v>11</v>
      </c>
      <c r="B542" s="4">
        <v>303012</v>
      </c>
      <c r="C542" s="3" t="s">
        <v>15</v>
      </c>
      <c r="D542" s="7">
        <v>0.1515</v>
      </c>
      <c r="E542" s="7">
        <f t="shared" si="63"/>
        <v>1.2624999999999999E-2</v>
      </c>
      <c r="F542" s="5">
        <v>42500</v>
      </c>
      <c r="G542" s="5">
        <v>2958465</v>
      </c>
      <c r="H542" s="8">
        <f t="shared" si="61"/>
        <v>2915965</v>
      </c>
      <c r="I542" s="5">
        <v>2958465</v>
      </c>
      <c r="J542" s="5">
        <v>44147</v>
      </c>
      <c r="K542" s="8">
        <f t="shared" si="62"/>
        <v>1647</v>
      </c>
      <c r="L542" s="6">
        <v>100</v>
      </c>
      <c r="M542" s="9">
        <f t="shared" si="60"/>
        <v>1.2625</v>
      </c>
      <c r="N542" s="6">
        <v>100</v>
      </c>
      <c r="O542" s="6">
        <v>100</v>
      </c>
      <c r="P542" s="6">
        <v>0</v>
      </c>
    </row>
    <row r="543" spans="1:16" ht="18.75" hidden="1" customHeight="1" thickBot="1" x14ac:dyDescent="0.3">
      <c r="A543" s="3" t="s">
        <v>11</v>
      </c>
      <c r="B543" s="4">
        <v>272036</v>
      </c>
      <c r="C543" s="3" t="s">
        <v>15</v>
      </c>
      <c r="D543" s="7">
        <v>0.1515</v>
      </c>
      <c r="E543" s="7">
        <f t="shared" si="63"/>
        <v>1.2624999999999999E-2</v>
      </c>
      <c r="F543" s="5">
        <v>44795</v>
      </c>
      <c r="G543" s="5">
        <v>2958465</v>
      </c>
      <c r="H543" s="8">
        <f t="shared" si="61"/>
        <v>2913670</v>
      </c>
      <c r="I543" s="5">
        <v>2958465</v>
      </c>
      <c r="J543" s="5">
        <v>45313</v>
      </c>
      <c r="K543" s="8">
        <f t="shared" si="62"/>
        <v>518</v>
      </c>
      <c r="L543" s="6">
        <v>500</v>
      </c>
      <c r="M543" s="9">
        <f t="shared" si="60"/>
        <v>6.3124999999999991</v>
      </c>
      <c r="N543" s="6">
        <v>500</v>
      </c>
      <c r="O543" s="6">
        <v>0</v>
      </c>
      <c r="P543" s="6">
        <v>0</v>
      </c>
    </row>
    <row r="544" spans="1:16" ht="18.75" customHeight="1" thickBot="1" x14ac:dyDescent="0.3">
      <c r="A544" s="3" t="s">
        <v>11</v>
      </c>
      <c r="B544" s="4">
        <v>915935</v>
      </c>
      <c r="C544" s="3" t="s">
        <v>9</v>
      </c>
      <c r="D544" s="18">
        <v>0.11</v>
      </c>
      <c r="E544" s="21">
        <f t="shared" ref="E544:E552" si="64">(1+D544)^(1/12)-1</f>
        <v>8.7345938235519061E-3</v>
      </c>
      <c r="F544" s="5">
        <v>37174</v>
      </c>
      <c r="G544" s="5">
        <v>39000</v>
      </c>
      <c r="H544" s="16">
        <f t="shared" si="61"/>
        <v>1826</v>
      </c>
      <c r="I544" s="5">
        <v>39075</v>
      </c>
      <c r="J544" s="5">
        <v>38623</v>
      </c>
      <c r="K544" s="16">
        <f t="shared" si="62"/>
        <v>1449</v>
      </c>
      <c r="L544" s="13">
        <v>15803.97</v>
      </c>
      <c r="M544" s="15">
        <f t="shared" si="60"/>
        <v>335.86291404347128</v>
      </c>
      <c r="N544" s="13">
        <v>5804</v>
      </c>
      <c r="O544" s="13">
        <v>71.62</v>
      </c>
      <c r="P544" s="11">
        <f t="shared" ref="P544:P552" si="65">IF((G544)&gt;(ConstantDateCutoff),1,0)</f>
        <v>0</v>
      </c>
    </row>
    <row r="545" spans="1:16" ht="18.75" customHeight="1" thickBot="1" x14ac:dyDescent="0.3">
      <c r="A545" s="3" t="s">
        <v>11</v>
      </c>
      <c r="B545" s="4">
        <v>343874</v>
      </c>
      <c r="C545" s="3" t="s">
        <v>12</v>
      </c>
      <c r="D545" s="18">
        <v>0.09</v>
      </c>
      <c r="E545" s="21">
        <f t="shared" si="64"/>
        <v>7.2073233161367156E-3</v>
      </c>
      <c r="F545" s="5">
        <v>37435</v>
      </c>
      <c r="G545" s="5">
        <v>39264</v>
      </c>
      <c r="H545" s="16">
        <f t="shared" si="61"/>
        <v>1829</v>
      </c>
      <c r="I545" s="5">
        <v>39264</v>
      </c>
      <c r="J545" s="5">
        <v>38743</v>
      </c>
      <c r="K545" s="16">
        <f t="shared" si="62"/>
        <v>1308</v>
      </c>
      <c r="L545" s="13">
        <v>6204.29</v>
      </c>
      <c r="M545" s="15">
        <f t="shared" si="60"/>
        <v>126.11605785483196</v>
      </c>
      <c r="N545" s="13">
        <v>842.59</v>
      </c>
      <c r="O545" s="13">
        <v>29.06</v>
      </c>
      <c r="P545" s="11">
        <f t="shared" si="65"/>
        <v>0</v>
      </c>
    </row>
    <row r="546" spans="1:16" ht="18.75" customHeight="1" thickBot="1" x14ac:dyDescent="0.3">
      <c r="A546" s="3" t="s">
        <v>11</v>
      </c>
      <c r="B546" s="4">
        <v>903067</v>
      </c>
      <c r="C546" s="3" t="s">
        <v>16</v>
      </c>
      <c r="D546" s="18">
        <v>0.12</v>
      </c>
      <c r="E546" s="21">
        <f t="shared" si="64"/>
        <v>9.4887929345830457E-3</v>
      </c>
      <c r="F546" s="5">
        <v>38819</v>
      </c>
      <c r="G546" s="5">
        <v>39002</v>
      </c>
      <c r="H546" s="16">
        <f t="shared" si="61"/>
        <v>183</v>
      </c>
      <c r="I546" s="5">
        <v>39156</v>
      </c>
      <c r="J546" s="5">
        <v>39170</v>
      </c>
      <c r="K546" s="16">
        <f t="shared" si="62"/>
        <v>351</v>
      </c>
      <c r="L546" s="13">
        <v>1760</v>
      </c>
      <c r="M546" s="15">
        <f t="shared" si="60"/>
        <v>298.32161743696804</v>
      </c>
      <c r="N546" s="13">
        <v>1334.06</v>
      </c>
      <c r="O546" s="13">
        <v>0</v>
      </c>
      <c r="P546" s="11">
        <f t="shared" si="65"/>
        <v>0</v>
      </c>
    </row>
    <row r="547" spans="1:16" ht="18.75" customHeight="1" thickBot="1" x14ac:dyDescent="0.3">
      <c r="A547" s="3" t="s">
        <v>11</v>
      </c>
      <c r="B547" s="4">
        <v>726596</v>
      </c>
      <c r="C547" s="3" t="s">
        <v>9</v>
      </c>
      <c r="D547" s="18">
        <v>0.104</v>
      </c>
      <c r="E547" s="21">
        <f t="shared" si="64"/>
        <v>8.2790792398550472E-3</v>
      </c>
      <c r="F547" s="5">
        <v>39675</v>
      </c>
      <c r="G547" s="5">
        <v>41136</v>
      </c>
      <c r="H547" s="16">
        <f t="shared" si="61"/>
        <v>1461</v>
      </c>
      <c r="I547" s="5">
        <v>41167</v>
      </c>
      <c r="J547" s="5">
        <v>40532</v>
      </c>
      <c r="K547" s="16">
        <f t="shared" si="62"/>
        <v>857</v>
      </c>
      <c r="L547" s="13">
        <v>3894.74</v>
      </c>
      <c r="M547" s="15">
        <f t="shared" si="60"/>
        <v>97.503214208179898</v>
      </c>
      <c r="N547" s="13">
        <v>2060.19</v>
      </c>
      <c r="O547" s="13">
        <v>250</v>
      </c>
      <c r="P547" s="11">
        <f t="shared" si="65"/>
        <v>0</v>
      </c>
    </row>
    <row r="548" spans="1:16" ht="18.75" customHeight="1" thickBot="1" x14ac:dyDescent="0.3">
      <c r="A548" s="3" t="s">
        <v>11</v>
      </c>
      <c r="B548" s="4">
        <v>291395</v>
      </c>
      <c r="C548" s="3" t="s">
        <v>9</v>
      </c>
      <c r="D548" s="18">
        <v>9.5000000000000001E-2</v>
      </c>
      <c r="E548" s="21">
        <f t="shared" si="64"/>
        <v>7.5915342905825689E-3</v>
      </c>
      <c r="F548" s="5">
        <v>39906</v>
      </c>
      <c r="G548" s="5">
        <v>41009</v>
      </c>
      <c r="H548" s="16">
        <f t="shared" si="61"/>
        <v>1103</v>
      </c>
      <c r="I548" s="5">
        <v>41039</v>
      </c>
      <c r="J548" s="5">
        <v>40799</v>
      </c>
      <c r="K548" s="16">
        <f t="shared" si="62"/>
        <v>893</v>
      </c>
      <c r="L548" s="13">
        <v>4553.63</v>
      </c>
      <c r="M548" s="15">
        <f t="shared" si="60"/>
        <v>142.40616658115982</v>
      </c>
      <c r="N548" s="13">
        <v>1641.16</v>
      </c>
      <c r="O548" s="13">
        <v>0</v>
      </c>
      <c r="P548" s="11">
        <f t="shared" si="65"/>
        <v>0</v>
      </c>
    </row>
    <row r="549" spans="1:16" ht="18.75" customHeight="1" thickBot="1" x14ac:dyDescent="0.3">
      <c r="A549" s="3" t="s">
        <v>11</v>
      </c>
      <c r="B549" s="4">
        <v>566606</v>
      </c>
      <c r="C549" s="3" t="s">
        <v>9</v>
      </c>
      <c r="D549" s="18">
        <v>7.9500000000000001E-2</v>
      </c>
      <c r="E549" s="21">
        <f t="shared" si="64"/>
        <v>6.395193395115184E-3</v>
      </c>
      <c r="F549" s="5">
        <v>40380</v>
      </c>
      <c r="G549" s="5">
        <v>42206</v>
      </c>
      <c r="H549" s="16">
        <f t="shared" si="61"/>
        <v>1826</v>
      </c>
      <c r="I549" s="5">
        <v>42206</v>
      </c>
      <c r="J549" s="5">
        <v>40861</v>
      </c>
      <c r="K549" s="16">
        <f t="shared" si="62"/>
        <v>481</v>
      </c>
      <c r="L549" s="13">
        <v>13039.86</v>
      </c>
      <c r="M549" s="15">
        <f t="shared" si="60"/>
        <v>259.3067158374721</v>
      </c>
      <c r="N549" s="13">
        <v>8100</v>
      </c>
      <c r="O549" s="13">
        <v>0</v>
      </c>
      <c r="P549" s="11">
        <f t="shared" si="65"/>
        <v>1</v>
      </c>
    </row>
    <row r="550" spans="1:16" ht="18.75" customHeight="1" thickBot="1" x14ac:dyDescent="0.3">
      <c r="A550" s="3" t="s">
        <v>11</v>
      </c>
      <c r="B550" s="4">
        <v>814010</v>
      </c>
      <c r="C550" s="3" t="s">
        <v>16</v>
      </c>
      <c r="D550" s="18">
        <v>0.105</v>
      </c>
      <c r="E550" s="21">
        <f t="shared" si="64"/>
        <v>8.355155683635207E-3</v>
      </c>
      <c r="F550" s="5">
        <v>41466</v>
      </c>
      <c r="G550" s="5">
        <v>42210</v>
      </c>
      <c r="H550" s="16">
        <f t="shared" si="61"/>
        <v>744</v>
      </c>
      <c r="I550" s="5">
        <v>42210</v>
      </c>
      <c r="J550" s="5">
        <v>42093</v>
      </c>
      <c r="K550" s="16">
        <f t="shared" si="62"/>
        <v>627</v>
      </c>
      <c r="L550" s="13">
        <v>2975</v>
      </c>
      <c r="M550" s="15">
        <f t="shared" si="60"/>
        <v>133.31553800881761</v>
      </c>
      <c r="N550" s="13">
        <v>1591.46</v>
      </c>
      <c r="O550" s="13">
        <v>409.91</v>
      </c>
      <c r="P550" s="11">
        <f t="shared" si="65"/>
        <v>1</v>
      </c>
    </row>
    <row r="551" spans="1:16" ht="18.75" customHeight="1" thickBot="1" x14ac:dyDescent="0.3">
      <c r="A551" s="3" t="s">
        <v>11</v>
      </c>
      <c r="B551" s="4">
        <v>376364</v>
      </c>
      <c r="C551" s="3" t="s">
        <v>2</v>
      </c>
      <c r="D551" s="18">
        <v>7.0000000000000007E-2</v>
      </c>
      <c r="E551" s="21">
        <f t="shared" si="64"/>
        <v>5.6541453874052738E-3</v>
      </c>
      <c r="F551" s="5">
        <v>41415</v>
      </c>
      <c r="G551" s="5">
        <v>42541</v>
      </c>
      <c r="H551" s="16">
        <f t="shared" si="61"/>
        <v>1126</v>
      </c>
      <c r="I551" s="5">
        <v>42541</v>
      </c>
      <c r="J551" s="5">
        <v>41997</v>
      </c>
      <c r="K551" s="16">
        <f t="shared" si="62"/>
        <v>582</v>
      </c>
      <c r="L551" s="13">
        <v>85000</v>
      </c>
      <c r="M551" s="15">
        <f t="shared" si="60"/>
        <v>2519.820296385044</v>
      </c>
      <c r="N551" s="13">
        <v>43000</v>
      </c>
      <c r="O551" s="13">
        <v>29480.28</v>
      </c>
      <c r="P551" s="11">
        <f t="shared" si="65"/>
        <v>1</v>
      </c>
    </row>
    <row r="552" spans="1:16" ht="18.75" customHeight="1" thickBot="1" x14ac:dyDescent="0.3">
      <c r="A552" s="3" t="s">
        <v>11</v>
      </c>
      <c r="B552" s="4">
        <v>843154</v>
      </c>
      <c r="C552" s="3" t="s">
        <v>9</v>
      </c>
      <c r="D552" s="18">
        <v>0.108</v>
      </c>
      <c r="E552" s="21">
        <f t="shared" si="64"/>
        <v>8.5830069477084159E-3</v>
      </c>
      <c r="F552" s="5">
        <v>42044</v>
      </c>
      <c r="G552" s="5">
        <v>43505</v>
      </c>
      <c r="H552" s="16">
        <f t="shared" si="61"/>
        <v>1461</v>
      </c>
      <c r="I552" s="5">
        <v>43594</v>
      </c>
      <c r="J552" s="5">
        <v>43349</v>
      </c>
      <c r="K552" s="16">
        <f t="shared" si="62"/>
        <v>1305</v>
      </c>
      <c r="L552" s="13">
        <v>10081</v>
      </c>
      <c r="M552" s="15">
        <f t="shared" si="60"/>
        <v>254.14420482539569</v>
      </c>
      <c r="N552" s="13">
        <v>728.23</v>
      </c>
      <c r="O552" s="13">
        <v>0</v>
      </c>
      <c r="P552" s="11">
        <f t="shared" si="65"/>
        <v>1</v>
      </c>
    </row>
    <row r="553" spans="1:16" ht="18.75" hidden="1" customHeight="1" thickBot="1" x14ac:dyDescent="0.3">
      <c r="A553" s="3" t="s">
        <v>11</v>
      </c>
      <c r="B553" s="4">
        <v>886039</v>
      </c>
      <c r="C553" s="3" t="s">
        <v>18</v>
      </c>
      <c r="D553" s="7">
        <v>9.2499999999999999E-2</v>
      </c>
      <c r="E553" s="7">
        <f t="shared" si="63"/>
        <v>7.7083333333333335E-3</v>
      </c>
      <c r="F553" s="5">
        <v>42517</v>
      </c>
      <c r="G553" s="5">
        <v>49822</v>
      </c>
      <c r="H553" s="8">
        <f t="shared" si="61"/>
        <v>7305</v>
      </c>
      <c r="I553" s="5">
        <v>49822</v>
      </c>
      <c r="J553" s="5">
        <v>44291</v>
      </c>
      <c r="K553" s="8">
        <f t="shared" si="62"/>
        <v>1774</v>
      </c>
      <c r="L553" s="6">
        <v>510000</v>
      </c>
      <c r="M553" s="9">
        <f t="shared" si="60"/>
        <v>4647.7316396638971</v>
      </c>
      <c r="N553" s="6">
        <v>427142.71</v>
      </c>
      <c r="O553" s="6">
        <v>0</v>
      </c>
      <c r="P553" s="6">
        <v>0</v>
      </c>
    </row>
    <row r="554" spans="1:16" ht="18.75" customHeight="1" thickBot="1" x14ac:dyDescent="0.3">
      <c r="A554" s="3" t="s">
        <v>11</v>
      </c>
      <c r="B554" s="4">
        <v>424464</v>
      </c>
      <c r="C554" s="3" t="s">
        <v>3</v>
      </c>
      <c r="D554" s="18">
        <v>8.7499999999999994E-2</v>
      </c>
      <c r="E554" s="21">
        <f t="shared" ref="E554:E559" si="66">(1+D554)^(1/12)-1</f>
        <v>7.0146116041400752E-3</v>
      </c>
      <c r="F554" s="5">
        <v>42324</v>
      </c>
      <c r="G554" s="5">
        <v>44880</v>
      </c>
      <c r="H554" s="16">
        <f t="shared" si="61"/>
        <v>2556</v>
      </c>
      <c r="I554" s="5">
        <v>45352</v>
      </c>
      <c r="J554" s="5">
        <v>43734</v>
      </c>
      <c r="K554" s="16">
        <f t="shared" si="62"/>
        <v>1410</v>
      </c>
      <c r="L554" s="13">
        <v>62512</v>
      </c>
      <c r="M554" s="15">
        <f t="shared" si="60"/>
        <v>977.16296401032548</v>
      </c>
      <c r="N554" s="13">
        <v>63425.120000000003</v>
      </c>
      <c r="O554" s="13">
        <v>20000</v>
      </c>
      <c r="P554" s="11">
        <f t="shared" ref="P554:P559" si="67">IF((G554)&gt;(ConstantDateCutoff),1,0)</f>
        <v>1</v>
      </c>
    </row>
    <row r="555" spans="1:16" ht="18.75" customHeight="1" thickBot="1" x14ac:dyDescent="0.3">
      <c r="A555" s="3" t="s">
        <v>11</v>
      </c>
      <c r="B555" s="4">
        <v>871585</v>
      </c>
      <c r="C555" s="3" t="s">
        <v>12</v>
      </c>
      <c r="D555" s="18">
        <v>0.12192</v>
      </c>
      <c r="E555" s="21">
        <f t="shared" si="66"/>
        <v>9.6328924332678145E-3</v>
      </c>
      <c r="F555" s="5">
        <v>42790</v>
      </c>
      <c r="G555" s="5">
        <v>44255</v>
      </c>
      <c r="H555" s="16">
        <f t="shared" si="61"/>
        <v>1465</v>
      </c>
      <c r="I555" s="5">
        <v>44375</v>
      </c>
      <c r="J555" s="5">
        <v>43550</v>
      </c>
      <c r="K555" s="16">
        <f t="shared" si="62"/>
        <v>760</v>
      </c>
      <c r="L555" s="13">
        <v>10552.72</v>
      </c>
      <c r="M555" s="15">
        <f t="shared" si="60"/>
        <v>271.91379591353541</v>
      </c>
      <c r="N555" s="13">
        <v>7472.76</v>
      </c>
      <c r="O555" s="13">
        <v>658.03</v>
      </c>
      <c r="P555" s="11">
        <f t="shared" si="67"/>
        <v>1</v>
      </c>
    </row>
    <row r="556" spans="1:16" ht="18.75" customHeight="1" thickBot="1" x14ac:dyDescent="0.3">
      <c r="A556" s="3" t="s">
        <v>11</v>
      </c>
      <c r="B556" s="4">
        <v>315406</v>
      </c>
      <c r="C556" s="3" t="s">
        <v>3</v>
      </c>
      <c r="D556" s="18">
        <v>8.7499999999999994E-2</v>
      </c>
      <c r="E556" s="21">
        <f t="shared" si="66"/>
        <v>7.0146116041400752E-3</v>
      </c>
      <c r="F556" s="5">
        <v>42675</v>
      </c>
      <c r="G556" s="5">
        <v>43040</v>
      </c>
      <c r="H556" s="16">
        <f t="shared" si="61"/>
        <v>365</v>
      </c>
      <c r="I556" s="5">
        <v>43770</v>
      </c>
      <c r="J556" s="5">
        <v>43909</v>
      </c>
      <c r="K556" s="16">
        <f t="shared" si="62"/>
        <v>1234</v>
      </c>
      <c r="L556" s="13">
        <v>60474</v>
      </c>
      <c r="M556" s="15">
        <f t="shared" si="60"/>
        <v>5202.9852412318742</v>
      </c>
      <c r="N556" s="13">
        <v>20000</v>
      </c>
      <c r="O556" s="13">
        <v>0</v>
      </c>
      <c r="P556" s="11">
        <f t="shared" si="67"/>
        <v>1</v>
      </c>
    </row>
    <row r="557" spans="1:16" ht="18.75" customHeight="1" thickBot="1" x14ac:dyDescent="0.3">
      <c r="A557" s="3" t="s">
        <v>11</v>
      </c>
      <c r="B557" s="4">
        <v>507762</v>
      </c>
      <c r="C557" s="3" t="s">
        <v>6</v>
      </c>
      <c r="D557" s="18">
        <v>8.2500000000000004E-2</v>
      </c>
      <c r="E557" s="21">
        <f t="shared" si="66"/>
        <v>6.6279668043680573E-3</v>
      </c>
      <c r="F557" s="5">
        <v>42808</v>
      </c>
      <c r="G557" s="5">
        <v>45323</v>
      </c>
      <c r="H557" s="16">
        <f t="shared" si="61"/>
        <v>2515</v>
      </c>
      <c r="I557" s="5">
        <v>45323</v>
      </c>
      <c r="J557" s="5">
        <v>44033</v>
      </c>
      <c r="K557" s="16">
        <f t="shared" si="62"/>
        <v>1225</v>
      </c>
      <c r="L557" s="13">
        <v>324860</v>
      </c>
      <c r="M557" s="15">
        <f t="shared" si="60"/>
        <v>5063.3441413671335</v>
      </c>
      <c r="N557" s="13">
        <v>247901.04</v>
      </c>
      <c r="O557" s="13">
        <v>0</v>
      </c>
      <c r="P557" s="11">
        <f t="shared" si="67"/>
        <v>1</v>
      </c>
    </row>
    <row r="558" spans="1:16" ht="18.75" customHeight="1" thickBot="1" x14ac:dyDescent="0.3">
      <c r="A558" s="3" t="s">
        <v>11</v>
      </c>
      <c r="B558" s="4">
        <v>425034</v>
      </c>
      <c r="C558" s="3" t="s">
        <v>2</v>
      </c>
      <c r="D558" s="18">
        <v>0.09</v>
      </c>
      <c r="E558" s="21">
        <f t="shared" si="66"/>
        <v>7.2073233161367156E-3</v>
      </c>
      <c r="F558" s="5">
        <v>43005</v>
      </c>
      <c r="G558" s="5">
        <v>43370</v>
      </c>
      <c r="H558" s="16">
        <f t="shared" si="61"/>
        <v>365</v>
      </c>
      <c r="I558" s="5">
        <v>43370</v>
      </c>
      <c r="J558" s="5">
        <v>43956</v>
      </c>
      <c r="K558" s="16">
        <f t="shared" si="62"/>
        <v>951</v>
      </c>
      <c r="L558" s="13">
        <v>33150</v>
      </c>
      <c r="M558" s="15">
        <f t="shared" si="60"/>
        <v>2855.665337234881</v>
      </c>
      <c r="N558" s="13">
        <v>21030.080000000002</v>
      </c>
      <c r="O558" s="13">
        <v>0</v>
      </c>
      <c r="P558" s="11">
        <f t="shared" si="67"/>
        <v>1</v>
      </c>
    </row>
    <row r="559" spans="1:16" ht="18.75" customHeight="1" thickBot="1" x14ac:dyDescent="0.3">
      <c r="A559" s="3" t="s">
        <v>11</v>
      </c>
      <c r="B559" s="4">
        <v>652788</v>
      </c>
      <c r="C559" s="3" t="s">
        <v>2</v>
      </c>
      <c r="D559" s="18">
        <v>7.7499999999999999E-2</v>
      </c>
      <c r="E559" s="21">
        <f t="shared" si="66"/>
        <v>6.2396814612857288E-3</v>
      </c>
      <c r="F559" s="5">
        <v>43153</v>
      </c>
      <c r="G559" s="5">
        <v>44247</v>
      </c>
      <c r="H559" s="16">
        <f t="shared" si="61"/>
        <v>1094</v>
      </c>
      <c r="I559" s="5">
        <v>44247</v>
      </c>
      <c r="J559" s="5">
        <v>43829</v>
      </c>
      <c r="K559" s="16">
        <f t="shared" si="62"/>
        <v>676</v>
      </c>
      <c r="L559" s="13">
        <v>39900</v>
      </c>
      <c r="M559" s="15">
        <f t="shared" si="60"/>
        <v>1226.7436573100099</v>
      </c>
      <c r="N559" s="13">
        <v>16922</v>
      </c>
      <c r="O559" s="13">
        <v>0</v>
      </c>
      <c r="P559" s="11">
        <f t="shared" si="67"/>
        <v>1</v>
      </c>
    </row>
    <row r="560" spans="1:16" ht="18.75" hidden="1" customHeight="1" thickBot="1" x14ac:dyDescent="0.3">
      <c r="A560" s="3" t="s">
        <v>11</v>
      </c>
      <c r="B560" s="4">
        <v>172493</v>
      </c>
      <c r="C560" s="3" t="s">
        <v>7</v>
      </c>
      <c r="D560" s="7">
        <v>9.4200000000000006E-2</v>
      </c>
      <c r="E560" s="7">
        <f t="shared" si="63"/>
        <v>7.8500000000000011E-3</v>
      </c>
      <c r="F560" s="5">
        <v>42961</v>
      </c>
      <c r="G560" s="5">
        <v>50266</v>
      </c>
      <c r="H560" s="8">
        <f t="shared" si="61"/>
        <v>7305</v>
      </c>
      <c r="I560" s="5">
        <v>50266</v>
      </c>
      <c r="J560" s="5">
        <v>44011</v>
      </c>
      <c r="K560" s="8">
        <f t="shared" si="62"/>
        <v>1050</v>
      </c>
      <c r="L560" s="6">
        <v>122448</v>
      </c>
      <c r="M560" s="9">
        <f t="shared" si="60"/>
        <v>1129.4744075485576</v>
      </c>
      <c r="N560" s="6">
        <v>116003.47</v>
      </c>
      <c r="O560" s="6">
        <v>0</v>
      </c>
      <c r="P560" s="6">
        <v>485.01</v>
      </c>
    </row>
    <row r="561" spans="1:16" ht="18.75" customHeight="1" thickBot="1" x14ac:dyDescent="0.3">
      <c r="A561" s="3" t="s">
        <v>11</v>
      </c>
      <c r="B561" s="4">
        <v>39224</v>
      </c>
      <c r="C561" s="3" t="s">
        <v>2</v>
      </c>
      <c r="D561" s="18">
        <v>8.5000000000000006E-2</v>
      </c>
      <c r="E561" s="21">
        <f t="shared" ref="E561:E568" si="68">(1+D561)^(1/12)-1</f>
        <v>6.8214933659622723E-3</v>
      </c>
      <c r="F561" s="5">
        <v>43342</v>
      </c>
      <c r="G561" s="5">
        <v>43708</v>
      </c>
      <c r="H561" s="16">
        <f t="shared" si="61"/>
        <v>366</v>
      </c>
      <c r="I561" s="5">
        <v>43708</v>
      </c>
      <c r="J561" s="5">
        <v>43829</v>
      </c>
      <c r="K561" s="16">
        <f t="shared" si="62"/>
        <v>487</v>
      </c>
      <c r="L561" s="13">
        <v>15135</v>
      </c>
      <c r="M561" s="15">
        <f t="shared" si="60"/>
        <v>1297.1354086468846</v>
      </c>
      <c r="N561" s="13">
        <v>14399.33</v>
      </c>
      <c r="O561" s="13">
        <v>12500</v>
      </c>
      <c r="P561" s="11">
        <f t="shared" ref="P561:P568" si="69">IF((G561)&gt;(ConstantDateCutoff),1,0)</f>
        <v>1</v>
      </c>
    </row>
    <row r="562" spans="1:16" ht="18.75" customHeight="1" thickBot="1" x14ac:dyDescent="0.3">
      <c r="A562" s="3" t="s">
        <v>11</v>
      </c>
      <c r="B562" s="4">
        <v>415220</v>
      </c>
      <c r="C562" s="3" t="s">
        <v>2</v>
      </c>
      <c r="D562" s="18">
        <v>0.09</v>
      </c>
      <c r="E562" s="21">
        <f t="shared" si="68"/>
        <v>7.2073233161367156E-3</v>
      </c>
      <c r="F562" s="5">
        <v>43602</v>
      </c>
      <c r="G562" s="5">
        <v>45063</v>
      </c>
      <c r="H562" s="16">
        <f t="shared" si="61"/>
        <v>1461</v>
      </c>
      <c r="I562" s="5">
        <v>45894</v>
      </c>
      <c r="J562" s="5">
        <v>44848</v>
      </c>
      <c r="K562" s="16">
        <f t="shared" si="62"/>
        <v>1246</v>
      </c>
      <c r="L562" s="13">
        <v>549604.02</v>
      </c>
      <c r="M562" s="15">
        <f t="shared" si="60"/>
        <v>13421.923906104568</v>
      </c>
      <c r="N562" s="13">
        <v>372226.21</v>
      </c>
      <c r="O562" s="13">
        <v>18610.52</v>
      </c>
      <c r="P562" s="11">
        <f t="shared" si="69"/>
        <v>1</v>
      </c>
    </row>
    <row r="563" spans="1:16" ht="18.75" customHeight="1" thickBot="1" x14ac:dyDescent="0.3">
      <c r="A563" s="3" t="s">
        <v>11</v>
      </c>
      <c r="B563" s="4">
        <v>602483</v>
      </c>
      <c r="C563" s="3" t="s">
        <v>9</v>
      </c>
      <c r="D563" s="18">
        <v>5.5E-2</v>
      </c>
      <c r="E563" s="21">
        <f t="shared" si="68"/>
        <v>4.471698917043021E-3</v>
      </c>
      <c r="F563" s="5">
        <v>43166</v>
      </c>
      <c r="G563" s="5">
        <v>44262</v>
      </c>
      <c r="H563" s="16">
        <f t="shared" si="61"/>
        <v>1096</v>
      </c>
      <c r="I563" s="5">
        <v>44354</v>
      </c>
      <c r="J563" s="5">
        <v>43811</v>
      </c>
      <c r="K563" s="16">
        <f t="shared" si="62"/>
        <v>645</v>
      </c>
      <c r="L563" s="13">
        <v>3581</v>
      </c>
      <c r="M563" s="15">
        <f t="shared" si="60"/>
        <v>106.46306332841364</v>
      </c>
      <c r="N563" s="13">
        <v>2093.98</v>
      </c>
      <c r="O563" s="13">
        <v>539.62</v>
      </c>
      <c r="P563" s="11">
        <f t="shared" si="69"/>
        <v>1</v>
      </c>
    </row>
    <row r="564" spans="1:16" ht="18.75" customHeight="1" thickBot="1" x14ac:dyDescent="0.3">
      <c r="A564" s="3" t="s">
        <v>11</v>
      </c>
      <c r="B564" s="4">
        <v>891096</v>
      </c>
      <c r="C564" s="3" t="s">
        <v>9</v>
      </c>
      <c r="D564" s="18">
        <v>0.06</v>
      </c>
      <c r="E564" s="21">
        <f t="shared" si="68"/>
        <v>4.8675505653430484E-3</v>
      </c>
      <c r="F564" s="5">
        <v>43214</v>
      </c>
      <c r="G564" s="5">
        <v>44489</v>
      </c>
      <c r="H564" s="16">
        <f t="shared" si="61"/>
        <v>1275</v>
      </c>
      <c r="I564" s="5">
        <v>44550</v>
      </c>
      <c r="J564" s="5">
        <v>44553</v>
      </c>
      <c r="K564" s="16">
        <f t="shared" si="62"/>
        <v>1339</v>
      </c>
      <c r="L564" s="13">
        <v>13575</v>
      </c>
      <c r="M564" s="15">
        <f t="shared" si="60"/>
        <v>354.36255968825066</v>
      </c>
      <c r="N564" s="13">
        <v>1703.07</v>
      </c>
      <c r="O564" s="13">
        <v>0</v>
      </c>
      <c r="P564" s="11">
        <f t="shared" si="69"/>
        <v>1</v>
      </c>
    </row>
    <row r="565" spans="1:16" ht="18.75" customHeight="1" thickBot="1" x14ac:dyDescent="0.3">
      <c r="A565" s="3" t="s">
        <v>11</v>
      </c>
      <c r="B565" s="4">
        <v>283482</v>
      </c>
      <c r="C565" s="3" t="s">
        <v>9</v>
      </c>
      <c r="D565" s="18">
        <v>0.04</v>
      </c>
      <c r="E565" s="21">
        <f t="shared" si="68"/>
        <v>3.2737397821989145E-3</v>
      </c>
      <c r="F565" s="5">
        <v>43237</v>
      </c>
      <c r="G565" s="5">
        <v>44331</v>
      </c>
      <c r="H565" s="16">
        <f t="shared" si="61"/>
        <v>1094</v>
      </c>
      <c r="I565" s="5">
        <v>44331</v>
      </c>
      <c r="J565" s="5">
        <v>43550</v>
      </c>
      <c r="K565" s="16">
        <f t="shared" si="62"/>
        <v>313</v>
      </c>
      <c r="L565" s="13">
        <v>4961</v>
      </c>
      <c r="M565" s="15">
        <f t="shared" si="60"/>
        <v>144.54639313992183</v>
      </c>
      <c r="N565" s="13">
        <v>4181.1499999999996</v>
      </c>
      <c r="O565" s="13">
        <v>652.05999999999995</v>
      </c>
      <c r="P565" s="11">
        <f t="shared" si="69"/>
        <v>1</v>
      </c>
    </row>
    <row r="566" spans="1:16" ht="18.75" customHeight="1" thickBot="1" x14ac:dyDescent="0.3">
      <c r="A566" s="3" t="s">
        <v>11</v>
      </c>
      <c r="B566" s="4">
        <v>52540</v>
      </c>
      <c r="C566" s="3" t="s">
        <v>9</v>
      </c>
      <c r="D566" s="18">
        <v>5.2499999999999998E-2</v>
      </c>
      <c r="E566" s="21">
        <f t="shared" si="68"/>
        <v>4.2731277661580691E-3</v>
      </c>
      <c r="F566" s="5">
        <v>43329</v>
      </c>
      <c r="G566" s="5">
        <v>44423</v>
      </c>
      <c r="H566" s="16">
        <f t="shared" si="61"/>
        <v>1094</v>
      </c>
      <c r="I566" s="5">
        <v>44423</v>
      </c>
      <c r="J566" s="5">
        <v>43550</v>
      </c>
      <c r="K566" s="16">
        <f t="shared" si="62"/>
        <v>221</v>
      </c>
      <c r="L566" s="13">
        <v>6796.38</v>
      </c>
      <c r="M566" s="15">
        <f t="shared" si="60"/>
        <v>201.66737749498191</v>
      </c>
      <c r="N566" s="13">
        <v>6444.42</v>
      </c>
      <c r="O566" s="13">
        <v>0</v>
      </c>
      <c r="P566" s="11">
        <f t="shared" si="69"/>
        <v>1</v>
      </c>
    </row>
    <row r="567" spans="1:16" ht="18.75" customHeight="1" thickBot="1" x14ac:dyDescent="0.3">
      <c r="A567" s="3" t="s">
        <v>11</v>
      </c>
      <c r="B567" s="4">
        <v>227116</v>
      </c>
      <c r="C567" s="3" t="s">
        <v>16</v>
      </c>
      <c r="D567" s="18">
        <v>0.14000000000000001</v>
      </c>
      <c r="E567" s="21">
        <f t="shared" si="68"/>
        <v>1.0978851950173452E-2</v>
      </c>
      <c r="F567" s="5">
        <v>43382</v>
      </c>
      <c r="G567" s="5">
        <v>44486</v>
      </c>
      <c r="H567" s="16">
        <f t="shared" si="61"/>
        <v>1104</v>
      </c>
      <c r="I567" s="5">
        <v>44486</v>
      </c>
      <c r="J567" s="5">
        <v>43829</v>
      </c>
      <c r="K567" s="16">
        <f t="shared" si="62"/>
        <v>447</v>
      </c>
      <c r="L567" s="13">
        <v>4575</v>
      </c>
      <c r="M567" s="15">
        <f t="shared" si="60"/>
        <v>151.79336735119071</v>
      </c>
      <c r="N567" s="13">
        <v>3547.89</v>
      </c>
      <c r="O567" s="13">
        <v>3547.89</v>
      </c>
      <c r="P567" s="11">
        <f t="shared" si="69"/>
        <v>1</v>
      </c>
    </row>
    <row r="568" spans="1:16" ht="18.75" customHeight="1" thickBot="1" x14ac:dyDescent="0.3">
      <c r="A568" s="3" t="s">
        <v>11</v>
      </c>
      <c r="B568" s="4">
        <v>933431</v>
      </c>
      <c r="C568" s="3" t="s">
        <v>2</v>
      </c>
      <c r="D568" s="18">
        <v>7.7499999999999999E-2</v>
      </c>
      <c r="E568" s="21">
        <f t="shared" si="68"/>
        <v>6.2396814612857288E-3</v>
      </c>
      <c r="F568" s="5">
        <v>43385</v>
      </c>
      <c r="G568" s="5">
        <v>44854</v>
      </c>
      <c r="H568" s="16">
        <f t="shared" si="61"/>
        <v>1469</v>
      </c>
      <c r="I568" s="5">
        <v>44854</v>
      </c>
      <c r="J568" s="5">
        <v>43900</v>
      </c>
      <c r="K568" s="16">
        <f t="shared" si="62"/>
        <v>515</v>
      </c>
      <c r="L568" s="13">
        <v>46500</v>
      </c>
      <c r="M568" s="15">
        <f t="shared" si="60"/>
        <v>1105.0109773512088</v>
      </c>
      <c r="N568" s="13">
        <v>20000</v>
      </c>
      <c r="O568" s="13">
        <v>0</v>
      </c>
      <c r="P568" s="11">
        <f t="shared" si="69"/>
        <v>1</v>
      </c>
    </row>
    <row r="569" spans="1:16" ht="18.75" hidden="1" customHeight="1" thickBot="1" x14ac:dyDescent="0.3">
      <c r="A569" s="3" t="s">
        <v>11</v>
      </c>
      <c r="B569" s="4">
        <v>143183</v>
      </c>
      <c r="C569" s="3" t="s">
        <v>12</v>
      </c>
      <c r="D569" s="7">
        <v>0.09</v>
      </c>
      <c r="E569" s="7">
        <f t="shared" si="63"/>
        <v>7.4999999999999997E-3</v>
      </c>
      <c r="F569" s="5">
        <v>44798</v>
      </c>
      <c r="G569" s="5">
        <v>46990</v>
      </c>
      <c r="H569" s="8">
        <f t="shared" si="61"/>
        <v>2192</v>
      </c>
      <c r="I569" s="5">
        <v>47021</v>
      </c>
      <c r="J569" s="5">
        <v>45565</v>
      </c>
      <c r="K569" s="8">
        <f t="shared" si="62"/>
        <v>767</v>
      </c>
      <c r="L569" s="6">
        <v>43035</v>
      </c>
      <c r="M569" s="9">
        <f t="shared" si="60"/>
        <v>767.18190241001992</v>
      </c>
      <c r="N569" s="6">
        <v>33836.660000000003</v>
      </c>
      <c r="O569" s="6">
        <v>9109.32</v>
      </c>
      <c r="P569" s="6">
        <v>0</v>
      </c>
    </row>
    <row r="570" spans="1:16" ht="18.75" hidden="1" customHeight="1" thickBot="1" x14ac:dyDescent="0.3">
      <c r="A570" s="3" t="s">
        <v>11</v>
      </c>
      <c r="B570" s="4">
        <v>304650</v>
      </c>
      <c r="C570" s="3" t="s">
        <v>16</v>
      </c>
      <c r="D570" s="7">
        <v>0.12</v>
      </c>
      <c r="E570" s="7">
        <f t="shared" si="63"/>
        <v>0.01</v>
      </c>
      <c r="F570" s="5">
        <v>45755</v>
      </c>
      <c r="G570" s="5">
        <v>46851</v>
      </c>
      <c r="H570" s="8">
        <f t="shared" si="61"/>
        <v>1096</v>
      </c>
      <c r="I570" s="5">
        <v>46851</v>
      </c>
      <c r="J570" s="5">
        <v>46076</v>
      </c>
      <c r="K570" s="8">
        <f t="shared" si="62"/>
        <v>321</v>
      </c>
      <c r="L570" s="6">
        <v>4575</v>
      </c>
      <c r="M570" s="9">
        <f t="shared" si="60"/>
        <v>150.11107675614835</v>
      </c>
      <c r="N570" s="6">
        <v>3806.99</v>
      </c>
      <c r="O570" s="6">
        <v>0</v>
      </c>
      <c r="P570" s="6">
        <v>0</v>
      </c>
    </row>
    <row r="571" spans="1:16" ht="18.75" hidden="1" customHeight="1" thickBot="1" x14ac:dyDescent="0.3">
      <c r="A571" s="3" t="s">
        <v>11</v>
      </c>
      <c r="B571" s="4">
        <v>846491</v>
      </c>
      <c r="C571" s="3" t="s">
        <v>14</v>
      </c>
      <c r="D571" s="7">
        <v>6.7500000000000004E-2</v>
      </c>
      <c r="E571" s="7">
        <f t="shared" si="63"/>
        <v>5.6250000000000007E-3</v>
      </c>
      <c r="F571" s="5">
        <v>40025</v>
      </c>
      <c r="G571" s="5">
        <v>43677</v>
      </c>
      <c r="H571" s="8">
        <f t="shared" si="61"/>
        <v>3652</v>
      </c>
      <c r="I571" s="5">
        <v>43677</v>
      </c>
      <c r="J571" s="5">
        <v>42395</v>
      </c>
      <c r="K571" s="8">
        <f t="shared" si="62"/>
        <v>2370</v>
      </c>
      <c r="L571" s="6">
        <v>110000</v>
      </c>
      <c r="M571" s="9">
        <f t="shared" si="60"/>
        <v>1250.4663861859535</v>
      </c>
      <c r="N571" s="6">
        <v>81300</v>
      </c>
      <c r="O571" s="6">
        <v>0</v>
      </c>
      <c r="P571" s="6">
        <v>0</v>
      </c>
    </row>
    <row r="572" spans="1:16" ht="18.75" customHeight="1" thickBot="1" x14ac:dyDescent="0.3">
      <c r="A572" s="3" t="s">
        <v>11</v>
      </c>
      <c r="B572" s="4">
        <v>245158</v>
      </c>
      <c r="C572" s="3" t="s">
        <v>9</v>
      </c>
      <c r="D572" s="18">
        <v>9.7500000000000003E-2</v>
      </c>
      <c r="E572" s="21">
        <f t="shared" ref="E572:E580" si="70">(1+D572)^(1/12)-1</f>
        <v>7.7830370878799737E-3</v>
      </c>
      <c r="F572" s="5">
        <v>36868</v>
      </c>
      <c r="G572" s="5">
        <v>39066</v>
      </c>
      <c r="H572" s="16">
        <f t="shared" si="61"/>
        <v>2198</v>
      </c>
      <c r="I572" s="5">
        <v>39097</v>
      </c>
      <c r="J572" s="5">
        <v>38007</v>
      </c>
      <c r="K572" s="16">
        <f t="shared" si="62"/>
        <v>1139</v>
      </c>
      <c r="L572" s="13">
        <v>21050</v>
      </c>
      <c r="M572" s="15">
        <f t="shared" si="60"/>
        <v>378.05349770033968</v>
      </c>
      <c r="N572" s="13">
        <v>7368.14</v>
      </c>
      <c r="O572" s="13">
        <v>0</v>
      </c>
      <c r="P572" s="11">
        <f t="shared" ref="P572:P580" si="71">IF((G572)&gt;(ConstantDateCutoff),1,0)</f>
        <v>0</v>
      </c>
    </row>
    <row r="573" spans="1:16" ht="18.75" customHeight="1" thickBot="1" x14ac:dyDescent="0.3">
      <c r="A573" s="3" t="s">
        <v>11</v>
      </c>
      <c r="B573" s="4">
        <v>694491</v>
      </c>
      <c r="C573" s="3" t="s">
        <v>9</v>
      </c>
      <c r="D573" s="18">
        <v>0.14000000000000001</v>
      </c>
      <c r="E573" s="21">
        <f t="shared" si="70"/>
        <v>1.0978851950173452E-2</v>
      </c>
      <c r="F573" s="5">
        <v>39114</v>
      </c>
      <c r="G573" s="5">
        <v>40210</v>
      </c>
      <c r="H573" s="16">
        <f t="shared" si="61"/>
        <v>1096</v>
      </c>
      <c r="I573" s="5">
        <v>40210</v>
      </c>
      <c r="J573" s="5">
        <v>40112</v>
      </c>
      <c r="K573" s="16">
        <f t="shared" si="62"/>
        <v>998</v>
      </c>
      <c r="L573" s="13">
        <v>7966</v>
      </c>
      <c r="M573" s="15">
        <f t="shared" si="60"/>
        <v>265.87060265229701</v>
      </c>
      <c r="N573" s="13">
        <v>993.38</v>
      </c>
      <c r="O573" s="13">
        <v>0</v>
      </c>
      <c r="P573" s="11">
        <f t="shared" si="71"/>
        <v>0</v>
      </c>
    </row>
    <row r="574" spans="1:16" ht="18.75" customHeight="1" thickBot="1" x14ac:dyDescent="0.3">
      <c r="A574" s="3" t="s">
        <v>11</v>
      </c>
      <c r="B574" s="4">
        <v>193875</v>
      </c>
      <c r="C574" s="3" t="s">
        <v>9</v>
      </c>
      <c r="D574" s="18">
        <v>7.3999999999999996E-2</v>
      </c>
      <c r="E574" s="21">
        <f t="shared" si="70"/>
        <v>5.9668977756095476E-3</v>
      </c>
      <c r="F574" s="5">
        <v>39591</v>
      </c>
      <c r="G574" s="5">
        <v>41056</v>
      </c>
      <c r="H574" s="16">
        <f t="shared" si="61"/>
        <v>1465</v>
      </c>
      <c r="I574" s="5">
        <v>41117</v>
      </c>
      <c r="J574" s="5">
        <v>40358</v>
      </c>
      <c r="K574" s="16">
        <f t="shared" si="62"/>
        <v>767</v>
      </c>
      <c r="L574" s="13">
        <v>22639.63</v>
      </c>
      <c r="M574" s="15">
        <f t="shared" si="60"/>
        <v>535.80200653589009</v>
      </c>
      <c r="N574" s="13">
        <v>10014.23</v>
      </c>
      <c r="O574" s="13">
        <v>0</v>
      </c>
      <c r="P574" s="11">
        <f t="shared" si="71"/>
        <v>0</v>
      </c>
    </row>
    <row r="575" spans="1:16" ht="18.75" customHeight="1" thickBot="1" x14ac:dyDescent="0.3">
      <c r="A575" s="3" t="s">
        <v>11</v>
      </c>
      <c r="B575" s="4">
        <v>190690</v>
      </c>
      <c r="C575" s="3" t="s">
        <v>16</v>
      </c>
      <c r="D575" s="18">
        <v>0.1</v>
      </c>
      <c r="E575" s="21">
        <f t="shared" si="70"/>
        <v>7.9741404289037643E-3</v>
      </c>
      <c r="F575" s="5">
        <v>39643</v>
      </c>
      <c r="G575" s="5">
        <v>40373</v>
      </c>
      <c r="H575" s="16">
        <f t="shared" si="61"/>
        <v>730</v>
      </c>
      <c r="I575" s="5">
        <v>40435</v>
      </c>
      <c r="J575" s="5">
        <v>40345</v>
      </c>
      <c r="K575" s="16">
        <f t="shared" si="62"/>
        <v>702</v>
      </c>
      <c r="L575" s="13">
        <v>7310</v>
      </c>
      <c r="M575" s="15">
        <f t="shared" si="60"/>
        <v>331.69084651034518</v>
      </c>
      <c r="N575" s="13">
        <v>1976.65</v>
      </c>
      <c r="O575" s="13">
        <v>0</v>
      </c>
      <c r="P575" s="11">
        <f t="shared" si="71"/>
        <v>0</v>
      </c>
    </row>
    <row r="576" spans="1:16" ht="18.75" customHeight="1" thickBot="1" x14ac:dyDescent="0.3">
      <c r="A576" s="3" t="s">
        <v>11</v>
      </c>
      <c r="B576" s="4">
        <v>920486</v>
      </c>
      <c r="C576" s="3" t="s">
        <v>9</v>
      </c>
      <c r="D576" s="18">
        <v>0.104</v>
      </c>
      <c r="E576" s="21">
        <f t="shared" si="70"/>
        <v>8.2790792398550472E-3</v>
      </c>
      <c r="F576" s="5">
        <v>39762</v>
      </c>
      <c r="G576" s="5">
        <v>41227</v>
      </c>
      <c r="H576" s="16">
        <f t="shared" si="61"/>
        <v>1465</v>
      </c>
      <c r="I576" s="5">
        <v>41288</v>
      </c>
      <c r="J576" s="5">
        <v>40451</v>
      </c>
      <c r="K576" s="16">
        <f t="shared" si="62"/>
        <v>689</v>
      </c>
      <c r="L576" s="13">
        <v>8197.69</v>
      </c>
      <c r="M576" s="15">
        <f t="shared" si="60"/>
        <v>204.77046043400384</v>
      </c>
      <c r="N576" s="13">
        <v>1889.69</v>
      </c>
      <c r="O576" s="13">
        <v>0</v>
      </c>
      <c r="P576" s="11">
        <f t="shared" si="71"/>
        <v>0</v>
      </c>
    </row>
    <row r="577" spans="1:16" ht="18.75" customHeight="1" thickBot="1" x14ac:dyDescent="0.3">
      <c r="A577" s="3" t="s">
        <v>11</v>
      </c>
      <c r="B577" s="4">
        <v>165975</v>
      </c>
      <c r="C577" s="3" t="s">
        <v>9</v>
      </c>
      <c r="D577" s="18">
        <v>0.05</v>
      </c>
      <c r="E577" s="21">
        <f t="shared" si="70"/>
        <v>4.0741237836483535E-3</v>
      </c>
      <c r="F577" s="5">
        <v>39819</v>
      </c>
      <c r="G577" s="5">
        <v>41279</v>
      </c>
      <c r="H577" s="16">
        <f t="shared" si="61"/>
        <v>1460</v>
      </c>
      <c r="I577" s="5">
        <v>41522</v>
      </c>
      <c r="J577" s="5">
        <v>40856</v>
      </c>
      <c r="K577" s="16">
        <f t="shared" si="62"/>
        <v>1037</v>
      </c>
      <c r="L577" s="13">
        <v>22085.89</v>
      </c>
      <c r="M577" s="15">
        <f t="shared" si="60"/>
        <v>501.21656247056484</v>
      </c>
      <c r="N577" s="13">
        <v>2654.97</v>
      </c>
      <c r="O577" s="13">
        <v>257.20999999999998</v>
      </c>
      <c r="P577" s="11">
        <f t="shared" si="71"/>
        <v>0</v>
      </c>
    </row>
    <row r="578" spans="1:16" ht="18.75" customHeight="1" thickBot="1" x14ac:dyDescent="0.3">
      <c r="A578" s="3" t="s">
        <v>11</v>
      </c>
      <c r="B578" s="4">
        <v>843429</v>
      </c>
      <c r="C578" s="3" t="s">
        <v>9</v>
      </c>
      <c r="D578" s="18">
        <v>0.109</v>
      </c>
      <c r="E578" s="21">
        <f t="shared" si="70"/>
        <v>8.6588317099438594E-3</v>
      </c>
      <c r="F578" s="5">
        <v>39828</v>
      </c>
      <c r="G578" s="5">
        <v>40548</v>
      </c>
      <c r="H578" s="16">
        <f t="shared" si="61"/>
        <v>720</v>
      </c>
      <c r="I578" s="5">
        <v>40548</v>
      </c>
      <c r="J578" s="5">
        <v>40437</v>
      </c>
      <c r="K578" s="16">
        <f t="shared" si="62"/>
        <v>609</v>
      </c>
      <c r="L578" s="13">
        <v>3106.13</v>
      </c>
      <c r="M578" s="15">
        <f t="shared" ref="M578:M641" si="72">-PMT(E578,(H578/30),L578)</f>
        <v>143.89275962715487</v>
      </c>
      <c r="N578" s="13">
        <v>715.86</v>
      </c>
      <c r="O578" s="13">
        <v>50</v>
      </c>
      <c r="P578" s="11">
        <f t="shared" si="71"/>
        <v>0</v>
      </c>
    </row>
    <row r="579" spans="1:16" ht="18.75" customHeight="1" thickBot="1" x14ac:dyDescent="0.3">
      <c r="A579" s="3" t="s">
        <v>11</v>
      </c>
      <c r="B579" s="4">
        <v>502826</v>
      </c>
      <c r="C579" s="3" t="s">
        <v>9</v>
      </c>
      <c r="D579" s="18">
        <v>2.9899999999999999E-2</v>
      </c>
      <c r="E579" s="21">
        <f t="shared" si="70"/>
        <v>2.4581588428482792E-3</v>
      </c>
      <c r="F579" s="5">
        <v>42502</v>
      </c>
      <c r="G579" s="5">
        <v>44701</v>
      </c>
      <c r="H579" s="16">
        <f t="shared" ref="H579:H642" si="73">G579-F579</f>
        <v>2199</v>
      </c>
      <c r="I579" s="5">
        <v>44824</v>
      </c>
      <c r="J579" s="5">
        <v>44216</v>
      </c>
      <c r="K579" s="16">
        <f t="shared" ref="K579:K642" si="74">J579-F579</f>
        <v>1714</v>
      </c>
      <c r="L579" s="13">
        <v>20394.91</v>
      </c>
      <c r="M579" s="15">
        <f t="shared" si="72"/>
        <v>304.39912767024879</v>
      </c>
      <c r="N579" s="13">
        <v>5541.18</v>
      </c>
      <c r="O579" s="13">
        <v>0</v>
      </c>
      <c r="P579" s="11">
        <f t="shared" si="71"/>
        <v>1</v>
      </c>
    </row>
    <row r="580" spans="1:16" ht="18.75" customHeight="1" thickBot="1" x14ac:dyDescent="0.3">
      <c r="A580" s="3" t="s">
        <v>11</v>
      </c>
      <c r="B580" s="4">
        <v>694170</v>
      </c>
      <c r="C580" s="3" t="s">
        <v>2</v>
      </c>
      <c r="D580" s="18">
        <v>9.5000000000000001E-2</v>
      </c>
      <c r="E580" s="21">
        <f t="shared" si="70"/>
        <v>7.5915342905825689E-3</v>
      </c>
      <c r="F580" s="5">
        <v>44526</v>
      </c>
      <c r="G580" s="5">
        <v>44891</v>
      </c>
      <c r="H580" s="16">
        <f t="shared" si="73"/>
        <v>365</v>
      </c>
      <c r="I580" s="5">
        <v>45863</v>
      </c>
      <c r="J580" s="5">
        <v>45834</v>
      </c>
      <c r="K580" s="16">
        <f t="shared" si="74"/>
        <v>1308</v>
      </c>
      <c r="L580" s="13">
        <v>20280</v>
      </c>
      <c r="M580" s="15">
        <f t="shared" si="72"/>
        <v>1751.3268252432208</v>
      </c>
      <c r="N580" s="13">
        <v>8279.16</v>
      </c>
      <c r="O580" s="13">
        <v>0</v>
      </c>
      <c r="P580" s="11">
        <f t="shared" si="71"/>
        <v>1</v>
      </c>
    </row>
    <row r="581" spans="1:16" ht="18.75" hidden="1" customHeight="1" thickBot="1" x14ac:dyDescent="0.3">
      <c r="A581" s="3" t="s">
        <v>11</v>
      </c>
      <c r="B581" s="4">
        <v>591960</v>
      </c>
      <c r="C581" s="3" t="s">
        <v>15</v>
      </c>
      <c r="D581" s="7">
        <v>0.1515</v>
      </c>
      <c r="E581" s="7">
        <f t="shared" ref="E581:E610" si="75">D581/12</f>
        <v>1.2624999999999999E-2</v>
      </c>
      <c r="F581" s="5">
        <v>40295</v>
      </c>
      <c r="G581" s="5">
        <v>2958465</v>
      </c>
      <c r="H581" s="8">
        <f t="shared" si="73"/>
        <v>2918170</v>
      </c>
      <c r="I581" s="5">
        <v>2958465</v>
      </c>
      <c r="J581" s="5">
        <v>46048</v>
      </c>
      <c r="K581" s="8">
        <f t="shared" si="74"/>
        <v>5753</v>
      </c>
      <c r="L581" s="6">
        <v>500</v>
      </c>
      <c r="M581" s="9">
        <f t="shared" si="72"/>
        <v>6.3124999999999991</v>
      </c>
      <c r="N581" s="6">
        <v>29.95</v>
      </c>
      <c r="O581" s="6">
        <v>0</v>
      </c>
      <c r="P581" s="6">
        <v>0</v>
      </c>
    </row>
    <row r="582" spans="1:16" ht="18.75" hidden="1" customHeight="1" thickBot="1" x14ac:dyDescent="0.3">
      <c r="A582" s="3" t="s">
        <v>11</v>
      </c>
      <c r="B582" s="4">
        <v>736745</v>
      </c>
      <c r="C582" s="3" t="s">
        <v>15</v>
      </c>
      <c r="D582" s="7">
        <v>0.1515</v>
      </c>
      <c r="E582" s="7">
        <f t="shared" si="75"/>
        <v>1.2624999999999999E-2</v>
      </c>
      <c r="F582" s="5">
        <v>38826</v>
      </c>
      <c r="G582" s="5">
        <v>2958465</v>
      </c>
      <c r="H582" s="8">
        <f t="shared" si="73"/>
        <v>2919639</v>
      </c>
      <c r="I582" s="5">
        <v>2958465</v>
      </c>
      <c r="J582" s="5">
        <v>41913</v>
      </c>
      <c r="K582" s="8">
        <f t="shared" si="74"/>
        <v>3087</v>
      </c>
      <c r="L582" s="6">
        <v>500</v>
      </c>
      <c r="M582" s="9">
        <f t="shared" si="72"/>
        <v>6.3124999999999991</v>
      </c>
      <c r="N582" s="6">
        <v>471.74</v>
      </c>
      <c r="O582" s="6">
        <v>0</v>
      </c>
      <c r="P582" s="6">
        <v>0</v>
      </c>
    </row>
    <row r="583" spans="1:16" ht="18.75" hidden="1" customHeight="1" thickBot="1" x14ac:dyDescent="0.3">
      <c r="A583" s="3" t="s">
        <v>11</v>
      </c>
      <c r="B583" s="4">
        <v>92957</v>
      </c>
      <c r="C583" s="3" t="s">
        <v>15</v>
      </c>
      <c r="D583" s="7">
        <v>0.1515</v>
      </c>
      <c r="E583" s="7">
        <f t="shared" si="75"/>
        <v>1.2624999999999999E-2</v>
      </c>
      <c r="F583" s="5">
        <v>44608</v>
      </c>
      <c r="G583" s="5">
        <v>2958465</v>
      </c>
      <c r="H583" s="8">
        <f t="shared" si="73"/>
        <v>2913857</v>
      </c>
      <c r="I583" s="5">
        <v>2958465</v>
      </c>
      <c r="J583" s="5">
        <v>45225</v>
      </c>
      <c r="K583" s="8">
        <f t="shared" si="74"/>
        <v>617</v>
      </c>
      <c r="L583" s="6">
        <v>300</v>
      </c>
      <c r="M583" s="9">
        <f t="shared" si="72"/>
        <v>3.7874999999999996</v>
      </c>
      <c r="N583" s="6">
        <v>300</v>
      </c>
      <c r="O583" s="6">
        <v>0</v>
      </c>
      <c r="P583" s="6">
        <v>0</v>
      </c>
    </row>
    <row r="584" spans="1:16" ht="18.75" hidden="1" customHeight="1" thickBot="1" x14ac:dyDescent="0.3">
      <c r="A584" s="3" t="s">
        <v>11</v>
      </c>
      <c r="B584" s="4">
        <v>866516</v>
      </c>
      <c r="C584" s="3" t="s">
        <v>15</v>
      </c>
      <c r="D584" s="7">
        <v>0.11650000000000001</v>
      </c>
      <c r="E584" s="7">
        <f t="shared" si="75"/>
        <v>9.7083333333333344E-3</v>
      </c>
      <c r="F584" s="5">
        <v>42605</v>
      </c>
      <c r="G584" s="5">
        <v>2958465</v>
      </c>
      <c r="H584" s="8">
        <f t="shared" si="73"/>
        <v>2915860</v>
      </c>
      <c r="I584" s="5">
        <v>2958465</v>
      </c>
      <c r="J584" s="5">
        <v>43874</v>
      </c>
      <c r="K584" s="8">
        <f t="shared" si="74"/>
        <v>1269</v>
      </c>
      <c r="L584" s="6">
        <v>100</v>
      </c>
      <c r="M584" s="9">
        <f t="shared" si="72"/>
        <v>0.97083333333333344</v>
      </c>
      <c r="N584" s="6">
        <v>63.55</v>
      </c>
      <c r="O584" s="6">
        <v>63.55</v>
      </c>
      <c r="P584" s="6">
        <v>0</v>
      </c>
    </row>
    <row r="585" spans="1:16" ht="18.75" hidden="1" customHeight="1" thickBot="1" x14ac:dyDescent="0.3">
      <c r="A585" s="3" t="s">
        <v>11</v>
      </c>
      <c r="B585" s="4">
        <v>654132</v>
      </c>
      <c r="C585" s="3" t="s">
        <v>15</v>
      </c>
      <c r="D585" s="7">
        <v>0.1515</v>
      </c>
      <c r="E585" s="7">
        <f t="shared" si="75"/>
        <v>1.2624999999999999E-2</v>
      </c>
      <c r="F585" s="5">
        <v>45237</v>
      </c>
      <c r="G585" s="5">
        <v>2958465</v>
      </c>
      <c r="H585" s="8">
        <f t="shared" si="73"/>
        <v>2913228</v>
      </c>
      <c r="I585" s="5">
        <v>2958465</v>
      </c>
      <c r="J585" s="5">
        <v>45743</v>
      </c>
      <c r="K585" s="8">
        <f t="shared" si="74"/>
        <v>506</v>
      </c>
      <c r="L585" s="6">
        <v>500</v>
      </c>
      <c r="M585" s="9">
        <f t="shared" si="72"/>
        <v>6.3124999999999991</v>
      </c>
      <c r="N585" s="6">
        <v>311.63</v>
      </c>
      <c r="O585" s="6">
        <v>191.84</v>
      </c>
      <c r="P585" s="6">
        <v>0</v>
      </c>
    </row>
    <row r="586" spans="1:16" ht="18.75" customHeight="1" thickBot="1" x14ac:dyDescent="0.3">
      <c r="A586" s="3" t="s">
        <v>11</v>
      </c>
      <c r="B586" s="4">
        <v>985190</v>
      </c>
      <c r="C586" s="3" t="s">
        <v>9</v>
      </c>
      <c r="D586" s="18">
        <v>0.105</v>
      </c>
      <c r="E586" s="21">
        <f t="shared" ref="E586:E596" si="76">(1+D586)^(1/12)-1</f>
        <v>8.355155683635207E-3</v>
      </c>
      <c r="F586" s="5">
        <v>36307</v>
      </c>
      <c r="G586" s="5">
        <v>37782</v>
      </c>
      <c r="H586" s="16">
        <f t="shared" si="73"/>
        <v>1475</v>
      </c>
      <c r="I586" s="5">
        <v>37965</v>
      </c>
      <c r="J586" s="5">
        <v>37281</v>
      </c>
      <c r="K586" s="16">
        <f t="shared" si="74"/>
        <v>974</v>
      </c>
      <c r="L586" s="13">
        <v>9345</v>
      </c>
      <c r="M586" s="15">
        <f t="shared" si="72"/>
        <v>232.55455484196597</v>
      </c>
      <c r="N586" s="13">
        <v>4000</v>
      </c>
      <c r="O586" s="13">
        <v>0</v>
      </c>
      <c r="P586" s="11">
        <f t="shared" ref="P586:P596" si="77">IF((G586)&gt;(ConstantDateCutoff),1,0)</f>
        <v>0</v>
      </c>
    </row>
    <row r="587" spans="1:16" ht="18.75" customHeight="1" thickBot="1" x14ac:dyDescent="0.3">
      <c r="A587" s="3" t="s">
        <v>11</v>
      </c>
      <c r="B587" s="4">
        <v>364703</v>
      </c>
      <c r="C587" s="3" t="s">
        <v>16</v>
      </c>
      <c r="D587" s="18">
        <v>0.11</v>
      </c>
      <c r="E587" s="21">
        <f t="shared" si="76"/>
        <v>8.7345938235519061E-3</v>
      </c>
      <c r="F587" s="5">
        <v>36517</v>
      </c>
      <c r="G587" s="5">
        <v>37261</v>
      </c>
      <c r="H587" s="16">
        <f t="shared" si="73"/>
        <v>744</v>
      </c>
      <c r="I587" s="5">
        <v>37381</v>
      </c>
      <c r="J587" s="5">
        <v>36964</v>
      </c>
      <c r="K587" s="16">
        <f t="shared" si="74"/>
        <v>447</v>
      </c>
      <c r="L587" s="13">
        <v>1525</v>
      </c>
      <c r="M587" s="15">
        <f t="shared" si="72"/>
        <v>68.659448628580236</v>
      </c>
      <c r="N587" s="13">
        <v>1128.1099999999999</v>
      </c>
      <c r="O587" s="13">
        <v>0</v>
      </c>
      <c r="P587" s="11">
        <f t="shared" si="77"/>
        <v>0</v>
      </c>
    </row>
    <row r="588" spans="1:16" ht="18.75" customHeight="1" thickBot="1" x14ac:dyDescent="0.3">
      <c r="A588" s="3" t="s">
        <v>11</v>
      </c>
      <c r="B588" s="4">
        <v>846103</v>
      </c>
      <c r="C588" s="3" t="s">
        <v>16</v>
      </c>
      <c r="D588" s="18">
        <v>0.11</v>
      </c>
      <c r="E588" s="21">
        <f t="shared" si="76"/>
        <v>8.7345938235519061E-3</v>
      </c>
      <c r="F588" s="5">
        <v>36683</v>
      </c>
      <c r="G588" s="5">
        <v>36800</v>
      </c>
      <c r="H588" s="16">
        <f t="shared" si="73"/>
        <v>117</v>
      </c>
      <c r="I588" s="5">
        <v>36800</v>
      </c>
      <c r="J588" s="5">
        <v>36964</v>
      </c>
      <c r="K588" s="16">
        <f t="shared" si="74"/>
        <v>281</v>
      </c>
      <c r="L588" s="13">
        <v>8550</v>
      </c>
      <c r="M588" s="15">
        <f t="shared" si="72"/>
        <v>2239.4197368647428</v>
      </c>
      <c r="N588" s="13">
        <v>8550</v>
      </c>
      <c r="O588" s="13">
        <v>0</v>
      </c>
      <c r="P588" s="11">
        <f t="shared" si="77"/>
        <v>0</v>
      </c>
    </row>
    <row r="589" spans="1:16" ht="18.75" customHeight="1" thickBot="1" x14ac:dyDescent="0.3">
      <c r="A589" s="3" t="s">
        <v>11</v>
      </c>
      <c r="B589" s="4">
        <v>464657</v>
      </c>
      <c r="C589" s="3" t="s">
        <v>19</v>
      </c>
      <c r="D589" s="18">
        <v>0.12</v>
      </c>
      <c r="E589" s="21">
        <f t="shared" si="76"/>
        <v>9.4887929345830457E-3</v>
      </c>
      <c r="F589" s="5">
        <v>37292</v>
      </c>
      <c r="G589" s="5">
        <v>38022</v>
      </c>
      <c r="H589" s="16">
        <f t="shared" si="73"/>
        <v>730</v>
      </c>
      <c r="I589" s="5">
        <v>38051</v>
      </c>
      <c r="J589" s="5">
        <v>38155</v>
      </c>
      <c r="K589" s="16">
        <f t="shared" si="74"/>
        <v>863</v>
      </c>
      <c r="L589" s="13">
        <v>3744.59</v>
      </c>
      <c r="M589" s="15">
        <f t="shared" si="72"/>
        <v>173.06188151697307</v>
      </c>
      <c r="N589" s="13">
        <v>2316.0500000000002</v>
      </c>
      <c r="O589" s="13">
        <v>218.91</v>
      </c>
      <c r="P589" s="11">
        <f t="shared" si="77"/>
        <v>0</v>
      </c>
    </row>
    <row r="590" spans="1:16" ht="18.75" customHeight="1" thickBot="1" x14ac:dyDescent="0.3">
      <c r="A590" s="3" t="s">
        <v>11</v>
      </c>
      <c r="B590" s="4">
        <v>37491</v>
      </c>
      <c r="C590" s="3" t="s">
        <v>12</v>
      </c>
      <c r="D590" s="18">
        <v>8.7499999999999994E-2</v>
      </c>
      <c r="E590" s="21">
        <f t="shared" si="76"/>
        <v>7.0146116041400752E-3</v>
      </c>
      <c r="F590" s="5">
        <v>37552</v>
      </c>
      <c r="G590" s="5">
        <v>39387</v>
      </c>
      <c r="H590" s="16">
        <f t="shared" si="73"/>
        <v>1835</v>
      </c>
      <c r="I590" s="5">
        <v>39462</v>
      </c>
      <c r="J590" s="5">
        <v>39349</v>
      </c>
      <c r="K590" s="16">
        <f t="shared" si="74"/>
        <v>1797</v>
      </c>
      <c r="L590" s="13">
        <v>6660.18</v>
      </c>
      <c r="M590" s="15">
        <f t="shared" si="72"/>
        <v>134.28605841112159</v>
      </c>
      <c r="N590" s="13">
        <v>3683.53</v>
      </c>
      <c r="O590" s="13">
        <v>240.89</v>
      </c>
      <c r="P590" s="11">
        <f t="shared" si="77"/>
        <v>0</v>
      </c>
    </row>
    <row r="591" spans="1:16" ht="18.75" customHeight="1" thickBot="1" x14ac:dyDescent="0.3">
      <c r="A591" s="3" t="s">
        <v>11</v>
      </c>
      <c r="B591" s="4">
        <v>580323</v>
      </c>
      <c r="C591" s="3" t="s">
        <v>9</v>
      </c>
      <c r="D591" s="18">
        <v>0.08</v>
      </c>
      <c r="E591" s="21">
        <f t="shared" si="76"/>
        <v>6.4340301100034303E-3</v>
      </c>
      <c r="F591" s="5">
        <v>38365</v>
      </c>
      <c r="G591" s="5">
        <v>39288</v>
      </c>
      <c r="H591" s="16">
        <f t="shared" si="73"/>
        <v>923</v>
      </c>
      <c r="I591" s="5">
        <v>39258</v>
      </c>
      <c r="J591" s="5">
        <v>38694</v>
      </c>
      <c r="K591" s="16">
        <f t="shared" si="74"/>
        <v>329</v>
      </c>
      <c r="L591" s="13">
        <v>4025</v>
      </c>
      <c r="M591" s="15">
        <f t="shared" si="72"/>
        <v>144.61785404385353</v>
      </c>
      <c r="N591" s="13">
        <v>3450.75</v>
      </c>
      <c r="O591" s="13">
        <v>650</v>
      </c>
      <c r="P591" s="11">
        <f t="shared" si="77"/>
        <v>0</v>
      </c>
    </row>
    <row r="592" spans="1:16" ht="18.75" customHeight="1" thickBot="1" x14ac:dyDescent="0.3">
      <c r="A592" s="3" t="s">
        <v>11</v>
      </c>
      <c r="B592" s="4">
        <v>889641</v>
      </c>
      <c r="C592" s="3" t="s">
        <v>9</v>
      </c>
      <c r="D592" s="18">
        <v>6.25E-2</v>
      </c>
      <c r="E592" s="21">
        <f t="shared" si="76"/>
        <v>5.0648349497708356E-3</v>
      </c>
      <c r="F592" s="5">
        <v>39225</v>
      </c>
      <c r="G592" s="5">
        <v>41052</v>
      </c>
      <c r="H592" s="16">
        <f t="shared" si="73"/>
        <v>1827</v>
      </c>
      <c r="I592" s="5">
        <v>41266</v>
      </c>
      <c r="J592" s="5">
        <v>40150</v>
      </c>
      <c r="K592" s="16">
        <f t="shared" si="74"/>
        <v>925</v>
      </c>
      <c r="L592" s="13">
        <v>23940</v>
      </c>
      <c r="M592" s="15">
        <f t="shared" si="72"/>
        <v>457.82809637811795</v>
      </c>
      <c r="N592" s="13">
        <v>16793.009999999998</v>
      </c>
      <c r="O592" s="13">
        <v>11400</v>
      </c>
      <c r="P592" s="11">
        <f t="shared" si="77"/>
        <v>0</v>
      </c>
    </row>
    <row r="593" spans="1:16" ht="18.75" customHeight="1" thickBot="1" x14ac:dyDescent="0.3">
      <c r="A593" s="3" t="s">
        <v>11</v>
      </c>
      <c r="B593" s="4">
        <v>531150</v>
      </c>
      <c r="C593" s="3" t="s">
        <v>9</v>
      </c>
      <c r="D593" s="18">
        <v>0.114</v>
      </c>
      <c r="E593" s="21">
        <f t="shared" si="76"/>
        <v>9.0370179501075842E-3</v>
      </c>
      <c r="F593" s="5">
        <v>39316</v>
      </c>
      <c r="G593" s="5">
        <v>40777</v>
      </c>
      <c r="H593" s="16">
        <f t="shared" si="73"/>
        <v>1461</v>
      </c>
      <c r="I593" s="5">
        <v>40777</v>
      </c>
      <c r="J593" s="5">
        <v>39798</v>
      </c>
      <c r="K593" s="16">
        <f t="shared" si="74"/>
        <v>482</v>
      </c>
      <c r="L593" s="13">
        <v>5060</v>
      </c>
      <c r="M593" s="15">
        <f t="shared" si="72"/>
        <v>128.8980787319544</v>
      </c>
      <c r="N593" s="13">
        <v>4396.22</v>
      </c>
      <c r="O593" s="13">
        <v>4114.03</v>
      </c>
      <c r="P593" s="11">
        <f t="shared" si="77"/>
        <v>0</v>
      </c>
    </row>
    <row r="594" spans="1:16" ht="18.75" customHeight="1" thickBot="1" x14ac:dyDescent="0.3">
      <c r="A594" s="3" t="s">
        <v>11</v>
      </c>
      <c r="B594" s="4">
        <v>526170</v>
      </c>
      <c r="C594" s="3" t="s">
        <v>9</v>
      </c>
      <c r="D594" s="18">
        <v>7.3999999999999996E-2</v>
      </c>
      <c r="E594" s="21">
        <f t="shared" si="76"/>
        <v>5.9668977756095476E-3</v>
      </c>
      <c r="F594" s="5">
        <v>39547</v>
      </c>
      <c r="G594" s="5">
        <v>41738</v>
      </c>
      <c r="H594" s="16">
        <f t="shared" si="73"/>
        <v>2191</v>
      </c>
      <c r="I594" s="5">
        <v>41860</v>
      </c>
      <c r="J594" s="5">
        <v>40085</v>
      </c>
      <c r="K594" s="16">
        <f t="shared" si="74"/>
        <v>538</v>
      </c>
      <c r="L594" s="13">
        <v>46364</v>
      </c>
      <c r="M594" s="15">
        <f t="shared" si="72"/>
        <v>785.03549272281418</v>
      </c>
      <c r="N594" s="13">
        <v>29994</v>
      </c>
      <c r="O594" s="13">
        <v>0</v>
      </c>
      <c r="P594" s="11">
        <f t="shared" si="77"/>
        <v>0</v>
      </c>
    </row>
    <row r="595" spans="1:16" ht="18.75" customHeight="1" thickBot="1" x14ac:dyDescent="0.3">
      <c r="A595" s="3" t="s">
        <v>11</v>
      </c>
      <c r="B595" s="4">
        <v>709712</v>
      </c>
      <c r="C595" s="3" t="s">
        <v>9</v>
      </c>
      <c r="D595" s="18">
        <v>0.10199999999999999</v>
      </c>
      <c r="E595" s="21">
        <f t="shared" si="76"/>
        <v>8.1267366616946113E-3</v>
      </c>
      <c r="F595" s="5">
        <v>39688</v>
      </c>
      <c r="G595" s="5">
        <v>41143</v>
      </c>
      <c r="H595" s="16">
        <f t="shared" si="73"/>
        <v>1455</v>
      </c>
      <c r="I595" s="5">
        <v>41143</v>
      </c>
      <c r="J595" s="5">
        <v>40532</v>
      </c>
      <c r="K595" s="16">
        <f t="shared" si="74"/>
        <v>844</v>
      </c>
      <c r="L595" s="13">
        <v>12060</v>
      </c>
      <c r="M595" s="15">
        <f t="shared" si="72"/>
        <v>301.8709771486283</v>
      </c>
      <c r="N595" s="13">
        <v>8445.74</v>
      </c>
      <c r="O595" s="13">
        <v>1500</v>
      </c>
      <c r="P595" s="11">
        <f t="shared" si="77"/>
        <v>0</v>
      </c>
    </row>
    <row r="596" spans="1:16" ht="18.75" customHeight="1" thickBot="1" x14ac:dyDescent="0.3">
      <c r="A596" s="3" t="s">
        <v>11</v>
      </c>
      <c r="B596" s="4">
        <v>631478</v>
      </c>
      <c r="C596" s="3" t="s">
        <v>9</v>
      </c>
      <c r="D596" s="18">
        <v>0.05</v>
      </c>
      <c r="E596" s="21">
        <f t="shared" si="76"/>
        <v>4.0741237836483535E-3</v>
      </c>
      <c r="F596" s="5">
        <v>39695</v>
      </c>
      <c r="G596" s="5">
        <v>41537</v>
      </c>
      <c r="H596" s="16">
        <f t="shared" si="73"/>
        <v>1842</v>
      </c>
      <c r="I596" s="5">
        <v>41628</v>
      </c>
      <c r="J596" s="5">
        <v>40814</v>
      </c>
      <c r="K596" s="16">
        <f t="shared" si="74"/>
        <v>1119</v>
      </c>
      <c r="L596" s="13">
        <v>18060</v>
      </c>
      <c r="M596" s="15">
        <f t="shared" si="72"/>
        <v>333.05402701626383</v>
      </c>
      <c r="N596" s="13">
        <v>3700</v>
      </c>
      <c r="O596" s="13">
        <v>0</v>
      </c>
      <c r="P596" s="11">
        <f t="shared" si="77"/>
        <v>0</v>
      </c>
    </row>
    <row r="597" spans="1:16" ht="18.75" hidden="1" customHeight="1" thickBot="1" x14ac:dyDescent="0.3">
      <c r="A597" s="3" t="s">
        <v>11</v>
      </c>
      <c r="B597" s="4">
        <v>971781</v>
      </c>
      <c r="C597" s="3" t="s">
        <v>15</v>
      </c>
      <c r="D597" s="7">
        <v>0.16650000000000001</v>
      </c>
      <c r="E597" s="7">
        <f t="shared" si="75"/>
        <v>1.3875E-2</v>
      </c>
      <c r="F597" s="5">
        <v>35976</v>
      </c>
      <c r="G597" s="5">
        <v>2958465</v>
      </c>
      <c r="H597" s="8">
        <f t="shared" si="73"/>
        <v>2922489</v>
      </c>
      <c r="I597" s="5">
        <v>2958465</v>
      </c>
      <c r="J597" s="5">
        <v>44694</v>
      </c>
      <c r="K597" s="8">
        <f t="shared" si="74"/>
        <v>8718</v>
      </c>
      <c r="L597" s="6">
        <v>300</v>
      </c>
      <c r="M597" s="9">
        <f t="shared" si="72"/>
        <v>4.1624999999999996</v>
      </c>
      <c r="N597" s="6">
        <v>300</v>
      </c>
      <c r="O597" s="6">
        <v>300</v>
      </c>
      <c r="P597" s="6">
        <v>0</v>
      </c>
    </row>
    <row r="598" spans="1:16" ht="18.75" hidden="1" customHeight="1" thickBot="1" x14ac:dyDescent="0.3">
      <c r="A598" s="3" t="s">
        <v>11</v>
      </c>
      <c r="B598" s="4">
        <v>821435</v>
      </c>
      <c r="C598" s="3" t="s">
        <v>15</v>
      </c>
      <c r="D598" s="7">
        <v>0.1515</v>
      </c>
      <c r="E598" s="7">
        <f t="shared" si="75"/>
        <v>1.2624999999999999E-2</v>
      </c>
      <c r="F598" s="5">
        <v>37433</v>
      </c>
      <c r="G598" s="5">
        <v>2958465</v>
      </c>
      <c r="H598" s="8">
        <f t="shared" si="73"/>
        <v>2921032</v>
      </c>
      <c r="I598" s="5">
        <v>2958465</v>
      </c>
      <c r="J598" s="5">
        <v>40799</v>
      </c>
      <c r="K598" s="8">
        <f t="shared" si="74"/>
        <v>3366</v>
      </c>
      <c r="L598" s="6">
        <v>500</v>
      </c>
      <c r="M598" s="9">
        <f t="shared" si="72"/>
        <v>6.3124999999999991</v>
      </c>
      <c r="N598" s="6">
        <v>488.43</v>
      </c>
      <c r="O598" s="6">
        <v>0</v>
      </c>
      <c r="P598" s="6">
        <v>0</v>
      </c>
    </row>
    <row r="599" spans="1:16" ht="18.75" hidden="1" customHeight="1" thickBot="1" x14ac:dyDescent="0.3">
      <c r="A599" s="3" t="s">
        <v>11</v>
      </c>
      <c r="B599" s="4">
        <v>777816</v>
      </c>
      <c r="C599" s="3" t="s">
        <v>15</v>
      </c>
      <c r="D599" s="7">
        <v>0.1515</v>
      </c>
      <c r="E599" s="7">
        <f t="shared" si="75"/>
        <v>1.2624999999999999E-2</v>
      </c>
      <c r="F599" s="5">
        <v>38513</v>
      </c>
      <c r="G599" s="5">
        <v>2958465</v>
      </c>
      <c r="H599" s="8">
        <f t="shared" si="73"/>
        <v>2919952</v>
      </c>
      <c r="I599" s="5">
        <v>2958465</v>
      </c>
      <c r="J599" s="5">
        <v>40997</v>
      </c>
      <c r="K599" s="8">
        <f t="shared" si="74"/>
        <v>2484</v>
      </c>
      <c r="L599" s="6">
        <v>300</v>
      </c>
      <c r="M599" s="9">
        <f t="shared" si="72"/>
        <v>3.7874999999999996</v>
      </c>
      <c r="N599" s="6">
        <v>237.45</v>
      </c>
      <c r="O599" s="6">
        <v>0</v>
      </c>
      <c r="P599" s="6">
        <v>0</v>
      </c>
    </row>
    <row r="600" spans="1:16" ht="18.75" hidden="1" customHeight="1" thickBot="1" x14ac:dyDescent="0.3">
      <c r="A600" s="3" t="s">
        <v>11</v>
      </c>
      <c r="B600" s="4">
        <v>332250</v>
      </c>
      <c r="C600" s="3" t="s">
        <v>15</v>
      </c>
      <c r="D600" s="7">
        <v>0.1515</v>
      </c>
      <c r="E600" s="7">
        <f t="shared" si="75"/>
        <v>1.2624999999999999E-2</v>
      </c>
      <c r="F600" s="5">
        <v>39589</v>
      </c>
      <c r="G600" s="5">
        <v>2958465</v>
      </c>
      <c r="H600" s="8">
        <f t="shared" si="73"/>
        <v>2918876</v>
      </c>
      <c r="I600" s="5">
        <v>2958465</v>
      </c>
      <c r="J600" s="5">
        <v>40710</v>
      </c>
      <c r="K600" s="8">
        <f t="shared" si="74"/>
        <v>1121</v>
      </c>
      <c r="L600" s="6">
        <v>300</v>
      </c>
      <c r="M600" s="9">
        <f t="shared" si="72"/>
        <v>3.7874999999999996</v>
      </c>
      <c r="N600" s="6">
        <v>300</v>
      </c>
      <c r="O600" s="6">
        <v>0</v>
      </c>
      <c r="P600" s="6">
        <v>0</v>
      </c>
    </row>
    <row r="601" spans="1:16" ht="18.75" hidden="1" customHeight="1" thickBot="1" x14ac:dyDescent="0.3">
      <c r="A601" s="3" t="s">
        <v>11</v>
      </c>
      <c r="B601" s="4">
        <v>261034</v>
      </c>
      <c r="C601" s="3" t="s">
        <v>15</v>
      </c>
      <c r="D601" s="7">
        <v>0.1515</v>
      </c>
      <c r="E601" s="7">
        <f t="shared" si="75"/>
        <v>1.2624999999999999E-2</v>
      </c>
      <c r="F601" s="5">
        <v>40280</v>
      </c>
      <c r="G601" s="5">
        <v>2958465</v>
      </c>
      <c r="H601" s="8">
        <f t="shared" si="73"/>
        <v>2918185</v>
      </c>
      <c r="I601" s="5">
        <v>2958465</v>
      </c>
      <c r="J601" s="5">
        <v>41617</v>
      </c>
      <c r="K601" s="8">
        <f t="shared" si="74"/>
        <v>1337</v>
      </c>
      <c r="L601" s="6">
        <v>1000</v>
      </c>
      <c r="M601" s="9">
        <f t="shared" si="72"/>
        <v>12.624999999999998</v>
      </c>
      <c r="N601" s="6">
        <v>1822.05</v>
      </c>
      <c r="O601" s="6">
        <v>0</v>
      </c>
      <c r="P601" s="6">
        <v>0</v>
      </c>
    </row>
    <row r="602" spans="1:16" ht="18.75" hidden="1" customHeight="1" thickBot="1" x14ac:dyDescent="0.3">
      <c r="A602" s="3" t="s">
        <v>11</v>
      </c>
      <c r="B602" s="4">
        <v>933417</v>
      </c>
      <c r="C602" s="3" t="s">
        <v>15</v>
      </c>
      <c r="D602" s="7">
        <v>0.1515</v>
      </c>
      <c r="E602" s="7">
        <f t="shared" si="75"/>
        <v>1.2624999999999999E-2</v>
      </c>
      <c r="F602" s="5">
        <v>40256</v>
      </c>
      <c r="G602" s="5">
        <v>2958465</v>
      </c>
      <c r="H602" s="8">
        <f t="shared" si="73"/>
        <v>2918209</v>
      </c>
      <c r="I602" s="5">
        <v>2958465</v>
      </c>
      <c r="J602" s="5">
        <v>40886</v>
      </c>
      <c r="K602" s="8">
        <f t="shared" si="74"/>
        <v>630</v>
      </c>
      <c r="L602" s="6">
        <v>500</v>
      </c>
      <c r="M602" s="9">
        <f t="shared" si="72"/>
        <v>6.3124999999999991</v>
      </c>
      <c r="N602" s="6">
        <v>406.9</v>
      </c>
      <c r="O602" s="6">
        <v>0</v>
      </c>
      <c r="P602" s="6">
        <v>0</v>
      </c>
    </row>
    <row r="603" spans="1:16" ht="18.75" hidden="1" customHeight="1" thickBot="1" x14ac:dyDescent="0.3">
      <c r="A603" s="3" t="s">
        <v>11</v>
      </c>
      <c r="B603" s="4">
        <v>960742</v>
      </c>
      <c r="C603" s="3" t="s">
        <v>15</v>
      </c>
      <c r="D603" s="7">
        <v>0.1515</v>
      </c>
      <c r="E603" s="7">
        <f t="shared" si="75"/>
        <v>1.2624999999999999E-2</v>
      </c>
      <c r="F603" s="5">
        <v>42290</v>
      </c>
      <c r="G603" s="5">
        <v>2958465</v>
      </c>
      <c r="H603" s="8">
        <f t="shared" si="73"/>
        <v>2916175</v>
      </c>
      <c r="I603" s="5">
        <v>2958465</v>
      </c>
      <c r="J603" s="5">
        <v>42640</v>
      </c>
      <c r="K603" s="8">
        <f t="shared" si="74"/>
        <v>350</v>
      </c>
      <c r="L603" s="6">
        <v>300</v>
      </c>
      <c r="M603" s="9">
        <f t="shared" si="72"/>
        <v>3.7874999999999996</v>
      </c>
      <c r="N603" s="6">
        <v>300</v>
      </c>
      <c r="O603" s="6">
        <v>150</v>
      </c>
      <c r="P603" s="6">
        <v>0</v>
      </c>
    </row>
    <row r="604" spans="1:16" ht="18.75" hidden="1" customHeight="1" thickBot="1" x14ac:dyDescent="0.3">
      <c r="A604" s="3" t="s">
        <v>11</v>
      </c>
      <c r="B604" s="4">
        <v>398431</v>
      </c>
      <c r="C604" s="3" t="s">
        <v>15</v>
      </c>
      <c r="D604" s="7">
        <v>0.1515</v>
      </c>
      <c r="E604" s="7">
        <f t="shared" si="75"/>
        <v>1.2624999999999999E-2</v>
      </c>
      <c r="F604" s="5">
        <v>42332</v>
      </c>
      <c r="G604" s="5">
        <v>2958465</v>
      </c>
      <c r="H604" s="8">
        <f t="shared" si="73"/>
        <v>2916133</v>
      </c>
      <c r="I604" s="5">
        <v>2958465</v>
      </c>
      <c r="J604" s="5">
        <v>43909</v>
      </c>
      <c r="K604" s="8">
        <f t="shared" si="74"/>
        <v>1577</v>
      </c>
      <c r="L604" s="6">
        <v>500</v>
      </c>
      <c r="M604" s="9">
        <f t="shared" si="72"/>
        <v>6.3124999999999991</v>
      </c>
      <c r="N604" s="6">
        <v>495.03</v>
      </c>
      <c r="O604" s="6">
        <v>495.03</v>
      </c>
      <c r="P604" s="6">
        <v>0</v>
      </c>
    </row>
    <row r="605" spans="1:16" ht="18.75" hidden="1" customHeight="1" thickBot="1" x14ac:dyDescent="0.3">
      <c r="A605" s="3" t="s">
        <v>11</v>
      </c>
      <c r="B605" s="4">
        <v>219717</v>
      </c>
      <c r="C605" s="3" t="s">
        <v>15</v>
      </c>
      <c r="D605" s="7">
        <v>0.1515</v>
      </c>
      <c r="E605" s="7">
        <f t="shared" si="75"/>
        <v>1.2624999999999999E-2</v>
      </c>
      <c r="F605" s="5">
        <v>42936</v>
      </c>
      <c r="G605" s="5">
        <v>2958465</v>
      </c>
      <c r="H605" s="8">
        <f t="shared" si="73"/>
        <v>2915529</v>
      </c>
      <c r="I605" s="5">
        <v>2958465</v>
      </c>
      <c r="J605" s="5">
        <v>46020</v>
      </c>
      <c r="K605" s="8">
        <f t="shared" si="74"/>
        <v>3084</v>
      </c>
      <c r="L605" s="6">
        <v>300</v>
      </c>
      <c r="M605" s="9">
        <f t="shared" si="72"/>
        <v>3.7874999999999996</v>
      </c>
      <c r="N605" s="6">
        <v>293.16000000000003</v>
      </c>
      <c r="O605" s="6">
        <v>0</v>
      </c>
      <c r="P605" s="6">
        <v>0</v>
      </c>
    </row>
    <row r="606" spans="1:16" ht="18.75" hidden="1" customHeight="1" thickBot="1" x14ac:dyDescent="0.3">
      <c r="A606" s="3" t="s">
        <v>11</v>
      </c>
      <c r="B606" s="4">
        <v>142247</v>
      </c>
      <c r="C606" s="3" t="s">
        <v>14</v>
      </c>
      <c r="D606" s="7">
        <v>4.2500000000000003E-2</v>
      </c>
      <c r="E606" s="7">
        <f t="shared" si="75"/>
        <v>3.5416666666666669E-3</v>
      </c>
      <c r="F606" s="5">
        <v>39330</v>
      </c>
      <c r="G606" s="5">
        <v>2958465</v>
      </c>
      <c r="H606" s="8">
        <f t="shared" si="73"/>
        <v>2919135</v>
      </c>
      <c r="I606" s="5">
        <v>44982</v>
      </c>
      <c r="J606" s="5">
        <v>43964</v>
      </c>
      <c r="K606" s="8">
        <f t="shared" si="74"/>
        <v>4634</v>
      </c>
      <c r="L606" s="6">
        <v>50000</v>
      </c>
      <c r="M606" s="9">
        <f t="shared" si="72"/>
        <v>177.08333333333334</v>
      </c>
      <c r="N606" s="6">
        <v>48731.94</v>
      </c>
      <c r="O606" s="6">
        <v>0</v>
      </c>
      <c r="P606" s="6">
        <v>0</v>
      </c>
    </row>
    <row r="607" spans="1:16" ht="18.75" hidden="1" customHeight="1" thickBot="1" x14ac:dyDescent="0.3">
      <c r="A607" s="3" t="s">
        <v>11</v>
      </c>
      <c r="B607" s="4">
        <v>516857</v>
      </c>
      <c r="C607" s="3" t="s">
        <v>15</v>
      </c>
      <c r="D607" s="7">
        <v>0.1515</v>
      </c>
      <c r="E607" s="7">
        <f t="shared" si="75"/>
        <v>1.2624999999999999E-2</v>
      </c>
      <c r="F607" s="5">
        <v>36423</v>
      </c>
      <c r="G607" s="5">
        <v>2958465</v>
      </c>
      <c r="H607" s="8">
        <f t="shared" si="73"/>
        <v>2922042</v>
      </c>
      <c r="I607" s="5">
        <v>2958465</v>
      </c>
      <c r="J607" s="5">
        <v>42507</v>
      </c>
      <c r="K607" s="8">
        <f t="shared" si="74"/>
        <v>6084</v>
      </c>
      <c r="L607" s="6">
        <v>300</v>
      </c>
      <c r="M607" s="9">
        <f t="shared" si="72"/>
        <v>3.7874999999999996</v>
      </c>
      <c r="N607" s="6">
        <v>300</v>
      </c>
      <c r="O607" s="6">
        <v>0</v>
      </c>
      <c r="P607" s="6">
        <v>0</v>
      </c>
    </row>
    <row r="608" spans="1:16" ht="18.75" hidden="1" customHeight="1" thickBot="1" x14ac:dyDescent="0.3">
      <c r="A608" s="3" t="s">
        <v>11</v>
      </c>
      <c r="B608" s="4">
        <v>955318</v>
      </c>
      <c r="C608" s="3" t="s">
        <v>15</v>
      </c>
      <c r="D608" s="7">
        <v>0.1515</v>
      </c>
      <c r="E608" s="7">
        <f t="shared" si="75"/>
        <v>1.2624999999999999E-2</v>
      </c>
      <c r="F608" s="5">
        <v>36650</v>
      </c>
      <c r="G608" s="5">
        <v>2958465</v>
      </c>
      <c r="H608" s="8">
        <f t="shared" si="73"/>
        <v>2921815</v>
      </c>
      <c r="I608" s="5">
        <v>2958465</v>
      </c>
      <c r="J608" s="5">
        <v>44138</v>
      </c>
      <c r="K608" s="8">
        <f t="shared" si="74"/>
        <v>7488</v>
      </c>
      <c r="L608" s="6">
        <v>300</v>
      </c>
      <c r="M608" s="9">
        <f t="shared" si="72"/>
        <v>3.7874999999999996</v>
      </c>
      <c r="N608" s="6">
        <v>295.95999999999998</v>
      </c>
      <c r="O608" s="6">
        <v>73.56</v>
      </c>
      <c r="P608" s="6">
        <v>0</v>
      </c>
    </row>
    <row r="609" spans="1:16" ht="18.75" hidden="1" customHeight="1" thickBot="1" x14ac:dyDescent="0.3">
      <c r="A609" s="3" t="s">
        <v>11</v>
      </c>
      <c r="B609" s="4">
        <v>583677</v>
      </c>
      <c r="C609" s="3" t="s">
        <v>15</v>
      </c>
      <c r="D609" s="7">
        <v>0.1515</v>
      </c>
      <c r="E609" s="7">
        <f t="shared" si="75"/>
        <v>1.2624999999999999E-2</v>
      </c>
      <c r="F609" s="5">
        <v>36636</v>
      </c>
      <c r="G609" s="5">
        <v>2958465</v>
      </c>
      <c r="H609" s="8">
        <f t="shared" si="73"/>
        <v>2921829</v>
      </c>
      <c r="I609" s="5">
        <v>2958465</v>
      </c>
      <c r="J609" s="5">
        <v>42067</v>
      </c>
      <c r="K609" s="8">
        <f t="shared" si="74"/>
        <v>5431</v>
      </c>
      <c r="L609" s="6">
        <v>300</v>
      </c>
      <c r="M609" s="9">
        <f t="shared" si="72"/>
        <v>3.7874999999999996</v>
      </c>
      <c r="N609" s="6">
        <v>275.38</v>
      </c>
      <c r="O609" s="6">
        <v>0</v>
      </c>
      <c r="P609" s="6">
        <v>0</v>
      </c>
    </row>
    <row r="610" spans="1:16" ht="18.75" hidden="1" customHeight="1" thickBot="1" x14ac:dyDescent="0.3">
      <c r="A610" s="3" t="s">
        <v>11</v>
      </c>
      <c r="B610" s="4">
        <v>678627</v>
      </c>
      <c r="C610" s="3" t="s">
        <v>15</v>
      </c>
      <c r="D610" s="7">
        <v>0.1515</v>
      </c>
      <c r="E610" s="7">
        <f t="shared" si="75"/>
        <v>1.2624999999999999E-2</v>
      </c>
      <c r="F610" s="5">
        <v>37993</v>
      </c>
      <c r="G610" s="5">
        <v>2958465</v>
      </c>
      <c r="H610" s="8">
        <f t="shared" si="73"/>
        <v>2920472</v>
      </c>
      <c r="I610" s="5">
        <v>2958465</v>
      </c>
      <c r="J610" s="5">
        <v>40997</v>
      </c>
      <c r="K610" s="8">
        <f t="shared" si="74"/>
        <v>3004</v>
      </c>
      <c r="L610" s="6">
        <v>200</v>
      </c>
      <c r="M610" s="9">
        <f t="shared" si="72"/>
        <v>2.5249999999999999</v>
      </c>
      <c r="N610" s="6">
        <v>185.48</v>
      </c>
      <c r="O610" s="6">
        <v>0</v>
      </c>
      <c r="P610" s="6">
        <v>0</v>
      </c>
    </row>
    <row r="611" spans="1:16" ht="18.75" customHeight="1" thickBot="1" x14ac:dyDescent="0.3">
      <c r="A611" s="3" t="s">
        <v>11</v>
      </c>
      <c r="B611" s="4">
        <v>205803</v>
      </c>
      <c r="C611" s="3" t="s">
        <v>9</v>
      </c>
      <c r="D611" s="18">
        <v>0.08</v>
      </c>
      <c r="E611" s="21">
        <f t="shared" ref="E611:E674" si="78">(1+D611)^(1/12)-1</f>
        <v>6.4340301100034303E-3</v>
      </c>
      <c r="F611" s="5">
        <v>40045</v>
      </c>
      <c r="G611" s="5">
        <v>42236</v>
      </c>
      <c r="H611" s="16">
        <f t="shared" si="73"/>
        <v>2191</v>
      </c>
      <c r="I611" s="5">
        <v>42420</v>
      </c>
      <c r="J611" s="5">
        <v>41373</v>
      </c>
      <c r="K611" s="16">
        <f t="shared" si="74"/>
        <v>1328</v>
      </c>
      <c r="L611" s="13">
        <v>21575</v>
      </c>
      <c r="M611" s="15">
        <f t="shared" si="72"/>
        <v>371.16808142630003</v>
      </c>
      <c r="N611" s="13">
        <v>252.9</v>
      </c>
      <c r="O611" s="13">
        <v>0</v>
      </c>
      <c r="P611" s="11">
        <f t="shared" ref="P611:P642" si="79">IF((G611)&gt;(ConstantDateCutoff),1,0)</f>
        <v>1</v>
      </c>
    </row>
    <row r="612" spans="1:16" ht="18.75" customHeight="1" thickBot="1" x14ac:dyDescent="0.3">
      <c r="A612" s="3" t="s">
        <v>11</v>
      </c>
      <c r="B612" s="4">
        <v>610462</v>
      </c>
      <c r="C612" s="3" t="s">
        <v>9</v>
      </c>
      <c r="D612" s="18">
        <v>9.2499999999999999E-2</v>
      </c>
      <c r="E612" s="21">
        <f t="shared" si="78"/>
        <v>7.3996302871768282E-3</v>
      </c>
      <c r="F612" s="5">
        <v>40064</v>
      </c>
      <c r="G612" s="5">
        <v>42270</v>
      </c>
      <c r="H612" s="16">
        <f t="shared" si="73"/>
        <v>2206</v>
      </c>
      <c r="I612" s="5">
        <v>42239</v>
      </c>
      <c r="J612" s="5">
        <v>42181</v>
      </c>
      <c r="K612" s="16">
        <f t="shared" si="74"/>
        <v>2117</v>
      </c>
      <c r="L612" s="13">
        <v>29991.68</v>
      </c>
      <c r="M612" s="15">
        <f t="shared" si="72"/>
        <v>530.31303869972373</v>
      </c>
      <c r="N612" s="13">
        <v>946.59</v>
      </c>
      <c r="O612" s="13">
        <v>0</v>
      </c>
      <c r="P612" s="11">
        <f t="shared" si="79"/>
        <v>1</v>
      </c>
    </row>
    <row r="613" spans="1:16" ht="18.75" customHeight="1" thickBot="1" x14ac:dyDescent="0.3">
      <c r="A613" s="3" t="s">
        <v>11</v>
      </c>
      <c r="B613" s="4">
        <v>953937</v>
      </c>
      <c r="C613" s="3" t="s">
        <v>19</v>
      </c>
      <c r="D613" s="18">
        <v>0.115</v>
      </c>
      <c r="E613" s="21">
        <f t="shared" si="78"/>
        <v>9.1124684369046083E-3</v>
      </c>
      <c r="F613" s="5">
        <v>40093</v>
      </c>
      <c r="G613" s="5">
        <v>40823</v>
      </c>
      <c r="H613" s="16">
        <f t="shared" si="73"/>
        <v>730</v>
      </c>
      <c r="I613" s="5">
        <v>40823</v>
      </c>
      <c r="J613" s="5">
        <v>40631</v>
      </c>
      <c r="K613" s="16">
        <f t="shared" si="74"/>
        <v>538</v>
      </c>
      <c r="L613" s="13">
        <v>27269.85</v>
      </c>
      <c r="M613" s="15">
        <f t="shared" si="72"/>
        <v>1254.5921615921541</v>
      </c>
      <c r="N613" s="13">
        <v>24117.040000000001</v>
      </c>
      <c r="O613" s="13">
        <v>0</v>
      </c>
      <c r="P613" s="11">
        <f t="shared" si="79"/>
        <v>0</v>
      </c>
    </row>
    <row r="614" spans="1:16" ht="18.75" customHeight="1" thickBot="1" x14ac:dyDescent="0.3">
      <c r="A614" s="3" t="s">
        <v>11</v>
      </c>
      <c r="B614" s="4">
        <v>612357</v>
      </c>
      <c r="C614" s="3" t="s">
        <v>9</v>
      </c>
      <c r="D614" s="18">
        <v>0.08</v>
      </c>
      <c r="E614" s="21">
        <f t="shared" si="78"/>
        <v>6.4340301100034303E-3</v>
      </c>
      <c r="F614" s="5">
        <v>40956</v>
      </c>
      <c r="G614" s="5">
        <v>43148</v>
      </c>
      <c r="H614" s="16">
        <f t="shared" si="73"/>
        <v>2192</v>
      </c>
      <c r="I614" s="5">
        <v>43207</v>
      </c>
      <c r="J614" s="5">
        <v>41424</v>
      </c>
      <c r="K614" s="16">
        <f t="shared" si="74"/>
        <v>468</v>
      </c>
      <c r="L614" s="13">
        <v>22976</v>
      </c>
      <c r="M614" s="15">
        <f t="shared" si="72"/>
        <v>395.1289753391867</v>
      </c>
      <c r="N614" s="13">
        <v>13956.62</v>
      </c>
      <c r="O614" s="13">
        <v>1168.3800000000001</v>
      </c>
      <c r="P614" s="11">
        <f t="shared" si="79"/>
        <v>1</v>
      </c>
    </row>
    <row r="615" spans="1:16" ht="18.75" customHeight="1" thickBot="1" x14ac:dyDescent="0.3">
      <c r="A615" s="3" t="s">
        <v>11</v>
      </c>
      <c r="B615" s="4">
        <v>586664</v>
      </c>
      <c r="C615" s="3" t="s">
        <v>9</v>
      </c>
      <c r="D615" s="18">
        <v>0.115</v>
      </c>
      <c r="E615" s="21">
        <f t="shared" si="78"/>
        <v>9.1124684369046083E-3</v>
      </c>
      <c r="F615" s="5">
        <v>41201</v>
      </c>
      <c r="G615" s="5">
        <v>43027</v>
      </c>
      <c r="H615" s="16">
        <f t="shared" si="73"/>
        <v>1826</v>
      </c>
      <c r="I615" s="5">
        <v>43239</v>
      </c>
      <c r="J615" s="5">
        <v>41810</v>
      </c>
      <c r="K615" s="16">
        <f t="shared" si="74"/>
        <v>609</v>
      </c>
      <c r="L615" s="13">
        <v>18110</v>
      </c>
      <c r="M615" s="15">
        <f t="shared" si="72"/>
        <v>388.95736157629364</v>
      </c>
      <c r="N615" s="13">
        <v>14727.77</v>
      </c>
      <c r="O615" s="13">
        <v>0</v>
      </c>
      <c r="P615" s="11">
        <f t="shared" si="79"/>
        <v>1</v>
      </c>
    </row>
    <row r="616" spans="1:16" ht="18.75" customHeight="1" thickBot="1" x14ac:dyDescent="0.3">
      <c r="A616" s="3" t="s">
        <v>11</v>
      </c>
      <c r="B616" s="4">
        <v>263959</v>
      </c>
      <c r="C616" s="3" t="s">
        <v>9</v>
      </c>
      <c r="D616" s="18">
        <v>7.8E-2</v>
      </c>
      <c r="E616" s="21">
        <f t="shared" si="78"/>
        <v>6.2785842352273136E-3</v>
      </c>
      <c r="F616" s="5">
        <v>41306</v>
      </c>
      <c r="G616" s="5">
        <v>42415</v>
      </c>
      <c r="H616" s="16">
        <f t="shared" si="73"/>
        <v>1109</v>
      </c>
      <c r="I616" s="5">
        <v>42415</v>
      </c>
      <c r="J616" s="5">
        <v>41729</v>
      </c>
      <c r="K616" s="16">
        <f t="shared" si="74"/>
        <v>423</v>
      </c>
      <c r="L616" s="13">
        <v>5825</v>
      </c>
      <c r="M616" s="15">
        <f t="shared" si="72"/>
        <v>177.05945710602117</v>
      </c>
      <c r="N616" s="13">
        <v>4292.2700000000004</v>
      </c>
      <c r="O616" s="13">
        <v>2525</v>
      </c>
      <c r="P616" s="11">
        <f t="shared" si="79"/>
        <v>1</v>
      </c>
    </row>
    <row r="617" spans="1:16" ht="18.75" customHeight="1" thickBot="1" x14ac:dyDescent="0.3">
      <c r="A617" s="3" t="s">
        <v>11</v>
      </c>
      <c r="B617" s="4">
        <v>453886</v>
      </c>
      <c r="C617" s="3" t="s">
        <v>16</v>
      </c>
      <c r="D617" s="18">
        <v>0.09</v>
      </c>
      <c r="E617" s="21">
        <f t="shared" si="78"/>
        <v>7.2073233161367156E-3</v>
      </c>
      <c r="F617" s="5">
        <v>42908</v>
      </c>
      <c r="G617" s="5">
        <v>44185</v>
      </c>
      <c r="H617" s="16">
        <f t="shared" si="73"/>
        <v>1277</v>
      </c>
      <c r="I617" s="5">
        <v>44216</v>
      </c>
      <c r="J617" s="5">
        <v>43642</v>
      </c>
      <c r="K617" s="16">
        <f t="shared" si="74"/>
        <v>734</v>
      </c>
      <c r="L617" s="13">
        <v>9075</v>
      </c>
      <c r="M617" s="15">
        <f t="shared" si="72"/>
        <v>248.3291744802107</v>
      </c>
      <c r="N617" s="13">
        <v>5590.95</v>
      </c>
      <c r="O617" s="13">
        <v>0</v>
      </c>
      <c r="P617" s="11">
        <f t="shared" si="79"/>
        <v>1</v>
      </c>
    </row>
    <row r="618" spans="1:16" ht="18.75" customHeight="1" thickBot="1" x14ac:dyDescent="0.3">
      <c r="A618" s="3" t="s">
        <v>11</v>
      </c>
      <c r="B618" s="4">
        <v>633749</v>
      </c>
      <c r="C618" s="3" t="s">
        <v>16</v>
      </c>
      <c r="D618" s="18">
        <v>8.5000000000000006E-2</v>
      </c>
      <c r="E618" s="21">
        <f t="shared" si="78"/>
        <v>6.8214933659622723E-3</v>
      </c>
      <c r="F618" s="5">
        <v>42933</v>
      </c>
      <c r="G618" s="5">
        <v>44028</v>
      </c>
      <c r="H618" s="16">
        <f t="shared" si="73"/>
        <v>1095</v>
      </c>
      <c r="I618" s="5">
        <v>44028</v>
      </c>
      <c r="J618" s="5">
        <v>43088</v>
      </c>
      <c r="K618" s="16">
        <f t="shared" si="74"/>
        <v>155</v>
      </c>
      <c r="L618" s="13">
        <v>3575</v>
      </c>
      <c r="M618" s="15">
        <f t="shared" si="72"/>
        <v>110.97607330727391</v>
      </c>
      <c r="N618" s="13">
        <v>1370.99</v>
      </c>
      <c r="O618" s="13">
        <v>0</v>
      </c>
      <c r="P618" s="11">
        <f t="shared" si="79"/>
        <v>1</v>
      </c>
    </row>
    <row r="619" spans="1:16" ht="18.75" customHeight="1" thickBot="1" x14ac:dyDescent="0.3">
      <c r="A619" s="3" t="s">
        <v>11</v>
      </c>
      <c r="B619" s="4">
        <v>250887</v>
      </c>
      <c r="C619" s="3" t="s">
        <v>9</v>
      </c>
      <c r="D619" s="18">
        <v>0.1125</v>
      </c>
      <c r="E619" s="21">
        <f t="shared" si="78"/>
        <v>8.9237257287477778E-3</v>
      </c>
      <c r="F619" s="5">
        <v>43334</v>
      </c>
      <c r="G619" s="5">
        <v>44430</v>
      </c>
      <c r="H619" s="16">
        <f t="shared" si="73"/>
        <v>1096</v>
      </c>
      <c r="I619" s="5">
        <v>44522</v>
      </c>
      <c r="J619" s="5">
        <v>44195</v>
      </c>
      <c r="K619" s="16">
        <f t="shared" si="74"/>
        <v>861</v>
      </c>
      <c r="L619" s="13">
        <v>11075</v>
      </c>
      <c r="M619" s="15">
        <f t="shared" si="72"/>
        <v>356.58195135878537</v>
      </c>
      <c r="N619" s="13">
        <v>5160.21</v>
      </c>
      <c r="O619" s="13">
        <v>5160.21</v>
      </c>
      <c r="P619" s="11">
        <f t="shared" si="79"/>
        <v>1</v>
      </c>
    </row>
    <row r="620" spans="1:16" ht="18.75" customHeight="1" thickBot="1" x14ac:dyDescent="0.3">
      <c r="A620" s="3" t="s">
        <v>11</v>
      </c>
      <c r="B620" s="4">
        <v>746675</v>
      </c>
      <c r="C620" s="3" t="s">
        <v>9</v>
      </c>
      <c r="D620" s="18">
        <v>3.9899999999999998E-2</v>
      </c>
      <c r="E620" s="21">
        <f t="shared" si="78"/>
        <v>3.2657003754898994E-3</v>
      </c>
      <c r="F620" s="5">
        <v>43581</v>
      </c>
      <c r="G620" s="5">
        <v>45956</v>
      </c>
      <c r="H620" s="16">
        <f t="shared" si="73"/>
        <v>2375</v>
      </c>
      <c r="I620" s="5">
        <v>45956</v>
      </c>
      <c r="J620" s="5">
        <v>44186</v>
      </c>
      <c r="K620" s="16">
        <f t="shared" si="74"/>
        <v>605</v>
      </c>
      <c r="L620" s="13">
        <v>58186.28</v>
      </c>
      <c r="M620" s="15">
        <f t="shared" si="72"/>
        <v>835.27620708896097</v>
      </c>
      <c r="N620" s="13">
        <v>2151.9</v>
      </c>
      <c r="O620" s="13">
        <v>0</v>
      </c>
      <c r="P620" s="11">
        <f t="shared" si="79"/>
        <v>1</v>
      </c>
    </row>
    <row r="621" spans="1:16" ht="18.75" customHeight="1" thickBot="1" x14ac:dyDescent="0.3">
      <c r="A621" s="3" t="s">
        <v>11</v>
      </c>
      <c r="B621" s="4">
        <v>281405</v>
      </c>
      <c r="C621" s="3" t="s">
        <v>9</v>
      </c>
      <c r="D621" s="18">
        <v>0.18</v>
      </c>
      <c r="E621" s="21">
        <f t="shared" si="78"/>
        <v>1.3888430348409919E-2</v>
      </c>
      <c r="F621" s="5">
        <v>30442</v>
      </c>
      <c r="G621" s="5">
        <v>31902</v>
      </c>
      <c r="H621" s="16">
        <f t="shared" si="73"/>
        <v>1460</v>
      </c>
      <c r="I621" s="5">
        <v>31902</v>
      </c>
      <c r="J621" s="5">
        <v>32225</v>
      </c>
      <c r="K621" s="16">
        <f t="shared" si="74"/>
        <v>1783</v>
      </c>
      <c r="L621" s="13">
        <v>8028.15</v>
      </c>
      <c r="M621" s="15">
        <f t="shared" si="72"/>
        <v>228.04471453191698</v>
      </c>
      <c r="N621" s="13">
        <v>8028.15</v>
      </c>
      <c r="O621" s="13">
        <v>0</v>
      </c>
      <c r="P621" s="11">
        <f t="shared" si="79"/>
        <v>0</v>
      </c>
    </row>
    <row r="622" spans="1:16" ht="18.75" customHeight="1" thickBot="1" x14ac:dyDescent="0.3">
      <c r="A622" s="3" t="s">
        <v>11</v>
      </c>
      <c r="B622" s="4">
        <v>277992</v>
      </c>
      <c r="C622" s="3" t="s">
        <v>9</v>
      </c>
      <c r="D622" s="18">
        <v>0.19500000000000001</v>
      </c>
      <c r="E622" s="21">
        <f t="shared" si="78"/>
        <v>1.4956257441789633E-2</v>
      </c>
      <c r="F622" s="5">
        <v>30532</v>
      </c>
      <c r="G622" s="5">
        <v>32008</v>
      </c>
      <c r="H622" s="16">
        <f t="shared" si="73"/>
        <v>1476</v>
      </c>
      <c r="I622" s="5">
        <v>32008</v>
      </c>
      <c r="J622" s="5">
        <v>31580</v>
      </c>
      <c r="K622" s="16">
        <f t="shared" si="74"/>
        <v>1048</v>
      </c>
      <c r="L622" s="13">
        <v>2300</v>
      </c>
      <c r="M622" s="15">
        <f t="shared" si="72"/>
        <v>66.371777186673327</v>
      </c>
      <c r="N622" s="13">
        <v>2300</v>
      </c>
      <c r="O622" s="13">
        <v>0</v>
      </c>
      <c r="P622" s="11">
        <f t="shared" si="79"/>
        <v>0</v>
      </c>
    </row>
    <row r="623" spans="1:16" ht="18.75" customHeight="1" thickBot="1" x14ac:dyDescent="0.3">
      <c r="A623" s="3" t="s">
        <v>11</v>
      </c>
      <c r="B623" s="4">
        <v>815441</v>
      </c>
      <c r="C623" s="3" t="s">
        <v>9</v>
      </c>
      <c r="D623" s="18">
        <v>0.12</v>
      </c>
      <c r="E623" s="21">
        <f t="shared" si="78"/>
        <v>9.4887929345830457E-3</v>
      </c>
      <c r="F623" s="5">
        <v>30637</v>
      </c>
      <c r="G623" s="5">
        <v>33194</v>
      </c>
      <c r="H623" s="16">
        <f t="shared" si="73"/>
        <v>2557</v>
      </c>
      <c r="I623" s="5">
        <v>33194</v>
      </c>
      <c r="J623" s="5">
        <v>33123</v>
      </c>
      <c r="K623" s="16">
        <f t="shared" si="74"/>
        <v>2486</v>
      </c>
      <c r="L623" s="13">
        <v>2942</v>
      </c>
      <c r="M623" s="15">
        <f t="shared" si="72"/>
        <v>50.491196480468183</v>
      </c>
      <c r="N623" s="13">
        <v>2942</v>
      </c>
      <c r="O623" s="13">
        <v>0</v>
      </c>
      <c r="P623" s="11">
        <f t="shared" si="79"/>
        <v>0</v>
      </c>
    </row>
    <row r="624" spans="1:16" ht="18.75" customHeight="1" thickBot="1" x14ac:dyDescent="0.3">
      <c r="A624" s="3" t="s">
        <v>11</v>
      </c>
      <c r="B624" s="4">
        <v>152611</v>
      </c>
      <c r="C624" s="3" t="s">
        <v>9</v>
      </c>
      <c r="D624" s="18">
        <v>0.16</v>
      </c>
      <c r="E624" s="21">
        <f t="shared" si="78"/>
        <v>1.2445137919713467E-2</v>
      </c>
      <c r="F624" s="5">
        <v>30637</v>
      </c>
      <c r="G624" s="5">
        <v>32098</v>
      </c>
      <c r="H624" s="16">
        <f t="shared" si="73"/>
        <v>1461</v>
      </c>
      <c r="I624" s="5">
        <v>32098</v>
      </c>
      <c r="J624" s="5">
        <v>32981</v>
      </c>
      <c r="K624" s="16">
        <f t="shared" si="74"/>
        <v>2344</v>
      </c>
      <c r="L624" s="13">
        <v>1283</v>
      </c>
      <c r="M624" s="15">
        <f t="shared" si="72"/>
        <v>35.288782104680578</v>
      </c>
      <c r="N624" s="13">
        <v>1283</v>
      </c>
      <c r="O624" s="13">
        <v>0</v>
      </c>
      <c r="P624" s="11">
        <f t="shared" si="79"/>
        <v>0</v>
      </c>
    </row>
    <row r="625" spans="1:16" ht="18.75" customHeight="1" thickBot="1" x14ac:dyDescent="0.3">
      <c r="A625" s="3" t="s">
        <v>11</v>
      </c>
      <c r="B625" s="4">
        <v>925281</v>
      </c>
      <c r="C625" s="3" t="s">
        <v>9</v>
      </c>
      <c r="D625" s="18">
        <v>0.14249999999999999</v>
      </c>
      <c r="E625" s="21">
        <f t="shared" si="78"/>
        <v>1.1163421416801933E-2</v>
      </c>
      <c r="F625" s="5">
        <v>30642</v>
      </c>
      <c r="G625" s="5">
        <v>31008</v>
      </c>
      <c r="H625" s="16">
        <f t="shared" si="73"/>
        <v>366</v>
      </c>
      <c r="I625" s="5">
        <v>31008</v>
      </c>
      <c r="J625" s="5">
        <v>33903</v>
      </c>
      <c r="K625" s="16">
        <f t="shared" si="74"/>
        <v>3261</v>
      </c>
      <c r="L625" s="13">
        <v>284.64</v>
      </c>
      <c r="M625" s="15">
        <f t="shared" si="72"/>
        <v>25.085765273856975</v>
      </c>
      <c r="N625" s="13">
        <v>284.64</v>
      </c>
      <c r="O625" s="13">
        <v>0</v>
      </c>
      <c r="P625" s="11">
        <f t="shared" si="79"/>
        <v>0</v>
      </c>
    </row>
    <row r="626" spans="1:16" ht="18.75" customHeight="1" thickBot="1" x14ac:dyDescent="0.3">
      <c r="A626" s="3" t="s">
        <v>11</v>
      </c>
      <c r="B626" s="4">
        <v>633520</v>
      </c>
      <c r="C626" s="3" t="s">
        <v>9</v>
      </c>
      <c r="D626" s="18">
        <v>0.185</v>
      </c>
      <c r="E626" s="21">
        <f t="shared" si="78"/>
        <v>1.4245748385667056E-2</v>
      </c>
      <c r="F626" s="5">
        <v>30750</v>
      </c>
      <c r="G626" s="5">
        <v>32136</v>
      </c>
      <c r="H626" s="16">
        <f t="shared" si="73"/>
        <v>1386</v>
      </c>
      <c r="I626" s="5">
        <v>32136</v>
      </c>
      <c r="J626" s="5">
        <v>32436</v>
      </c>
      <c r="K626" s="16">
        <f t="shared" si="74"/>
        <v>1686</v>
      </c>
      <c r="L626" s="13">
        <v>4250</v>
      </c>
      <c r="M626" s="15">
        <f t="shared" si="72"/>
        <v>126.19121989866781</v>
      </c>
      <c r="N626" s="13">
        <v>4250</v>
      </c>
      <c r="O626" s="13">
        <v>0</v>
      </c>
      <c r="P626" s="11">
        <f t="shared" si="79"/>
        <v>0</v>
      </c>
    </row>
    <row r="627" spans="1:16" ht="18.75" customHeight="1" thickBot="1" x14ac:dyDescent="0.3">
      <c r="A627" s="3" t="s">
        <v>11</v>
      </c>
      <c r="B627" s="4">
        <v>676903</v>
      </c>
      <c r="C627" s="3" t="s">
        <v>9</v>
      </c>
      <c r="D627" s="18">
        <v>0.185</v>
      </c>
      <c r="E627" s="21">
        <f t="shared" si="78"/>
        <v>1.4245748385667056E-2</v>
      </c>
      <c r="F627" s="5">
        <v>30770</v>
      </c>
      <c r="G627" s="5">
        <v>31872</v>
      </c>
      <c r="H627" s="16">
        <f t="shared" si="73"/>
        <v>1102</v>
      </c>
      <c r="I627" s="5">
        <v>31872</v>
      </c>
      <c r="J627" s="5">
        <v>32811</v>
      </c>
      <c r="K627" s="16">
        <f t="shared" si="74"/>
        <v>2041</v>
      </c>
      <c r="L627" s="13">
        <v>2193</v>
      </c>
      <c r="M627" s="15">
        <f t="shared" si="72"/>
        <v>77.091932390907374</v>
      </c>
      <c r="N627" s="13">
        <v>2193</v>
      </c>
      <c r="O627" s="13">
        <v>0</v>
      </c>
      <c r="P627" s="11">
        <f t="shared" si="79"/>
        <v>0</v>
      </c>
    </row>
    <row r="628" spans="1:16" ht="18.75" customHeight="1" thickBot="1" x14ac:dyDescent="0.3">
      <c r="A628" s="3" t="s">
        <v>11</v>
      </c>
      <c r="B628" s="4">
        <v>782522</v>
      </c>
      <c r="C628" s="3" t="s">
        <v>9</v>
      </c>
      <c r="D628" s="18">
        <v>0.18</v>
      </c>
      <c r="E628" s="21">
        <f t="shared" si="78"/>
        <v>1.3888430348409919E-2</v>
      </c>
      <c r="F628" s="5">
        <v>30787</v>
      </c>
      <c r="G628" s="5">
        <v>32248</v>
      </c>
      <c r="H628" s="16">
        <f t="shared" si="73"/>
        <v>1461</v>
      </c>
      <c r="I628" s="5">
        <v>32248</v>
      </c>
      <c r="J628" s="5">
        <v>32507</v>
      </c>
      <c r="K628" s="16">
        <f t="shared" si="74"/>
        <v>1720</v>
      </c>
      <c r="L628" s="13">
        <v>1927.65</v>
      </c>
      <c r="M628" s="15">
        <f t="shared" si="72"/>
        <v>54.729830256975468</v>
      </c>
      <c r="N628" s="13">
        <v>1927.65</v>
      </c>
      <c r="O628" s="13">
        <v>0</v>
      </c>
      <c r="P628" s="11">
        <f t="shared" si="79"/>
        <v>0</v>
      </c>
    </row>
    <row r="629" spans="1:16" ht="18.75" customHeight="1" thickBot="1" x14ac:dyDescent="0.3">
      <c r="A629" s="3" t="s">
        <v>11</v>
      </c>
      <c r="B629" s="4">
        <v>589636</v>
      </c>
      <c r="C629" s="3" t="s">
        <v>9</v>
      </c>
      <c r="D629" s="18">
        <v>0.18</v>
      </c>
      <c r="E629" s="21">
        <f t="shared" si="78"/>
        <v>1.3888430348409919E-2</v>
      </c>
      <c r="F629" s="5">
        <v>30817</v>
      </c>
      <c r="G629" s="5">
        <v>32096</v>
      </c>
      <c r="H629" s="16">
        <f t="shared" si="73"/>
        <v>1279</v>
      </c>
      <c r="I629" s="5">
        <v>32096</v>
      </c>
      <c r="J629" s="5">
        <v>31904</v>
      </c>
      <c r="K629" s="16">
        <f t="shared" si="74"/>
        <v>1087</v>
      </c>
      <c r="L629" s="13">
        <v>2300</v>
      </c>
      <c r="M629" s="15">
        <f t="shared" si="72"/>
        <v>71.850234663676872</v>
      </c>
      <c r="N629" s="13">
        <v>2300</v>
      </c>
      <c r="O629" s="13">
        <v>0</v>
      </c>
      <c r="P629" s="11">
        <f t="shared" si="79"/>
        <v>0</v>
      </c>
    </row>
    <row r="630" spans="1:16" ht="18.75" customHeight="1" thickBot="1" x14ac:dyDescent="0.3">
      <c r="A630" s="3" t="s">
        <v>11</v>
      </c>
      <c r="B630" s="4">
        <v>49313</v>
      </c>
      <c r="C630" s="3" t="s">
        <v>9</v>
      </c>
      <c r="D630" s="18">
        <v>0.16500000000000001</v>
      </c>
      <c r="E630" s="21">
        <f t="shared" si="78"/>
        <v>1.2808087081983555E-2</v>
      </c>
      <c r="F630" s="5">
        <v>30818</v>
      </c>
      <c r="G630" s="5">
        <v>32279</v>
      </c>
      <c r="H630" s="16">
        <f t="shared" si="73"/>
        <v>1461</v>
      </c>
      <c r="I630" s="5">
        <v>32279</v>
      </c>
      <c r="J630" s="5">
        <v>32388</v>
      </c>
      <c r="K630" s="16">
        <f t="shared" si="74"/>
        <v>1570</v>
      </c>
      <c r="L630" s="13">
        <v>250</v>
      </c>
      <c r="M630" s="15">
        <f t="shared" si="72"/>
        <v>6.9316196720889369</v>
      </c>
      <c r="N630" s="13">
        <v>250</v>
      </c>
      <c r="O630" s="13">
        <v>0</v>
      </c>
      <c r="P630" s="11">
        <f t="shared" si="79"/>
        <v>0</v>
      </c>
    </row>
    <row r="631" spans="1:16" ht="18.75" customHeight="1" thickBot="1" x14ac:dyDescent="0.3">
      <c r="A631" s="3" t="s">
        <v>11</v>
      </c>
      <c r="B631" s="4">
        <v>727586</v>
      </c>
      <c r="C631" s="3" t="s">
        <v>9</v>
      </c>
      <c r="D631" s="18">
        <v>0.189</v>
      </c>
      <c r="E631" s="21">
        <f t="shared" si="78"/>
        <v>1.4530609136026662E-2</v>
      </c>
      <c r="F631" s="5">
        <v>30841</v>
      </c>
      <c r="G631" s="5">
        <v>32314</v>
      </c>
      <c r="H631" s="16">
        <f t="shared" si="73"/>
        <v>1473</v>
      </c>
      <c r="I631" s="5">
        <v>32314</v>
      </c>
      <c r="J631" s="5">
        <v>32587</v>
      </c>
      <c r="K631" s="16">
        <f t="shared" si="74"/>
        <v>1746</v>
      </c>
      <c r="L631" s="13">
        <v>2800.94</v>
      </c>
      <c r="M631" s="15">
        <f t="shared" si="72"/>
        <v>80.191254286197591</v>
      </c>
      <c r="N631" s="13">
        <v>2800.94</v>
      </c>
      <c r="O631" s="13">
        <v>0</v>
      </c>
      <c r="P631" s="11">
        <f t="shared" si="79"/>
        <v>0</v>
      </c>
    </row>
    <row r="632" spans="1:16" ht="18.75" customHeight="1" thickBot="1" x14ac:dyDescent="0.3">
      <c r="A632" s="3" t="s">
        <v>11</v>
      </c>
      <c r="B632" s="4">
        <v>924103</v>
      </c>
      <c r="C632" s="3" t="s">
        <v>9</v>
      </c>
      <c r="D632" s="18">
        <v>0.155</v>
      </c>
      <c r="E632" s="21">
        <f t="shared" si="78"/>
        <v>1.20807518477275E-2</v>
      </c>
      <c r="F632" s="5">
        <v>30859</v>
      </c>
      <c r="G632" s="5">
        <v>30889</v>
      </c>
      <c r="H632" s="16">
        <f t="shared" si="73"/>
        <v>30</v>
      </c>
      <c r="I632" s="5">
        <v>30889</v>
      </c>
      <c r="J632" s="5">
        <v>32646</v>
      </c>
      <c r="K632" s="16">
        <f t="shared" si="74"/>
        <v>1787</v>
      </c>
      <c r="L632" s="13">
        <v>1224.53</v>
      </c>
      <c r="M632" s="15">
        <f t="shared" si="72"/>
        <v>1239.3232430600976</v>
      </c>
      <c r="N632" s="13">
        <v>1224.53</v>
      </c>
      <c r="O632" s="13">
        <v>0</v>
      </c>
      <c r="P632" s="11">
        <f t="shared" si="79"/>
        <v>0</v>
      </c>
    </row>
    <row r="633" spans="1:16" ht="18.75" customHeight="1" thickBot="1" x14ac:dyDescent="0.3">
      <c r="A633" s="3" t="s">
        <v>11</v>
      </c>
      <c r="B633" s="4">
        <v>793315</v>
      </c>
      <c r="C633" s="3" t="s">
        <v>9</v>
      </c>
      <c r="D633" s="18">
        <v>0.17</v>
      </c>
      <c r="E633" s="21">
        <f t="shared" si="78"/>
        <v>1.3169611131462311E-2</v>
      </c>
      <c r="F633" s="5">
        <v>30862</v>
      </c>
      <c r="G633" s="5">
        <v>31973</v>
      </c>
      <c r="H633" s="16">
        <f t="shared" si="73"/>
        <v>1111</v>
      </c>
      <c r="I633" s="5">
        <v>31973</v>
      </c>
      <c r="J633" s="5">
        <v>31845</v>
      </c>
      <c r="K633" s="16">
        <f t="shared" si="74"/>
        <v>983</v>
      </c>
      <c r="L633" s="13">
        <v>2206.7600000000002</v>
      </c>
      <c r="M633" s="15">
        <f t="shared" si="72"/>
        <v>75.679981526702676</v>
      </c>
      <c r="N633" s="13">
        <v>2206.7600000000002</v>
      </c>
      <c r="O633" s="13">
        <v>0</v>
      </c>
      <c r="P633" s="11">
        <f t="shared" si="79"/>
        <v>0</v>
      </c>
    </row>
    <row r="634" spans="1:16" ht="18.75" customHeight="1" thickBot="1" x14ac:dyDescent="0.3">
      <c r="A634" s="3" t="s">
        <v>11</v>
      </c>
      <c r="B634" s="4">
        <v>906179</v>
      </c>
      <c r="C634" s="3" t="s">
        <v>9</v>
      </c>
      <c r="D634" s="18">
        <v>0.19</v>
      </c>
      <c r="E634" s="21">
        <f t="shared" si="78"/>
        <v>1.4601687054440093E-2</v>
      </c>
      <c r="F634" s="5">
        <v>30873</v>
      </c>
      <c r="G634" s="5">
        <v>32339</v>
      </c>
      <c r="H634" s="16">
        <f t="shared" si="73"/>
        <v>1466</v>
      </c>
      <c r="I634" s="5">
        <v>32339</v>
      </c>
      <c r="J634" s="5">
        <v>34242</v>
      </c>
      <c r="K634" s="16">
        <f t="shared" si="74"/>
        <v>3369</v>
      </c>
      <c r="L634" s="13">
        <v>50</v>
      </c>
      <c r="M634" s="15">
        <f t="shared" si="72"/>
        <v>1.4384283534437257</v>
      </c>
      <c r="N634" s="13">
        <v>50</v>
      </c>
      <c r="O634" s="13">
        <v>0</v>
      </c>
      <c r="P634" s="11">
        <f t="shared" si="79"/>
        <v>0</v>
      </c>
    </row>
    <row r="635" spans="1:16" ht="18.75" customHeight="1" thickBot="1" x14ac:dyDescent="0.3">
      <c r="A635" s="3" t="s">
        <v>11</v>
      </c>
      <c r="B635" s="4">
        <v>908729</v>
      </c>
      <c r="C635" s="3" t="s">
        <v>9</v>
      </c>
      <c r="D635" s="18">
        <v>0.18</v>
      </c>
      <c r="E635" s="21">
        <f t="shared" si="78"/>
        <v>1.3888430348409919E-2</v>
      </c>
      <c r="F635" s="5">
        <v>30881</v>
      </c>
      <c r="G635" s="5">
        <v>32341</v>
      </c>
      <c r="H635" s="16">
        <f t="shared" si="73"/>
        <v>1460</v>
      </c>
      <c r="I635" s="5">
        <v>32341</v>
      </c>
      <c r="J635" s="5">
        <v>31904</v>
      </c>
      <c r="K635" s="16">
        <f t="shared" si="74"/>
        <v>1023</v>
      </c>
      <c r="L635" s="13">
        <v>1325</v>
      </c>
      <c r="M635" s="15">
        <f t="shared" si="72"/>
        <v>37.637469000303923</v>
      </c>
      <c r="N635" s="13">
        <v>1325</v>
      </c>
      <c r="O635" s="13">
        <v>0</v>
      </c>
      <c r="P635" s="11">
        <f t="shared" si="79"/>
        <v>0</v>
      </c>
    </row>
    <row r="636" spans="1:16" ht="18.75" customHeight="1" thickBot="1" x14ac:dyDescent="0.3">
      <c r="A636" s="3" t="s">
        <v>11</v>
      </c>
      <c r="B636" s="4">
        <v>89510</v>
      </c>
      <c r="C636" s="3" t="s">
        <v>9</v>
      </c>
      <c r="D636" s="18">
        <v>0.17599999999999999</v>
      </c>
      <c r="E636" s="21">
        <f t="shared" si="78"/>
        <v>1.3601575235204111E-2</v>
      </c>
      <c r="F636" s="5">
        <v>30894</v>
      </c>
      <c r="G636" s="5">
        <v>32358</v>
      </c>
      <c r="H636" s="16">
        <f t="shared" si="73"/>
        <v>1464</v>
      </c>
      <c r="I636" s="5">
        <v>32358</v>
      </c>
      <c r="J636" s="5">
        <v>33912</v>
      </c>
      <c r="K636" s="16">
        <f t="shared" si="74"/>
        <v>3018</v>
      </c>
      <c r="L636" s="13">
        <v>4880.34</v>
      </c>
      <c r="M636" s="15">
        <f t="shared" si="72"/>
        <v>137.4965215599868</v>
      </c>
      <c r="N636" s="13">
        <v>4880.34</v>
      </c>
      <c r="O636" s="13">
        <v>0</v>
      </c>
      <c r="P636" s="11">
        <f t="shared" si="79"/>
        <v>0</v>
      </c>
    </row>
    <row r="637" spans="1:16" ht="18.75" customHeight="1" thickBot="1" x14ac:dyDescent="0.3">
      <c r="A637" s="3" t="s">
        <v>11</v>
      </c>
      <c r="B637" s="4">
        <v>786151</v>
      </c>
      <c r="C637" s="3" t="s">
        <v>9</v>
      </c>
      <c r="D637" s="18">
        <v>0.185</v>
      </c>
      <c r="E637" s="21">
        <f t="shared" si="78"/>
        <v>1.4245748385667056E-2</v>
      </c>
      <c r="F637" s="5">
        <v>30932</v>
      </c>
      <c r="G637" s="5">
        <v>32027</v>
      </c>
      <c r="H637" s="16">
        <f t="shared" si="73"/>
        <v>1095</v>
      </c>
      <c r="I637" s="5">
        <v>32027</v>
      </c>
      <c r="J637" s="5">
        <v>31903</v>
      </c>
      <c r="K637" s="16">
        <f t="shared" si="74"/>
        <v>971</v>
      </c>
      <c r="L637" s="13">
        <v>2125</v>
      </c>
      <c r="M637" s="15">
        <f t="shared" si="72"/>
        <v>75.065710340780655</v>
      </c>
      <c r="N637" s="13">
        <v>2125</v>
      </c>
      <c r="O637" s="13">
        <v>0</v>
      </c>
      <c r="P637" s="11">
        <f t="shared" si="79"/>
        <v>0</v>
      </c>
    </row>
    <row r="638" spans="1:16" ht="18.75" customHeight="1" thickBot="1" x14ac:dyDescent="0.3">
      <c r="A638" s="3" t="s">
        <v>11</v>
      </c>
      <c r="B638" s="4">
        <v>954094</v>
      </c>
      <c r="C638" s="3" t="s">
        <v>9</v>
      </c>
      <c r="D638" s="18">
        <v>0.185</v>
      </c>
      <c r="E638" s="21">
        <f t="shared" si="78"/>
        <v>1.4245748385667056E-2</v>
      </c>
      <c r="F638" s="5">
        <v>30964</v>
      </c>
      <c r="G638" s="5">
        <v>31694</v>
      </c>
      <c r="H638" s="16">
        <f t="shared" si="73"/>
        <v>730</v>
      </c>
      <c r="I638" s="5">
        <v>31694</v>
      </c>
      <c r="J638" s="5">
        <v>32836</v>
      </c>
      <c r="K638" s="16">
        <f t="shared" si="74"/>
        <v>1872</v>
      </c>
      <c r="L638" s="13">
        <v>83.61</v>
      </c>
      <c r="M638" s="15">
        <f t="shared" si="72"/>
        <v>4.0900847383128669</v>
      </c>
      <c r="N638" s="13">
        <v>83.61</v>
      </c>
      <c r="O638" s="13">
        <v>0</v>
      </c>
      <c r="P638" s="11">
        <f t="shared" si="79"/>
        <v>0</v>
      </c>
    </row>
    <row r="639" spans="1:16" ht="18.75" customHeight="1" thickBot="1" x14ac:dyDescent="0.3">
      <c r="A639" s="3" t="s">
        <v>11</v>
      </c>
      <c r="B639" s="4">
        <v>61026</v>
      </c>
      <c r="C639" s="3" t="s">
        <v>9</v>
      </c>
      <c r="D639" s="18">
        <v>0.19</v>
      </c>
      <c r="E639" s="21">
        <f t="shared" si="78"/>
        <v>1.4601687054440093E-2</v>
      </c>
      <c r="F639" s="5">
        <v>30969</v>
      </c>
      <c r="G639" s="5">
        <v>32430</v>
      </c>
      <c r="H639" s="16">
        <f t="shared" si="73"/>
        <v>1461</v>
      </c>
      <c r="I639" s="5">
        <v>32430</v>
      </c>
      <c r="J639" s="5">
        <v>34815</v>
      </c>
      <c r="K639" s="16">
        <f t="shared" si="74"/>
        <v>3846</v>
      </c>
      <c r="L639" s="13">
        <v>520</v>
      </c>
      <c r="M639" s="15">
        <f t="shared" si="72"/>
        <v>14.994846404416606</v>
      </c>
      <c r="N639" s="13">
        <v>520</v>
      </c>
      <c r="O639" s="13">
        <v>0</v>
      </c>
      <c r="P639" s="11">
        <f t="shared" si="79"/>
        <v>0</v>
      </c>
    </row>
    <row r="640" spans="1:16" ht="18.75" customHeight="1" thickBot="1" x14ac:dyDescent="0.3">
      <c r="A640" s="3" t="s">
        <v>11</v>
      </c>
      <c r="B640" s="4">
        <v>872180</v>
      </c>
      <c r="C640" s="3" t="s">
        <v>9</v>
      </c>
      <c r="D640" s="18">
        <v>0.18</v>
      </c>
      <c r="E640" s="21">
        <f t="shared" si="78"/>
        <v>1.3888430348409919E-2</v>
      </c>
      <c r="F640" s="5">
        <v>30980</v>
      </c>
      <c r="G640" s="5">
        <v>32441</v>
      </c>
      <c r="H640" s="16">
        <f t="shared" si="73"/>
        <v>1461</v>
      </c>
      <c r="I640" s="5">
        <v>32441</v>
      </c>
      <c r="J640" s="5">
        <v>31475</v>
      </c>
      <c r="K640" s="16">
        <f t="shared" si="74"/>
        <v>495</v>
      </c>
      <c r="L640" s="13">
        <v>4256.1099999999997</v>
      </c>
      <c r="M640" s="15">
        <f t="shared" si="72"/>
        <v>120.83945625762759</v>
      </c>
      <c r="N640" s="13">
        <v>4256.1099999999997</v>
      </c>
      <c r="O640" s="13">
        <v>0</v>
      </c>
      <c r="P640" s="11">
        <f t="shared" si="79"/>
        <v>0</v>
      </c>
    </row>
    <row r="641" spans="1:16" ht="18.75" customHeight="1" thickBot="1" x14ac:dyDescent="0.3">
      <c r="A641" s="3" t="s">
        <v>11</v>
      </c>
      <c r="B641" s="4">
        <v>722989</v>
      </c>
      <c r="C641" s="3" t="s">
        <v>9</v>
      </c>
      <c r="D641" s="18">
        <v>0.16500000000000001</v>
      </c>
      <c r="E641" s="21">
        <f t="shared" si="78"/>
        <v>1.2808087081983555E-2</v>
      </c>
      <c r="F641" s="5">
        <v>31019</v>
      </c>
      <c r="G641" s="5">
        <v>32114</v>
      </c>
      <c r="H641" s="16">
        <f t="shared" si="73"/>
        <v>1095</v>
      </c>
      <c r="I641" s="5">
        <v>32114</v>
      </c>
      <c r="J641" s="5">
        <v>33757</v>
      </c>
      <c r="K641" s="16">
        <f t="shared" si="74"/>
        <v>2738</v>
      </c>
      <c r="L641" s="13">
        <v>453.58</v>
      </c>
      <c r="M641" s="15">
        <f t="shared" si="72"/>
        <v>15.635092660180506</v>
      </c>
      <c r="N641" s="13">
        <v>453.58</v>
      </c>
      <c r="O641" s="13">
        <v>0</v>
      </c>
      <c r="P641" s="11">
        <f t="shared" si="79"/>
        <v>0</v>
      </c>
    </row>
    <row r="642" spans="1:16" ht="18.75" customHeight="1" thickBot="1" x14ac:dyDescent="0.3">
      <c r="A642" s="3" t="s">
        <v>11</v>
      </c>
      <c r="B642" s="4">
        <v>818746</v>
      </c>
      <c r="C642" s="3" t="s">
        <v>9</v>
      </c>
      <c r="D642" s="18">
        <v>0.18</v>
      </c>
      <c r="E642" s="21">
        <f t="shared" si="78"/>
        <v>1.3888430348409919E-2</v>
      </c>
      <c r="F642" s="5">
        <v>31019</v>
      </c>
      <c r="G642" s="5">
        <v>32114</v>
      </c>
      <c r="H642" s="16">
        <f t="shared" si="73"/>
        <v>1095</v>
      </c>
      <c r="I642" s="5">
        <v>32114</v>
      </c>
      <c r="J642" s="5">
        <v>32125</v>
      </c>
      <c r="K642" s="16">
        <f t="shared" si="74"/>
        <v>1106</v>
      </c>
      <c r="L642" s="13">
        <v>3829.44</v>
      </c>
      <c r="M642" s="15">
        <f t="shared" ref="M642:M705" si="80">-PMT(E642,(H642/30),L642)</f>
        <v>134.45741967321106</v>
      </c>
      <c r="N642" s="13">
        <v>3829.44</v>
      </c>
      <c r="O642" s="13">
        <v>0</v>
      </c>
      <c r="P642" s="11">
        <f t="shared" si="79"/>
        <v>0</v>
      </c>
    </row>
    <row r="643" spans="1:16" ht="18.75" customHeight="1" thickBot="1" x14ac:dyDescent="0.3">
      <c r="A643" s="3" t="s">
        <v>11</v>
      </c>
      <c r="B643" s="4">
        <v>738885</v>
      </c>
      <c r="C643" s="3" t="s">
        <v>9</v>
      </c>
      <c r="D643" s="18">
        <v>0.185</v>
      </c>
      <c r="E643" s="21">
        <f t="shared" si="78"/>
        <v>1.4245748385667056E-2</v>
      </c>
      <c r="F643" s="5">
        <v>31006</v>
      </c>
      <c r="G643" s="5">
        <v>31917</v>
      </c>
      <c r="H643" s="16">
        <f t="shared" ref="H643:H706" si="81">G643-F643</f>
        <v>911</v>
      </c>
      <c r="I643" s="5">
        <v>31917</v>
      </c>
      <c r="J643" s="5">
        <v>31905</v>
      </c>
      <c r="K643" s="16">
        <f t="shared" ref="K643:K706" si="82">J643-F643</f>
        <v>899</v>
      </c>
      <c r="L643" s="13">
        <v>2100</v>
      </c>
      <c r="M643" s="15">
        <f t="shared" si="80"/>
        <v>85.671806212827974</v>
      </c>
      <c r="N643" s="13">
        <v>2100</v>
      </c>
      <c r="O643" s="13">
        <v>0</v>
      </c>
      <c r="P643" s="11">
        <f t="shared" ref="P643:P674" si="83">IF((G643)&gt;(ConstantDateCutoff),1,0)</f>
        <v>0</v>
      </c>
    </row>
    <row r="644" spans="1:16" ht="18.75" customHeight="1" thickBot="1" x14ac:dyDescent="0.3">
      <c r="A644" s="3" t="s">
        <v>11</v>
      </c>
      <c r="B644" s="4">
        <v>395644</v>
      </c>
      <c r="C644" s="3" t="s">
        <v>9</v>
      </c>
      <c r="D644" s="18">
        <v>0.18</v>
      </c>
      <c r="E644" s="21">
        <f t="shared" si="78"/>
        <v>1.3888430348409919E-2</v>
      </c>
      <c r="F644" s="5">
        <v>31049</v>
      </c>
      <c r="G644" s="5">
        <v>31779</v>
      </c>
      <c r="H644" s="16">
        <f t="shared" si="81"/>
        <v>730</v>
      </c>
      <c r="I644" s="5">
        <v>31779</v>
      </c>
      <c r="J644" s="5">
        <v>32632</v>
      </c>
      <c r="K644" s="16">
        <f t="shared" si="82"/>
        <v>1583</v>
      </c>
      <c r="L644" s="13">
        <v>990.58</v>
      </c>
      <c r="M644" s="15">
        <f t="shared" si="80"/>
        <v>48.253672541260926</v>
      </c>
      <c r="N644" s="13">
        <v>990.58</v>
      </c>
      <c r="O644" s="13">
        <v>0</v>
      </c>
      <c r="P644" s="11">
        <f t="shared" si="83"/>
        <v>0</v>
      </c>
    </row>
    <row r="645" spans="1:16" ht="18.75" customHeight="1" thickBot="1" x14ac:dyDescent="0.3">
      <c r="A645" s="3" t="s">
        <v>11</v>
      </c>
      <c r="B645" s="4">
        <v>52467</v>
      </c>
      <c r="C645" s="3" t="s">
        <v>9</v>
      </c>
      <c r="D645" s="18">
        <v>0.17</v>
      </c>
      <c r="E645" s="21">
        <f t="shared" si="78"/>
        <v>1.3169611131462311E-2</v>
      </c>
      <c r="F645" s="5">
        <v>31041</v>
      </c>
      <c r="G645" s="5">
        <v>32502</v>
      </c>
      <c r="H645" s="16">
        <f t="shared" si="81"/>
        <v>1461</v>
      </c>
      <c r="I645" s="5">
        <v>32502</v>
      </c>
      <c r="J645" s="5">
        <v>32724</v>
      </c>
      <c r="K645" s="16">
        <f t="shared" si="82"/>
        <v>1683</v>
      </c>
      <c r="L645" s="13">
        <v>2850</v>
      </c>
      <c r="M645" s="15">
        <f t="shared" si="80"/>
        <v>79.652353404915758</v>
      </c>
      <c r="N645" s="13">
        <v>2850</v>
      </c>
      <c r="O645" s="13">
        <v>0</v>
      </c>
      <c r="P645" s="11">
        <f t="shared" si="83"/>
        <v>0</v>
      </c>
    </row>
    <row r="646" spans="1:16" ht="18.75" customHeight="1" thickBot="1" x14ac:dyDescent="0.3">
      <c r="A646" s="3" t="s">
        <v>11</v>
      </c>
      <c r="B646" s="4">
        <v>820077</v>
      </c>
      <c r="C646" s="3" t="s">
        <v>9</v>
      </c>
      <c r="D646" s="18">
        <v>0.19600000000000001</v>
      </c>
      <c r="E646" s="21">
        <f t="shared" si="78"/>
        <v>1.5027008291617738E-2</v>
      </c>
      <c r="F646" s="5">
        <v>31068</v>
      </c>
      <c r="G646" s="5">
        <v>31523</v>
      </c>
      <c r="H646" s="16">
        <f t="shared" si="81"/>
        <v>455</v>
      </c>
      <c r="I646" s="5">
        <v>31523</v>
      </c>
      <c r="J646" s="5">
        <v>31923</v>
      </c>
      <c r="K646" s="16">
        <f t="shared" si="82"/>
        <v>855</v>
      </c>
      <c r="L646" s="13">
        <v>668.39</v>
      </c>
      <c r="M646" s="15">
        <f t="shared" si="80"/>
        <v>49.611094047118478</v>
      </c>
      <c r="N646" s="13">
        <v>668.39</v>
      </c>
      <c r="O646" s="13">
        <v>0</v>
      </c>
      <c r="P646" s="11">
        <f t="shared" si="83"/>
        <v>0</v>
      </c>
    </row>
    <row r="647" spans="1:16" ht="18.75" customHeight="1" thickBot="1" x14ac:dyDescent="0.3">
      <c r="A647" s="3" t="s">
        <v>11</v>
      </c>
      <c r="B647" s="4">
        <v>322381</v>
      </c>
      <c r="C647" s="3" t="s">
        <v>9</v>
      </c>
      <c r="D647" s="18">
        <v>0.17</v>
      </c>
      <c r="E647" s="21">
        <f t="shared" si="78"/>
        <v>1.3169611131462311E-2</v>
      </c>
      <c r="F647" s="5">
        <v>31068</v>
      </c>
      <c r="G647" s="5">
        <v>32529</v>
      </c>
      <c r="H647" s="16">
        <f t="shared" si="81"/>
        <v>1461</v>
      </c>
      <c r="I647" s="5">
        <v>32529</v>
      </c>
      <c r="J647" s="5">
        <v>33091</v>
      </c>
      <c r="K647" s="16">
        <f t="shared" si="82"/>
        <v>2023</v>
      </c>
      <c r="L647" s="13">
        <v>1165.6600000000001</v>
      </c>
      <c r="M647" s="15">
        <f t="shared" si="80"/>
        <v>32.578092024552319</v>
      </c>
      <c r="N647" s="13">
        <v>1165.6600000000001</v>
      </c>
      <c r="O647" s="13">
        <v>0</v>
      </c>
      <c r="P647" s="11">
        <f t="shared" si="83"/>
        <v>0</v>
      </c>
    </row>
    <row r="648" spans="1:16" ht="18.75" customHeight="1" thickBot="1" x14ac:dyDescent="0.3">
      <c r="A648" s="3" t="s">
        <v>11</v>
      </c>
      <c r="B648" s="4">
        <v>929948</v>
      </c>
      <c r="C648" s="3" t="s">
        <v>9</v>
      </c>
      <c r="D648" s="18">
        <v>0.16500000000000001</v>
      </c>
      <c r="E648" s="21">
        <f t="shared" si="78"/>
        <v>1.2808087081983555E-2</v>
      </c>
      <c r="F648" s="5">
        <v>31093</v>
      </c>
      <c r="G648" s="5">
        <v>32568</v>
      </c>
      <c r="H648" s="16">
        <f t="shared" si="81"/>
        <v>1475</v>
      </c>
      <c r="I648" s="5">
        <v>32568</v>
      </c>
      <c r="J648" s="5">
        <v>32233</v>
      </c>
      <c r="K648" s="16">
        <f t="shared" si="82"/>
        <v>1140</v>
      </c>
      <c r="L648" s="13">
        <v>1000</v>
      </c>
      <c r="M648" s="15">
        <f t="shared" si="80"/>
        <v>27.536553388241416</v>
      </c>
      <c r="N648" s="13">
        <v>1000</v>
      </c>
      <c r="O648" s="13">
        <v>0</v>
      </c>
      <c r="P648" s="11">
        <f t="shared" si="83"/>
        <v>0</v>
      </c>
    </row>
    <row r="649" spans="1:16" ht="18.75" customHeight="1" thickBot="1" x14ac:dyDescent="0.3">
      <c r="A649" s="3" t="s">
        <v>11</v>
      </c>
      <c r="B649" s="4">
        <v>801223</v>
      </c>
      <c r="C649" s="3" t="s">
        <v>9</v>
      </c>
      <c r="D649" s="18">
        <v>0.18</v>
      </c>
      <c r="E649" s="21">
        <f t="shared" si="78"/>
        <v>1.3888430348409919E-2</v>
      </c>
      <c r="F649" s="5">
        <v>31100</v>
      </c>
      <c r="G649" s="5">
        <v>31646</v>
      </c>
      <c r="H649" s="16">
        <f t="shared" si="81"/>
        <v>546</v>
      </c>
      <c r="I649" s="5">
        <v>31646</v>
      </c>
      <c r="J649" s="5">
        <v>31898</v>
      </c>
      <c r="K649" s="16">
        <f t="shared" si="82"/>
        <v>798</v>
      </c>
      <c r="L649" s="13">
        <v>2575</v>
      </c>
      <c r="M649" s="15">
        <f t="shared" si="80"/>
        <v>161.09244616724385</v>
      </c>
      <c r="N649" s="13">
        <v>2575</v>
      </c>
      <c r="O649" s="13">
        <v>0</v>
      </c>
      <c r="P649" s="11">
        <f t="shared" si="83"/>
        <v>0</v>
      </c>
    </row>
    <row r="650" spans="1:16" ht="18.75" customHeight="1" thickBot="1" x14ac:dyDescent="0.3">
      <c r="A650" s="3" t="s">
        <v>11</v>
      </c>
      <c r="B650" s="4">
        <v>55415</v>
      </c>
      <c r="C650" s="3" t="s">
        <v>9</v>
      </c>
      <c r="D650" s="18">
        <v>0.17</v>
      </c>
      <c r="E650" s="21">
        <f t="shared" si="78"/>
        <v>1.3169611131462311E-2</v>
      </c>
      <c r="F650" s="5">
        <v>31128</v>
      </c>
      <c r="G650" s="5">
        <v>31858</v>
      </c>
      <c r="H650" s="16">
        <f t="shared" si="81"/>
        <v>730</v>
      </c>
      <c r="I650" s="5">
        <v>31858</v>
      </c>
      <c r="J650" s="5">
        <v>31905</v>
      </c>
      <c r="K650" s="16">
        <f t="shared" si="82"/>
        <v>777</v>
      </c>
      <c r="L650" s="13">
        <v>900</v>
      </c>
      <c r="M650" s="15">
        <f t="shared" si="80"/>
        <v>43.469572371885377</v>
      </c>
      <c r="N650" s="13">
        <v>900</v>
      </c>
      <c r="O650" s="13">
        <v>0</v>
      </c>
      <c r="P650" s="11">
        <f t="shared" si="83"/>
        <v>0</v>
      </c>
    </row>
    <row r="651" spans="1:16" ht="18.75" customHeight="1" thickBot="1" x14ac:dyDescent="0.3">
      <c r="A651" s="3" t="s">
        <v>11</v>
      </c>
      <c r="B651" s="4">
        <v>368125</v>
      </c>
      <c r="C651" s="3" t="s">
        <v>9</v>
      </c>
      <c r="D651" s="18">
        <v>0.17</v>
      </c>
      <c r="E651" s="21">
        <f t="shared" si="78"/>
        <v>1.3169611131462311E-2</v>
      </c>
      <c r="F651" s="5">
        <v>31141</v>
      </c>
      <c r="G651" s="5">
        <v>32602</v>
      </c>
      <c r="H651" s="16">
        <f t="shared" si="81"/>
        <v>1461</v>
      </c>
      <c r="I651" s="5">
        <v>32602</v>
      </c>
      <c r="J651" s="5">
        <v>32233</v>
      </c>
      <c r="K651" s="16">
        <f t="shared" si="82"/>
        <v>1092</v>
      </c>
      <c r="L651" s="13">
        <v>9000</v>
      </c>
      <c r="M651" s="15">
        <f t="shared" si="80"/>
        <v>251.53374759447081</v>
      </c>
      <c r="N651" s="13">
        <v>9000</v>
      </c>
      <c r="O651" s="13">
        <v>0</v>
      </c>
      <c r="P651" s="11">
        <f t="shared" si="83"/>
        <v>0</v>
      </c>
    </row>
    <row r="652" spans="1:16" ht="18.75" customHeight="1" thickBot="1" x14ac:dyDescent="0.3">
      <c r="A652" s="3" t="s">
        <v>11</v>
      </c>
      <c r="B652" s="4">
        <v>839194</v>
      </c>
      <c r="C652" s="3" t="s">
        <v>9</v>
      </c>
      <c r="D652" s="18">
        <v>0.16</v>
      </c>
      <c r="E652" s="21">
        <f t="shared" si="78"/>
        <v>1.2445137919713467E-2</v>
      </c>
      <c r="F652" s="5">
        <v>31146</v>
      </c>
      <c r="G652" s="5">
        <v>32607</v>
      </c>
      <c r="H652" s="16">
        <f t="shared" si="81"/>
        <v>1461</v>
      </c>
      <c r="I652" s="5">
        <v>32607</v>
      </c>
      <c r="J652" s="5">
        <v>33485</v>
      </c>
      <c r="K652" s="16">
        <f t="shared" si="82"/>
        <v>2339</v>
      </c>
      <c r="L652" s="13">
        <v>129.28</v>
      </c>
      <c r="M652" s="15">
        <f t="shared" si="80"/>
        <v>3.5558330089579928</v>
      </c>
      <c r="N652" s="13">
        <v>129.28</v>
      </c>
      <c r="O652" s="13">
        <v>0</v>
      </c>
      <c r="P652" s="11">
        <f t="shared" si="83"/>
        <v>0</v>
      </c>
    </row>
    <row r="653" spans="1:16" ht="18.75" customHeight="1" thickBot="1" x14ac:dyDescent="0.3">
      <c r="A653" s="3" t="s">
        <v>11</v>
      </c>
      <c r="B653" s="4">
        <v>596874</v>
      </c>
      <c r="C653" s="3" t="s">
        <v>9</v>
      </c>
      <c r="D653" s="18">
        <v>0.16</v>
      </c>
      <c r="E653" s="21">
        <f t="shared" si="78"/>
        <v>1.2445137919713467E-2</v>
      </c>
      <c r="F653" s="5">
        <v>31180</v>
      </c>
      <c r="G653" s="5">
        <v>32276</v>
      </c>
      <c r="H653" s="16">
        <f t="shared" si="81"/>
        <v>1096</v>
      </c>
      <c r="I653" s="5">
        <v>32276</v>
      </c>
      <c r="J653" s="5">
        <v>33961</v>
      </c>
      <c r="K653" s="16">
        <f t="shared" si="82"/>
        <v>2781</v>
      </c>
      <c r="L653" s="13">
        <v>4294.5600000000004</v>
      </c>
      <c r="M653" s="15">
        <f t="shared" si="80"/>
        <v>147.0106799126097</v>
      </c>
      <c r="N653" s="13">
        <v>4294.5600000000004</v>
      </c>
      <c r="O653" s="13">
        <v>0</v>
      </c>
      <c r="P653" s="11">
        <f t="shared" si="83"/>
        <v>0</v>
      </c>
    </row>
    <row r="654" spans="1:16" ht="18.75" customHeight="1" thickBot="1" x14ac:dyDescent="0.3">
      <c r="A654" s="3" t="s">
        <v>11</v>
      </c>
      <c r="B654" s="4">
        <v>87226</v>
      </c>
      <c r="C654" s="3" t="s">
        <v>9</v>
      </c>
      <c r="D654" s="18">
        <v>0.16</v>
      </c>
      <c r="E654" s="21">
        <f t="shared" si="78"/>
        <v>1.2445137919713467E-2</v>
      </c>
      <c r="F654" s="5">
        <v>31204</v>
      </c>
      <c r="G654" s="5">
        <v>32665</v>
      </c>
      <c r="H654" s="16">
        <f t="shared" si="81"/>
        <v>1461</v>
      </c>
      <c r="I654" s="5">
        <v>32665</v>
      </c>
      <c r="J654" s="5">
        <v>32836</v>
      </c>
      <c r="K654" s="16">
        <f t="shared" si="82"/>
        <v>1632</v>
      </c>
      <c r="L654" s="13">
        <v>3900</v>
      </c>
      <c r="M654" s="15">
        <f t="shared" si="80"/>
        <v>107.2690960313751</v>
      </c>
      <c r="N654" s="13">
        <v>3900</v>
      </c>
      <c r="O654" s="13">
        <v>0</v>
      </c>
      <c r="P654" s="11">
        <f t="shared" si="83"/>
        <v>0</v>
      </c>
    </row>
    <row r="655" spans="1:16" ht="18.75" customHeight="1" thickBot="1" x14ac:dyDescent="0.3">
      <c r="A655" s="3" t="s">
        <v>11</v>
      </c>
      <c r="B655" s="4">
        <v>380186</v>
      </c>
      <c r="C655" s="3" t="s">
        <v>9</v>
      </c>
      <c r="D655" s="18">
        <v>0.16500000000000001</v>
      </c>
      <c r="E655" s="21">
        <f t="shared" si="78"/>
        <v>1.2808087081983555E-2</v>
      </c>
      <c r="F655" s="5">
        <v>31208</v>
      </c>
      <c r="G655" s="5">
        <v>32121</v>
      </c>
      <c r="H655" s="16">
        <f t="shared" si="81"/>
        <v>913</v>
      </c>
      <c r="I655" s="5">
        <v>32121</v>
      </c>
      <c r="J655" s="5">
        <v>31819</v>
      </c>
      <c r="K655" s="16">
        <f t="shared" si="82"/>
        <v>611</v>
      </c>
      <c r="L655" s="13">
        <v>1481.85</v>
      </c>
      <c r="M655" s="15">
        <f t="shared" si="80"/>
        <v>59.103740277474877</v>
      </c>
      <c r="N655" s="13">
        <v>1481.85</v>
      </c>
      <c r="O655" s="13">
        <v>0</v>
      </c>
      <c r="P655" s="11">
        <f t="shared" si="83"/>
        <v>0</v>
      </c>
    </row>
    <row r="656" spans="1:16" ht="18.75" customHeight="1" thickBot="1" x14ac:dyDescent="0.3">
      <c r="A656" s="3" t="s">
        <v>11</v>
      </c>
      <c r="B656" s="4">
        <v>660535</v>
      </c>
      <c r="C656" s="3" t="s">
        <v>9</v>
      </c>
      <c r="D656" s="18">
        <v>0.16</v>
      </c>
      <c r="E656" s="21">
        <f t="shared" si="78"/>
        <v>1.2445137919713467E-2</v>
      </c>
      <c r="F656" s="5">
        <v>31238</v>
      </c>
      <c r="G656" s="5">
        <v>32699</v>
      </c>
      <c r="H656" s="16">
        <f t="shared" si="81"/>
        <v>1461</v>
      </c>
      <c r="I656" s="5">
        <v>32699</v>
      </c>
      <c r="J656" s="5">
        <v>31768</v>
      </c>
      <c r="K656" s="16">
        <f t="shared" si="82"/>
        <v>530</v>
      </c>
      <c r="L656" s="13">
        <v>5373.17</v>
      </c>
      <c r="M656" s="15">
        <f t="shared" si="80"/>
        <v>147.78848428792404</v>
      </c>
      <c r="N656" s="13">
        <v>5373.17</v>
      </c>
      <c r="O656" s="13">
        <v>0</v>
      </c>
      <c r="P656" s="11">
        <f t="shared" si="83"/>
        <v>0</v>
      </c>
    </row>
    <row r="657" spans="1:16" ht="18.75" customHeight="1" thickBot="1" x14ac:dyDescent="0.3">
      <c r="A657" s="3" t="s">
        <v>11</v>
      </c>
      <c r="B657" s="4">
        <v>97868</v>
      </c>
      <c r="C657" s="3" t="s">
        <v>9</v>
      </c>
      <c r="D657" s="18">
        <v>0.16</v>
      </c>
      <c r="E657" s="21">
        <f t="shared" si="78"/>
        <v>1.2445137919713467E-2</v>
      </c>
      <c r="F657" s="5">
        <v>31254</v>
      </c>
      <c r="G657" s="5">
        <v>32715</v>
      </c>
      <c r="H657" s="16">
        <f t="shared" si="81"/>
        <v>1461</v>
      </c>
      <c r="I657" s="5">
        <v>32715</v>
      </c>
      <c r="J657" s="5">
        <v>32843</v>
      </c>
      <c r="K657" s="16">
        <f t="shared" si="82"/>
        <v>1589</v>
      </c>
      <c r="L657" s="13">
        <v>4005.32</v>
      </c>
      <c r="M657" s="15">
        <f t="shared" si="80"/>
        <v>110.16591172215058</v>
      </c>
      <c r="N657" s="13">
        <v>4005.32</v>
      </c>
      <c r="O657" s="13">
        <v>0</v>
      </c>
      <c r="P657" s="11">
        <f t="shared" si="83"/>
        <v>0</v>
      </c>
    </row>
    <row r="658" spans="1:16" ht="18.75" customHeight="1" thickBot="1" x14ac:dyDescent="0.3">
      <c r="A658" s="3" t="s">
        <v>11</v>
      </c>
      <c r="B658" s="4">
        <v>493417</v>
      </c>
      <c r="C658" s="3" t="s">
        <v>9</v>
      </c>
      <c r="D658" s="18">
        <v>0.16</v>
      </c>
      <c r="E658" s="21">
        <f t="shared" si="78"/>
        <v>1.2445137919713467E-2</v>
      </c>
      <c r="F658" s="5">
        <v>31266</v>
      </c>
      <c r="G658" s="5">
        <v>32727</v>
      </c>
      <c r="H658" s="16">
        <f t="shared" si="81"/>
        <v>1461</v>
      </c>
      <c r="I658" s="5">
        <v>32727</v>
      </c>
      <c r="J658" s="5">
        <v>33595</v>
      </c>
      <c r="K658" s="16">
        <f t="shared" si="82"/>
        <v>2329</v>
      </c>
      <c r="L658" s="13">
        <v>3562.67</v>
      </c>
      <c r="M658" s="15">
        <f t="shared" si="80"/>
        <v>97.990869322589518</v>
      </c>
      <c r="N658" s="13">
        <v>3562.67</v>
      </c>
      <c r="O658" s="13">
        <v>0</v>
      </c>
      <c r="P658" s="11">
        <f t="shared" si="83"/>
        <v>0</v>
      </c>
    </row>
    <row r="659" spans="1:16" ht="18.75" customHeight="1" thickBot="1" x14ac:dyDescent="0.3">
      <c r="A659" s="3" t="s">
        <v>11</v>
      </c>
      <c r="B659" s="4">
        <v>345502</v>
      </c>
      <c r="C659" s="3" t="s">
        <v>9</v>
      </c>
      <c r="D659" s="18">
        <v>0.16500000000000001</v>
      </c>
      <c r="E659" s="21">
        <f t="shared" si="78"/>
        <v>1.2808087081983555E-2</v>
      </c>
      <c r="F659" s="5">
        <v>31262</v>
      </c>
      <c r="G659" s="5">
        <v>32358</v>
      </c>
      <c r="H659" s="16">
        <f t="shared" si="81"/>
        <v>1096</v>
      </c>
      <c r="I659" s="5">
        <v>32358</v>
      </c>
      <c r="J659" s="5">
        <v>32286</v>
      </c>
      <c r="K659" s="16">
        <f t="shared" si="82"/>
        <v>1024</v>
      </c>
      <c r="L659" s="13">
        <v>5333.19</v>
      </c>
      <c r="M659" s="15">
        <f t="shared" si="80"/>
        <v>183.70551462846919</v>
      </c>
      <c r="N659" s="13">
        <v>5333.19</v>
      </c>
      <c r="O659" s="13">
        <v>0</v>
      </c>
      <c r="P659" s="11">
        <f t="shared" si="83"/>
        <v>0</v>
      </c>
    </row>
    <row r="660" spans="1:16" ht="18.75" customHeight="1" thickBot="1" x14ac:dyDescent="0.3">
      <c r="A660" s="3" t="s">
        <v>11</v>
      </c>
      <c r="B660" s="4">
        <v>964048</v>
      </c>
      <c r="C660" s="3" t="s">
        <v>9</v>
      </c>
      <c r="D660" s="18">
        <v>0.16</v>
      </c>
      <c r="E660" s="21">
        <f t="shared" si="78"/>
        <v>1.2445137919713467E-2</v>
      </c>
      <c r="F660" s="5">
        <v>31286</v>
      </c>
      <c r="G660" s="5">
        <v>32747</v>
      </c>
      <c r="H660" s="16">
        <f t="shared" si="81"/>
        <v>1461</v>
      </c>
      <c r="I660" s="5">
        <v>32747</v>
      </c>
      <c r="J660" s="5">
        <v>32507</v>
      </c>
      <c r="K660" s="16">
        <f t="shared" si="82"/>
        <v>1221</v>
      </c>
      <c r="L660" s="13">
        <v>275</v>
      </c>
      <c r="M660" s="15">
        <f t="shared" si="80"/>
        <v>7.5638465150328589</v>
      </c>
      <c r="N660" s="13">
        <v>275</v>
      </c>
      <c r="O660" s="13">
        <v>0</v>
      </c>
      <c r="P660" s="11">
        <f t="shared" si="83"/>
        <v>0</v>
      </c>
    </row>
    <row r="661" spans="1:16" ht="18.75" customHeight="1" thickBot="1" x14ac:dyDescent="0.3">
      <c r="A661" s="3" t="s">
        <v>11</v>
      </c>
      <c r="B661" s="4">
        <v>751240</v>
      </c>
      <c r="C661" s="3" t="s">
        <v>9</v>
      </c>
      <c r="D661" s="18">
        <v>0.16</v>
      </c>
      <c r="E661" s="21">
        <f t="shared" si="78"/>
        <v>1.2445137919713467E-2</v>
      </c>
      <c r="F661" s="5">
        <v>31274</v>
      </c>
      <c r="G661" s="5">
        <v>32643</v>
      </c>
      <c r="H661" s="16">
        <f t="shared" si="81"/>
        <v>1369</v>
      </c>
      <c r="I661" s="5">
        <v>32643</v>
      </c>
      <c r="J661" s="5">
        <v>32393</v>
      </c>
      <c r="K661" s="16">
        <f t="shared" si="82"/>
        <v>1119</v>
      </c>
      <c r="L661" s="13">
        <v>475</v>
      </c>
      <c r="M661" s="15">
        <f t="shared" si="80"/>
        <v>13.70598928532614</v>
      </c>
      <c r="N661" s="13">
        <v>475</v>
      </c>
      <c r="O661" s="13">
        <v>0</v>
      </c>
      <c r="P661" s="11">
        <f t="shared" si="83"/>
        <v>0</v>
      </c>
    </row>
    <row r="662" spans="1:16" ht="18.75" customHeight="1" thickBot="1" x14ac:dyDescent="0.3">
      <c r="A662" s="3" t="s">
        <v>11</v>
      </c>
      <c r="B662" s="4">
        <v>486051</v>
      </c>
      <c r="C662" s="3" t="s">
        <v>9</v>
      </c>
      <c r="D662" s="18">
        <v>0.16</v>
      </c>
      <c r="E662" s="21">
        <f t="shared" si="78"/>
        <v>1.2445137919713467E-2</v>
      </c>
      <c r="F662" s="5">
        <v>31293</v>
      </c>
      <c r="G662" s="5">
        <v>32766</v>
      </c>
      <c r="H662" s="16">
        <f t="shared" si="81"/>
        <v>1473</v>
      </c>
      <c r="I662" s="5">
        <v>32766</v>
      </c>
      <c r="J662" s="5">
        <v>33155</v>
      </c>
      <c r="K662" s="16">
        <f t="shared" si="82"/>
        <v>1862</v>
      </c>
      <c r="L662" s="13">
        <v>1438.5</v>
      </c>
      <c r="M662" s="15">
        <f t="shared" si="80"/>
        <v>39.330911551876909</v>
      </c>
      <c r="N662" s="13">
        <v>1438.5</v>
      </c>
      <c r="O662" s="13">
        <v>0</v>
      </c>
      <c r="P662" s="11">
        <f t="shared" si="83"/>
        <v>0</v>
      </c>
    </row>
    <row r="663" spans="1:16" ht="18.75" customHeight="1" thickBot="1" x14ac:dyDescent="0.3">
      <c r="A663" s="3" t="s">
        <v>11</v>
      </c>
      <c r="B663" s="4">
        <v>675892</v>
      </c>
      <c r="C663" s="3" t="s">
        <v>9</v>
      </c>
      <c r="D663" s="18">
        <v>0.16</v>
      </c>
      <c r="E663" s="21">
        <f t="shared" si="78"/>
        <v>1.2445137919713467E-2</v>
      </c>
      <c r="F663" s="5">
        <v>31310</v>
      </c>
      <c r="G663" s="5">
        <v>32786</v>
      </c>
      <c r="H663" s="16">
        <f t="shared" si="81"/>
        <v>1476</v>
      </c>
      <c r="I663" s="5">
        <v>32786</v>
      </c>
      <c r="J663" s="5">
        <v>32003</v>
      </c>
      <c r="K663" s="16">
        <f t="shared" si="82"/>
        <v>693</v>
      </c>
      <c r="L663" s="13">
        <v>485.01</v>
      </c>
      <c r="M663" s="15">
        <f t="shared" si="80"/>
        <v>13.241365024495872</v>
      </c>
      <c r="N663" s="13">
        <v>485.01</v>
      </c>
      <c r="O663" s="13">
        <v>485.01</v>
      </c>
      <c r="P663" s="11">
        <f t="shared" si="83"/>
        <v>0</v>
      </c>
    </row>
    <row r="664" spans="1:16" ht="18.75" customHeight="1" thickBot="1" x14ac:dyDescent="0.3">
      <c r="A664" s="3" t="s">
        <v>11</v>
      </c>
      <c r="B664" s="4">
        <v>955552</v>
      </c>
      <c r="C664" s="3" t="s">
        <v>9</v>
      </c>
      <c r="D664" s="18">
        <v>0.16</v>
      </c>
      <c r="E664" s="21">
        <f t="shared" si="78"/>
        <v>1.2445137919713467E-2</v>
      </c>
      <c r="F664" s="5">
        <v>31345</v>
      </c>
      <c r="G664" s="5">
        <v>31802</v>
      </c>
      <c r="H664" s="16">
        <f t="shared" si="81"/>
        <v>457</v>
      </c>
      <c r="I664" s="5">
        <v>31802</v>
      </c>
      <c r="J664" s="5">
        <v>32811</v>
      </c>
      <c r="K664" s="16">
        <f t="shared" si="82"/>
        <v>1466</v>
      </c>
      <c r="L664" s="13">
        <v>1490.39</v>
      </c>
      <c r="M664" s="15">
        <f t="shared" si="80"/>
        <v>108.01006768955401</v>
      </c>
      <c r="N664" s="13">
        <v>1490.39</v>
      </c>
      <c r="O664" s="13">
        <v>0</v>
      </c>
      <c r="P664" s="11">
        <f t="shared" si="83"/>
        <v>0</v>
      </c>
    </row>
    <row r="665" spans="1:16" ht="18.75" customHeight="1" thickBot="1" x14ac:dyDescent="0.3">
      <c r="A665" s="3" t="s">
        <v>11</v>
      </c>
      <c r="B665" s="4">
        <v>84920</v>
      </c>
      <c r="C665" s="3" t="s">
        <v>9</v>
      </c>
      <c r="D665" s="18">
        <v>0.16</v>
      </c>
      <c r="E665" s="21">
        <f t="shared" si="78"/>
        <v>1.2445137919713467E-2</v>
      </c>
      <c r="F665" s="5">
        <v>31355</v>
      </c>
      <c r="G665" s="5">
        <v>31720</v>
      </c>
      <c r="H665" s="16">
        <f t="shared" si="81"/>
        <v>365</v>
      </c>
      <c r="I665" s="5">
        <v>31720</v>
      </c>
      <c r="J665" s="5">
        <v>32507</v>
      </c>
      <c r="K665" s="16">
        <f t="shared" si="82"/>
        <v>1152</v>
      </c>
      <c r="L665" s="13">
        <v>426.34</v>
      </c>
      <c r="M665" s="15">
        <f t="shared" si="80"/>
        <v>37.978684452594081</v>
      </c>
      <c r="N665" s="13">
        <v>426.34</v>
      </c>
      <c r="O665" s="13">
        <v>0</v>
      </c>
      <c r="P665" s="11">
        <f t="shared" si="83"/>
        <v>0</v>
      </c>
    </row>
    <row r="666" spans="1:16" ht="18.75" customHeight="1" thickBot="1" x14ac:dyDescent="0.3">
      <c r="A666" s="3" t="s">
        <v>11</v>
      </c>
      <c r="B666" s="4">
        <v>437977</v>
      </c>
      <c r="C666" s="3" t="s">
        <v>9</v>
      </c>
      <c r="D666" s="18">
        <v>0.16</v>
      </c>
      <c r="E666" s="21">
        <f t="shared" si="78"/>
        <v>1.2445137919713467E-2</v>
      </c>
      <c r="F666" s="5">
        <v>31358</v>
      </c>
      <c r="G666" s="5">
        <v>32454</v>
      </c>
      <c r="H666" s="16">
        <f t="shared" si="81"/>
        <v>1096</v>
      </c>
      <c r="I666" s="5">
        <v>32454</v>
      </c>
      <c r="J666" s="5">
        <v>32388</v>
      </c>
      <c r="K666" s="16">
        <f t="shared" si="82"/>
        <v>1030</v>
      </c>
      <c r="L666" s="13">
        <v>1100</v>
      </c>
      <c r="M666" s="15">
        <f t="shared" si="80"/>
        <v>37.655021213784572</v>
      </c>
      <c r="N666" s="13">
        <v>1100</v>
      </c>
      <c r="O666" s="13">
        <v>0</v>
      </c>
      <c r="P666" s="11">
        <f t="shared" si="83"/>
        <v>0</v>
      </c>
    </row>
    <row r="667" spans="1:16" ht="18.75" customHeight="1" thickBot="1" x14ac:dyDescent="0.3">
      <c r="A667" s="3" t="s">
        <v>11</v>
      </c>
      <c r="B667" s="4">
        <v>258246</v>
      </c>
      <c r="C667" s="3" t="s">
        <v>9</v>
      </c>
      <c r="D667" s="18">
        <v>0.16</v>
      </c>
      <c r="E667" s="21">
        <f t="shared" si="78"/>
        <v>1.2445137919713467E-2</v>
      </c>
      <c r="F667" s="5">
        <v>31363</v>
      </c>
      <c r="G667" s="5">
        <v>32093</v>
      </c>
      <c r="H667" s="16">
        <f t="shared" si="81"/>
        <v>730</v>
      </c>
      <c r="I667" s="5">
        <v>32093</v>
      </c>
      <c r="J667" s="5">
        <v>31898</v>
      </c>
      <c r="K667" s="16">
        <f t="shared" si="82"/>
        <v>535</v>
      </c>
      <c r="L667" s="13">
        <v>2000</v>
      </c>
      <c r="M667" s="15">
        <f t="shared" si="80"/>
        <v>95.77062201165262</v>
      </c>
      <c r="N667" s="13">
        <v>2000</v>
      </c>
      <c r="O667" s="13">
        <v>0</v>
      </c>
      <c r="P667" s="11">
        <f t="shared" si="83"/>
        <v>0</v>
      </c>
    </row>
    <row r="668" spans="1:16" ht="18.75" customHeight="1" thickBot="1" x14ac:dyDescent="0.3">
      <c r="A668" s="3" t="s">
        <v>11</v>
      </c>
      <c r="B668" s="4">
        <v>479699</v>
      </c>
      <c r="C668" s="3" t="s">
        <v>9</v>
      </c>
      <c r="D668" s="18">
        <v>0.16</v>
      </c>
      <c r="E668" s="21">
        <f t="shared" si="78"/>
        <v>1.2445137919713467E-2</v>
      </c>
      <c r="F668" s="5">
        <v>31365</v>
      </c>
      <c r="G668" s="5">
        <v>32461</v>
      </c>
      <c r="H668" s="16">
        <f t="shared" si="81"/>
        <v>1096</v>
      </c>
      <c r="I668" s="5">
        <v>32461</v>
      </c>
      <c r="J668" s="5">
        <v>32686</v>
      </c>
      <c r="K668" s="16">
        <f t="shared" si="82"/>
        <v>1321</v>
      </c>
      <c r="L668" s="13">
        <v>2100</v>
      </c>
      <c r="M668" s="15">
        <f t="shared" si="80"/>
        <v>71.886858680861451</v>
      </c>
      <c r="N668" s="13">
        <v>2100</v>
      </c>
      <c r="O668" s="13">
        <v>0</v>
      </c>
      <c r="P668" s="11">
        <f t="shared" si="83"/>
        <v>0</v>
      </c>
    </row>
    <row r="669" spans="1:16" ht="18.75" customHeight="1" thickBot="1" x14ac:dyDescent="0.3">
      <c r="A669" s="3" t="s">
        <v>11</v>
      </c>
      <c r="B669" s="4">
        <v>914666</v>
      </c>
      <c r="C669" s="3" t="s">
        <v>9</v>
      </c>
      <c r="D669" s="18">
        <v>0.16</v>
      </c>
      <c r="E669" s="21">
        <f t="shared" si="78"/>
        <v>1.2445137919713467E-2</v>
      </c>
      <c r="F669" s="5">
        <v>31359</v>
      </c>
      <c r="G669" s="5">
        <v>32119</v>
      </c>
      <c r="H669" s="16">
        <f t="shared" si="81"/>
        <v>760</v>
      </c>
      <c r="I669" s="5">
        <v>32119</v>
      </c>
      <c r="J669" s="5">
        <v>32861</v>
      </c>
      <c r="K669" s="16">
        <f t="shared" si="82"/>
        <v>1502</v>
      </c>
      <c r="L669" s="13">
        <v>1200</v>
      </c>
      <c r="M669" s="15">
        <f t="shared" si="80"/>
        <v>55.518957805510411</v>
      </c>
      <c r="N669" s="13">
        <v>1200</v>
      </c>
      <c r="O669" s="13">
        <v>0</v>
      </c>
      <c r="P669" s="11">
        <f t="shared" si="83"/>
        <v>0</v>
      </c>
    </row>
    <row r="670" spans="1:16" ht="18.75" customHeight="1" thickBot="1" x14ac:dyDescent="0.3">
      <c r="A670" s="3" t="s">
        <v>11</v>
      </c>
      <c r="B670" s="4">
        <v>787455</v>
      </c>
      <c r="C670" s="3" t="s">
        <v>9</v>
      </c>
      <c r="D670" s="18">
        <v>0.16500000000000001</v>
      </c>
      <c r="E670" s="21">
        <f t="shared" si="78"/>
        <v>1.2808087081983555E-2</v>
      </c>
      <c r="F670" s="5">
        <v>31390</v>
      </c>
      <c r="G670" s="5">
        <v>31978</v>
      </c>
      <c r="H670" s="16">
        <f t="shared" si="81"/>
        <v>588</v>
      </c>
      <c r="I670" s="5">
        <v>31978</v>
      </c>
      <c r="J670" s="5">
        <v>33977</v>
      </c>
      <c r="K670" s="16">
        <f t="shared" si="82"/>
        <v>2587</v>
      </c>
      <c r="L670" s="13">
        <v>1717.72</v>
      </c>
      <c r="M670" s="15">
        <f t="shared" si="80"/>
        <v>99.656037198317776</v>
      </c>
      <c r="N670" s="13">
        <v>1717.72</v>
      </c>
      <c r="O670" s="13">
        <v>0</v>
      </c>
      <c r="P670" s="11">
        <f t="shared" si="83"/>
        <v>0</v>
      </c>
    </row>
    <row r="671" spans="1:16" ht="18.75" customHeight="1" thickBot="1" x14ac:dyDescent="0.3">
      <c r="A671" s="3" t="s">
        <v>11</v>
      </c>
      <c r="B671" s="4">
        <v>890372</v>
      </c>
      <c r="C671" s="3" t="s">
        <v>9</v>
      </c>
      <c r="D671" s="18">
        <v>0.16</v>
      </c>
      <c r="E671" s="21">
        <f t="shared" si="78"/>
        <v>1.2445137919713467E-2</v>
      </c>
      <c r="F671" s="5">
        <v>31384</v>
      </c>
      <c r="G671" s="5">
        <v>32845</v>
      </c>
      <c r="H671" s="16">
        <f t="shared" si="81"/>
        <v>1461</v>
      </c>
      <c r="I671" s="5">
        <v>32845</v>
      </c>
      <c r="J671" s="5">
        <v>31905</v>
      </c>
      <c r="K671" s="16">
        <f t="shared" si="82"/>
        <v>521</v>
      </c>
      <c r="L671" s="13">
        <v>2075</v>
      </c>
      <c r="M671" s="15">
        <f t="shared" si="80"/>
        <v>57.072660067975207</v>
      </c>
      <c r="N671" s="13">
        <v>2075</v>
      </c>
      <c r="O671" s="13">
        <v>0</v>
      </c>
      <c r="P671" s="11">
        <f t="shared" si="83"/>
        <v>0</v>
      </c>
    </row>
    <row r="672" spans="1:16" ht="18.75" customHeight="1" thickBot="1" x14ac:dyDescent="0.3">
      <c r="A672" s="3" t="s">
        <v>11</v>
      </c>
      <c r="B672" s="4">
        <v>890645</v>
      </c>
      <c r="C672" s="3" t="s">
        <v>9</v>
      </c>
      <c r="D672" s="18">
        <v>0.16</v>
      </c>
      <c r="E672" s="21">
        <f t="shared" si="78"/>
        <v>1.2445137919713467E-2</v>
      </c>
      <c r="F672" s="5">
        <v>31389</v>
      </c>
      <c r="G672" s="5">
        <v>32850</v>
      </c>
      <c r="H672" s="16">
        <f t="shared" si="81"/>
        <v>1461</v>
      </c>
      <c r="I672" s="5">
        <v>32850</v>
      </c>
      <c r="J672" s="5">
        <v>33333</v>
      </c>
      <c r="K672" s="16">
        <f t="shared" si="82"/>
        <v>1944</v>
      </c>
      <c r="L672" s="13">
        <v>6111.04</v>
      </c>
      <c r="M672" s="15">
        <f t="shared" si="80"/>
        <v>168.08352220809601</v>
      </c>
      <c r="N672" s="13">
        <v>6111.04</v>
      </c>
      <c r="O672" s="13">
        <v>0</v>
      </c>
      <c r="P672" s="11">
        <f t="shared" si="83"/>
        <v>0</v>
      </c>
    </row>
    <row r="673" spans="1:16" ht="18.75" customHeight="1" thickBot="1" x14ac:dyDescent="0.3">
      <c r="A673" s="3" t="s">
        <v>11</v>
      </c>
      <c r="B673" s="4">
        <v>409433</v>
      </c>
      <c r="C673" s="3" t="s">
        <v>9</v>
      </c>
      <c r="D673" s="18">
        <v>0.16</v>
      </c>
      <c r="E673" s="21">
        <f t="shared" si="78"/>
        <v>1.2445137919713467E-2</v>
      </c>
      <c r="F673" s="5">
        <v>31402</v>
      </c>
      <c r="G673" s="5">
        <v>32863</v>
      </c>
      <c r="H673" s="16">
        <f t="shared" si="81"/>
        <v>1461</v>
      </c>
      <c r="I673" s="5">
        <v>32863</v>
      </c>
      <c r="J673" s="5">
        <v>32763</v>
      </c>
      <c r="K673" s="16">
        <f t="shared" si="82"/>
        <v>1361</v>
      </c>
      <c r="L673" s="13">
        <v>4044.77</v>
      </c>
      <c r="M673" s="15">
        <f t="shared" si="80"/>
        <v>111.25097988585257</v>
      </c>
      <c r="N673" s="13">
        <v>3944.77</v>
      </c>
      <c r="O673" s="13">
        <v>0</v>
      </c>
      <c r="P673" s="11">
        <f t="shared" si="83"/>
        <v>0</v>
      </c>
    </row>
    <row r="674" spans="1:16" ht="18.75" customHeight="1" thickBot="1" x14ac:dyDescent="0.3">
      <c r="A674" s="3" t="s">
        <v>11</v>
      </c>
      <c r="B674" s="4">
        <v>961487</v>
      </c>
      <c r="C674" s="3" t="s">
        <v>9</v>
      </c>
      <c r="D674" s="18">
        <v>0.16</v>
      </c>
      <c r="E674" s="21">
        <f t="shared" si="78"/>
        <v>1.2445137919713467E-2</v>
      </c>
      <c r="F674" s="5">
        <v>31396</v>
      </c>
      <c r="G674" s="5">
        <v>32704</v>
      </c>
      <c r="H674" s="16">
        <f t="shared" si="81"/>
        <v>1308</v>
      </c>
      <c r="I674" s="5">
        <v>32704</v>
      </c>
      <c r="J674" s="5">
        <v>31717</v>
      </c>
      <c r="K674" s="16">
        <f t="shared" si="82"/>
        <v>321</v>
      </c>
      <c r="L674" s="13">
        <v>6606.99</v>
      </c>
      <c r="M674" s="15">
        <f t="shared" si="80"/>
        <v>197.26718114112415</v>
      </c>
      <c r="N674" s="13">
        <v>6606.99</v>
      </c>
      <c r="O674" s="13">
        <v>0</v>
      </c>
      <c r="P674" s="11">
        <f t="shared" si="83"/>
        <v>0</v>
      </c>
    </row>
    <row r="675" spans="1:16" ht="18.75" customHeight="1" thickBot="1" x14ac:dyDescent="0.3">
      <c r="A675" s="3" t="s">
        <v>11</v>
      </c>
      <c r="B675" s="4">
        <v>914128</v>
      </c>
      <c r="C675" s="3" t="s">
        <v>9</v>
      </c>
      <c r="D675" s="18">
        <v>0.16</v>
      </c>
      <c r="E675" s="21">
        <f t="shared" ref="E675:E738" si="84">(1+D675)^(1/12)-1</f>
        <v>1.2445137919713467E-2</v>
      </c>
      <c r="F675" s="5">
        <v>31427</v>
      </c>
      <c r="G675" s="5">
        <v>32888</v>
      </c>
      <c r="H675" s="16">
        <f t="shared" si="81"/>
        <v>1461</v>
      </c>
      <c r="I675" s="5">
        <v>32888</v>
      </c>
      <c r="J675" s="5">
        <v>31467</v>
      </c>
      <c r="K675" s="16">
        <f t="shared" si="82"/>
        <v>40</v>
      </c>
      <c r="L675" s="13">
        <v>8272.99</v>
      </c>
      <c r="M675" s="15">
        <f t="shared" si="80"/>
        <v>227.54773301964252</v>
      </c>
      <c r="N675" s="13">
        <v>8272.99</v>
      </c>
      <c r="O675" s="13">
        <v>0</v>
      </c>
      <c r="P675" s="11">
        <f t="shared" ref="P675:P706" si="85">IF((G675)&gt;(ConstantDateCutoff),1,0)</f>
        <v>0</v>
      </c>
    </row>
    <row r="676" spans="1:16" ht="18.75" customHeight="1" thickBot="1" x14ac:dyDescent="0.3">
      <c r="A676" s="3" t="s">
        <v>11</v>
      </c>
      <c r="B676" s="4">
        <v>594096</v>
      </c>
      <c r="C676" s="3" t="s">
        <v>9</v>
      </c>
      <c r="D676" s="18">
        <v>0.16</v>
      </c>
      <c r="E676" s="21">
        <f t="shared" si="84"/>
        <v>1.2445137919713467E-2</v>
      </c>
      <c r="F676" s="5">
        <v>31427</v>
      </c>
      <c r="G676" s="5">
        <v>32888</v>
      </c>
      <c r="H676" s="16">
        <f t="shared" si="81"/>
        <v>1461</v>
      </c>
      <c r="I676" s="5">
        <v>32888</v>
      </c>
      <c r="J676" s="5">
        <v>31427</v>
      </c>
      <c r="K676" s="16">
        <f t="shared" si="82"/>
        <v>0</v>
      </c>
      <c r="L676" s="13">
        <v>5087.72</v>
      </c>
      <c r="M676" s="15">
        <f t="shared" si="80"/>
        <v>139.93721160531993</v>
      </c>
      <c r="N676" s="13">
        <v>5087.72</v>
      </c>
      <c r="O676" s="13">
        <v>0</v>
      </c>
      <c r="P676" s="11">
        <f t="shared" si="85"/>
        <v>0</v>
      </c>
    </row>
    <row r="677" spans="1:16" ht="18.75" customHeight="1" thickBot="1" x14ac:dyDescent="0.3">
      <c r="A677" s="3" t="s">
        <v>11</v>
      </c>
      <c r="B677" s="4">
        <v>602090</v>
      </c>
      <c r="C677" s="3" t="s">
        <v>9</v>
      </c>
      <c r="D677" s="18">
        <v>0.16</v>
      </c>
      <c r="E677" s="21">
        <f t="shared" si="84"/>
        <v>1.2445137919713467E-2</v>
      </c>
      <c r="F677" s="5">
        <v>31446</v>
      </c>
      <c r="G677" s="5">
        <v>33088</v>
      </c>
      <c r="H677" s="16">
        <f t="shared" si="81"/>
        <v>1642</v>
      </c>
      <c r="I677" s="5">
        <v>33088</v>
      </c>
      <c r="J677" s="5">
        <v>32388</v>
      </c>
      <c r="K677" s="16">
        <f t="shared" si="82"/>
        <v>942</v>
      </c>
      <c r="L677" s="13">
        <v>1688.2</v>
      </c>
      <c r="M677" s="15">
        <f t="shared" si="80"/>
        <v>42.716849954807898</v>
      </c>
      <c r="N677" s="13">
        <v>1688.2</v>
      </c>
      <c r="O677" s="13">
        <v>0</v>
      </c>
      <c r="P677" s="11">
        <f t="shared" si="85"/>
        <v>0</v>
      </c>
    </row>
    <row r="678" spans="1:16" ht="18.75" customHeight="1" thickBot="1" x14ac:dyDescent="0.3">
      <c r="A678" s="3" t="s">
        <v>11</v>
      </c>
      <c r="B678" s="4">
        <v>311982</v>
      </c>
      <c r="C678" s="3" t="s">
        <v>9</v>
      </c>
      <c r="D678" s="18">
        <v>0.16</v>
      </c>
      <c r="E678" s="21">
        <f t="shared" si="84"/>
        <v>1.2445137919713467E-2</v>
      </c>
      <c r="F678" s="5">
        <v>31424</v>
      </c>
      <c r="G678" s="5">
        <v>32887</v>
      </c>
      <c r="H678" s="16">
        <f t="shared" si="81"/>
        <v>1463</v>
      </c>
      <c r="I678" s="5">
        <v>32887</v>
      </c>
      <c r="J678" s="5">
        <v>32854</v>
      </c>
      <c r="K678" s="16">
        <f t="shared" si="82"/>
        <v>1430</v>
      </c>
      <c r="L678" s="13">
        <v>4275</v>
      </c>
      <c r="M678" s="15">
        <f t="shared" si="80"/>
        <v>117.46627407026907</v>
      </c>
      <c r="N678" s="13">
        <v>4275</v>
      </c>
      <c r="O678" s="13">
        <v>0</v>
      </c>
      <c r="P678" s="11">
        <f t="shared" si="85"/>
        <v>0</v>
      </c>
    </row>
    <row r="679" spans="1:16" ht="18.75" customHeight="1" thickBot="1" x14ac:dyDescent="0.3">
      <c r="A679" s="3" t="s">
        <v>11</v>
      </c>
      <c r="B679" s="4">
        <v>809947</v>
      </c>
      <c r="C679" s="3" t="s">
        <v>9</v>
      </c>
      <c r="D679" s="18">
        <v>0.16</v>
      </c>
      <c r="E679" s="21">
        <f t="shared" si="84"/>
        <v>1.2445137919713467E-2</v>
      </c>
      <c r="F679" s="5">
        <v>31443</v>
      </c>
      <c r="G679" s="5">
        <v>32904</v>
      </c>
      <c r="H679" s="16">
        <f t="shared" si="81"/>
        <v>1461</v>
      </c>
      <c r="I679" s="5">
        <v>32904</v>
      </c>
      <c r="J679" s="5">
        <v>31903</v>
      </c>
      <c r="K679" s="16">
        <f t="shared" si="82"/>
        <v>460</v>
      </c>
      <c r="L679" s="13">
        <v>2125</v>
      </c>
      <c r="M679" s="15">
        <f t="shared" si="80"/>
        <v>58.447904888890271</v>
      </c>
      <c r="N679" s="13">
        <v>2125</v>
      </c>
      <c r="O679" s="13">
        <v>0</v>
      </c>
      <c r="P679" s="11">
        <f t="shared" si="85"/>
        <v>0</v>
      </c>
    </row>
    <row r="680" spans="1:16" ht="18.75" customHeight="1" thickBot="1" x14ac:dyDescent="0.3">
      <c r="A680" s="3" t="s">
        <v>11</v>
      </c>
      <c r="B680" s="4">
        <v>564389</v>
      </c>
      <c r="C680" s="3" t="s">
        <v>9</v>
      </c>
      <c r="D680" s="18">
        <v>0.16</v>
      </c>
      <c r="E680" s="21">
        <f t="shared" si="84"/>
        <v>1.2445137919713467E-2</v>
      </c>
      <c r="F680" s="5">
        <v>31454</v>
      </c>
      <c r="G680" s="5">
        <v>31999</v>
      </c>
      <c r="H680" s="16">
        <f t="shared" si="81"/>
        <v>545</v>
      </c>
      <c r="I680" s="5">
        <v>31999</v>
      </c>
      <c r="J680" s="5">
        <v>31763</v>
      </c>
      <c r="K680" s="16">
        <f t="shared" si="82"/>
        <v>309</v>
      </c>
      <c r="L680" s="13">
        <v>866.34</v>
      </c>
      <c r="M680" s="15">
        <f t="shared" si="80"/>
        <v>53.577143990337575</v>
      </c>
      <c r="N680" s="13">
        <v>866.34</v>
      </c>
      <c r="O680" s="13">
        <v>0</v>
      </c>
      <c r="P680" s="11">
        <f t="shared" si="85"/>
        <v>0</v>
      </c>
    </row>
    <row r="681" spans="1:16" ht="18.75" customHeight="1" thickBot="1" x14ac:dyDescent="0.3">
      <c r="A681" s="3" t="s">
        <v>11</v>
      </c>
      <c r="B681" s="4">
        <v>253733</v>
      </c>
      <c r="C681" s="3" t="s">
        <v>9</v>
      </c>
      <c r="D681" s="18">
        <v>0.16</v>
      </c>
      <c r="E681" s="21">
        <f t="shared" si="84"/>
        <v>1.2445137919713467E-2</v>
      </c>
      <c r="F681" s="5">
        <v>31483</v>
      </c>
      <c r="G681" s="5">
        <v>32214</v>
      </c>
      <c r="H681" s="16">
        <f t="shared" si="81"/>
        <v>731</v>
      </c>
      <c r="I681" s="5">
        <v>32214</v>
      </c>
      <c r="J681" s="5">
        <v>31905</v>
      </c>
      <c r="K681" s="16">
        <f t="shared" si="82"/>
        <v>422</v>
      </c>
      <c r="L681" s="13">
        <v>825</v>
      </c>
      <c r="M681" s="15">
        <f t="shared" si="80"/>
        <v>39.459064270504086</v>
      </c>
      <c r="N681" s="13">
        <v>825</v>
      </c>
      <c r="O681" s="13">
        <v>0</v>
      </c>
      <c r="P681" s="11">
        <f t="shared" si="85"/>
        <v>0</v>
      </c>
    </row>
    <row r="682" spans="1:16" ht="18.75" customHeight="1" thickBot="1" x14ac:dyDescent="0.3">
      <c r="A682" s="3" t="s">
        <v>11</v>
      </c>
      <c r="B682" s="4">
        <v>656017</v>
      </c>
      <c r="C682" s="3" t="s">
        <v>9</v>
      </c>
      <c r="D682" s="18">
        <v>0.16</v>
      </c>
      <c r="E682" s="21">
        <f t="shared" si="84"/>
        <v>1.2445137919713467E-2</v>
      </c>
      <c r="F682" s="5">
        <v>31478</v>
      </c>
      <c r="G682" s="5">
        <v>32939</v>
      </c>
      <c r="H682" s="16">
        <f t="shared" si="81"/>
        <v>1461</v>
      </c>
      <c r="I682" s="5">
        <v>32939</v>
      </c>
      <c r="J682" s="5">
        <v>32233</v>
      </c>
      <c r="K682" s="16">
        <f t="shared" si="82"/>
        <v>755</v>
      </c>
      <c r="L682" s="13">
        <v>1000</v>
      </c>
      <c r="M682" s="15">
        <f t="shared" si="80"/>
        <v>27.504896418301307</v>
      </c>
      <c r="N682" s="13">
        <v>1000</v>
      </c>
      <c r="O682" s="13">
        <v>0</v>
      </c>
      <c r="P682" s="11">
        <f t="shared" si="85"/>
        <v>0</v>
      </c>
    </row>
    <row r="683" spans="1:16" ht="18.75" customHeight="1" thickBot="1" x14ac:dyDescent="0.3">
      <c r="A683" s="3" t="s">
        <v>11</v>
      </c>
      <c r="B683" s="4">
        <v>404806</v>
      </c>
      <c r="C683" s="3" t="s">
        <v>9</v>
      </c>
      <c r="D683" s="18">
        <v>0.16</v>
      </c>
      <c r="E683" s="21">
        <f t="shared" si="84"/>
        <v>1.2445137919713467E-2</v>
      </c>
      <c r="F683" s="5">
        <v>31468</v>
      </c>
      <c r="G683" s="5">
        <v>32929</v>
      </c>
      <c r="H683" s="16">
        <f t="shared" si="81"/>
        <v>1461</v>
      </c>
      <c r="I683" s="5">
        <v>32929</v>
      </c>
      <c r="J683" s="5">
        <v>32227</v>
      </c>
      <c r="K683" s="16">
        <f t="shared" si="82"/>
        <v>759</v>
      </c>
      <c r="L683" s="13">
        <v>4774.28</v>
      </c>
      <c r="M683" s="15">
        <f t="shared" si="80"/>
        <v>131.31607687196757</v>
      </c>
      <c r="N683" s="13">
        <v>4774.28</v>
      </c>
      <c r="O683" s="13">
        <v>0</v>
      </c>
      <c r="P683" s="11">
        <f t="shared" si="85"/>
        <v>0</v>
      </c>
    </row>
    <row r="684" spans="1:16" ht="18.75" customHeight="1" thickBot="1" x14ac:dyDescent="0.3">
      <c r="A684" s="3" t="s">
        <v>11</v>
      </c>
      <c r="B684" s="4">
        <v>396276</v>
      </c>
      <c r="C684" s="3" t="s">
        <v>9</v>
      </c>
      <c r="D684" s="18">
        <v>0.16</v>
      </c>
      <c r="E684" s="21">
        <f t="shared" si="84"/>
        <v>1.2445137919713467E-2</v>
      </c>
      <c r="F684" s="5">
        <v>31481</v>
      </c>
      <c r="G684" s="5">
        <v>32212</v>
      </c>
      <c r="H684" s="16">
        <f t="shared" si="81"/>
        <v>731</v>
      </c>
      <c r="I684" s="5">
        <v>32212</v>
      </c>
      <c r="J684" s="5">
        <v>32388</v>
      </c>
      <c r="K684" s="16">
        <f t="shared" si="82"/>
        <v>907</v>
      </c>
      <c r="L684" s="13">
        <v>2062.59</v>
      </c>
      <c r="M684" s="15">
        <f t="shared" si="80"/>
        <v>98.651965301453373</v>
      </c>
      <c r="N684" s="13">
        <v>2062.59</v>
      </c>
      <c r="O684" s="13">
        <v>0</v>
      </c>
      <c r="P684" s="11">
        <f t="shared" si="85"/>
        <v>0</v>
      </c>
    </row>
    <row r="685" spans="1:16" ht="18.75" customHeight="1" thickBot="1" x14ac:dyDescent="0.3">
      <c r="A685" s="3" t="s">
        <v>11</v>
      </c>
      <c r="B685" s="4">
        <v>76468</v>
      </c>
      <c r="C685" s="3" t="s">
        <v>9</v>
      </c>
      <c r="D685" s="18">
        <v>0.16</v>
      </c>
      <c r="E685" s="21">
        <f t="shared" si="84"/>
        <v>1.2445137919713467E-2</v>
      </c>
      <c r="F685" s="5">
        <v>31497</v>
      </c>
      <c r="G685" s="5">
        <v>32572</v>
      </c>
      <c r="H685" s="16">
        <f t="shared" si="81"/>
        <v>1075</v>
      </c>
      <c r="I685" s="5">
        <v>32572</v>
      </c>
      <c r="J685" s="5">
        <v>31764</v>
      </c>
      <c r="K685" s="16">
        <f t="shared" si="82"/>
        <v>267</v>
      </c>
      <c r="L685" s="13">
        <v>4855.17</v>
      </c>
      <c r="M685" s="15">
        <f t="shared" si="80"/>
        <v>168.77047740360595</v>
      </c>
      <c r="N685" s="13">
        <v>4855.17</v>
      </c>
      <c r="O685" s="13">
        <v>0</v>
      </c>
      <c r="P685" s="11">
        <f t="shared" si="85"/>
        <v>0</v>
      </c>
    </row>
    <row r="686" spans="1:16" ht="18.75" customHeight="1" thickBot="1" x14ac:dyDescent="0.3">
      <c r="A686" s="3" t="s">
        <v>11</v>
      </c>
      <c r="B686" s="4">
        <v>221830</v>
      </c>
      <c r="C686" s="3" t="s">
        <v>9</v>
      </c>
      <c r="D686" s="18">
        <v>0.16</v>
      </c>
      <c r="E686" s="21">
        <f t="shared" si="84"/>
        <v>1.2445137919713467E-2</v>
      </c>
      <c r="F686" s="5">
        <v>31481</v>
      </c>
      <c r="G686" s="5">
        <v>32942</v>
      </c>
      <c r="H686" s="16">
        <f t="shared" si="81"/>
        <v>1461</v>
      </c>
      <c r="I686" s="5">
        <v>32942</v>
      </c>
      <c r="J686" s="5">
        <v>32388</v>
      </c>
      <c r="K686" s="16">
        <f t="shared" si="82"/>
        <v>907</v>
      </c>
      <c r="L686" s="13">
        <v>1558.56</v>
      </c>
      <c r="M686" s="15">
        <f t="shared" si="80"/>
        <v>42.868031361707679</v>
      </c>
      <c r="N686" s="13">
        <v>1558.56</v>
      </c>
      <c r="O686" s="13">
        <v>0</v>
      </c>
      <c r="P686" s="11">
        <f t="shared" si="85"/>
        <v>0</v>
      </c>
    </row>
    <row r="687" spans="1:16" ht="18.75" customHeight="1" thickBot="1" x14ac:dyDescent="0.3">
      <c r="A687" s="3" t="s">
        <v>11</v>
      </c>
      <c r="B687" s="4">
        <v>643325</v>
      </c>
      <c r="C687" s="3" t="s">
        <v>9</v>
      </c>
      <c r="D687" s="18">
        <v>0.16</v>
      </c>
      <c r="E687" s="21">
        <f t="shared" si="84"/>
        <v>1.2445137919713467E-2</v>
      </c>
      <c r="F687" s="5">
        <v>31499</v>
      </c>
      <c r="G687" s="5">
        <v>32960</v>
      </c>
      <c r="H687" s="16">
        <f t="shared" si="81"/>
        <v>1461</v>
      </c>
      <c r="I687" s="5">
        <v>32960</v>
      </c>
      <c r="J687" s="5">
        <v>32924</v>
      </c>
      <c r="K687" s="16">
        <f t="shared" si="82"/>
        <v>1425</v>
      </c>
      <c r="L687" s="13">
        <v>18.489999999999998</v>
      </c>
      <c r="M687" s="15">
        <f t="shared" si="80"/>
        <v>0.50856553477439104</v>
      </c>
      <c r="N687" s="13">
        <v>18.489999999999998</v>
      </c>
      <c r="O687" s="13">
        <v>0</v>
      </c>
      <c r="P687" s="11">
        <f t="shared" si="85"/>
        <v>0</v>
      </c>
    </row>
    <row r="688" spans="1:16" ht="18.75" customHeight="1" thickBot="1" x14ac:dyDescent="0.3">
      <c r="A688" s="3" t="s">
        <v>11</v>
      </c>
      <c r="B688" s="4">
        <v>859401</v>
      </c>
      <c r="C688" s="3" t="s">
        <v>9</v>
      </c>
      <c r="D688" s="18">
        <v>0.16</v>
      </c>
      <c r="E688" s="21">
        <f t="shared" si="84"/>
        <v>1.2445137919713467E-2</v>
      </c>
      <c r="F688" s="5">
        <v>31537</v>
      </c>
      <c r="G688" s="5">
        <v>32452</v>
      </c>
      <c r="H688" s="16">
        <f t="shared" si="81"/>
        <v>915</v>
      </c>
      <c r="I688" s="5">
        <v>32452</v>
      </c>
      <c r="J688" s="5">
        <v>32260</v>
      </c>
      <c r="K688" s="16">
        <f t="shared" si="82"/>
        <v>723</v>
      </c>
      <c r="L688" s="13">
        <v>2726.07</v>
      </c>
      <c r="M688" s="15">
        <f t="shared" si="80"/>
        <v>107.96151837438471</v>
      </c>
      <c r="N688" s="13">
        <v>2726.07</v>
      </c>
      <c r="O688" s="13">
        <v>0</v>
      </c>
      <c r="P688" s="11">
        <f t="shared" si="85"/>
        <v>0</v>
      </c>
    </row>
    <row r="689" spans="1:16" ht="18.75" customHeight="1" thickBot="1" x14ac:dyDescent="0.3">
      <c r="A689" s="3" t="s">
        <v>11</v>
      </c>
      <c r="B689" s="4">
        <v>961616</v>
      </c>
      <c r="C689" s="3" t="s">
        <v>9</v>
      </c>
      <c r="D689" s="18">
        <v>0.16</v>
      </c>
      <c r="E689" s="21">
        <f t="shared" si="84"/>
        <v>1.2445137919713467E-2</v>
      </c>
      <c r="F689" s="5">
        <v>31537</v>
      </c>
      <c r="G689" s="5">
        <v>32086</v>
      </c>
      <c r="H689" s="16">
        <f t="shared" si="81"/>
        <v>549</v>
      </c>
      <c r="I689" s="5">
        <v>32086</v>
      </c>
      <c r="J689" s="5">
        <v>32507</v>
      </c>
      <c r="K689" s="16">
        <f t="shared" si="82"/>
        <v>970</v>
      </c>
      <c r="L689" s="13">
        <v>3048.15</v>
      </c>
      <c r="M689" s="15">
        <f t="shared" si="80"/>
        <v>187.28212865160282</v>
      </c>
      <c r="N689" s="13">
        <v>3048.15</v>
      </c>
      <c r="O689" s="13">
        <v>0</v>
      </c>
      <c r="P689" s="11">
        <f t="shared" si="85"/>
        <v>0</v>
      </c>
    </row>
    <row r="690" spans="1:16" ht="18.75" customHeight="1" thickBot="1" x14ac:dyDescent="0.3">
      <c r="A690" s="3" t="s">
        <v>11</v>
      </c>
      <c r="B690" s="4">
        <v>277640</v>
      </c>
      <c r="C690" s="3" t="s">
        <v>9</v>
      </c>
      <c r="D690" s="18">
        <v>0.16</v>
      </c>
      <c r="E690" s="21">
        <f t="shared" si="84"/>
        <v>1.2445137919713467E-2</v>
      </c>
      <c r="F690" s="5">
        <v>31525</v>
      </c>
      <c r="G690" s="5">
        <v>31800</v>
      </c>
      <c r="H690" s="16">
        <f t="shared" si="81"/>
        <v>275</v>
      </c>
      <c r="I690" s="5">
        <v>31800</v>
      </c>
      <c r="J690" s="5">
        <v>32562</v>
      </c>
      <c r="K690" s="16">
        <f t="shared" si="82"/>
        <v>1037</v>
      </c>
      <c r="L690" s="13">
        <v>495.6</v>
      </c>
      <c r="M690" s="15">
        <f t="shared" si="80"/>
        <v>57.543353431664094</v>
      </c>
      <c r="N690" s="13">
        <v>495.6</v>
      </c>
      <c r="O690" s="13">
        <v>0</v>
      </c>
      <c r="P690" s="11">
        <f t="shared" si="85"/>
        <v>0</v>
      </c>
    </row>
    <row r="691" spans="1:16" ht="18.75" customHeight="1" thickBot="1" x14ac:dyDescent="0.3">
      <c r="A691" s="3" t="s">
        <v>11</v>
      </c>
      <c r="B691" s="4">
        <v>636069</v>
      </c>
      <c r="C691" s="3" t="s">
        <v>9</v>
      </c>
      <c r="D691" s="18">
        <v>0.16</v>
      </c>
      <c r="E691" s="21">
        <f t="shared" si="84"/>
        <v>1.2445137919713467E-2</v>
      </c>
      <c r="F691" s="5">
        <v>31552</v>
      </c>
      <c r="G691" s="5">
        <v>33021</v>
      </c>
      <c r="H691" s="16">
        <f t="shared" si="81"/>
        <v>1469</v>
      </c>
      <c r="I691" s="5">
        <v>33021</v>
      </c>
      <c r="J691" s="5">
        <v>32498</v>
      </c>
      <c r="K691" s="16">
        <f t="shared" si="82"/>
        <v>946</v>
      </c>
      <c r="L691" s="13">
        <v>986.02</v>
      </c>
      <c r="M691" s="15">
        <f t="shared" si="80"/>
        <v>27.012743610660319</v>
      </c>
      <c r="N691" s="13">
        <v>986.02</v>
      </c>
      <c r="O691" s="13">
        <v>0</v>
      </c>
      <c r="P691" s="11">
        <f t="shared" si="85"/>
        <v>0</v>
      </c>
    </row>
    <row r="692" spans="1:16" ht="18.75" customHeight="1" thickBot="1" x14ac:dyDescent="0.3">
      <c r="A692" s="3" t="s">
        <v>11</v>
      </c>
      <c r="B692" s="4">
        <v>877612</v>
      </c>
      <c r="C692" s="3" t="s">
        <v>9</v>
      </c>
      <c r="D692" s="18">
        <v>0.16</v>
      </c>
      <c r="E692" s="21">
        <f t="shared" si="84"/>
        <v>1.2445137919713467E-2</v>
      </c>
      <c r="F692" s="5">
        <v>31552</v>
      </c>
      <c r="G692" s="5">
        <v>32832</v>
      </c>
      <c r="H692" s="16">
        <f t="shared" si="81"/>
        <v>1280</v>
      </c>
      <c r="I692" s="5">
        <v>32832</v>
      </c>
      <c r="J692" s="5">
        <v>32601</v>
      </c>
      <c r="K692" s="16">
        <f t="shared" si="82"/>
        <v>1049</v>
      </c>
      <c r="L692" s="13">
        <v>2023.47</v>
      </c>
      <c r="M692" s="15">
        <f t="shared" si="80"/>
        <v>61.413078174219173</v>
      </c>
      <c r="N692" s="13">
        <v>2023.47</v>
      </c>
      <c r="O692" s="13">
        <v>0</v>
      </c>
      <c r="P692" s="11">
        <f t="shared" si="85"/>
        <v>0</v>
      </c>
    </row>
    <row r="693" spans="1:16" ht="18.75" customHeight="1" thickBot="1" x14ac:dyDescent="0.3">
      <c r="A693" s="3" t="s">
        <v>11</v>
      </c>
      <c r="B693" s="4">
        <v>855200</v>
      </c>
      <c r="C693" s="3" t="s">
        <v>9</v>
      </c>
      <c r="D693" s="18">
        <v>0.15</v>
      </c>
      <c r="E693" s="21">
        <f t="shared" si="84"/>
        <v>1.171491691985338E-2</v>
      </c>
      <c r="F693" s="5">
        <v>31542</v>
      </c>
      <c r="G693" s="5">
        <v>33003</v>
      </c>
      <c r="H693" s="16">
        <f t="shared" si="81"/>
        <v>1461</v>
      </c>
      <c r="I693" s="5">
        <v>33003</v>
      </c>
      <c r="J693" s="5">
        <v>32233</v>
      </c>
      <c r="K693" s="16">
        <f t="shared" si="82"/>
        <v>691</v>
      </c>
      <c r="L693" s="13">
        <v>1500</v>
      </c>
      <c r="M693" s="15">
        <f t="shared" si="80"/>
        <v>40.593242057923156</v>
      </c>
      <c r="N693" s="13">
        <v>1500</v>
      </c>
      <c r="O693" s="13">
        <v>0</v>
      </c>
      <c r="P693" s="11">
        <f t="shared" si="85"/>
        <v>0</v>
      </c>
    </row>
    <row r="694" spans="1:16" ht="18.75" customHeight="1" thickBot="1" x14ac:dyDescent="0.3">
      <c r="A694" s="3" t="s">
        <v>11</v>
      </c>
      <c r="B694" s="4">
        <v>347023</v>
      </c>
      <c r="C694" s="3" t="s">
        <v>9</v>
      </c>
      <c r="D694" s="18">
        <v>0.16</v>
      </c>
      <c r="E694" s="21">
        <f t="shared" si="84"/>
        <v>1.2445137919713467E-2</v>
      </c>
      <c r="F694" s="5">
        <v>31569</v>
      </c>
      <c r="G694" s="5">
        <v>32056</v>
      </c>
      <c r="H694" s="16">
        <f t="shared" si="81"/>
        <v>487</v>
      </c>
      <c r="I694" s="5">
        <v>32056</v>
      </c>
      <c r="J694" s="5">
        <v>31905</v>
      </c>
      <c r="K694" s="16">
        <f t="shared" si="82"/>
        <v>336</v>
      </c>
      <c r="L694" s="13">
        <v>1500</v>
      </c>
      <c r="M694" s="15">
        <f t="shared" si="80"/>
        <v>102.62224403875638</v>
      </c>
      <c r="N694" s="13">
        <v>1500</v>
      </c>
      <c r="O694" s="13">
        <v>0</v>
      </c>
      <c r="P694" s="11">
        <f t="shared" si="85"/>
        <v>0</v>
      </c>
    </row>
    <row r="695" spans="1:16" ht="18.75" customHeight="1" thickBot="1" x14ac:dyDescent="0.3">
      <c r="A695" s="3" t="s">
        <v>11</v>
      </c>
      <c r="B695" s="4">
        <v>437969</v>
      </c>
      <c r="C695" s="3" t="s">
        <v>9</v>
      </c>
      <c r="D695" s="18">
        <v>0.15</v>
      </c>
      <c r="E695" s="21">
        <f t="shared" si="84"/>
        <v>1.171491691985338E-2</v>
      </c>
      <c r="F695" s="5">
        <v>31585</v>
      </c>
      <c r="G695" s="5">
        <v>33046</v>
      </c>
      <c r="H695" s="16">
        <f t="shared" si="81"/>
        <v>1461</v>
      </c>
      <c r="I695" s="5">
        <v>33046</v>
      </c>
      <c r="J695" s="5">
        <v>32388</v>
      </c>
      <c r="K695" s="16">
        <f t="shared" si="82"/>
        <v>803</v>
      </c>
      <c r="L695" s="13">
        <v>1267.5</v>
      </c>
      <c r="M695" s="15">
        <f t="shared" si="80"/>
        <v>34.301289538945063</v>
      </c>
      <c r="N695" s="13">
        <v>1267.5</v>
      </c>
      <c r="O695" s="13">
        <v>0</v>
      </c>
      <c r="P695" s="11">
        <f t="shared" si="85"/>
        <v>0</v>
      </c>
    </row>
    <row r="696" spans="1:16" ht="18.75" customHeight="1" thickBot="1" x14ac:dyDescent="0.3">
      <c r="A696" s="3" t="s">
        <v>11</v>
      </c>
      <c r="B696" s="4">
        <v>249316</v>
      </c>
      <c r="C696" s="3" t="s">
        <v>9</v>
      </c>
      <c r="D696" s="18">
        <v>0.16</v>
      </c>
      <c r="E696" s="21">
        <f t="shared" si="84"/>
        <v>1.2445137919713467E-2</v>
      </c>
      <c r="F696" s="5">
        <v>31602</v>
      </c>
      <c r="G696" s="5">
        <v>33063</v>
      </c>
      <c r="H696" s="16">
        <f t="shared" si="81"/>
        <v>1461</v>
      </c>
      <c r="I696" s="5">
        <v>33063</v>
      </c>
      <c r="J696" s="5">
        <v>33490</v>
      </c>
      <c r="K696" s="16">
        <f t="shared" si="82"/>
        <v>1888</v>
      </c>
      <c r="L696" s="13">
        <v>5514.19</v>
      </c>
      <c r="M696" s="15">
        <f t="shared" si="80"/>
        <v>151.66722478083287</v>
      </c>
      <c r="N696" s="13">
        <v>5514.19</v>
      </c>
      <c r="O696" s="13">
        <v>0</v>
      </c>
      <c r="P696" s="11">
        <f t="shared" si="85"/>
        <v>0</v>
      </c>
    </row>
    <row r="697" spans="1:16" ht="18.75" customHeight="1" thickBot="1" x14ac:dyDescent="0.3">
      <c r="A697" s="3" t="s">
        <v>11</v>
      </c>
      <c r="B697" s="4">
        <v>599558</v>
      </c>
      <c r="C697" s="3" t="s">
        <v>9</v>
      </c>
      <c r="D697" s="18">
        <v>0.16</v>
      </c>
      <c r="E697" s="21">
        <f t="shared" si="84"/>
        <v>1.2445137919713467E-2</v>
      </c>
      <c r="F697" s="5">
        <v>31600</v>
      </c>
      <c r="G697" s="5">
        <v>32331</v>
      </c>
      <c r="H697" s="16">
        <f t="shared" si="81"/>
        <v>731</v>
      </c>
      <c r="I697" s="5">
        <v>32331</v>
      </c>
      <c r="J697" s="5">
        <v>32233</v>
      </c>
      <c r="K697" s="16">
        <f t="shared" si="82"/>
        <v>633</v>
      </c>
      <c r="L697" s="13">
        <v>1000</v>
      </c>
      <c r="M697" s="15">
        <f t="shared" si="80"/>
        <v>47.82916881273222</v>
      </c>
      <c r="N697" s="13">
        <v>1000</v>
      </c>
      <c r="O697" s="13">
        <v>0</v>
      </c>
      <c r="P697" s="11">
        <f t="shared" si="85"/>
        <v>0</v>
      </c>
    </row>
    <row r="698" spans="1:16" ht="18.75" customHeight="1" thickBot="1" x14ac:dyDescent="0.3">
      <c r="A698" s="3" t="s">
        <v>11</v>
      </c>
      <c r="B698" s="4">
        <v>752724</v>
      </c>
      <c r="C698" s="3" t="s">
        <v>9</v>
      </c>
      <c r="D698" s="18">
        <v>0.15</v>
      </c>
      <c r="E698" s="21">
        <f t="shared" si="84"/>
        <v>1.171491691985338E-2</v>
      </c>
      <c r="F698" s="5">
        <v>31607</v>
      </c>
      <c r="G698" s="5">
        <v>32703</v>
      </c>
      <c r="H698" s="16">
        <f t="shared" si="81"/>
        <v>1096</v>
      </c>
      <c r="I698" s="5">
        <v>32703</v>
      </c>
      <c r="J698" s="5">
        <v>31908</v>
      </c>
      <c r="K698" s="16">
        <f t="shared" si="82"/>
        <v>301</v>
      </c>
      <c r="L698" s="13">
        <v>3526.96</v>
      </c>
      <c r="M698" s="15">
        <f t="shared" si="80"/>
        <v>119.22494253023703</v>
      </c>
      <c r="N698" s="13">
        <v>3526.96</v>
      </c>
      <c r="O698" s="13">
        <v>0</v>
      </c>
      <c r="P698" s="11">
        <f t="shared" si="85"/>
        <v>0</v>
      </c>
    </row>
    <row r="699" spans="1:16" ht="18.75" customHeight="1" thickBot="1" x14ac:dyDescent="0.3">
      <c r="A699" s="3" t="s">
        <v>11</v>
      </c>
      <c r="B699" s="4">
        <v>84338</v>
      </c>
      <c r="C699" s="3" t="s">
        <v>9</v>
      </c>
      <c r="D699" s="18">
        <v>0.15</v>
      </c>
      <c r="E699" s="21">
        <f t="shared" si="84"/>
        <v>1.171491691985338E-2</v>
      </c>
      <c r="F699" s="5">
        <v>31594</v>
      </c>
      <c r="G699" s="5">
        <v>33069</v>
      </c>
      <c r="H699" s="16">
        <f t="shared" si="81"/>
        <v>1475</v>
      </c>
      <c r="I699" s="5">
        <v>33069</v>
      </c>
      <c r="J699" s="5">
        <v>32295</v>
      </c>
      <c r="K699" s="16">
        <f t="shared" si="82"/>
        <v>701</v>
      </c>
      <c r="L699" s="13">
        <v>3708.16</v>
      </c>
      <c r="M699" s="15">
        <f t="shared" si="80"/>
        <v>99.643247112467577</v>
      </c>
      <c r="N699" s="13">
        <v>3708.16</v>
      </c>
      <c r="O699" s="13">
        <v>0</v>
      </c>
      <c r="P699" s="11">
        <f t="shared" si="85"/>
        <v>0</v>
      </c>
    </row>
    <row r="700" spans="1:16" ht="18.75" customHeight="1" thickBot="1" x14ac:dyDescent="0.3">
      <c r="A700" s="3" t="s">
        <v>11</v>
      </c>
      <c r="B700" s="4">
        <v>917224</v>
      </c>
      <c r="C700" s="3" t="s">
        <v>9</v>
      </c>
      <c r="D700" s="18">
        <v>0.16</v>
      </c>
      <c r="E700" s="21">
        <f t="shared" si="84"/>
        <v>1.2445137919713467E-2</v>
      </c>
      <c r="F700" s="5">
        <v>31604</v>
      </c>
      <c r="G700" s="5">
        <v>31969</v>
      </c>
      <c r="H700" s="16">
        <f t="shared" si="81"/>
        <v>365</v>
      </c>
      <c r="I700" s="5">
        <v>31969</v>
      </c>
      <c r="J700" s="5">
        <v>31642</v>
      </c>
      <c r="K700" s="16">
        <f t="shared" si="82"/>
        <v>38</v>
      </c>
      <c r="L700" s="13">
        <v>1133.9000000000001</v>
      </c>
      <c r="M700" s="15">
        <f t="shared" si="80"/>
        <v>101.00865576956521</v>
      </c>
      <c r="N700" s="13">
        <v>1133.9000000000001</v>
      </c>
      <c r="O700" s="13">
        <v>0</v>
      </c>
      <c r="P700" s="11">
        <f t="shared" si="85"/>
        <v>0</v>
      </c>
    </row>
    <row r="701" spans="1:16" ht="18.75" customHeight="1" thickBot="1" x14ac:dyDescent="0.3">
      <c r="A701" s="3" t="s">
        <v>11</v>
      </c>
      <c r="B701" s="4">
        <v>862954</v>
      </c>
      <c r="C701" s="3" t="s">
        <v>9</v>
      </c>
      <c r="D701" s="18">
        <v>0.155</v>
      </c>
      <c r="E701" s="21">
        <f t="shared" si="84"/>
        <v>1.20807518477275E-2</v>
      </c>
      <c r="F701" s="5">
        <v>31632</v>
      </c>
      <c r="G701" s="5">
        <v>32089</v>
      </c>
      <c r="H701" s="16">
        <f t="shared" si="81"/>
        <v>457</v>
      </c>
      <c r="I701" s="5">
        <v>32089</v>
      </c>
      <c r="J701" s="5">
        <v>31790</v>
      </c>
      <c r="K701" s="16">
        <f t="shared" si="82"/>
        <v>158</v>
      </c>
      <c r="L701" s="13">
        <v>1915.52</v>
      </c>
      <c r="M701" s="15">
        <f t="shared" si="80"/>
        <v>138.42634743529351</v>
      </c>
      <c r="N701" s="13">
        <v>1915.52</v>
      </c>
      <c r="O701" s="13">
        <v>0</v>
      </c>
      <c r="P701" s="11">
        <f t="shared" si="85"/>
        <v>0</v>
      </c>
    </row>
    <row r="702" spans="1:16" ht="18.75" customHeight="1" thickBot="1" x14ac:dyDescent="0.3">
      <c r="A702" s="3" t="s">
        <v>11</v>
      </c>
      <c r="B702" s="4">
        <v>336095</v>
      </c>
      <c r="C702" s="3" t="s">
        <v>9</v>
      </c>
      <c r="D702" s="18">
        <v>0.15</v>
      </c>
      <c r="E702" s="21">
        <f t="shared" si="84"/>
        <v>1.171491691985338E-2</v>
      </c>
      <c r="F702" s="5">
        <v>31613</v>
      </c>
      <c r="G702" s="5">
        <v>33074</v>
      </c>
      <c r="H702" s="16">
        <f t="shared" si="81"/>
        <v>1461</v>
      </c>
      <c r="I702" s="5">
        <v>33074</v>
      </c>
      <c r="J702" s="5">
        <v>32233</v>
      </c>
      <c r="K702" s="16">
        <f t="shared" si="82"/>
        <v>620</v>
      </c>
      <c r="L702" s="13">
        <v>6000</v>
      </c>
      <c r="M702" s="15">
        <f t="shared" si="80"/>
        <v>162.37296823169262</v>
      </c>
      <c r="N702" s="13">
        <v>6000</v>
      </c>
      <c r="O702" s="13">
        <v>0</v>
      </c>
      <c r="P702" s="11">
        <f t="shared" si="85"/>
        <v>0</v>
      </c>
    </row>
    <row r="703" spans="1:16" ht="18.75" customHeight="1" thickBot="1" x14ac:dyDescent="0.3">
      <c r="A703" s="3" t="s">
        <v>11</v>
      </c>
      <c r="B703" s="4">
        <v>269674</v>
      </c>
      <c r="C703" s="3" t="s">
        <v>9</v>
      </c>
      <c r="D703" s="18">
        <v>0.15</v>
      </c>
      <c r="E703" s="21">
        <f t="shared" si="84"/>
        <v>1.171491691985338E-2</v>
      </c>
      <c r="F703" s="5">
        <v>31653</v>
      </c>
      <c r="G703" s="5">
        <v>33114</v>
      </c>
      <c r="H703" s="16">
        <f t="shared" si="81"/>
        <v>1461</v>
      </c>
      <c r="I703" s="5">
        <v>33114</v>
      </c>
      <c r="J703" s="5">
        <v>33977</v>
      </c>
      <c r="K703" s="16">
        <f t="shared" si="82"/>
        <v>2324</v>
      </c>
      <c r="L703" s="13">
        <v>2740.26</v>
      </c>
      <c r="M703" s="15">
        <f t="shared" si="80"/>
        <v>74.157358321096339</v>
      </c>
      <c r="N703" s="13">
        <v>2740.26</v>
      </c>
      <c r="O703" s="13">
        <v>0</v>
      </c>
      <c r="P703" s="11">
        <f t="shared" si="85"/>
        <v>0</v>
      </c>
    </row>
    <row r="704" spans="1:16" ht="18.75" customHeight="1" thickBot="1" x14ac:dyDescent="0.3">
      <c r="A704" s="3" t="s">
        <v>11</v>
      </c>
      <c r="B704" s="4">
        <v>22327</v>
      </c>
      <c r="C704" s="3" t="s">
        <v>9</v>
      </c>
      <c r="D704" s="18">
        <v>0.155</v>
      </c>
      <c r="E704" s="21">
        <f t="shared" si="84"/>
        <v>1.20807518477275E-2</v>
      </c>
      <c r="F704" s="5">
        <v>31636</v>
      </c>
      <c r="G704" s="5">
        <v>33105</v>
      </c>
      <c r="H704" s="16">
        <f t="shared" si="81"/>
        <v>1469</v>
      </c>
      <c r="I704" s="5">
        <v>33105</v>
      </c>
      <c r="J704" s="5">
        <v>33127</v>
      </c>
      <c r="K704" s="16">
        <f t="shared" si="82"/>
        <v>1491</v>
      </c>
      <c r="L704" s="13">
        <v>608.22</v>
      </c>
      <c r="M704" s="15">
        <f t="shared" si="80"/>
        <v>16.527846126059835</v>
      </c>
      <c r="N704" s="13">
        <v>608.22</v>
      </c>
      <c r="O704" s="13">
        <v>0</v>
      </c>
      <c r="P704" s="11">
        <f t="shared" si="85"/>
        <v>0</v>
      </c>
    </row>
    <row r="705" spans="1:16" ht="18.75" customHeight="1" thickBot="1" x14ac:dyDescent="0.3">
      <c r="A705" s="3" t="s">
        <v>11</v>
      </c>
      <c r="B705" s="4">
        <v>725707</v>
      </c>
      <c r="C705" s="3" t="s">
        <v>9</v>
      </c>
      <c r="D705" s="18">
        <v>0.16</v>
      </c>
      <c r="E705" s="21">
        <f t="shared" si="84"/>
        <v>1.2445137919713467E-2</v>
      </c>
      <c r="F705" s="5">
        <v>31643</v>
      </c>
      <c r="G705" s="5">
        <v>32069</v>
      </c>
      <c r="H705" s="16">
        <f t="shared" si="81"/>
        <v>426</v>
      </c>
      <c r="I705" s="5">
        <v>32069</v>
      </c>
      <c r="J705" s="5">
        <v>31944</v>
      </c>
      <c r="K705" s="16">
        <f t="shared" si="82"/>
        <v>301</v>
      </c>
      <c r="L705" s="13">
        <v>1006.71</v>
      </c>
      <c r="M705" s="15">
        <f t="shared" si="80"/>
        <v>77.782906217762829</v>
      </c>
      <c r="N705" s="13">
        <v>1006.71</v>
      </c>
      <c r="O705" s="13">
        <v>0</v>
      </c>
      <c r="P705" s="11">
        <f t="shared" si="85"/>
        <v>0</v>
      </c>
    </row>
    <row r="706" spans="1:16" ht="18.75" customHeight="1" thickBot="1" x14ac:dyDescent="0.3">
      <c r="A706" s="3" t="s">
        <v>11</v>
      </c>
      <c r="B706" s="4">
        <v>810428</v>
      </c>
      <c r="C706" s="3" t="s">
        <v>9</v>
      </c>
      <c r="D706" s="18">
        <v>0.13</v>
      </c>
      <c r="E706" s="21">
        <f t="shared" si="84"/>
        <v>1.02368443581764E-2</v>
      </c>
      <c r="F706" s="5">
        <v>31692</v>
      </c>
      <c r="G706" s="5">
        <v>33153</v>
      </c>
      <c r="H706" s="16">
        <f t="shared" si="81"/>
        <v>1461</v>
      </c>
      <c r="I706" s="5">
        <v>33153</v>
      </c>
      <c r="J706" s="5">
        <v>33459</v>
      </c>
      <c r="K706" s="16">
        <f t="shared" si="82"/>
        <v>1767</v>
      </c>
      <c r="L706" s="13">
        <v>11346.65</v>
      </c>
      <c r="M706" s="15">
        <f t="shared" ref="M706:M769" si="86">-PMT(E706,(H706/30),L706)</f>
        <v>297.03968108213564</v>
      </c>
      <c r="N706" s="13">
        <v>11346.65</v>
      </c>
      <c r="O706" s="13">
        <v>0</v>
      </c>
      <c r="P706" s="11">
        <f t="shared" si="85"/>
        <v>0</v>
      </c>
    </row>
    <row r="707" spans="1:16" ht="18.75" customHeight="1" thickBot="1" x14ac:dyDescent="0.3">
      <c r="A707" s="3" t="s">
        <v>11</v>
      </c>
      <c r="B707" s="4">
        <v>141855</v>
      </c>
      <c r="C707" s="3" t="s">
        <v>9</v>
      </c>
      <c r="D707" s="18">
        <v>0.155</v>
      </c>
      <c r="E707" s="21">
        <f t="shared" si="84"/>
        <v>1.20807518477275E-2</v>
      </c>
      <c r="F707" s="5">
        <v>31688</v>
      </c>
      <c r="G707" s="5">
        <v>32053</v>
      </c>
      <c r="H707" s="16">
        <f t="shared" ref="H707:H770" si="87">G707-F707</f>
        <v>365</v>
      </c>
      <c r="I707" s="5">
        <v>32053</v>
      </c>
      <c r="J707" s="5">
        <v>31720</v>
      </c>
      <c r="K707" s="16">
        <f t="shared" ref="K707:K770" si="88">J707-F707</f>
        <v>32</v>
      </c>
      <c r="L707" s="13">
        <v>2136.0500000000002</v>
      </c>
      <c r="M707" s="15">
        <f t="shared" si="86"/>
        <v>189.8407281181633</v>
      </c>
      <c r="N707" s="13">
        <v>2136.0500000000002</v>
      </c>
      <c r="O707" s="13">
        <v>0</v>
      </c>
      <c r="P707" s="11">
        <f t="shared" ref="P707:P738" si="89">IF((G707)&gt;(ConstantDateCutoff),1,0)</f>
        <v>0</v>
      </c>
    </row>
    <row r="708" spans="1:16" ht="18.75" customHeight="1" thickBot="1" x14ac:dyDescent="0.3">
      <c r="A708" s="3" t="s">
        <v>11</v>
      </c>
      <c r="B708" s="4">
        <v>347951</v>
      </c>
      <c r="C708" s="3" t="s">
        <v>9</v>
      </c>
      <c r="D708" s="18">
        <v>0.15</v>
      </c>
      <c r="E708" s="21">
        <f t="shared" si="84"/>
        <v>1.171491691985338E-2</v>
      </c>
      <c r="F708" s="5">
        <v>31684</v>
      </c>
      <c r="G708" s="5">
        <v>32780</v>
      </c>
      <c r="H708" s="16">
        <f t="shared" si="87"/>
        <v>1096</v>
      </c>
      <c r="I708" s="5">
        <v>32780</v>
      </c>
      <c r="J708" s="5">
        <v>32157</v>
      </c>
      <c r="K708" s="16">
        <f t="shared" si="88"/>
        <v>473</v>
      </c>
      <c r="L708" s="13">
        <v>2724.5</v>
      </c>
      <c r="M708" s="15">
        <f t="shared" si="86"/>
        <v>92.098678727184549</v>
      </c>
      <c r="N708" s="13">
        <v>2724.5</v>
      </c>
      <c r="O708" s="13">
        <v>0</v>
      </c>
      <c r="P708" s="11">
        <f t="shared" si="89"/>
        <v>0</v>
      </c>
    </row>
    <row r="709" spans="1:16" ht="18.75" customHeight="1" thickBot="1" x14ac:dyDescent="0.3">
      <c r="A709" s="3" t="s">
        <v>11</v>
      </c>
      <c r="B709" s="4">
        <v>74125</v>
      </c>
      <c r="C709" s="3" t="s">
        <v>9</v>
      </c>
      <c r="D709" s="18">
        <v>0.15</v>
      </c>
      <c r="E709" s="21">
        <f t="shared" si="84"/>
        <v>1.171491691985338E-2</v>
      </c>
      <c r="F709" s="5">
        <v>31713</v>
      </c>
      <c r="G709" s="5">
        <v>33174</v>
      </c>
      <c r="H709" s="16">
        <f t="shared" si="87"/>
        <v>1461</v>
      </c>
      <c r="I709" s="5">
        <v>33174</v>
      </c>
      <c r="J709" s="5">
        <v>34675</v>
      </c>
      <c r="K709" s="16">
        <f t="shared" si="88"/>
        <v>2962</v>
      </c>
      <c r="L709" s="13">
        <v>3207.54</v>
      </c>
      <c r="M709" s="15">
        <f t="shared" si="86"/>
        <v>86.802965086980549</v>
      </c>
      <c r="N709" s="13">
        <v>3207.54</v>
      </c>
      <c r="O709" s="13">
        <v>0</v>
      </c>
      <c r="P709" s="11">
        <f t="shared" si="89"/>
        <v>0</v>
      </c>
    </row>
    <row r="710" spans="1:16" ht="18.75" customHeight="1" thickBot="1" x14ac:dyDescent="0.3">
      <c r="A710" s="3" t="s">
        <v>11</v>
      </c>
      <c r="B710" s="4">
        <v>767384</v>
      </c>
      <c r="C710" s="3" t="s">
        <v>9</v>
      </c>
      <c r="D710" s="18">
        <v>0.15</v>
      </c>
      <c r="E710" s="21">
        <f t="shared" si="84"/>
        <v>1.171491691985338E-2</v>
      </c>
      <c r="F710" s="5">
        <v>31715</v>
      </c>
      <c r="G710" s="5">
        <v>32385</v>
      </c>
      <c r="H710" s="16">
        <f t="shared" si="87"/>
        <v>670</v>
      </c>
      <c r="I710" s="5">
        <v>32385</v>
      </c>
      <c r="J710" s="5">
        <v>31866</v>
      </c>
      <c r="K710" s="16">
        <f t="shared" si="88"/>
        <v>151</v>
      </c>
      <c r="L710" s="13">
        <v>6304.14</v>
      </c>
      <c r="M710" s="15">
        <f t="shared" si="86"/>
        <v>322.45039482050936</v>
      </c>
      <c r="N710" s="13">
        <v>6304.14</v>
      </c>
      <c r="O710" s="13">
        <v>0</v>
      </c>
      <c r="P710" s="11">
        <f t="shared" si="89"/>
        <v>0</v>
      </c>
    </row>
    <row r="711" spans="1:16" ht="18.75" customHeight="1" thickBot="1" x14ac:dyDescent="0.3">
      <c r="A711" s="3" t="s">
        <v>11</v>
      </c>
      <c r="B711" s="4">
        <v>768658</v>
      </c>
      <c r="C711" s="3" t="s">
        <v>9</v>
      </c>
      <c r="D711" s="18">
        <v>0.16</v>
      </c>
      <c r="E711" s="21">
        <f t="shared" si="84"/>
        <v>1.2445137919713467E-2</v>
      </c>
      <c r="F711" s="5">
        <v>31723</v>
      </c>
      <c r="G711" s="5">
        <v>33184</v>
      </c>
      <c r="H711" s="16">
        <f t="shared" si="87"/>
        <v>1461</v>
      </c>
      <c r="I711" s="5">
        <v>33184</v>
      </c>
      <c r="J711" s="5">
        <v>33063</v>
      </c>
      <c r="K711" s="16">
        <f t="shared" si="88"/>
        <v>1340</v>
      </c>
      <c r="L711" s="13">
        <v>567.83000000000004</v>
      </c>
      <c r="M711" s="15">
        <f t="shared" si="86"/>
        <v>15.618105333204033</v>
      </c>
      <c r="N711" s="13">
        <v>567.83000000000004</v>
      </c>
      <c r="O711" s="13">
        <v>0</v>
      </c>
      <c r="P711" s="11">
        <f t="shared" si="89"/>
        <v>0</v>
      </c>
    </row>
    <row r="712" spans="1:16" ht="18.75" customHeight="1" thickBot="1" x14ac:dyDescent="0.3">
      <c r="A712" s="3" t="s">
        <v>11</v>
      </c>
      <c r="B712" s="4">
        <v>926879</v>
      </c>
      <c r="C712" s="3" t="s">
        <v>9</v>
      </c>
      <c r="D712" s="18">
        <v>0.16500000000000001</v>
      </c>
      <c r="E712" s="21">
        <f t="shared" si="84"/>
        <v>1.2808087081983555E-2</v>
      </c>
      <c r="F712" s="5">
        <v>31735</v>
      </c>
      <c r="G712" s="5">
        <v>33012</v>
      </c>
      <c r="H712" s="16">
        <f t="shared" si="87"/>
        <v>1277</v>
      </c>
      <c r="I712" s="5">
        <v>33012</v>
      </c>
      <c r="J712" s="5">
        <v>32689</v>
      </c>
      <c r="K712" s="16">
        <f t="shared" si="88"/>
        <v>954</v>
      </c>
      <c r="L712" s="13">
        <v>1763.75</v>
      </c>
      <c r="M712" s="15">
        <f t="shared" si="86"/>
        <v>54.00979998740037</v>
      </c>
      <c r="N712" s="13">
        <v>1763.75</v>
      </c>
      <c r="O712" s="13">
        <v>0</v>
      </c>
      <c r="P712" s="11">
        <f t="shared" si="89"/>
        <v>0</v>
      </c>
    </row>
    <row r="713" spans="1:16" ht="18.75" customHeight="1" thickBot="1" x14ac:dyDescent="0.3">
      <c r="A713" s="3" t="s">
        <v>11</v>
      </c>
      <c r="B713" s="4">
        <v>821811</v>
      </c>
      <c r="C713" s="3" t="s">
        <v>9</v>
      </c>
      <c r="D713" s="18">
        <v>0.15</v>
      </c>
      <c r="E713" s="21">
        <f t="shared" si="84"/>
        <v>1.171491691985338E-2</v>
      </c>
      <c r="F713" s="5">
        <v>31733</v>
      </c>
      <c r="G713" s="5">
        <v>32829</v>
      </c>
      <c r="H713" s="16">
        <f t="shared" si="87"/>
        <v>1096</v>
      </c>
      <c r="I713" s="5">
        <v>32829</v>
      </c>
      <c r="J713" s="5">
        <v>32651</v>
      </c>
      <c r="K713" s="16">
        <f t="shared" si="88"/>
        <v>918</v>
      </c>
      <c r="L713" s="13">
        <v>784.04</v>
      </c>
      <c r="M713" s="15">
        <f t="shared" si="86"/>
        <v>26.503596281615621</v>
      </c>
      <c r="N713" s="13">
        <v>784.04</v>
      </c>
      <c r="O713" s="13">
        <v>0</v>
      </c>
      <c r="P713" s="11">
        <f t="shared" si="89"/>
        <v>0</v>
      </c>
    </row>
    <row r="714" spans="1:16" ht="18.75" customHeight="1" thickBot="1" x14ac:dyDescent="0.3">
      <c r="A714" s="3" t="s">
        <v>11</v>
      </c>
      <c r="B714" s="4">
        <v>302526</v>
      </c>
      <c r="C714" s="3" t="s">
        <v>9</v>
      </c>
      <c r="D714" s="18">
        <v>0.155</v>
      </c>
      <c r="E714" s="21">
        <f t="shared" si="84"/>
        <v>1.20807518477275E-2</v>
      </c>
      <c r="F714" s="5">
        <v>31729</v>
      </c>
      <c r="G714" s="5">
        <v>32186</v>
      </c>
      <c r="H714" s="16">
        <f t="shared" si="87"/>
        <v>457</v>
      </c>
      <c r="I714" s="5">
        <v>32186</v>
      </c>
      <c r="J714" s="5">
        <v>32388</v>
      </c>
      <c r="K714" s="16">
        <f t="shared" si="88"/>
        <v>659</v>
      </c>
      <c r="L714" s="13">
        <v>1828.58</v>
      </c>
      <c r="M714" s="15">
        <f t="shared" si="86"/>
        <v>132.1435695754829</v>
      </c>
      <c r="N714" s="13">
        <v>1828.58</v>
      </c>
      <c r="O714" s="13">
        <v>0</v>
      </c>
      <c r="P714" s="11">
        <f t="shared" si="89"/>
        <v>0</v>
      </c>
    </row>
    <row r="715" spans="1:16" ht="18.75" customHeight="1" thickBot="1" x14ac:dyDescent="0.3">
      <c r="A715" s="3" t="s">
        <v>11</v>
      </c>
      <c r="B715" s="4">
        <v>31680</v>
      </c>
      <c r="C715" s="3" t="s">
        <v>9</v>
      </c>
      <c r="D715" s="18">
        <v>0.15</v>
      </c>
      <c r="E715" s="21">
        <f t="shared" si="84"/>
        <v>1.171491691985338E-2</v>
      </c>
      <c r="F715" s="5">
        <v>31715</v>
      </c>
      <c r="G715" s="5">
        <v>31897</v>
      </c>
      <c r="H715" s="16">
        <f t="shared" si="87"/>
        <v>182</v>
      </c>
      <c r="I715" s="5">
        <v>31897</v>
      </c>
      <c r="J715" s="5">
        <v>32696</v>
      </c>
      <c r="K715" s="16">
        <f t="shared" si="88"/>
        <v>981</v>
      </c>
      <c r="L715" s="13">
        <v>9414.0499999999993</v>
      </c>
      <c r="M715" s="15">
        <f t="shared" si="86"/>
        <v>1616.6299703580005</v>
      </c>
      <c r="N715" s="13">
        <v>9414.0499999999993</v>
      </c>
      <c r="O715" s="13">
        <v>0</v>
      </c>
      <c r="P715" s="11">
        <f t="shared" si="89"/>
        <v>0</v>
      </c>
    </row>
    <row r="716" spans="1:16" ht="18.75" customHeight="1" thickBot="1" x14ac:dyDescent="0.3">
      <c r="A716" s="3" t="s">
        <v>11</v>
      </c>
      <c r="B716" s="4">
        <v>905247</v>
      </c>
      <c r="C716" s="3" t="s">
        <v>9</v>
      </c>
      <c r="D716" s="18">
        <v>0.155</v>
      </c>
      <c r="E716" s="21">
        <f t="shared" si="84"/>
        <v>1.20807518477275E-2</v>
      </c>
      <c r="F716" s="5">
        <v>31738</v>
      </c>
      <c r="G716" s="5">
        <v>32651</v>
      </c>
      <c r="H716" s="16">
        <f t="shared" si="87"/>
        <v>913</v>
      </c>
      <c r="I716" s="5">
        <v>32651</v>
      </c>
      <c r="J716" s="5">
        <v>31786</v>
      </c>
      <c r="K716" s="16">
        <f t="shared" si="88"/>
        <v>48</v>
      </c>
      <c r="L716" s="13">
        <v>3362.93</v>
      </c>
      <c r="M716" s="15">
        <f t="shared" si="86"/>
        <v>132.71555254399991</v>
      </c>
      <c r="N716" s="13">
        <v>3362.93</v>
      </c>
      <c r="O716" s="13">
        <v>0</v>
      </c>
      <c r="P716" s="11">
        <f t="shared" si="89"/>
        <v>0</v>
      </c>
    </row>
    <row r="717" spans="1:16" ht="18.75" customHeight="1" thickBot="1" x14ac:dyDescent="0.3">
      <c r="A717" s="3" t="s">
        <v>11</v>
      </c>
      <c r="B717" s="4">
        <v>858085</v>
      </c>
      <c r="C717" s="3" t="s">
        <v>9</v>
      </c>
      <c r="D717" s="18">
        <v>0.15</v>
      </c>
      <c r="E717" s="21">
        <f t="shared" si="84"/>
        <v>1.171491691985338E-2</v>
      </c>
      <c r="F717" s="5">
        <v>31744</v>
      </c>
      <c r="G717" s="5">
        <v>33205</v>
      </c>
      <c r="H717" s="16">
        <f t="shared" si="87"/>
        <v>1461</v>
      </c>
      <c r="I717" s="5">
        <v>33205</v>
      </c>
      <c r="J717" s="5">
        <v>31763</v>
      </c>
      <c r="K717" s="16">
        <f t="shared" si="88"/>
        <v>19</v>
      </c>
      <c r="L717" s="13">
        <v>8291.16</v>
      </c>
      <c r="M717" s="15">
        <f t="shared" si="86"/>
        <v>224.37670988064676</v>
      </c>
      <c r="N717" s="13">
        <v>8291.16</v>
      </c>
      <c r="O717" s="13">
        <v>0</v>
      </c>
      <c r="P717" s="11">
        <f t="shared" si="89"/>
        <v>0</v>
      </c>
    </row>
    <row r="718" spans="1:16" ht="18.75" customHeight="1" thickBot="1" x14ac:dyDescent="0.3">
      <c r="A718" s="3" t="s">
        <v>11</v>
      </c>
      <c r="B718" s="4">
        <v>397639</v>
      </c>
      <c r="C718" s="3" t="s">
        <v>9</v>
      </c>
      <c r="D718" s="18">
        <v>0.15</v>
      </c>
      <c r="E718" s="21">
        <f t="shared" si="84"/>
        <v>1.171491691985338E-2</v>
      </c>
      <c r="F718" s="5">
        <v>31741</v>
      </c>
      <c r="G718" s="5">
        <v>33202</v>
      </c>
      <c r="H718" s="16">
        <f t="shared" si="87"/>
        <v>1461</v>
      </c>
      <c r="I718" s="5">
        <v>33202</v>
      </c>
      <c r="J718" s="5">
        <v>32413</v>
      </c>
      <c r="K718" s="16">
        <f t="shared" si="88"/>
        <v>672</v>
      </c>
      <c r="L718" s="13">
        <v>3318.26</v>
      </c>
      <c r="M718" s="15">
        <f t="shared" si="86"/>
        <v>89.799287594082728</v>
      </c>
      <c r="N718" s="13">
        <v>3318.26</v>
      </c>
      <c r="O718" s="13">
        <v>0</v>
      </c>
      <c r="P718" s="11">
        <f t="shared" si="89"/>
        <v>0</v>
      </c>
    </row>
    <row r="719" spans="1:16" ht="18.75" customHeight="1" thickBot="1" x14ac:dyDescent="0.3">
      <c r="A719" s="3" t="s">
        <v>11</v>
      </c>
      <c r="B719" s="4">
        <v>312328</v>
      </c>
      <c r="C719" s="3" t="s">
        <v>9</v>
      </c>
      <c r="D719" s="18">
        <v>0.15</v>
      </c>
      <c r="E719" s="21">
        <f t="shared" si="84"/>
        <v>1.171491691985338E-2</v>
      </c>
      <c r="F719" s="5">
        <v>31744</v>
      </c>
      <c r="G719" s="5">
        <v>33205</v>
      </c>
      <c r="H719" s="16">
        <f t="shared" si="87"/>
        <v>1461</v>
      </c>
      <c r="I719" s="5">
        <v>33205</v>
      </c>
      <c r="J719" s="5">
        <v>33001</v>
      </c>
      <c r="K719" s="16">
        <f t="shared" si="88"/>
        <v>1257</v>
      </c>
      <c r="L719" s="13">
        <v>5861.03</v>
      </c>
      <c r="M719" s="15">
        <f t="shared" si="86"/>
        <v>158.6121396658329</v>
      </c>
      <c r="N719" s="13">
        <v>5861.03</v>
      </c>
      <c r="O719" s="13">
        <v>0</v>
      </c>
      <c r="P719" s="11">
        <f t="shared" si="89"/>
        <v>0</v>
      </c>
    </row>
    <row r="720" spans="1:16" ht="18.75" customHeight="1" thickBot="1" x14ac:dyDescent="0.3">
      <c r="A720" s="3" t="s">
        <v>11</v>
      </c>
      <c r="B720" s="4">
        <v>108043</v>
      </c>
      <c r="C720" s="3" t="s">
        <v>9</v>
      </c>
      <c r="D720" s="18">
        <v>0.15</v>
      </c>
      <c r="E720" s="21">
        <f t="shared" si="84"/>
        <v>1.171491691985338E-2</v>
      </c>
      <c r="F720" s="5">
        <v>31765</v>
      </c>
      <c r="G720" s="5">
        <v>32496</v>
      </c>
      <c r="H720" s="16">
        <f t="shared" si="87"/>
        <v>731</v>
      </c>
      <c r="I720" s="5">
        <v>32496</v>
      </c>
      <c r="J720" s="5">
        <v>32622</v>
      </c>
      <c r="K720" s="16">
        <f t="shared" si="88"/>
        <v>857</v>
      </c>
      <c r="L720" s="13">
        <v>4271.55</v>
      </c>
      <c r="M720" s="15">
        <f t="shared" si="86"/>
        <v>202.53013040452507</v>
      </c>
      <c r="N720" s="13">
        <v>4271.55</v>
      </c>
      <c r="O720" s="13">
        <v>0</v>
      </c>
      <c r="P720" s="11">
        <f t="shared" si="89"/>
        <v>0</v>
      </c>
    </row>
    <row r="721" spans="1:16" ht="18.75" customHeight="1" thickBot="1" x14ac:dyDescent="0.3">
      <c r="A721" s="3" t="s">
        <v>11</v>
      </c>
      <c r="B721" s="4">
        <v>596993</v>
      </c>
      <c r="C721" s="3" t="s">
        <v>9</v>
      </c>
      <c r="D721" s="18">
        <v>0.15</v>
      </c>
      <c r="E721" s="21">
        <f t="shared" si="84"/>
        <v>1.171491691985338E-2</v>
      </c>
      <c r="F721" s="5">
        <v>31766</v>
      </c>
      <c r="G721" s="5">
        <v>33227</v>
      </c>
      <c r="H721" s="16">
        <f t="shared" si="87"/>
        <v>1461</v>
      </c>
      <c r="I721" s="5">
        <v>33227</v>
      </c>
      <c r="J721" s="5">
        <v>33589</v>
      </c>
      <c r="K721" s="16">
        <f t="shared" si="88"/>
        <v>1823</v>
      </c>
      <c r="L721" s="13">
        <v>3301.14</v>
      </c>
      <c r="M721" s="15">
        <f t="shared" si="86"/>
        <v>89.335983391394947</v>
      </c>
      <c r="N721" s="13">
        <v>3301.14</v>
      </c>
      <c r="O721" s="13">
        <v>0</v>
      </c>
      <c r="P721" s="11">
        <f t="shared" si="89"/>
        <v>0</v>
      </c>
    </row>
    <row r="722" spans="1:16" ht="18.75" customHeight="1" thickBot="1" x14ac:dyDescent="0.3">
      <c r="A722" s="3" t="s">
        <v>11</v>
      </c>
      <c r="B722" s="4">
        <v>85265</v>
      </c>
      <c r="C722" s="3" t="s">
        <v>9</v>
      </c>
      <c r="D722" s="18">
        <v>0.15</v>
      </c>
      <c r="E722" s="21">
        <f t="shared" si="84"/>
        <v>1.171491691985338E-2</v>
      </c>
      <c r="F722" s="5">
        <v>31797</v>
      </c>
      <c r="G722" s="5">
        <v>33258</v>
      </c>
      <c r="H722" s="16">
        <f t="shared" si="87"/>
        <v>1461</v>
      </c>
      <c r="I722" s="5">
        <v>33258</v>
      </c>
      <c r="J722" s="5">
        <v>33914</v>
      </c>
      <c r="K722" s="16">
        <f t="shared" si="88"/>
        <v>2117</v>
      </c>
      <c r="L722" s="13">
        <v>6874.35</v>
      </c>
      <c r="M722" s="15">
        <f t="shared" si="86"/>
        <v>186.03476902725603</v>
      </c>
      <c r="N722" s="13">
        <v>6874.35</v>
      </c>
      <c r="O722" s="13">
        <v>0</v>
      </c>
      <c r="P722" s="11">
        <f t="shared" si="89"/>
        <v>0</v>
      </c>
    </row>
    <row r="723" spans="1:16" ht="18.75" customHeight="1" thickBot="1" x14ac:dyDescent="0.3">
      <c r="A723" s="3" t="s">
        <v>11</v>
      </c>
      <c r="B723" s="4">
        <v>287019</v>
      </c>
      <c r="C723" s="3" t="s">
        <v>9</v>
      </c>
      <c r="D723" s="18">
        <v>0.15</v>
      </c>
      <c r="E723" s="21">
        <f t="shared" si="84"/>
        <v>1.171491691985338E-2</v>
      </c>
      <c r="F723" s="5">
        <v>31819</v>
      </c>
      <c r="G723" s="5">
        <v>33280</v>
      </c>
      <c r="H723" s="16">
        <f t="shared" si="87"/>
        <v>1461</v>
      </c>
      <c r="I723" s="5">
        <v>33280</v>
      </c>
      <c r="J723" s="5">
        <v>32710</v>
      </c>
      <c r="K723" s="16">
        <f t="shared" si="88"/>
        <v>891</v>
      </c>
      <c r="L723" s="13">
        <v>6175</v>
      </c>
      <c r="M723" s="15">
        <f t="shared" si="86"/>
        <v>167.10884647178364</v>
      </c>
      <c r="N723" s="13">
        <v>6175</v>
      </c>
      <c r="O723" s="13">
        <v>0</v>
      </c>
      <c r="P723" s="11">
        <f t="shared" si="89"/>
        <v>0</v>
      </c>
    </row>
    <row r="724" spans="1:16" ht="18.75" customHeight="1" thickBot="1" x14ac:dyDescent="0.3">
      <c r="A724" s="3" t="s">
        <v>11</v>
      </c>
      <c r="B724" s="4">
        <v>224187</v>
      </c>
      <c r="C724" s="3" t="s">
        <v>9</v>
      </c>
      <c r="D724" s="18">
        <v>0.15</v>
      </c>
      <c r="E724" s="21">
        <f t="shared" si="84"/>
        <v>1.171491691985338E-2</v>
      </c>
      <c r="F724" s="5">
        <v>31825</v>
      </c>
      <c r="G724" s="5">
        <v>33528</v>
      </c>
      <c r="H724" s="16">
        <f t="shared" si="87"/>
        <v>1703</v>
      </c>
      <c r="I724" s="5">
        <v>33528</v>
      </c>
      <c r="J724" s="5">
        <v>32748</v>
      </c>
      <c r="K724" s="16">
        <f t="shared" si="88"/>
        <v>923</v>
      </c>
      <c r="L724" s="13">
        <v>770.22</v>
      </c>
      <c r="M724" s="15">
        <f t="shared" si="86"/>
        <v>18.65257611371069</v>
      </c>
      <c r="N724" s="13">
        <v>2563.9299999999998</v>
      </c>
      <c r="O724" s="13">
        <v>0</v>
      </c>
      <c r="P724" s="11">
        <f t="shared" si="89"/>
        <v>0</v>
      </c>
    </row>
    <row r="725" spans="1:16" ht="18.75" customHeight="1" thickBot="1" x14ac:dyDescent="0.3">
      <c r="A725" s="3" t="s">
        <v>11</v>
      </c>
      <c r="B725" s="4">
        <v>967206</v>
      </c>
      <c r="C725" s="3" t="s">
        <v>9</v>
      </c>
      <c r="D725" s="18">
        <v>0.155</v>
      </c>
      <c r="E725" s="21">
        <f t="shared" si="84"/>
        <v>1.20807518477275E-2</v>
      </c>
      <c r="F725" s="5">
        <v>31825</v>
      </c>
      <c r="G725" s="5">
        <v>32931</v>
      </c>
      <c r="H725" s="16">
        <f t="shared" si="87"/>
        <v>1106</v>
      </c>
      <c r="I725" s="5">
        <v>32931</v>
      </c>
      <c r="J725" s="5">
        <v>33576</v>
      </c>
      <c r="K725" s="16">
        <f t="shared" si="88"/>
        <v>1751</v>
      </c>
      <c r="L725" s="13">
        <v>3352.79</v>
      </c>
      <c r="M725" s="15">
        <f t="shared" si="86"/>
        <v>113.23345521571441</v>
      </c>
      <c r="N725" s="13">
        <v>3352.79</v>
      </c>
      <c r="O725" s="13">
        <v>0</v>
      </c>
      <c r="P725" s="11">
        <f t="shared" si="89"/>
        <v>0</v>
      </c>
    </row>
    <row r="726" spans="1:16" ht="18.75" customHeight="1" thickBot="1" x14ac:dyDescent="0.3">
      <c r="A726" s="3" t="s">
        <v>11</v>
      </c>
      <c r="B726" s="4">
        <v>67284</v>
      </c>
      <c r="C726" s="3" t="s">
        <v>9</v>
      </c>
      <c r="D726" s="18">
        <v>0.15</v>
      </c>
      <c r="E726" s="21">
        <f t="shared" si="84"/>
        <v>1.171491691985338E-2</v>
      </c>
      <c r="F726" s="5">
        <v>31813</v>
      </c>
      <c r="G726" s="5">
        <v>33277</v>
      </c>
      <c r="H726" s="16">
        <f t="shared" si="87"/>
        <v>1464</v>
      </c>
      <c r="I726" s="5">
        <v>33277</v>
      </c>
      <c r="J726" s="5">
        <v>33002</v>
      </c>
      <c r="K726" s="16">
        <f t="shared" si="88"/>
        <v>1189</v>
      </c>
      <c r="L726" s="13">
        <v>3056.58</v>
      </c>
      <c r="M726" s="15">
        <f t="shared" si="86"/>
        <v>82.591715755705039</v>
      </c>
      <c r="N726" s="13">
        <v>3056.58</v>
      </c>
      <c r="O726" s="13">
        <v>0</v>
      </c>
      <c r="P726" s="11">
        <f t="shared" si="89"/>
        <v>0</v>
      </c>
    </row>
    <row r="727" spans="1:16" ht="18.75" customHeight="1" thickBot="1" x14ac:dyDescent="0.3">
      <c r="A727" s="3" t="s">
        <v>11</v>
      </c>
      <c r="B727" s="4">
        <v>114806</v>
      </c>
      <c r="C727" s="3" t="s">
        <v>9</v>
      </c>
      <c r="D727" s="18">
        <v>0.15</v>
      </c>
      <c r="E727" s="21">
        <f t="shared" si="84"/>
        <v>1.171491691985338E-2</v>
      </c>
      <c r="F727" s="5">
        <v>31818</v>
      </c>
      <c r="G727" s="5">
        <v>32915</v>
      </c>
      <c r="H727" s="16">
        <f t="shared" si="87"/>
        <v>1097</v>
      </c>
      <c r="I727" s="5">
        <v>32915</v>
      </c>
      <c r="J727" s="5">
        <v>32794</v>
      </c>
      <c r="K727" s="16">
        <f t="shared" si="88"/>
        <v>976</v>
      </c>
      <c r="L727" s="13">
        <v>1010</v>
      </c>
      <c r="M727" s="15">
        <f t="shared" si="86"/>
        <v>34.116952218191834</v>
      </c>
      <c r="N727" s="13">
        <v>1010</v>
      </c>
      <c r="O727" s="13">
        <v>0</v>
      </c>
      <c r="P727" s="11">
        <f t="shared" si="89"/>
        <v>0</v>
      </c>
    </row>
    <row r="728" spans="1:16" ht="18.75" customHeight="1" thickBot="1" x14ac:dyDescent="0.3">
      <c r="A728" s="3" t="s">
        <v>11</v>
      </c>
      <c r="B728" s="4">
        <v>363777</v>
      </c>
      <c r="C728" s="3" t="s">
        <v>9</v>
      </c>
      <c r="D728" s="18">
        <v>0.16</v>
      </c>
      <c r="E728" s="21">
        <f t="shared" si="84"/>
        <v>1.2445137919713467E-2</v>
      </c>
      <c r="F728" s="5">
        <v>31846</v>
      </c>
      <c r="G728" s="5">
        <v>33126</v>
      </c>
      <c r="H728" s="16">
        <f t="shared" si="87"/>
        <v>1280</v>
      </c>
      <c r="I728" s="5">
        <v>33126</v>
      </c>
      <c r="J728" s="5">
        <v>32416</v>
      </c>
      <c r="K728" s="16">
        <f t="shared" si="88"/>
        <v>570</v>
      </c>
      <c r="L728" s="13">
        <v>2681.4</v>
      </c>
      <c r="M728" s="15">
        <f t="shared" si="86"/>
        <v>81.381501982412033</v>
      </c>
      <c r="N728" s="13">
        <v>2681.4</v>
      </c>
      <c r="O728" s="13">
        <v>0</v>
      </c>
      <c r="P728" s="11">
        <f t="shared" si="89"/>
        <v>0</v>
      </c>
    </row>
    <row r="729" spans="1:16" ht="18.75" customHeight="1" thickBot="1" x14ac:dyDescent="0.3">
      <c r="A729" s="3" t="s">
        <v>11</v>
      </c>
      <c r="B729" s="4">
        <v>678964</v>
      </c>
      <c r="C729" s="3" t="s">
        <v>9</v>
      </c>
      <c r="D729" s="18">
        <v>0.15</v>
      </c>
      <c r="E729" s="21">
        <f t="shared" si="84"/>
        <v>1.171491691985338E-2</v>
      </c>
      <c r="F729" s="5">
        <v>31840</v>
      </c>
      <c r="G729" s="5">
        <v>33302</v>
      </c>
      <c r="H729" s="16">
        <f t="shared" si="87"/>
        <v>1462</v>
      </c>
      <c r="I729" s="5">
        <v>33302</v>
      </c>
      <c r="J729" s="5">
        <v>32748</v>
      </c>
      <c r="K729" s="16">
        <f t="shared" si="88"/>
        <v>908</v>
      </c>
      <c r="L729" s="13">
        <v>2823.54</v>
      </c>
      <c r="M729" s="15">
        <f t="shared" si="86"/>
        <v>76.372259614430433</v>
      </c>
      <c r="N729" s="13">
        <v>2823.54</v>
      </c>
      <c r="O729" s="13">
        <v>0</v>
      </c>
      <c r="P729" s="11">
        <f t="shared" si="89"/>
        <v>0</v>
      </c>
    </row>
    <row r="730" spans="1:16" ht="18.75" customHeight="1" thickBot="1" x14ac:dyDescent="0.3">
      <c r="A730" s="3" t="s">
        <v>11</v>
      </c>
      <c r="B730" s="4">
        <v>71710</v>
      </c>
      <c r="C730" s="3" t="s">
        <v>9</v>
      </c>
      <c r="D730" s="18">
        <v>0.16</v>
      </c>
      <c r="E730" s="21">
        <f t="shared" si="84"/>
        <v>1.2445137919713467E-2</v>
      </c>
      <c r="F730" s="5">
        <v>31863</v>
      </c>
      <c r="G730" s="5">
        <v>32229</v>
      </c>
      <c r="H730" s="16">
        <f t="shared" si="87"/>
        <v>366</v>
      </c>
      <c r="I730" s="5">
        <v>32229</v>
      </c>
      <c r="J730" s="5">
        <v>32812</v>
      </c>
      <c r="K730" s="16">
        <f t="shared" si="88"/>
        <v>949</v>
      </c>
      <c r="L730" s="13">
        <v>595.99</v>
      </c>
      <c r="M730" s="15">
        <f t="shared" si="86"/>
        <v>52.956816013103357</v>
      </c>
      <c r="N730" s="13">
        <v>595.99</v>
      </c>
      <c r="O730" s="13">
        <v>0</v>
      </c>
      <c r="P730" s="11">
        <f t="shared" si="89"/>
        <v>0</v>
      </c>
    </row>
    <row r="731" spans="1:16" ht="18.75" customHeight="1" thickBot="1" x14ac:dyDescent="0.3">
      <c r="A731" s="3" t="s">
        <v>11</v>
      </c>
      <c r="B731" s="4">
        <v>662356</v>
      </c>
      <c r="C731" s="3" t="s">
        <v>9</v>
      </c>
      <c r="D731" s="18">
        <v>0.15</v>
      </c>
      <c r="E731" s="21">
        <f t="shared" si="84"/>
        <v>1.171491691985338E-2</v>
      </c>
      <c r="F731" s="5">
        <v>31891</v>
      </c>
      <c r="G731" s="5">
        <v>32987</v>
      </c>
      <c r="H731" s="16">
        <f t="shared" si="87"/>
        <v>1096</v>
      </c>
      <c r="I731" s="5">
        <v>32987</v>
      </c>
      <c r="J731" s="5">
        <v>32895</v>
      </c>
      <c r="K731" s="16">
        <f t="shared" si="88"/>
        <v>1004</v>
      </c>
      <c r="L731" s="13">
        <v>2896.66</v>
      </c>
      <c r="M731" s="15">
        <f t="shared" si="86"/>
        <v>97.918355192470685</v>
      </c>
      <c r="N731" s="13">
        <v>2896.66</v>
      </c>
      <c r="O731" s="13">
        <v>0</v>
      </c>
      <c r="P731" s="11">
        <f t="shared" si="89"/>
        <v>0</v>
      </c>
    </row>
    <row r="732" spans="1:16" ht="18.75" customHeight="1" thickBot="1" x14ac:dyDescent="0.3">
      <c r="A732" s="3" t="s">
        <v>11</v>
      </c>
      <c r="B732" s="4">
        <v>287521</v>
      </c>
      <c r="C732" s="3" t="s">
        <v>9</v>
      </c>
      <c r="D732" s="18">
        <v>0.15</v>
      </c>
      <c r="E732" s="21">
        <f t="shared" si="84"/>
        <v>1.171491691985338E-2</v>
      </c>
      <c r="F732" s="5">
        <v>31897</v>
      </c>
      <c r="G732" s="5">
        <v>32262</v>
      </c>
      <c r="H732" s="16">
        <f t="shared" si="87"/>
        <v>365</v>
      </c>
      <c r="I732" s="5">
        <v>32262</v>
      </c>
      <c r="J732" s="5">
        <v>32122</v>
      </c>
      <c r="K732" s="16">
        <f t="shared" si="88"/>
        <v>225</v>
      </c>
      <c r="L732" s="13">
        <v>733.75</v>
      </c>
      <c r="M732" s="15">
        <f t="shared" si="86"/>
        <v>65.06016706489892</v>
      </c>
      <c r="N732" s="13">
        <v>733.75</v>
      </c>
      <c r="O732" s="13">
        <v>0</v>
      </c>
      <c r="P732" s="11">
        <f t="shared" si="89"/>
        <v>0</v>
      </c>
    </row>
    <row r="733" spans="1:16" ht="18.75" customHeight="1" thickBot="1" x14ac:dyDescent="0.3">
      <c r="A733" s="3" t="s">
        <v>11</v>
      </c>
      <c r="B733" s="4">
        <v>479471</v>
      </c>
      <c r="C733" s="3" t="s">
        <v>9</v>
      </c>
      <c r="D733" s="18">
        <v>0.15</v>
      </c>
      <c r="E733" s="21">
        <f t="shared" si="84"/>
        <v>1.171491691985338E-2</v>
      </c>
      <c r="F733" s="5">
        <v>31894</v>
      </c>
      <c r="G733" s="5">
        <v>32321</v>
      </c>
      <c r="H733" s="16">
        <f t="shared" si="87"/>
        <v>427</v>
      </c>
      <c r="I733" s="5">
        <v>32321</v>
      </c>
      <c r="J733" s="5">
        <v>31894</v>
      </c>
      <c r="K733" s="16">
        <f t="shared" si="88"/>
        <v>0</v>
      </c>
      <c r="L733" s="13">
        <v>1499.8</v>
      </c>
      <c r="M733" s="15">
        <f t="shared" si="86"/>
        <v>115.01600662967179</v>
      </c>
      <c r="N733" s="13">
        <v>1499.8</v>
      </c>
      <c r="O733" s="13">
        <v>0</v>
      </c>
      <c r="P733" s="11">
        <f t="shared" si="89"/>
        <v>0</v>
      </c>
    </row>
    <row r="734" spans="1:16" ht="18.75" customHeight="1" thickBot="1" x14ac:dyDescent="0.3">
      <c r="A734" s="3" t="s">
        <v>11</v>
      </c>
      <c r="B734" s="4">
        <v>299209</v>
      </c>
      <c r="C734" s="3" t="s">
        <v>9</v>
      </c>
      <c r="D734" s="18">
        <v>0.16</v>
      </c>
      <c r="E734" s="21">
        <f t="shared" si="84"/>
        <v>1.2445137919713467E-2</v>
      </c>
      <c r="F734" s="5">
        <v>31909</v>
      </c>
      <c r="G734" s="5">
        <v>32763</v>
      </c>
      <c r="H734" s="16">
        <f t="shared" si="87"/>
        <v>854</v>
      </c>
      <c r="I734" s="5">
        <v>32763</v>
      </c>
      <c r="J734" s="5">
        <v>32457</v>
      </c>
      <c r="K734" s="16">
        <f t="shared" si="88"/>
        <v>548</v>
      </c>
      <c r="L734" s="13">
        <v>3026.87</v>
      </c>
      <c r="M734" s="15">
        <f t="shared" si="86"/>
        <v>126.92849105746117</v>
      </c>
      <c r="N734" s="13">
        <v>3026.87</v>
      </c>
      <c r="O734" s="13">
        <v>0</v>
      </c>
      <c r="P734" s="11">
        <f t="shared" si="89"/>
        <v>0</v>
      </c>
    </row>
    <row r="735" spans="1:16" ht="18.75" customHeight="1" thickBot="1" x14ac:dyDescent="0.3">
      <c r="A735" s="3" t="s">
        <v>11</v>
      </c>
      <c r="B735" s="4">
        <v>312574</v>
      </c>
      <c r="C735" s="3" t="s">
        <v>9</v>
      </c>
      <c r="D735" s="18">
        <v>0.15</v>
      </c>
      <c r="E735" s="21">
        <f t="shared" si="84"/>
        <v>1.171491691985338E-2</v>
      </c>
      <c r="F735" s="5">
        <v>31917</v>
      </c>
      <c r="G735" s="5">
        <v>32837</v>
      </c>
      <c r="H735" s="16">
        <f t="shared" si="87"/>
        <v>920</v>
      </c>
      <c r="I735" s="5">
        <v>32837</v>
      </c>
      <c r="J735" s="5">
        <v>32373</v>
      </c>
      <c r="K735" s="16">
        <f t="shared" si="88"/>
        <v>456</v>
      </c>
      <c r="L735" s="13">
        <v>2594.7600000000002</v>
      </c>
      <c r="M735" s="15">
        <f t="shared" si="86"/>
        <v>101.20791963415803</v>
      </c>
      <c r="N735" s="13">
        <v>2594.7600000000002</v>
      </c>
      <c r="O735" s="13">
        <v>0</v>
      </c>
      <c r="P735" s="11">
        <f t="shared" si="89"/>
        <v>0</v>
      </c>
    </row>
    <row r="736" spans="1:16" ht="18.75" customHeight="1" thickBot="1" x14ac:dyDescent="0.3">
      <c r="A736" s="3" t="s">
        <v>11</v>
      </c>
      <c r="B736" s="4">
        <v>416414</v>
      </c>
      <c r="C736" s="3" t="s">
        <v>9</v>
      </c>
      <c r="D736" s="18">
        <v>0.15</v>
      </c>
      <c r="E736" s="21">
        <f t="shared" si="84"/>
        <v>1.171491691985338E-2</v>
      </c>
      <c r="F736" s="5">
        <v>31934</v>
      </c>
      <c r="G736" s="5">
        <v>32483</v>
      </c>
      <c r="H736" s="16">
        <f t="shared" si="87"/>
        <v>549</v>
      </c>
      <c r="I736" s="5">
        <v>32483</v>
      </c>
      <c r="J736" s="5">
        <v>32836</v>
      </c>
      <c r="K736" s="16">
        <f t="shared" si="88"/>
        <v>902</v>
      </c>
      <c r="L736" s="13">
        <v>1145.55</v>
      </c>
      <c r="M736" s="15">
        <f t="shared" si="86"/>
        <v>69.912506048926787</v>
      </c>
      <c r="N736" s="13">
        <v>1145.55</v>
      </c>
      <c r="O736" s="13">
        <v>0</v>
      </c>
      <c r="P736" s="11">
        <f t="shared" si="89"/>
        <v>0</v>
      </c>
    </row>
    <row r="737" spans="1:16" ht="18.75" customHeight="1" thickBot="1" x14ac:dyDescent="0.3">
      <c r="A737" s="3" t="s">
        <v>11</v>
      </c>
      <c r="B737" s="4">
        <v>990133</v>
      </c>
      <c r="C737" s="3" t="s">
        <v>9</v>
      </c>
      <c r="D737" s="18">
        <v>0.15</v>
      </c>
      <c r="E737" s="21">
        <f t="shared" si="84"/>
        <v>1.171491691985338E-2</v>
      </c>
      <c r="F737" s="5">
        <v>31943</v>
      </c>
      <c r="G737" s="5">
        <v>32674</v>
      </c>
      <c r="H737" s="16">
        <f t="shared" si="87"/>
        <v>731</v>
      </c>
      <c r="I737" s="5">
        <v>32674</v>
      </c>
      <c r="J737" s="5">
        <v>32372</v>
      </c>
      <c r="K737" s="16">
        <f t="shared" si="88"/>
        <v>429</v>
      </c>
      <c r="L737" s="13">
        <v>2586.4499999999998</v>
      </c>
      <c r="M737" s="15">
        <f t="shared" si="86"/>
        <v>122.63324923851617</v>
      </c>
      <c r="N737" s="13">
        <v>2586.4499999999998</v>
      </c>
      <c r="O737" s="13">
        <v>0</v>
      </c>
      <c r="P737" s="11">
        <f t="shared" si="89"/>
        <v>0</v>
      </c>
    </row>
    <row r="738" spans="1:16" ht="18.75" customHeight="1" thickBot="1" x14ac:dyDescent="0.3">
      <c r="A738" s="3" t="s">
        <v>11</v>
      </c>
      <c r="B738" s="4">
        <v>140812</v>
      </c>
      <c r="C738" s="3" t="s">
        <v>9</v>
      </c>
      <c r="D738" s="18">
        <v>0.14499999999999999</v>
      </c>
      <c r="E738" s="21">
        <f t="shared" si="84"/>
        <v>1.1347621038123146E-2</v>
      </c>
      <c r="F738" s="5">
        <v>31957</v>
      </c>
      <c r="G738" s="5">
        <v>31987</v>
      </c>
      <c r="H738" s="16">
        <f t="shared" si="87"/>
        <v>30</v>
      </c>
      <c r="I738" s="5">
        <v>31987</v>
      </c>
      <c r="J738" s="5">
        <v>32091</v>
      </c>
      <c r="K738" s="16">
        <f t="shared" si="88"/>
        <v>134</v>
      </c>
      <c r="L738" s="13">
        <v>1735.26</v>
      </c>
      <c r="M738" s="15">
        <f t="shared" si="86"/>
        <v>1754.9510728826131</v>
      </c>
      <c r="N738" s="13">
        <v>1735.26</v>
      </c>
      <c r="O738" s="13">
        <v>0</v>
      </c>
      <c r="P738" s="11">
        <f t="shared" si="89"/>
        <v>0</v>
      </c>
    </row>
    <row r="739" spans="1:16" ht="18.75" customHeight="1" thickBot="1" x14ac:dyDescent="0.3">
      <c r="A739" s="3" t="s">
        <v>11</v>
      </c>
      <c r="B739" s="4">
        <v>369399</v>
      </c>
      <c r="C739" s="3" t="s">
        <v>9</v>
      </c>
      <c r="D739" s="18">
        <v>0.15</v>
      </c>
      <c r="E739" s="21">
        <f t="shared" ref="E739:E789" si="90">(1+D739)^(1/12)-1</f>
        <v>1.171491691985338E-2</v>
      </c>
      <c r="F739" s="5">
        <v>31958</v>
      </c>
      <c r="G739" s="5">
        <v>33327</v>
      </c>
      <c r="H739" s="16">
        <f t="shared" si="87"/>
        <v>1369</v>
      </c>
      <c r="I739" s="5">
        <v>33327</v>
      </c>
      <c r="J739" s="5">
        <v>32724</v>
      </c>
      <c r="K739" s="16">
        <f t="shared" si="88"/>
        <v>766</v>
      </c>
      <c r="L739" s="13">
        <v>3339.64</v>
      </c>
      <c r="M739" s="15">
        <f t="shared" si="86"/>
        <v>94.898558922416527</v>
      </c>
      <c r="N739" s="13">
        <v>3339.64</v>
      </c>
      <c r="O739" s="13">
        <v>0</v>
      </c>
      <c r="P739" s="11">
        <f t="shared" ref="P739:P770" si="91">IF((G739)&gt;(ConstantDateCutoff),1,0)</f>
        <v>0</v>
      </c>
    </row>
    <row r="740" spans="1:16" ht="18.75" customHeight="1" thickBot="1" x14ac:dyDescent="0.3">
      <c r="A740" s="3" t="s">
        <v>11</v>
      </c>
      <c r="B740" s="4">
        <v>86595</v>
      </c>
      <c r="C740" s="3" t="s">
        <v>9</v>
      </c>
      <c r="D740" s="18">
        <v>0.15</v>
      </c>
      <c r="E740" s="21">
        <f t="shared" si="90"/>
        <v>1.171491691985338E-2</v>
      </c>
      <c r="F740" s="5">
        <v>31937</v>
      </c>
      <c r="G740" s="5">
        <v>32303</v>
      </c>
      <c r="H740" s="16">
        <f t="shared" si="87"/>
        <v>366</v>
      </c>
      <c r="I740" s="5">
        <v>32303</v>
      </c>
      <c r="J740" s="5">
        <v>32457</v>
      </c>
      <c r="K740" s="16">
        <f t="shared" si="88"/>
        <v>520</v>
      </c>
      <c r="L740" s="13">
        <v>4275.3999999999996</v>
      </c>
      <c r="M740" s="15">
        <f t="shared" si="86"/>
        <v>378.12718483053987</v>
      </c>
      <c r="N740" s="13">
        <v>4275.3999999999996</v>
      </c>
      <c r="O740" s="13">
        <v>0</v>
      </c>
      <c r="P740" s="11">
        <f t="shared" si="91"/>
        <v>0</v>
      </c>
    </row>
    <row r="741" spans="1:16" ht="18.75" customHeight="1" thickBot="1" x14ac:dyDescent="0.3">
      <c r="A741" s="3" t="s">
        <v>11</v>
      </c>
      <c r="B741" s="4">
        <v>57763</v>
      </c>
      <c r="C741" s="3" t="s">
        <v>9</v>
      </c>
      <c r="D741" s="18">
        <v>0.15</v>
      </c>
      <c r="E741" s="21">
        <f t="shared" si="90"/>
        <v>1.171491691985338E-2</v>
      </c>
      <c r="F741" s="5">
        <v>31967</v>
      </c>
      <c r="G741" s="5">
        <v>33428</v>
      </c>
      <c r="H741" s="16">
        <f t="shared" si="87"/>
        <v>1461</v>
      </c>
      <c r="I741" s="5">
        <v>33428</v>
      </c>
      <c r="J741" s="5">
        <v>32317</v>
      </c>
      <c r="K741" s="16">
        <f t="shared" si="88"/>
        <v>350</v>
      </c>
      <c r="L741" s="13">
        <v>3387.09</v>
      </c>
      <c r="M741" s="15">
        <f t="shared" si="86"/>
        <v>91.661976161313959</v>
      </c>
      <c r="N741" s="13">
        <v>3387.09</v>
      </c>
      <c r="O741" s="13">
        <v>0</v>
      </c>
      <c r="P741" s="11">
        <f t="shared" si="91"/>
        <v>0</v>
      </c>
    </row>
    <row r="742" spans="1:16" ht="18.75" customHeight="1" thickBot="1" x14ac:dyDescent="0.3">
      <c r="A742" s="3" t="s">
        <v>11</v>
      </c>
      <c r="B742" s="4">
        <v>236802</v>
      </c>
      <c r="C742" s="3" t="s">
        <v>9</v>
      </c>
      <c r="D742" s="18">
        <v>0.14000000000000001</v>
      </c>
      <c r="E742" s="21">
        <f t="shared" si="90"/>
        <v>1.0978851950173452E-2</v>
      </c>
      <c r="F742" s="5">
        <v>31973</v>
      </c>
      <c r="G742" s="5">
        <v>33434</v>
      </c>
      <c r="H742" s="16">
        <f t="shared" si="87"/>
        <v>1461</v>
      </c>
      <c r="I742" s="5">
        <v>33434</v>
      </c>
      <c r="J742" s="5">
        <v>33871</v>
      </c>
      <c r="K742" s="16">
        <f t="shared" si="88"/>
        <v>1898</v>
      </c>
      <c r="L742" s="13">
        <v>2300</v>
      </c>
      <c r="M742" s="15">
        <f t="shared" si="86"/>
        <v>61.226114344475917</v>
      </c>
      <c r="N742" s="13">
        <v>2300</v>
      </c>
      <c r="O742" s="13">
        <v>0</v>
      </c>
      <c r="P742" s="11">
        <f t="shared" si="91"/>
        <v>0</v>
      </c>
    </row>
    <row r="743" spans="1:16" ht="18.75" customHeight="1" thickBot="1" x14ac:dyDescent="0.3">
      <c r="A743" s="3" t="s">
        <v>11</v>
      </c>
      <c r="B743" s="4">
        <v>394271</v>
      </c>
      <c r="C743" s="3" t="s">
        <v>9</v>
      </c>
      <c r="D743" s="18">
        <v>0.15</v>
      </c>
      <c r="E743" s="21">
        <f t="shared" si="90"/>
        <v>1.171491691985338E-2</v>
      </c>
      <c r="F743" s="5">
        <v>32007</v>
      </c>
      <c r="G743" s="5">
        <v>33103</v>
      </c>
      <c r="H743" s="16">
        <f t="shared" si="87"/>
        <v>1096</v>
      </c>
      <c r="I743" s="5">
        <v>33103</v>
      </c>
      <c r="J743" s="5">
        <v>32118</v>
      </c>
      <c r="K743" s="16">
        <f t="shared" si="88"/>
        <v>111</v>
      </c>
      <c r="L743" s="13">
        <v>4493.12</v>
      </c>
      <c r="M743" s="15">
        <f t="shared" si="86"/>
        <v>151.88490194996785</v>
      </c>
      <c r="N743" s="13">
        <v>4493.12</v>
      </c>
      <c r="O743" s="13">
        <v>0</v>
      </c>
      <c r="P743" s="11">
        <f t="shared" si="91"/>
        <v>0</v>
      </c>
    </row>
    <row r="744" spans="1:16" ht="18.75" customHeight="1" thickBot="1" x14ac:dyDescent="0.3">
      <c r="A744" s="3" t="s">
        <v>11</v>
      </c>
      <c r="B744" s="4">
        <v>348494</v>
      </c>
      <c r="C744" s="3" t="s">
        <v>9</v>
      </c>
      <c r="D744" s="18">
        <v>0.14000000000000001</v>
      </c>
      <c r="E744" s="21">
        <f t="shared" si="90"/>
        <v>1.0978851950173452E-2</v>
      </c>
      <c r="F744" s="5">
        <v>32023</v>
      </c>
      <c r="G744" s="5">
        <v>33666</v>
      </c>
      <c r="H744" s="16">
        <f t="shared" si="87"/>
        <v>1643</v>
      </c>
      <c r="I744" s="5">
        <v>33666</v>
      </c>
      <c r="J744" s="5">
        <v>33088</v>
      </c>
      <c r="K744" s="16">
        <f t="shared" si="88"/>
        <v>1065</v>
      </c>
      <c r="L744" s="13">
        <v>4800</v>
      </c>
      <c r="M744" s="15">
        <f t="shared" si="86"/>
        <v>117.08465478250399</v>
      </c>
      <c r="N744" s="13">
        <v>1046.17</v>
      </c>
      <c r="O744" s="13">
        <v>0</v>
      </c>
      <c r="P744" s="11">
        <f t="shared" si="91"/>
        <v>0</v>
      </c>
    </row>
    <row r="745" spans="1:16" ht="18.75" customHeight="1" thickBot="1" x14ac:dyDescent="0.3">
      <c r="A745" s="3" t="s">
        <v>11</v>
      </c>
      <c r="B745" s="4">
        <v>47175</v>
      </c>
      <c r="C745" s="3" t="s">
        <v>9</v>
      </c>
      <c r="D745" s="18">
        <v>0.14000000000000001</v>
      </c>
      <c r="E745" s="21">
        <f t="shared" si="90"/>
        <v>1.0978851950173452E-2</v>
      </c>
      <c r="F745" s="5">
        <v>32058</v>
      </c>
      <c r="G745" s="5">
        <v>32789</v>
      </c>
      <c r="H745" s="16">
        <f t="shared" si="87"/>
        <v>731</v>
      </c>
      <c r="I745" s="5">
        <v>32789</v>
      </c>
      <c r="J745" s="5">
        <v>32450</v>
      </c>
      <c r="K745" s="16">
        <f t="shared" si="88"/>
        <v>392</v>
      </c>
      <c r="L745" s="13">
        <v>2366.61</v>
      </c>
      <c r="M745" s="15">
        <f t="shared" si="86"/>
        <v>111.22381821963563</v>
      </c>
      <c r="N745" s="13">
        <v>1341.92</v>
      </c>
      <c r="O745" s="13">
        <v>0</v>
      </c>
      <c r="P745" s="11">
        <f t="shared" si="91"/>
        <v>0</v>
      </c>
    </row>
    <row r="746" spans="1:16" ht="18.75" customHeight="1" thickBot="1" x14ac:dyDescent="0.3">
      <c r="A746" s="3" t="s">
        <v>11</v>
      </c>
      <c r="B746" s="4">
        <v>432751</v>
      </c>
      <c r="C746" s="3" t="s">
        <v>9</v>
      </c>
      <c r="D746" s="18">
        <v>0.14499999999999999</v>
      </c>
      <c r="E746" s="21">
        <f t="shared" si="90"/>
        <v>1.1347621038123146E-2</v>
      </c>
      <c r="F746" s="5">
        <v>32079</v>
      </c>
      <c r="G746" s="5">
        <v>33540</v>
      </c>
      <c r="H746" s="16">
        <f t="shared" si="87"/>
        <v>1461</v>
      </c>
      <c r="I746" s="5">
        <v>33540</v>
      </c>
      <c r="J746" s="5">
        <v>32724</v>
      </c>
      <c r="K746" s="16">
        <f t="shared" si="88"/>
        <v>645</v>
      </c>
      <c r="L746" s="13">
        <v>3830.1</v>
      </c>
      <c r="M746" s="15">
        <f t="shared" si="86"/>
        <v>102.80380512056655</v>
      </c>
      <c r="N746" s="13">
        <v>2935.1</v>
      </c>
      <c r="O746" s="13">
        <v>0</v>
      </c>
      <c r="P746" s="11">
        <f t="shared" si="91"/>
        <v>0</v>
      </c>
    </row>
    <row r="747" spans="1:16" ht="18.75" customHeight="1" thickBot="1" x14ac:dyDescent="0.3">
      <c r="A747" s="3" t="s">
        <v>11</v>
      </c>
      <c r="B747" s="4">
        <v>373513</v>
      </c>
      <c r="C747" s="3" t="s">
        <v>9</v>
      </c>
      <c r="D747" s="18">
        <v>0.14499999999999999</v>
      </c>
      <c r="E747" s="21">
        <f t="shared" si="90"/>
        <v>1.1347621038123146E-2</v>
      </c>
      <c r="F747" s="5">
        <v>32078</v>
      </c>
      <c r="G747" s="5">
        <v>33539</v>
      </c>
      <c r="H747" s="16">
        <f t="shared" si="87"/>
        <v>1461</v>
      </c>
      <c r="I747" s="5">
        <v>33539</v>
      </c>
      <c r="J747" s="5">
        <v>33171</v>
      </c>
      <c r="K747" s="16">
        <f t="shared" si="88"/>
        <v>1093</v>
      </c>
      <c r="L747" s="13">
        <v>5574.18</v>
      </c>
      <c r="M747" s="15">
        <f t="shared" si="86"/>
        <v>149.61669784782634</v>
      </c>
      <c r="N747" s="13">
        <v>1981.99</v>
      </c>
      <c r="O747" s="13">
        <v>0</v>
      </c>
      <c r="P747" s="11">
        <f t="shared" si="91"/>
        <v>0</v>
      </c>
    </row>
    <row r="748" spans="1:16" ht="18.75" customHeight="1" thickBot="1" x14ac:dyDescent="0.3">
      <c r="A748" s="3" t="s">
        <v>11</v>
      </c>
      <c r="B748" s="4">
        <v>541429</v>
      </c>
      <c r="C748" s="3" t="s">
        <v>9</v>
      </c>
      <c r="D748" s="18">
        <v>0.15</v>
      </c>
      <c r="E748" s="21">
        <f t="shared" si="90"/>
        <v>1.171491691985338E-2</v>
      </c>
      <c r="F748" s="5">
        <v>32051</v>
      </c>
      <c r="G748" s="5">
        <v>32791</v>
      </c>
      <c r="H748" s="16">
        <f t="shared" si="87"/>
        <v>740</v>
      </c>
      <c r="I748" s="5">
        <v>32791</v>
      </c>
      <c r="J748" s="5">
        <v>32938</v>
      </c>
      <c r="K748" s="16">
        <f t="shared" si="88"/>
        <v>887</v>
      </c>
      <c r="L748" s="13">
        <v>2032.71</v>
      </c>
      <c r="M748" s="15">
        <f t="shared" si="86"/>
        <v>95.364754070771042</v>
      </c>
      <c r="N748" s="13">
        <v>373.27</v>
      </c>
      <c r="O748" s="13">
        <v>0</v>
      </c>
      <c r="P748" s="11">
        <f t="shared" si="91"/>
        <v>0</v>
      </c>
    </row>
    <row r="749" spans="1:16" ht="18.75" customHeight="1" thickBot="1" x14ac:dyDescent="0.3">
      <c r="A749" s="3" t="s">
        <v>11</v>
      </c>
      <c r="B749" s="4">
        <v>830507</v>
      </c>
      <c r="C749" s="3" t="s">
        <v>9</v>
      </c>
      <c r="D749" s="18">
        <v>0.14000000000000001</v>
      </c>
      <c r="E749" s="21">
        <f t="shared" si="90"/>
        <v>1.0978851950173452E-2</v>
      </c>
      <c r="F749" s="5">
        <v>32112</v>
      </c>
      <c r="G749" s="5">
        <v>33298</v>
      </c>
      <c r="H749" s="16">
        <f t="shared" si="87"/>
        <v>1186</v>
      </c>
      <c r="I749" s="5">
        <v>33298</v>
      </c>
      <c r="J749" s="5">
        <v>32849</v>
      </c>
      <c r="K749" s="16">
        <f t="shared" si="88"/>
        <v>737</v>
      </c>
      <c r="L749" s="13">
        <v>2869.53</v>
      </c>
      <c r="M749" s="15">
        <f t="shared" si="86"/>
        <v>89.864640367619685</v>
      </c>
      <c r="N749" s="13">
        <v>2217.94</v>
      </c>
      <c r="O749" s="13">
        <v>0</v>
      </c>
      <c r="P749" s="11">
        <f t="shared" si="91"/>
        <v>0</v>
      </c>
    </row>
    <row r="750" spans="1:16" ht="18.75" customHeight="1" thickBot="1" x14ac:dyDescent="0.3">
      <c r="A750" s="3" t="s">
        <v>11</v>
      </c>
      <c r="B750" s="4">
        <v>730398</v>
      </c>
      <c r="C750" s="3" t="s">
        <v>9</v>
      </c>
      <c r="D750" s="18">
        <v>0.14000000000000001</v>
      </c>
      <c r="E750" s="21">
        <f t="shared" si="90"/>
        <v>1.0978851950173452E-2</v>
      </c>
      <c r="F750" s="5">
        <v>32098</v>
      </c>
      <c r="G750" s="5">
        <v>33010</v>
      </c>
      <c r="H750" s="16">
        <f t="shared" si="87"/>
        <v>912</v>
      </c>
      <c r="I750" s="5">
        <v>33010</v>
      </c>
      <c r="J750" s="5">
        <v>32618</v>
      </c>
      <c r="K750" s="16">
        <f t="shared" si="88"/>
        <v>520</v>
      </c>
      <c r="L750" s="13">
        <v>12551.69</v>
      </c>
      <c r="M750" s="15">
        <f t="shared" si="86"/>
        <v>487.85335013038059</v>
      </c>
      <c r="N750" s="13">
        <v>7358.44</v>
      </c>
      <c r="O750" s="13">
        <v>0</v>
      </c>
      <c r="P750" s="11">
        <f t="shared" si="91"/>
        <v>0</v>
      </c>
    </row>
    <row r="751" spans="1:16" ht="18.75" customHeight="1" thickBot="1" x14ac:dyDescent="0.3">
      <c r="A751" s="3" t="s">
        <v>11</v>
      </c>
      <c r="B751" s="4">
        <v>219918</v>
      </c>
      <c r="C751" s="3" t="s">
        <v>9</v>
      </c>
      <c r="D751" s="18">
        <v>0.14499999999999999</v>
      </c>
      <c r="E751" s="21">
        <f t="shared" si="90"/>
        <v>1.1347621038123146E-2</v>
      </c>
      <c r="F751" s="5">
        <v>32101</v>
      </c>
      <c r="G751" s="5">
        <v>32983</v>
      </c>
      <c r="H751" s="16">
        <f t="shared" si="87"/>
        <v>882</v>
      </c>
      <c r="I751" s="5">
        <v>32983</v>
      </c>
      <c r="J751" s="5">
        <v>32177</v>
      </c>
      <c r="K751" s="16">
        <f t="shared" si="88"/>
        <v>76</v>
      </c>
      <c r="L751" s="13">
        <v>3944.64</v>
      </c>
      <c r="M751" s="15">
        <f t="shared" si="86"/>
        <v>158.54759459659093</v>
      </c>
      <c r="N751" s="13">
        <v>3900.73</v>
      </c>
      <c r="O751" s="13">
        <v>0</v>
      </c>
      <c r="P751" s="11">
        <f t="shared" si="91"/>
        <v>0</v>
      </c>
    </row>
    <row r="752" spans="1:16" ht="18.75" customHeight="1" thickBot="1" x14ac:dyDescent="0.3">
      <c r="A752" s="3" t="s">
        <v>11</v>
      </c>
      <c r="B752" s="4">
        <v>412299</v>
      </c>
      <c r="C752" s="3" t="s">
        <v>9</v>
      </c>
      <c r="D752" s="18">
        <v>0.14499999999999999</v>
      </c>
      <c r="E752" s="21">
        <f t="shared" si="90"/>
        <v>1.1347621038123146E-2</v>
      </c>
      <c r="F752" s="5">
        <v>32113</v>
      </c>
      <c r="G752" s="5">
        <v>33209</v>
      </c>
      <c r="H752" s="16">
        <f t="shared" si="87"/>
        <v>1096</v>
      </c>
      <c r="I752" s="5">
        <v>33209</v>
      </c>
      <c r="J752" s="5">
        <v>37322</v>
      </c>
      <c r="K752" s="16">
        <f t="shared" si="88"/>
        <v>5209</v>
      </c>
      <c r="L752" s="13">
        <v>4044.09</v>
      </c>
      <c r="M752" s="15">
        <f t="shared" si="86"/>
        <v>135.84020492290017</v>
      </c>
      <c r="N752" s="13">
        <v>452.09</v>
      </c>
      <c r="O752" s="13">
        <v>0</v>
      </c>
      <c r="P752" s="11">
        <f t="shared" si="91"/>
        <v>0</v>
      </c>
    </row>
    <row r="753" spans="1:16" ht="18.75" customHeight="1" thickBot="1" x14ac:dyDescent="0.3">
      <c r="A753" s="3" t="s">
        <v>11</v>
      </c>
      <c r="B753" s="4">
        <v>333601</v>
      </c>
      <c r="C753" s="3" t="s">
        <v>9</v>
      </c>
      <c r="D753" s="18">
        <v>0.14000000000000001</v>
      </c>
      <c r="E753" s="21">
        <f t="shared" si="90"/>
        <v>1.0978851950173452E-2</v>
      </c>
      <c r="F753" s="5">
        <v>32134</v>
      </c>
      <c r="G753" s="5">
        <v>32590</v>
      </c>
      <c r="H753" s="16">
        <f t="shared" si="87"/>
        <v>456</v>
      </c>
      <c r="I753" s="5">
        <v>32590</v>
      </c>
      <c r="J753" s="5">
        <v>32618</v>
      </c>
      <c r="K753" s="16">
        <f t="shared" si="88"/>
        <v>484</v>
      </c>
      <c r="L753" s="13">
        <v>1300</v>
      </c>
      <c r="M753" s="15">
        <f t="shared" si="86"/>
        <v>93.328514617356802</v>
      </c>
      <c r="N753" s="13">
        <v>109.95</v>
      </c>
      <c r="O753" s="13">
        <v>0</v>
      </c>
      <c r="P753" s="11">
        <f t="shared" si="91"/>
        <v>0</v>
      </c>
    </row>
    <row r="754" spans="1:16" ht="18.75" hidden="1" customHeight="1" thickBot="1" x14ac:dyDescent="0.3">
      <c r="A754" s="3" t="s">
        <v>11</v>
      </c>
      <c r="B754" s="4">
        <v>551135</v>
      </c>
      <c r="C754" s="3" t="s">
        <v>9</v>
      </c>
      <c r="D754" s="18">
        <v>0.14499999999999999</v>
      </c>
      <c r="E754" s="21">
        <f t="shared" si="90"/>
        <v>1.1347621038123146E-2</v>
      </c>
      <c r="F754" s="5">
        <v>32128</v>
      </c>
      <c r="G754" s="5">
        <v>33133</v>
      </c>
      <c r="H754" s="16">
        <f t="shared" si="87"/>
        <v>1005</v>
      </c>
      <c r="I754" s="5">
        <v>33133</v>
      </c>
      <c r="J754" s="2"/>
      <c r="K754" s="16">
        <f t="shared" si="88"/>
        <v>-32128</v>
      </c>
      <c r="L754" s="13">
        <v>2792</v>
      </c>
      <c r="M754" s="15">
        <f t="shared" si="86"/>
        <v>100.65219133825799</v>
      </c>
      <c r="N754" s="13">
        <v>2792</v>
      </c>
      <c r="O754" s="13">
        <v>0</v>
      </c>
      <c r="P754" s="11">
        <f t="shared" si="91"/>
        <v>0</v>
      </c>
    </row>
    <row r="755" spans="1:16" ht="18.75" customHeight="1" thickBot="1" x14ac:dyDescent="0.3">
      <c r="A755" s="3" t="s">
        <v>11</v>
      </c>
      <c r="B755" s="4">
        <v>515296</v>
      </c>
      <c r="C755" s="3" t="s">
        <v>9</v>
      </c>
      <c r="D755" s="18">
        <v>0.14000000000000001</v>
      </c>
      <c r="E755" s="21">
        <f t="shared" si="90"/>
        <v>1.0978851950173452E-2</v>
      </c>
      <c r="F755" s="5">
        <v>32146</v>
      </c>
      <c r="G755" s="5">
        <v>33759</v>
      </c>
      <c r="H755" s="16">
        <f t="shared" si="87"/>
        <v>1613</v>
      </c>
      <c r="I755" s="5">
        <v>33759</v>
      </c>
      <c r="J755" s="5">
        <v>33564</v>
      </c>
      <c r="K755" s="16">
        <f t="shared" si="88"/>
        <v>1418</v>
      </c>
      <c r="L755" s="13">
        <v>6462.62</v>
      </c>
      <c r="M755" s="15">
        <f t="shared" si="86"/>
        <v>159.78364328726607</v>
      </c>
      <c r="N755" s="13">
        <v>1963.58</v>
      </c>
      <c r="O755" s="13">
        <v>0</v>
      </c>
      <c r="P755" s="11">
        <f t="shared" si="91"/>
        <v>0</v>
      </c>
    </row>
    <row r="756" spans="1:16" ht="18.75" customHeight="1" thickBot="1" x14ac:dyDescent="0.3">
      <c r="A756" s="3" t="s">
        <v>11</v>
      </c>
      <c r="B756" s="4">
        <v>238423</v>
      </c>
      <c r="C756" s="3" t="s">
        <v>9</v>
      </c>
      <c r="D756" s="18">
        <v>0.14000000000000001</v>
      </c>
      <c r="E756" s="21">
        <f t="shared" si="90"/>
        <v>1.0978851950173452E-2</v>
      </c>
      <c r="F756" s="5">
        <v>32119</v>
      </c>
      <c r="G756" s="5">
        <v>33642</v>
      </c>
      <c r="H756" s="16">
        <f t="shared" si="87"/>
        <v>1523</v>
      </c>
      <c r="I756" s="5">
        <v>33642</v>
      </c>
      <c r="J756" s="5">
        <v>32569</v>
      </c>
      <c r="K756" s="16">
        <f t="shared" si="88"/>
        <v>450</v>
      </c>
      <c r="L756" s="13">
        <v>7780.97</v>
      </c>
      <c r="M756" s="15">
        <f t="shared" si="86"/>
        <v>200.74823069800897</v>
      </c>
      <c r="N756" s="13">
        <v>3336.53</v>
      </c>
      <c r="O756" s="13">
        <v>0</v>
      </c>
      <c r="P756" s="11">
        <f t="shared" si="91"/>
        <v>0</v>
      </c>
    </row>
    <row r="757" spans="1:16" ht="18.75" customHeight="1" thickBot="1" x14ac:dyDescent="0.3">
      <c r="A757" s="3" t="s">
        <v>11</v>
      </c>
      <c r="B757" s="4">
        <v>621943</v>
      </c>
      <c r="C757" s="3" t="s">
        <v>9</v>
      </c>
      <c r="D757" s="18">
        <v>0.14000000000000001</v>
      </c>
      <c r="E757" s="21">
        <f t="shared" si="90"/>
        <v>1.0978851950173452E-2</v>
      </c>
      <c r="F757" s="5">
        <v>32157</v>
      </c>
      <c r="G757" s="5">
        <v>33618</v>
      </c>
      <c r="H757" s="16">
        <f t="shared" si="87"/>
        <v>1461</v>
      </c>
      <c r="I757" s="5">
        <v>33618</v>
      </c>
      <c r="J757" s="5">
        <v>32710</v>
      </c>
      <c r="K757" s="16">
        <f t="shared" si="88"/>
        <v>553</v>
      </c>
      <c r="L757" s="13">
        <v>6600.15</v>
      </c>
      <c r="M757" s="15">
        <f t="shared" si="86"/>
        <v>175.69632112638814</v>
      </c>
      <c r="N757" s="13">
        <v>6550.15</v>
      </c>
      <c r="O757" s="13">
        <v>0</v>
      </c>
      <c r="P757" s="11">
        <f t="shared" si="91"/>
        <v>0</v>
      </c>
    </row>
    <row r="758" spans="1:16" ht="18.75" customHeight="1" thickBot="1" x14ac:dyDescent="0.3">
      <c r="A758" s="3" t="s">
        <v>11</v>
      </c>
      <c r="B758" s="4">
        <v>133647</v>
      </c>
      <c r="C758" s="3" t="s">
        <v>9</v>
      </c>
      <c r="D758" s="18">
        <v>0.14000000000000001</v>
      </c>
      <c r="E758" s="21">
        <f t="shared" si="90"/>
        <v>1.0978851950173452E-2</v>
      </c>
      <c r="F758" s="5">
        <v>32169</v>
      </c>
      <c r="G758" s="5">
        <v>33630</v>
      </c>
      <c r="H758" s="16">
        <f t="shared" si="87"/>
        <v>1461</v>
      </c>
      <c r="I758" s="5">
        <v>33630</v>
      </c>
      <c r="J758" s="5">
        <v>33554</v>
      </c>
      <c r="K758" s="16">
        <f t="shared" si="88"/>
        <v>1385</v>
      </c>
      <c r="L758" s="13">
        <v>8667.49</v>
      </c>
      <c r="M758" s="15">
        <f t="shared" si="86"/>
        <v>230.72901470417457</v>
      </c>
      <c r="N758" s="13">
        <v>8090.1</v>
      </c>
      <c r="O758" s="13">
        <v>0</v>
      </c>
      <c r="P758" s="11">
        <f t="shared" si="91"/>
        <v>0</v>
      </c>
    </row>
    <row r="759" spans="1:16" ht="18.75" customHeight="1" thickBot="1" x14ac:dyDescent="0.3">
      <c r="A759" s="3" t="s">
        <v>11</v>
      </c>
      <c r="B759" s="4">
        <v>883248</v>
      </c>
      <c r="C759" s="3" t="s">
        <v>9</v>
      </c>
      <c r="D759" s="18">
        <v>0.14000000000000001</v>
      </c>
      <c r="E759" s="21">
        <f t="shared" si="90"/>
        <v>1.0978851950173452E-2</v>
      </c>
      <c r="F759" s="5">
        <v>32210</v>
      </c>
      <c r="G759" s="5">
        <v>33671</v>
      </c>
      <c r="H759" s="16">
        <f t="shared" si="87"/>
        <v>1461</v>
      </c>
      <c r="I759" s="5">
        <v>33671</v>
      </c>
      <c r="J759" s="5">
        <v>32666</v>
      </c>
      <c r="K759" s="16">
        <f t="shared" si="88"/>
        <v>456</v>
      </c>
      <c r="L759" s="13">
        <v>12113.1</v>
      </c>
      <c r="M759" s="15">
        <f t="shared" si="86"/>
        <v>322.45132420263968</v>
      </c>
      <c r="N759" s="13">
        <v>5702.95</v>
      </c>
      <c r="O759" s="13">
        <v>0</v>
      </c>
      <c r="P759" s="11">
        <f t="shared" si="91"/>
        <v>0</v>
      </c>
    </row>
    <row r="760" spans="1:16" ht="18.75" customHeight="1" thickBot="1" x14ac:dyDescent="0.3">
      <c r="A760" s="3" t="s">
        <v>11</v>
      </c>
      <c r="B760" s="4">
        <v>17532</v>
      </c>
      <c r="C760" s="3" t="s">
        <v>9</v>
      </c>
      <c r="D760" s="18">
        <v>0.14000000000000001</v>
      </c>
      <c r="E760" s="21">
        <f t="shared" si="90"/>
        <v>1.0978851950173452E-2</v>
      </c>
      <c r="F760" s="5">
        <v>32115</v>
      </c>
      <c r="G760" s="5">
        <v>32401</v>
      </c>
      <c r="H760" s="16">
        <f t="shared" si="87"/>
        <v>286</v>
      </c>
      <c r="I760" s="5">
        <v>32401</v>
      </c>
      <c r="J760" s="5">
        <v>33175</v>
      </c>
      <c r="K760" s="16">
        <f t="shared" si="88"/>
        <v>1060</v>
      </c>
      <c r="L760" s="13">
        <v>3509.04</v>
      </c>
      <c r="M760" s="15">
        <f t="shared" si="86"/>
        <v>389.69474013135317</v>
      </c>
      <c r="N760" s="13">
        <v>3509.04</v>
      </c>
      <c r="O760" s="13">
        <v>0</v>
      </c>
      <c r="P760" s="11">
        <f t="shared" si="91"/>
        <v>0</v>
      </c>
    </row>
    <row r="761" spans="1:16" ht="18.75" customHeight="1" thickBot="1" x14ac:dyDescent="0.3">
      <c r="A761" s="3" t="s">
        <v>11</v>
      </c>
      <c r="B761" s="4">
        <v>295704</v>
      </c>
      <c r="C761" s="3" t="s">
        <v>9</v>
      </c>
      <c r="D761" s="18">
        <v>0.14000000000000001</v>
      </c>
      <c r="E761" s="21">
        <f t="shared" si="90"/>
        <v>1.0978851950173452E-2</v>
      </c>
      <c r="F761" s="5">
        <v>32217</v>
      </c>
      <c r="G761" s="5">
        <v>35139</v>
      </c>
      <c r="H761" s="16">
        <f t="shared" si="87"/>
        <v>2922</v>
      </c>
      <c r="I761" s="5">
        <v>35139</v>
      </c>
      <c r="J761" s="5">
        <v>33022</v>
      </c>
      <c r="K761" s="16">
        <f t="shared" si="88"/>
        <v>805</v>
      </c>
      <c r="L761" s="13">
        <v>17500</v>
      </c>
      <c r="M761" s="15">
        <f t="shared" si="86"/>
        <v>293.43604505344433</v>
      </c>
      <c r="N761" s="13">
        <v>9427.27</v>
      </c>
      <c r="O761" s="13">
        <v>0</v>
      </c>
      <c r="P761" s="11">
        <f t="shared" si="91"/>
        <v>0</v>
      </c>
    </row>
    <row r="762" spans="1:16" ht="18.75" customHeight="1" thickBot="1" x14ac:dyDescent="0.3">
      <c r="A762" s="3" t="s">
        <v>11</v>
      </c>
      <c r="B762" s="4">
        <v>863708</v>
      </c>
      <c r="C762" s="3" t="s">
        <v>9</v>
      </c>
      <c r="D762" s="18">
        <v>0.14000000000000001</v>
      </c>
      <c r="E762" s="21">
        <f t="shared" si="90"/>
        <v>1.0978851950173452E-2</v>
      </c>
      <c r="F762" s="5">
        <v>32220</v>
      </c>
      <c r="G762" s="5">
        <v>33680</v>
      </c>
      <c r="H762" s="16">
        <f t="shared" si="87"/>
        <v>1460</v>
      </c>
      <c r="I762" s="5">
        <v>33680</v>
      </c>
      <c r="J762" s="5">
        <v>32560</v>
      </c>
      <c r="K762" s="16">
        <f t="shared" si="88"/>
        <v>340</v>
      </c>
      <c r="L762" s="13">
        <v>7541.35</v>
      </c>
      <c r="M762" s="15">
        <f t="shared" si="86"/>
        <v>200.85528076363394</v>
      </c>
      <c r="N762" s="13">
        <v>2500</v>
      </c>
      <c r="O762" s="13">
        <v>0</v>
      </c>
      <c r="P762" s="11">
        <f t="shared" si="91"/>
        <v>0</v>
      </c>
    </row>
    <row r="763" spans="1:16" ht="18.75" customHeight="1" thickBot="1" x14ac:dyDescent="0.3">
      <c r="A763" s="3" t="s">
        <v>11</v>
      </c>
      <c r="B763" s="4">
        <v>500581</v>
      </c>
      <c r="C763" s="3" t="s">
        <v>9</v>
      </c>
      <c r="D763" s="18">
        <v>0.14000000000000001</v>
      </c>
      <c r="E763" s="21">
        <f t="shared" si="90"/>
        <v>1.0978851950173452E-2</v>
      </c>
      <c r="F763" s="5">
        <v>32221</v>
      </c>
      <c r="G763" s="5">
        <v>33680</v>
      </c>
      <c r="H763" s="16">
        <f t="shared" si="87"/>
        <v>1459</v>
      </c>
      <c r="I763" s="5">
        <v>33680</v>
      </c>
      <c r="J763" s="5">
        <v>32475</v>
      </c>
      <c r="K763" s="16">
        <f t="shared" si="88"/>
        <v>254</v>
      </c>
      <c r="L763" s="13">
        <v>2757.5</v>
      </c>
      <c r="M763" s="15">
        <f t="shared" si="86"/>
        <v>73.481019351020862</v>
      </c>
      <c r="N763" s="13">
        <v>2548.9899999999998</v>
      </c>
      <c r="O763" s="13">
        <v>0</v>
      </c>
      <c r="P763" s="11">
        <f t="shared" si="91"/>
        <v>0</v>
      </c>
    </row>
    <row r="764" spans="1:16" ht="18.75" customHeight="1" thickBot="1" x14ac:dyDescent="0.3">
      <c r="A764" s="3" t="s">
        <v>11</v>
      </c>
      <c r="B764" s="4">
        <v>309706</v>
      </c>
      <c r="C764" s="3" t="s">
        <v>9</v>
      </c>
      <c r="D764" s="18">
        <v>0.15</v>
      </c>
      <c r="E764" s="21">
        <f t="shared" si="90"/>
        <v>1.171491691985338E-2</v>
      </c>
      <c r="F764" s="5">
        <v>32240</v>
      </c>
      <c r="G764" s="5">
        <v>33153</v>
      </c>
      <c r="H764" s="16">
        <f t="shared" si="87"/>
        <v>913</v>
      </c>
      <c r="I764" s="5">
        <v>33153</v>
      </c>
      <c r="J764" s="5">
        <v>32878</v>
      </c>
      <c r="K764" s="16">
        <f t="shared" si="88"/>
        <v>638</v>
      </c>
      <c r="L764" s="13">
        <v>3810.2</v>
      </c>
      <c r="M764" s="15">
        <f t="shared" si="86"/>
        <v>149.56395107756552</v>
      </c>
      <c r="N764" s="13">
        <v>3502.39</v>
      </c>
      <c r="O764" s="13">
        <v>0</v>
      </c>
      <c r="P764" s="11">
        <f t="shared" si="91"/>
        <v>0</v>
      </c>
    </row>
    <row r="765" spans="1:16" ht="18.75" customHeight="1" thickBot="1" x14ac:dyDescent="0.3">
      <c r="A765" s="3" t="s">
        <v>11</v>
      </c>
      <c r="B765" s="4">
        <v>164507</v>
      </c>
      <c r="C765" s="3" t="s">
        <v>9</v>
      </c>
      <c r="D765" s="18">
        <v>0.15</v>
      </c>
      <c r="E765" s="21">
        <f t="shared" si="90"/>
        <v>1.171491691985338E-2</v>
      </c>
      <c r="F765" s="5">
        <v>32258</v>
      </c>
      <c r="G765" s="5">
        <v>33171</v>
      </c>
      <c r="H765" s="16">
        <f t="shared" si="87"/>
        <v>913</v>
      </c>
      <c r="I765" s="5">
        <v>33171</v>
      </c>
      <c r="J765" s="5">
        <v>32748</v>
      </c>
      <c r="K765" s="16">
        <f t="shared" si="88"/>
        <v>490</v>
      </c>
      <c r="L765" s="13">
        <v>3917.69</v>
      </c>
      <c r="M765" s="15">
        <f t="shared" si="86"/>
        <v>153.78331727916321</v>
      </c>
      <c r="N765" s="13">
        <v>935</v>
      </c>
      <c r="O765" s="13">
        <v>0</v>
      </c>
      <c r="P765" s="11">
        <f t="shared" si="91"/>
        <v>0</v>
      </c>
    </row>
    <row r="766" spans="1:16" ht="18.75" customHeight="1" thickBot="1" x14ac:dyDescent="0.3">
      <c r="A766" s="3" t="s">
        <v>11</v>
      </c>
      <c r="B766" s="4">
        <v>581521</v>
      </c>
      <c r="C766" s="3" t="s">
        <v>9</v>
      </c>
      <c r="D766" s="18">
        <v>0.15</v>
      </c>
      <c r="E766" s="21">
        <f t="shared" si="90"/>
        <v>1.171491691985338E-2</v>
      </c>
      <c r="F766" s="5">
        <v>32274</v>
      </c>
      <c r="G766" s="5">
        <v>33373</v>
      </c>
      <c r="H766" s="16">
        <f t="shared" si="87"/>
        <v>1099</v>
      </c>
      <c r="I766" s="5">
        <v>33373</v>
      </c>
      <c r="J766" s="5">
        <v>33079</v>
      </c>
      <c r="K766" s="16">
        <f t="shared" si="88"/>
        <v>805</v>
      </c>
      <c r="L766" s="13">
        <v>6862.99</v>
      </c>
      <c r="M766" s="15">
        <f t="shared" si="86"/>
        <v>231.48764528851103</v>
      </c>
      <c r="N766" s="13">
        <v>6134.08</v>
      </c>
      <c r="O766" s="13">
        <v>0</v>
      </c>
      <c r="P766" s="11">
        <f t="shared" si="91"/>
        <v>0</v>
      </c>
    </row>
    <row r="767" spans="1:16" ht="18.75" customHeight="1" thickBot="1" x14ac:dyDescent="0.3">
      <c r="A767" s="3" t="s">
        <v>11</v>
      </c>
      <c r="B767" s="4">
        <v>703630</v>
      </c>
      <c r="C767" s="3" t="s">
        <v>9</v>
      </c>
      <c r="D767" s="18">
        <v>0.14000000000000001</v>
      </c>
      <c r="E767" s="21">
        <f t="shared" si="90"/>
        <v>1.0978851950173452E-2</v>
      </c>
      <c r="F767" s="5">
        <v>32272</v>
      </c>
      <c r="G767" s="5">
        <v>33733</v>
      </c>
      <c r="H767" s="16">
        <f t="shared" si="87"/>
        <v>1461</v>
      </c>
      <c r="I767" s="5">
        <v>33733</v>
      </c>
      <c r="J767" s="5">
        <v>32632</v>
      </c>
      <c r="K767" s="16">
        <f t="shared" si="88"/>
        <v>360</v>
      </c>
      <c r="L767" s="13">
        <v>9783.2999999999993</v>
      </c>
      <c r="M767" s="15">
        <f t="shared" si="86"/>
        <v>260.43193237665702</v>
      </c>
      <c r="N767" s="13">
        <v>1601.2</v>
      </c>
      <c r="O767" s="13">
        <v>0</v>
      </c>
      <c r="P767" s="11">
        <f t="shared" si="91"/>
        <v>0</v>
      </c>
    </row>
    <row r="768" spans="1:16" ht="18.75" customHeight="1" thickBot="1" x14ac:dyDescent="0.3">
      <c r="A768" s="3" t="s">
        <v>11</v>
      </c>
      <c r="B768" s="4">
        <v>484160</v>
      </c>
      <c r="C768" s="3" t="s">
        <v>9</v>
      </c>
      <c r="D768" s="18">
        <v>0.14000000000000001</v>
      </c>
      <c r="E768" s="21">
        <f t="shared" si="90"/>
        <v>1.0978851950173452E-2</v>
      </c>
      <c r="F768" s="5">
        <v>32286</v>
      </c>
      <c r="G768" s="5">
        <v>34051</v>
      </c>
      <c r="H768" s="16">
        <f t="shared" si="87"/>
        <v>1765</v>
      </c>
      <c r="I768" s="5">
        <v>34051</v>
      </c>
      <c r="J768" s="5">
        <v>33459</v>
      </c>
      <c r="K768" s="16">
        <f t="shared" si="88"/>
        <v>1173</v>
      </c>
      <c r="L768" s="13">
        <v>15207.87</v>
      </c>
      <c r="M768" s="15">
        <f t="shared" si="86"/>
        <v>352.26691342067164</v>
      </c>
      <c r="N768" s="13">
        <v>10380.84</v>
      </c>
      <c r="O768" s="13">
        <v>0</v>
      </c>
      <c r="P768" s="11">
        <f t="shared" si="91"/>
        <v>0</v>
      </c>
    </row>
    <row r="769" spans="1:16" ht="18.75" customHeight="1" thickBot="1" x14ac:dyDescent="0.3">
      <c r="A769" s="3" t="s">
        <v>11</v>
      </c>
      <c r="B769" s="4">
        <v>110818</v>
      </c>
      <c r="C769" s="3" t="s">
        <v>9</v>
      </c>
      <c r="D769" s="18">
        <v>0.14499999999999999</v>
      </c>
      <c r="E769" s="21">
        <f t="shared" si="90"/>
        <v>1.1347621038123146E-2</v>
      </c>
      <c r="F769" s="5">
        <v>32294</v>
      </c>
      <c r="G769" s="5">
        <v>33389</v>
      </c>
      <c r="H769" s="16">
        <f t="shared" si="87"/>
        <v>1095</v>
      </c>
      <c r="I769" s="5">
        <v>33389</v>
      </c>
      <c r="J769" s="5">
        <v>32783</v>
      </c>
      <c r="K769" s="16">
        <f t="shared" si="88"/>
        <v>489</v>
      </c>
      <c r="L769" s="13">
        <v>4644.38</v>
      </c>
      <c r="M769" s="15">
        <f t="shared" si="86"/>
        <v>156.11894791629499</v>
      </c>
      <c r="N769" s="13">
        <v>3968.48</v>
      </c>
      <c r="O769" s="13">
        <v>0</v>
      </c>
      <c r="P769" s="11">
        <f t="shared" si="91"/>
        <v>0</v>
      </c>
    </row>
    <row r="770" spans="1:16" ht="18.75" customHeight="1" thickBot="1" x14ac:dyDescent="0.3">
      <c r="A770" s="3" t="s">
        <v>11</v>
      </c>
      <c r="B770" s="4">
        <v>320934</v>
      </c>
      <c r="C770" s="3" t="s">
        <v>9</v>
      </c>
      <c r="D770" s="18">
        <v>0.14000000000000001</v>
      </c>
      <c r="E770" s="21">
        <f t="shared" si="90"/>
        <v>1.0978851950173452E-2</v>
      </c>
      <c r="F770" s="5">
        <v>32323</v>
      </c>
      <c r="G770" s="5">
        <v>32932</v>
      </c>
      <c r="H770" s="16">
        <f t="shared" si="87"/>
        <v>609</v>
      </c>
      <c r="I770" s="5">
        <v>32932</v>
      </c>
      <c r="J770" s="5">
        <v>32758</v>
      </c>
      <c r="K770" s="16">
        <f t="shared" si="88"/>
        <v>435</v>
      </c>
      <c r="L770" s="13">
        <v>2590.73</v>
      </c>
      <c r="M770" s="15">
        <f t="shared" ref="M770:M833" si="92">-PMT(E770,(H770/30),L770)</f>
        <v>143.06804077628365</v>
      </c>
      <c r="N770" s="13">
        <v>1507.06</v>
      </c>
      <c r="O770" s="13">
        <v>0</v>
      </c>
      <c r="P770" s="11">
        <f t="shared" si="91"/>
        <v>0</v>
      </c>
    </row>
    <row r="771" spans="1:16" ht="18.75" customHeight="1" thickBot="1" x14ac:dyDescent="0.3">
      <c r="A771" s="3" t="s">
        <v>11</v>
      </c>
      <c r="B771" s="4">
        <v>791293</v>
      </c>
      <c r="C771" s="3" t="s">
        <v>9</v>
      </c>
      <c r="D771" s="18">
        <v>0.14000000000000001</v>
      </c>
      <c r="E771" s="21">
        <f t="shared" si="90"/>
        <v>1.0978851950173452E-2</v>
      </c>
      <c r="F771" s="5">
        <v>32335</v>
      </c>
      <c r="G771" s="5">
        <v>33919</v>
      </c>
      <c r="H771" s="16">
        <f t="shared" ref="H771:H834" si="93">G771-F771</f>
        <v>1584</v>
      </c>
      <c r="I771" s="5">
        <v>33919</v>
      </c>
      <c r="J771" s="5">
        <v>33780</v>
      </c>
      <c r="K771" s="16">
        <f t="shared" ref="K771:K834" si="94">J771-F771</f>
        <v>1445</v>
      </c>
      <c r="L771" s="13">
        <v>11355.94</v>
      </c>
      <c r="M771" s="15">
        <f t="shared" si="92"/>
        <v>284.54763612596565</v>
      </c>
      <c r="N771" s="13">
        <v>172.27</v>
      </c>
      <c r="O771" s="13">
        <v>0</v>
      </c>
      <c r="P771" s="11">
        <f t="shared" ref="P771:P789" si="95">IF((G771)&gt;(ConstantDateCutoff),1,0)</f>
        <v>0</v>
      </c>
    </row>
    <row r="772" spans="1:16" ht="18.75" customHeight="1" thickBot="1" x14ac:dyDescent="0.3">
      <c r="A772" s="3" t="s">
        <v>11</v>
      </c>
      <c r="B772" s="4">
        <v>58830</v>
      </c>
      <c r="C772" s="3" t="s">
        <v>9</v>
      </c>
      <c r="D772" s="18">
        <v>0.16</v>
      </c>
      <c r="E772" s="21">
        <f t="shared" si="90"/>
        <v>1.2445137919713467E-2</v>
      </c>
      <c r="F772" s="5">
        <v>31517</v>
      </c>
      <c r="G772" s="5">
        <v>32339</v>
      </c>
      <c r="H772" s="16">
        <f t="shared" si="93"/>
        <v>822</v>
      </c>
      <c r="I772" s="5">
        <v>32339</v>
      </c>
      <c r="J772" s="5">
        <v>32093</v>
      </c>
      <c r="K772" s="16">
        <f t="shared" si="94"/>
        <v>576</v>
      </c>
      <c r="L772" s="13">
        <v>1312.69</v>
      </c>
      <c r="M772" s="15">
        <f t="shared" si="92"/>
        <v>56.83467888618339</v>
      </c>
      <c r="N772" s="13">
        <v>1312.69</v>
      </c>
      <c r="O772" s="13">
        <v>0</v>
      </c>
      <c r="P772" s="11">
        <f t="shared" si="95"/>
        <v>0</v>
      </c>
    </row>
    <row r="773" spans="1:16" ht="18.75" customHeight="1" thickBot="1" x14ac:dyDescent="0.3">
      <c r="A773" s="3" t="s">
        <v>11</v>
      </c>
      <c r="B773" s="4">
        <v>973184</v>
      </c>
      <c r="C773" s="3" t="s">
        <v>9</v>
      </c>
      <c r="D773" s="18">
        <v>0.14000000000000001</v>
      </c>
      <c r="E773" s="21">
        <f t="shared" si="90"/>
        <v>1.0978851950173452E-2</v>
      </c>
      <c r="F773" s="5">
        <v>32340</v>
      </c>
      <c r="G773" s="5">
        <v>33801</v>
      </c>
      <c r="H773" s="16">
        <f t="shared" si="93"/>
        <v>1461</v>
      </c>
      <c r="I773" s="5">
        <v>33801</v>
      </c>
      <c r="J773" s="5">
        <v>32955</v>
      </c>
      <c r="K773" s="16">
        <f t="shared" si="94"/>
        <v>615</v>
      </c>
      <c r="L773" s="13">
        <v>12982.03</v>
      </c>
      <c r="M773" s="15">
        <f t="shared" si="92"/>
        <v>345.5822840014855</v>
      </c>
      <c r="N773" s="13">
        <v>9347.6</v>
      </c>
      <c r="O773" s="13">
        <v>0</v>
      </c>
      <c r="P773" s="11">
        <f t="shared" si="95"/>
        <v>0</v>
      </c>
    </row>
    <row r="774" spans="1:16" ht="18.75" customHeight="1" thickBot="1" x14ac:dyDescent="0.3">
      <c r="A774" s="3" t="s">
        <v>11</v>
      </c>
      <c r="B774" s="4">
        <v>145316</v>
      </c>
      <c r="C774" s="3" t="s">
        <v>9</v>
      </c>
      <c r="D774" s="18">
        <v>0.14000000000000001</v>
      </c>
      <c r="E774" s="21">
        <f t="shared" si="90"/>
        <v>1.0978851950173452E-2</v>
      </c>
      <c r="F774" s="5">
        <v>32360</v>
      </c>
      <c r="G774" s="5">
        <v>33821</v>
      </c>
      <c r="H774" s="16">
        <f t="shared" si="93"/>
        <v>1461</v>
      </c>
      <c r="I774" s="5">
        <v>33821</v>
      </c>
      <c r="J774" s="5">
        <v>33073</v>
      </c>
      <c r="K774" s="16">
        <f t="shared" si="94"/>
        <v>713</v>
      </c>
      <c r="L774" s="13">
        <v>8496.36</v>
      </c>
      <c r="M774" s="15">
        <f t="shared" si="92"/>
        <v>226.17352559644846</v>
      </c>
      <c r="N774" s="13">
        <v>1985.85</v>
      </c>
      <c r="O774" s="13">
        <v>0</v>
      </c>
      <c r="P774" s="11">
        <f t="shared" si="95"/>
        <v>0</v>
      </c>
    </row>
    <row r="775" spans="1:16" ht="18.75" customHeight="1" thickBot="1" x14ac:dyDescent="0.3">
      <c r="A775" s="3" t="s">
        <v>11</v>
      </c>
      <c r="B775" s="4">
        <v>343550</v>
      </c>
      <c r="C775" s="3" t="s">
        <v>9</v>
      </c>
      <c r="D775" s="18">
        <v>0.14000000000000001</v>
      </c>
      <c r="E775" s="21">
        <f t="shared" si="90"/>
        <v>1.0978851950173452E-2</v>
      </c>
      <c r="F775" s="5">
        <v>32447</v>
      </c>
      <c r="G775" s="5">
        <v>33358</v>
      </c>
      <c r="H775" s="16">
        <f t="shared" si="93"/>
        <v>911</v>
      </c>
      <c r="I775" s="5">
        <v>33358</v>
      </c>
      <c r="J775" s="5">
        <v>32582</v>
      </c>
      <c r="K775" s="16">
        <f t="shared" si="94"/>
        <v>135</v>
      </c>
      <c r="L775" s="13">
        <v>2014.26</v>
      </c>
      <c r="M775" s="15">
        <f t="shared" si="92"/>
        <v>78.361800191916572</v>
      </c>
      <c r="N775" s="13">
        <v>731.82</v>
      </c>
      <c r="O775" s="13">
        <v>0</v>
      </c>
      <c r="P775" s="11">
        <f t="shared" si="95"/>
        <v>0</v>
      </c>
    </row>
    <row r="776" spans="1:16" ht="18.75" customHeight="1" thickBot="1" x14ac:dyDescent="0.3">
      <c r="A776" s="3" t="s">
        <v>11</v>
      </c>
      <c r="B776" s="4">
        <v>911941</v>
      </c>
      <c r="C776" s="3" t="s">
        <v>9</v>
      </c>
      <c r="D776" s="18">
        <v>0.14000000000000001</v>
      </c>
      <c r="E776" s="21">
        <f t="shared" si="90"/>
        <v>1.0978851950173452E-2</v>
      </c>
      <c r="F776" s="5">
        <v>32480</v>
      </c>
      <c r="G776" s="5">
        <v>33210</v>
      </c>
      <c r="H776" s="16">
        <f t="shared" si="93"/>
        <v>730</v>
      </c>
      <c r="I776" s="5">
        <v>33210</v>
      </c>
      <c r="J776" s="5">
        <v>32797</v>
      </c>
      <c r="K776" s="16">
        <f t="shared" si="94"/>
        <v>317</v>
      </c>
      <c r="L776" s="13">
        <v>4449.33</v>
      </c>
      <c r="M776" s="15">
        <f t="shared" si="92"/>
        <v>209.3556582471071</v>
      </c>
      <c r="N776" s="13">
        <v>2966.55</v>
      </c>
      <c r="O776" s="13">
        <v>0</v>
      </c>
      <c r="P776" s="11">
        <f t="shared" si="95"/>
        <v>0</v>
      </c>
    </row>
    <row r="777" spans="1:16" ht="18.75" customHeight="1" thickBot="1" x14ac:dyDescent="0.3">
      <c r="A777" s="3" t="s">
        <v>11</v>
      </c>
      <c r="B777" s="4">
        <v>195380</v>
      </c>
      <c r="C777" s="3" t="s">
        <v>9</v>
      </c>
      <c r="D777" s="18">
        <v>0.14000000000000001</v>
      </c>
      <c r="E777" s="21">
        <f t="shared" si="90"/>
        <v>1.0978851950173452E-2</v>
      </c>
      <c r="F777" s="5">
        <v>32520</v>
      </c>
      <c r="G777" s="5">
        <v>32885</v>
      </c>
      <c r="H777" s="16">
        <f t="shared" si="93"/>
        <v>365</v>
      </c>
      <c r="I777" s="5">
        <v>32885</v>
      </c>
      <c r="J777" s="5">
        <v>32646</v>
      </c>
      <c r="K777" s="16">
        <f t="shared" si="94"/>
        <v>126</v>
      </c>
      <c r="L777" s="13">
        <v>3877.4</v>
      </c>
      <c r="M777" s="15">
        <f t="shared" si="92"/>
        <v>342.19248842108942</v>
      </c>
      <c r="N777" s="13">
        <v>710.35</v>
      </c>
      <c r="O777" s="13">
        <v>0</v>
      </c>
      <c r="P777" s="11">
        <f t="shared" si="95"/>
        <v>0</v>
      </c>
    </row>
    <row r="778" spans="1:16" ht="18.75" hidden="1" customHeight="1" thickBot="1" x14ac:dyDescent="0.3">
      <c r="A778" s="3" t="s">
        <v>11</v>
      </c>
      <c r="B778" s="4">
        <v>680437</v>
      </c>
      <c r="C778" s="3" t="s">
        <v>9</v>
      </c>
      <c r="D778" s="18">
        <v>0.14000000000000001</v>
      </c>
      <c r="E778" s="21">
        <f t="shared" si="90"/>
        <v>1.0978851950173452E-2</v>
      </c>
      <c r="F778" s="5">
        <v>32542</v>
      </c>
      <c r="G778" s="5">
        <v>33272</v>
      </c>
      <c r="H778" s="16">
        <f t="shared" si="93"/>
        <v>730</v>
      </c>
      <c r="I778" s="5">
        <v>33272</v>
      </c>
      <c r="J778" s="2"/>
      <c r="K778" s="16">
        <f t="shared" si="94"/>
        <v>-32542</v>
      </c>
      <c r="L778" s="13">
        <v>3000</v>
      </c>
      <c r="M778" s="15">
        <f t="shared" si="92"/>
        <v>141.15989929749455</v>
      </c>
      <c r="N778" s="13">
        <v>3000</v>
      </c>
      <c r="O778" s="13">
        <v>0</v>
      </c>
      <c r="P778" s="11">
        <f t="shared" si="95"/>
        <v>0</v>
      </c>
    </row>
    <row r="779" spans="1:16" ht="18.75" hidden="1" customHeight="1" thickBot="1" x14ac:dyDescent="0.3">
      <c r="A779" s="3" t="s">
        <v>11</v>
      </c>
      <c r="B779" s="4">
        <v>74402</v>
      </c>
      <c r="C779" s="3" t="s">
        <v>9</v>
      </c>
      <c r="D779" s="18">
        <v>0.14000000000000001</v>
      </c>
      <c r="E779" s="21">
        <f t="shared" si="90"/>
        <v>1.0978851950173452E-2</v>
      </c>
      <c r="F779" s="5">
        <v>32569</v>
      </c>
      <c r="G779" s="5">
        <v>32600</v>
      </c>
      <c r="H779" s="16">
        <f t="shared" si="93"/>
        <v>31</v>
      </c>
      <c r="I779" s="5">
        <v>32600</v>
      </c>
      <c r="J779" s="2"/>
      <c r="K779" s="16">
        <f t="shared" si="94"/>
        <v>-32569</v>
      </c>
      <c r="L779" s="13">
        <v>247.24</v>
      </c>
      <c r="M779" s="15">
        <f t="shared" si="92"/>
        <v>241.93530865994194</v>
      </c>
      <c r="N779" s="13">
        <v>247.24</v>
      </c>
      <c r="O779" s="13">
        <v>0</v>
      </c>
      <c r="P779" s="11">
        <f t="shared" si="95"/>
        <v>0</v>
      </c>
    </row>
    <row r="780" spans="1:16" ht="18.75" customHeight="1" thickBot="1" x14ac:dyDescent="0.3">
      <c r="A780" s="3" t="s">
        <v>11</v>
      </c>
      <c r="B780" s="4">
        <v>294517</v>
      </c>
      <c r="C780" s="3" t="s">
        <v>9</v>
      </c>
      <c r="D780" s="18">
        <v>0.16</v>
      </c>
      <c r="E780" s="21">
        <f t="shared" si="90"/>
        <v>1.2445137919713467E-2</v>
      </c>
      <c r="F780" s="5">
        <v>29809</v>
      </c>
      <c r="G780" s="5">
        <v>32366</v>
      </c>
      <c r="H780" s="16">
        <f t="shared" si="93"/>
        <v>2557</v>
      </c>
      <c r="I780" s="5">
        <v>32366</v>
      </c>
      <c r="J780" s="5">
        <v>30156</v>
      </c>
      <c r="K780" s="16">
        <f t="shared" si="94"/>
        <v>347</v>
      </c>
      <c r="L780" s="13">
        <v>19902.939999999999</v>
      </c>
      <c r="M780" s="15">
        <f t="shared" si="92"/>
        <v>380.17589672534723</v>
      </c>
      <c r="N780" s="13">
        <v>19902.939999999999</v>
      </c>
      <c r="O780" s="13">
        <v>0</v>
      </c>
      <c r="P780" s="11">
        <f t="shared" si="95"/>
        <v>0</v>
      </c>
    </row>
    <row r="781" spans="1:16" ht="18.75" customHeight="1" thickBot="1" x14ac:dyDescent="0.3">
      <c r="A781" s="3" t="s">
        <v>11</v>
      </c>
      <c r="B781" s="4">
        <v>115929</v>
      </c>
      <c r="C781" s="3" t="s">
        <v>9</v>
      </c>
      <c r="D781" s="18">
        <v>0.14000000000000001</v>
      </c>
      <c r="E781" s="21">
        <f t="shared" si="90"/>
        <v>1.0978851950173452E-2</v>
      </c>
      <c r="F781" s="5">
        <v>32619</v>
      </c>
      <c r="G781" s="5">
        <v>34080</v>
      </c>
      <c r="H781" s="16">
        <f t="shared" si="93"/>
        <v>1461</v>
      </c>
      <c r="I781" s="5">
        <v>34080</v>
      </c>
      <c r="J781" s="5">
        <v>32980</v>
      </c>
      <c r="K781" s="16">
        <f t="shared" si="94"/>
        <v>361</v>
      </c>
      <c r="L781" s="13">
        <v>6327.57</v>
      </c>
      <c r="M781" s="15">
        <f t="shared" si="92"/>
        <v>168.44022797507628</v>
      </c>
      <c r="N781" s="13">
        <v>1673.08</v>
      </c>
      <c r="O781" s="13">
        <v>0</v>
      </c>
      <c r="P781" s="11">
        <f t="shared" si="95"/>
        <v>0</v>
      </c>
    </row>
    <row r="782" spans="1:16" ht="18.75" customHeight="1" thickBot="1" x14ac:dyDescent="0.3">
      <c r="A782" s="3" t="s">
        <v>11</v>
      </c>
      <c r="B782" s="4">
        <v>477378</v>
      </c>
      <c r="C782" s="3" t="s">
        <v>9</v>
      </c>
      <c r="D782" s="18">
        <v>0.13</v>
      </c>
      <c r="E782" s="21">
        <f t="shared" si="90"/>
        <v>1.02368443581764E-2</v>
      </c>
      <c r="F782" s="5">
        <v>32622</v>
      </c>
      <c r="G782" s="5">
        <v>32987</v>
      </c>
      <c r="H782" s="16">
        <f t="shared" si="93"/>
        <v>365</v>
      </c>
      <c r="I782" s="5">
        <v>32987</v>
      </c>
      <c r="J782" s="5">
        <v>33396</v>
      </c>
      <c r="K782" s="16">
        <f t="shared" si="94"/>
        <v>774</v>
      </c>
      <c r="L782" s="13">
        <v>11400</v>
      </c>
      <c r="M782" s="15">
        <f t="shared" si="92"/>
        <v>1001.3288311500953</v>
      </c>
      <c r="N782" s="13">
        <v>10900</v>
      </c>
      <c r="O782" s="13">
        <v>0</v>
      </c>
      <c r="P782" s="11">
        <f t="shared" si="95"/>
        <v>0</v>
      </c>
    </row>
    <row r="783" spans="1:16" ht="18.75" customHeight="1" thickBot="1" x14ac:dyDescent="0.3">
      <c r="A783" s="3" t="s">
        <v>11</v>
      </c>
      <c r="B783" s="4">
        <v>385776</v>
      </c>
      <c r="C783" s="3" t="s">
        <v>9</v>
      </c>
      <c r="D783" s="18">
        <v>0.14000000000000001</v>
      </c>
      <c r="E783" s="21">
        <f t="shared" si="90"/>
        <v>1.0978851950173452E-2</v>
      </c>
      <c r="F783" s="5">
        <v>32643</v>
      </c>
      <c r="G783" s="5">
        <v>33739</v>
      </c>
      <c r="H783" s="16">
        <f t="shared" si="93"/>
        <v>1096</v>
      </c>
      <c r="I783" s="5">
        <v>33739</v>
      </c>
      <c r="J783" s="5">
        <v>34227</v>
      </c>
      <c r="K783" s="16">
        <f t="shared" si="94"/>
        <v>1584</v>
      </c>
      <c r="L783" s="13">
        <v>9111.89</v>
      </c>
      <c r="M783" s="15">
        <f t="shared" si="92"/>
        <v>304.11545136849588</v>
      </c>
      <c r="N783" s="13">
        <v>1296.3699999999999</v>
      </c>
      <c r="O783" s="13">
        <v>0</v>
      </c>
      <c r="P783" s="11">
        <f t="shared" si="95"/>
        <v>0</v>
      </c>
    </row>
    <row r="784" spans="1:16" ht="18.75" customHeight="1" thickBot="1" x14ac:dyDescent="0.3">
      <c r="A784" s="3" t="s">
        <v>11</v>
      </c>
      <c r="B784" s="4">
        <v>219170</v>
      </c>
      <c r="C784" s="3" t="s">
        <v>9</v>
      </c>
      <c r="D784" s="18">
        <v>0.14000000000000001</v>
      </c>
      <c r="E784" s="21">
        <f t="shared" si="90"/>
        <v>1.0978851950173452E-2</v>
      </c>
      <c r="F784" s="5">
        <v>32665</v>
      </c>
      <c r="G784" s="5">
        <v>33030</v>
      </c>
      <c r="H784" s="16">
        <f t="shared" si="93"/>
        <v>365</v>
      </c>
      <c r="I784" s="5">
        <v>33030</v>
      </c>
      <c r="J784" s="5">
        <v>34675</v>
      </c>
      <c r="K784" s="16">
        <f t="shared" si="94"/>
        <v>2010</v>
      </c>
      <c r="L784" s="13">
        <v>12557.14</v>
      </c>
      <c r="M784" s="15">
        <f t="shared" si="92"/>
        <v>1108.2062681312216</v>
      </c>
      <c r="N784" s="13">
        <v>7225.72</v>
      </c>
      <c r="O784" s="13">
        <v>0</v>
      </c>
      <c r="P784" s="11">
        <f t="shared" si="95"/>
        <v>0</v>
      </c>
    </row>
    <row r="785" spans="1:16" ht="18.75" hidden="1" customHeight="1" thickBot="1" x14ac:dyDescent="0.3">
      <c r="A785" s="3" t="s">
        <v>11</v>
      </c>
      <c r="B785" s="4">
        <v>82860</v>
      </c>
      <c r="C785" s="3" t="s">
        <v>9</v>
      </c>
      <c r="D785" s="18">
        <v>0.15</v>
      </c>
      <c r="E785" s="21">
        <f t="shared" si="90"/>
        <v>1.171491691985338E-2</v>
      </c>
      <c r="F785" s="5">
        <v>32829</v>
      </c>
      <c r="G785" s="5">
        <v>33194</v>
      </c>
      <c r="H785" s="16">
        <f t="shared" si="93"/>
        <v>365</v>
      </c>
      <c r="I785" s="5">
        <v>33194</v>
      </c>
      <c r="J785" s="2"/>
      <c r="K785" s="16">
        <f t="shared" si="94"/>
        <v>-32829</v>
      </c>
      <c r="L785" s="13">
        <v>3500</v>
      </c>
      <c r="M785" s="15">
        <f t="shared" si="92"/>
        <v>310.33810524994374</v>
      </c>
      <c r="N785" s="13">
        <v>3500</v>
      </c>
      <c r="O785" s="13">
        <v>0</v>
      </c>
      <c r="P785" s="11">
        <f t="shared" si="95"/>
        <v>0</v>
      </c>
    </row>
    <row r="786" spans="1:16" ht="18.75" hidden="1" customHeight="1" thickBot="1" x14ac:dyDescent="0.3">
      <c r="A786" s="3" t="s">
        <v>11</v>
      </c>
      <c r="B786" s="4">
        <v>634516</v>
      </c>
      <c r="C786" s="3" t="s">
        <v>9</v>
      </c>
      <c r="D786" s="18">
        <v>0.15</v>
      </c>
      <c r="E786" s="21">
        <f t="shared" si="90"/>
        <v>1.171491691985338E-2</v>
      </c>
      <c r="F786" s="5">
        <v>32829</v>
      </c>
      <c r="G786" s="5">
        <v>33194</v>
      </c>
      <c r="H786" s="16">
        <f t="shared" si="93"/>
        <v>365</v>
      </c>
      <c r="I786" s="5">
        <v>33194</v>
      </c>
      <c r="J786" s="2"/>
      <c r="K786" s="16">
        <f t="shared" si="94"/>
        <v>-32829</v>
      </c>
      <c r="L786" s="13">
        <v>3012.94</v>
      </c>
      <c r="M786" s="15">
        <f t="shared" si="92"/>
        <v>267.15145452336156</v>
      </c>
      <c r="N786" s="13">
        <v>3012.94</v>
      </c>
      <c r="O786" s="13">
        <v>0</v>
      </c>
      <c r="P786" s="11">
        <f t="shared" si="95"/>
        <v>0</v>
      </c>
    </row>
    <row r="787" spans="1:16" ht="18.75" customHeight="1" thickBot="1" x14ac:dyDescent="0.3">
      <c r="A787" s="3" t="s">
        <v>11</v>
      </c>
      <c r="B787" s="4">
        <v>174464</v>
      </c>
      <c r="C787" s="3" t="s">
        <v>9</v>
      </c>
      <c r="D787" s="18">
        <v>0.18</v>
      </c>
      <c r="E787" s="21">
        <f t="shared" si="90"/>
        <v>1.3888430348409919E-2</v>
      </c>
      <c r="F787" s="5">
        <v>30001</v>
      </c>
      <c r="G787" s="5">
        <v>30182</v>
      </c>
      <c r="H787" s="16">
        <f t="shared" si="93"/>
        <v>181</v>
      </c>
      <c r="I787" s="5">
        <v>30182</v>
      </c>
      <c r="J787" s="5">
        <v>30001</v>
      </c>
      <c r="K787" s="16">
        <f t="shared" si="94"/>
        <v>0</v>
      </c>
      <c r="L787" s="13">
        <v>12000</v>
      </c>
      <c r="M787" s="15">
        <f t="shared" si="92"/>
        <v>2087.216426509302</v>
      </c>
      <c r="N787" s="13">
        <v>12000</v>
      </c>
      <c r="O787" s="13">
        <v>0</v>
      </c>
      <c r="P787" s="11">
        <f t="shared" si="95"/>
        <v>0</v>
      </c>
    </row>
    <row r="788" spans="1:16" ht="18.75" customHeight="1" thickBot="1" x14ac:dyDescent="0.3">
      <c r="A788" s="3" t="s">
        <v>11</v>
      </c>
      <c r="B788" s="4">
        <v>704955</v>
      </c>
      <c r="C788" s="3" t="s">
        <v>9</v>
      </c>
      <c r="D788" s="18">
        <v>0.14000000000000001</v>
      </c>
      <c r="E788" s="21">
        <f t="shared" si="90"/>
        <v>1.0978851950173452E-2</v>
      </c>
      <c r="F788" s="5">
        <v>32889</v>
      </c>
      <c r="G788" s="5">
        <v>33254</v>
      </c>
      <c r="H788" s="16">
        <f t="shared" si="93"/>
        <v>365</v>
      </c>
      <c r="I788" s="5">
        <v>33254</v>
      </c>
      <c r="J788" s="5">
        <v>33106</v>
      </c>
      <c r="K788" s="16">
        <f t="shared" si="94"/>
        <v>217</v>
      </c>
      <c r="L788" s="13">
        <v>2191.33</v>
      </c>
      <c r="M788" s="15">
        <f t="shared" si="92"/>
        <v>193.39161955222207</v>
      </c>
      <c r="N788" s="13">
        <v>2091.33</v>
      </c>
      <c r="O788" s="13">
        <v>0</v>
      </c>
      <c r="P788" s="11">
        <f t="shared" si="95"/>
        <v>0</v>
      </c>
    </row>
    <row r="789" spans="1:16" ht="18.75" customHeight="1" thickBot="1" x14ac:dyDescent="0.3">
      <c r="A789" s="3" t="s">
        <v>11</v>
      </c>
      <c r="B789" s="4">
        <v>548530</v>
      </c>
      <c r="C789" s="3" t="s">
        <v>9</v>
      </c>
      <c r="D789" s="18">
        <v>0.11</v>
      </c>
      <c r="E789" s="21">
        <f t="shared" si="90"/>
        <v>8.7345938235519061E-3</v>
      </c>
      <c r="F789" s="5">
        <v>32937</v>
      </c>
      <c r="G789" s="5">
        <v>33302</v>
      </c>
      <c r="H789" s="16">
        <f t="shared" si="93"/>
        <v>365</v>
      </c>
      <c r="I789" s="5">
        <v>33302</v>
      </c>
      <c r="J789" s="5">
        <v>33071</v>
      </c>
      <c r="K789" s="16">
        <f t="shared" si="94"/>
        <v>134</v>
      </c>
      <c r="L789" s="13">
        <v>24000</v>
      </c>
      <c r="M789" s="15">
        <f t="shared" si="92"/>
        <v>2087.8683810980851</v>
      </c>
      <c r="N789" s="13">
        <v>20463.759999999998</v>
      </c>
      <c r="O789" s="13">
        <v>0</v>
      </c>
      <c r="P789" s="11">
        <f t="shared" si="95"/>
        <v>0</v>
      </c>
    </row>
    <row r="790" spans="1:16" ht="18.75" hidden="1" customHeight="1" thickBot="1" x14ac:dyDescent="0.3">
      <c r="A790" s="3" t="s">
        <v>11</v>
      </c>
      <c r="B790" s="4">
        <v>885899</v>
      </c>
      <c r="C790" s="3" t="s">
        <v>15</v>
      </c>
      <c r="D790" s="7">
        <v>0.1515</v>
      </c>
      <c r="E790" s="7">
        <f t="shared" ref="E790:E791" si="96">D790/12</f>
        <v>1.2624999999999999E-2</v>
      </c>
      <c r="F790" s="5">
        <v>34956</v>
      </c>
      <c r="G790" s="5">
        <v>2958465</v>
      </c>
      <c r="H790" s="8">
        <f t="shared" si="93"/>
        <v>2923509</v>
      </c>
      <c r="I790" s="5">
        <v>2958465</v>
      </c>
      <c r="J790" s="5">
        <v>40813</v>
      </c>
      <c r="K790" s="8">
        <f t="shared" si="94"/>
        <v>5857</v>
      </c>
      <c r="L790" s="6">
        <v>1000</v>
      </c>
      <c r="M790" s="9">
        <f t="shared" si="92"/>
        <v>12.624999999999998</v>
      </c>
      <c r="N790" s="6">
        <v>526.37</v>
      </c>
      <c r="O790" s="6">
        <v>0</v>
      </c>
      <c r="P790" s="6">
        <v>0</v>
      </c>
    </row>
    <row r="791" spans="1:16" ht="18.75" hidden="1" customHeight="1" thickBot="1" x14ac:dyDescent="0.3">
      <c r="A791" s="3" t="s">
        <v>11</v>
      </c>
      <c r="B791" s="4">
        <v>743597</v>
      </c>
      <c r="C791" s="3" t="s">
        <v>15</v>
      </c>
      <c r="D791" s="7">
        <v>0.1515</v>
      </c>
      <c r="E791" s="7">
        <f t="shared" si="96"/>
        <v>1.2624999999999999E-2</v>
      </c>
      <c r="F791" s="5">
        <v>37034</v>
      </c>
      <c r="G791" s="5">
        <v>2958465</v>
      </c>
      <c r="H791" s="8">
        <f t="shared" si="93"/>
        <v>2921431</v>
      </c>
      <c r="I791" s="5">
        <v>2958465</v>
      </c>
      <c r="J791" s="5">
        <v>41087</v>
      </c>
      <c r="K791" s="8">
        <f t="shared" si="94"/>
        <v>4053</v>
      </c>
      <c r="L791" s="6">
        <v>500</v>
      </c>
      <c r="M791" s="9">
        <f t="shared" si="92"/>
        <v>6.3124999999999991</v>
      </c>
      <c r="N791" s="6">
        <v>500</v>
      </c>
      <c r="O791" s="6">
        <v>514.28</v>
      </c>
      <c r="P791" s="6">
        <v>0</v>
      </c>
    </row>
    <row r="792" spans="1:16" ht="18.75" customHeight="1" thickBot="1" x14ac:dyDescent="0.3">
      <c r="A792" s="3" t="s">
        <v>11</v>
      </c>
      <c r="B792" s="4">
        <v>808375</v>
      </c>
      <c r="C792" s="3" t="s">
        <v>9</v>
      </c>
      <c r="D792" s="18">
        <v>0.14000000000000001</v>
      </c>
      <c r="E792" s="21">
        <f t="shared" ref="E792:E855" si="97">(1+D792)^(1/12)-1</f>
        <v>1.0978851950173452E-2</v>
      </c>
      <c r="F792" s="5">
        <v>33014</v>
      </c>
      <c r="G792" s="5">
        <v>33290</v>
      </c>
      <c r="H792" s="16">
        <f t="shared" si="93"/>
        <v>276</v>
      </c>
      <c r="I792" s="5">
        <v>33290</v>
      </c>
      <c r="J792" s="5">
        <v>33315</v>
      </c>
      <c r="K792" s="16">
        <f t="shared" si="94"/>
        <v>301</v>
      </c>
      <c r="L792" s="13">
        <v>1000</v>
      </c>
      <c r="M792" s="15">
        <f t="shared" si="92"/>
        <v>114.87256029487476</v>
      </c>
      <c r="N792" s="13">
        <v>384.31</v>
      </c>
      <c r="O792" s="13">
        <v>0</v>
      </c>
      <c r="P792" s="11">
        <f t="shared" ref="P792:P823" si="98">IF((G792)&gt;(ConstantDateCutoff),1,0)</f>
        <v>0</v>
      </c>
    </row>
    <row r="793" spans="1:16" ht="18.75" customHeight="1" thickBot="1" x14ac:dyDescent="0.3">
      <c r="A793" s="3" t="s">
        <v>11</v>
      </c>
      <c r="B793" s="4">
        <v>847783</v>
      </c>
      <c r="C793" s="3" t="s">
        <v>9</v>
      </c>
      <c r="D793" s="18">
        <v>0.14000000000000001</v>
      </c>
      <c r="E793" s="21">
        <f t="shared" si="97"/>
        <v>1.0978851950173452E-2</v>
      </c>
      <c r="F793" s="5">
        <v>33029</v>
      </c>
      <c r="G793" s="5">
        <v>33943</v>
      </c>
      <c r="H793" s="16">
        <f t="shared" si="93"/>
        <v>914</v>
      </c>
      <c r="I793" s="5">
        <v>33943</v>
      </c>
      <c r="J793" s="5">
        <v>33238</v>
      </c>
      <c r="K793" s="16">
        <f t="shared" si="94"/>
        <v>209</v>
      </c>
      <c r="L793" s="13">
        <v>1450.96</v>
      </c>
      <c r="M793" s="15">
        <f t="shared" si="92"/>
        <v>56.291199147470167</v>
      </c>
      <c r="N793" s="13">
        <v>1136.47</v>
      </c>
      <c r="O793" s="13">
        <v>0</v>
      </c>
      <c r="P793" s="11">
        <f t="shared" si="98"/>
        <v>0</v>
      </c>
    </row>
    <row r="794" spans="1:16" ht="18.75" customHeight="1" thickBot="1" x14ac:dyDescent="0.3">
      <c r="A794" s="3" t="s">
        <v>11</v>
      </c>
      <c r="B794" s="4">
        <v>719185</v>
      </c>
      <c r="C794" s="3" t="s">
        <v>9</v>
      </c>
      <c r="D794" s="18">
        <v>0.14000000000000001</v>
      </c>
      <c r="E794" s="21">
        <f t="shared" si="97"/>
        <v>1.0978851950173452E-2</v>
      </c>
      <c r="F794" s="5">
        <v>33089</v>
      </c>
      <c r="G794" s="5">
        <v>33576</v>
      </c>
      <c r="H794" s="16">
        <f t="shared" si="93"/>
        <v>487</v>
      </c>
      <c r="I794" s="5">
        <v>33576</v>
      </c>
      <c r="J794" s="5">
        <v>34138</v>
      </c>
      <c r="K794" s="16">
        <f t="shared" si="94"/>
        <v>1049</v>
      </c>
      <c r="L794" s="13">
        <v>1800.09</v>
      </c>
      <c r="M794" s="15">
        <f t="shared" si="92"/>
        <v>121.66933385958116</v>
      </c>
      <c r="N794" s="13">
        <v>678.75</v>
      </c>
      <c r="O794" s="13">
        <v>0</v>
      </c>
      <c r="P794" s="11">
        <f t="shared" si="98"/>
        <v>0</v>
      </c>
    </row>
    <row r="795" spans="1:16" ht="18.75" hidden="1" customHeight="1" thickBot="1" x14ac:dyDescent="0.3">
      <c r="A795" s="3" t="s">
        <v>11</v>
      </c>
      <c r="B795" s="4">
        <v>506837</v>
      </c>
      <c r="C795" s="3" t="s">
        <v>9</v>
      </c>
      <c r="D795" s="18">
        <v>0.14000000000000001</v>
      </c>
      <c r="E795" s="21">
        <f t="shared" si="97"/>
        <v>1.0978851950173452E-2</v>
      </c>
      <c r="F795" s="5">
        <v>33100</v>
      </c>
      <c r="G795" s="5">
        <v>33539</v>
      </c>
      <c r="H795" s="16">
        <f t="shared" si="93"/>
        <v>439</v>
      </c>
      <c r="I795" s="5">
        <v>33539</v>
      </c>
      <c r="J795" s="2"/>
      <c r="K795" s="16">
        <f t="shared" si="94"/>
        <v>-33100</v>
      </c>
      <c r="L795" s="13">
        <v>1500</v>
      </c>
      <c r="M795" s="15">
        <f t="shared" si="92"/>
        <v>111.52069132003565</v>
      </c>
      <c r="N795" s="13">
        <v>1500</v>
      </c>
      <c r="O795" s="13">
        <v>0</v>
      </c>
      <c r="P795" s="11">
        <f t="shared" si="98"/>
        <v>0</v>
      </c>
    </row>
    <row r="796" spans="1:16" ht="18.75" customHeight="1" thickBot="1" x14ac:dyDescent="0.3">
      <c r="A796" s="3" t="s">
        <v>11</v>
      </c>
      <c r="B796" s="4">
        <v>146204</v>
      </c>
      <c r="C796" s="3" t="s">
        <v>9</v>
      </c>
      <c r="D796" s="18">
        <v>0.21</v>
      </c>
      <c r="E796" s="21">
        <f t="shared" si="97"/>
        <v>1.6011867773387367E-2</v>
      </c>
      <c r="F796" s="5">
        <v>30286</v>
      </c>
      <c r="G796" s="5">
        <v>31017</v>
      </c>
      <c r="H796" s="16">
        <f t="shared" si="93"/>
        <v>731</v>
      </c>
      <c r="I796" s="5">
        <v>31017</v>
      </c>
      <c r="J796" s="5">
        <v>41339</v>
      </c>
      <c r="K796" s="16">
        <f t="shared" si="94"/>
        <v>11053</v>
      </c>
      <c r="L796" s="13">
        <v>15.9</v>
      </c>
      <c r="M796" s="15">
        <f t="shared" si="92"/>
        <v>0.79322685331898379</v>
      </c>
      <c r="N796" s="13">
        <v>15.9</v>
      </c>
      <c r="O796" s="13">
        <v>0</v>
      </c>
      <c r="P796" s="11">
        <f t="shared" si="98"/>
        <v>0</v>
      </c>
    </row>
    <row r="797" spans="1:16" ht="18.75" customHeight="1" thickBot="1" x14ac:dyDescent="0.3">
      <c r="A797" s="3" t="s">
        <v>11</v>
      </c>
      <c r="B797" s="4">
        <v>217745</v>
      </c>
      <c r="C797" s="3" t="s">
        <v>9</v>
      </c>
      <c r="D797" s="18">
        <v>0.14000000000000001</v>
      </c>
      <c r="E797" s="21">
        <f t="shared" si="97"/>
        <v>1.0978851950173452E-2</v>
      </c>
      <c r="F797" s="5">
        <v>33200</v>
      </c>
      <c r="G797" s="5">
        <v>34127</v>
      </c>
      <c r="H797" s="16">
        <f t="shared" si="93"/>
        <v>927</v>
      </c>
      <c r="I797" s="5">
        <v>34127</v>
      </c>
      <c r="J797" s="5">
        <v>34096</v>
      </c>
      <c r="K797" s="16">
        <f t="shared" si="94"/>
        <v>896</v>
      </c>
      <c r="L797" s="13">
        <v>3697</v>
      </c>
      <c r="M797" s="15">
        <f t="shared" si="92"/>
        <v>141.73305781895672</v>
      </c>
      <c r="N797" s="13">
        <v>1033.48</v>
      </c>
      <c r="O797" s="13">
        <v>0</v>
      </c>
      <c r="P797" s="11">
        <f t="shared" si="98"/>
        <v>0</v>
      </c>
    </row>
    <row r="798" spans="1:16" ht="18.75" customHeight="1" thickBot="1" x14ac:dyDescent="0.3">
      <c r="A798" s="3" t="s">
        <v>11</v>
      </c>
      <c r="B798" s="4">
        <v>366531</v>
      </c>
      <c r="C798" s="3" t="s">
        <v>9</v>
      </c>
      <c r="D798" s="18">
        <v>0.18</v>
      </c>
      <c r="E798" s="21">
        <f t="shared" si="97"/>
        <v>1.3888430348409919E-2</v>
      </c>
      <c r="F798" s="5">
        <v>33203</v>
      </c>
      <c r="G798" s="5">
        <v>33424</v>
      </c>
      <c r="H798" s="16">
        <f t="shared" si="93"/>
        <v>221</v>
      </c>
      <c r="I798" s="5">
        <v>33424</v>
      </c>
      <c r="J798" s="5">
        <v>33452</v>
      </c>
      <c r="K798" s="16">
        <f t="shared" si="94"/>
        <v>249</v>
      </c>
      <c r="L798" s="13">
        <v>500</v>
      </c>
      <c r="M798" s="15">
        <f t="shared" si="92"/>
        <v>71.874442653920511</v>
      </c>
      <c r="N798" s="13">
        <v>40.04</v>
      </c>
      <c r="O798" s="13">
        <v>0</v>
      </c>
      <c r="P798" s="11">
        <f t="shared" si="98"/>
        <v>0</v>
      </c>
    </row>
    <row r="799" spans="1:16" ht="18.75" customHeight="1" thickBot="1" x14ac:dyDescent="0.3">
      <c r="A799" s="3" t="s">
        <v>11</v>
      </c>
      <c r="B799" s="4">
        <v>770340</v>
      </c>
      <c r="C799" s="3" t="s">
        <v>9</v>
      </c>
      <c r="D799" s="18">
        <v>0.14000000000000001</v>
      </c>
      <c r="E799" s="21">
        <f t="shared" si="97"/>
        <v>1.0978851950173452E-2</v>
      </c>
      <c r="F799" s="5">
        <v>33205</v>
      </c>
      <c r="G799" s="5">
        <v>34452</v>
      </c>
      <c r="H799" s="16">
        <f t="shared" si="93"/>
        <v>1247</v>
      </c>
      <c r="I799" s="5">
        <v>34452</v>
      </c>
      <c r="J799" s="5">
        <v>33786</v>
      </c>
      <c r="K799" s="16">
        <f t="shared" si="94"/>
        <v>581</v>
      </c>
      <c r="L799" s="13">
        <v>6557.94</v>
      </c>
      <c r="M799" s="15">
        <f t="shared" si="92"/>
        <v>197.34686797447185</v>
      </c>
      <c r="N799" s="13">
        <v>4846.18</v>
      </c>
      <c r="O799" s="13">
        <v>0</v>
      </c>
      <c r="P799" s="11">
        <f t="shared" si="98"/>
        <v>0</v>
      </c>
    </row>
    <row r="800" spans="1:16" ht="18.75" hidden="1" customHeight="1" thickBot="1" x14ac:dyDescent="0.3">
      <c r="A800" s="3" t="s">
        <v>11</v>
      </c>
      <c r="B800" s="4">
        <v>76072</v>
      </c>
      <c r="C800" s="3" t="s">
        <v>9</v>
      </c>
      <c r="D800" s="18">
        <v>0.14000000000000001</v>
      </c>
      <c r="E800" s="21">
        <f t="shared" si="97"/>
        <v>1.0978851950173452E-2</v>
      </c>
      <c r="F800" s="5">
        <v>33205</v>
      </c>
      <c r="G800" s="5">
        <v>33539</v>
      </c>
      <c r="H800" s="16">
        <f t="shared" si="93"/>
        <v>334</v>
      </c>
      <c r="I800" s="5">
        <v>33539</v>
      </c>
      <c r="J800" s="2"/>
      <c r="K800" s="16">
        <f t="shared" si="94"/>
        <v>-33205</v>
      </c>
      <c r="L800" s="13">
        <v>2000</v>
      </c>
      <c r="M800" s="15">
        <f t="shared" si="92"/>
        <v>191.82628648043172</v>
      </c>
      <c r="N800" s="13">
        <v>2000</v>
      </c>
      <c r="O800" s="13">
        <v>0</v>
      </c>
      <c r="P800" s="11">
        <f t="shared" si="98"/>
        <v>0</v>
      </c>
    </row>
    <row r="801" spans="1:16" ht="18.75" customHeight="1" thickBot="1" x14ac:dyDescent="0.3">
      <c r="A801" s="3" t="s">
        <v>11</v>
      </c>
      <c r="B801" s="4">
        <v>805799</v>
      </c>
      <c r="C801" s="3" t="s">
        <v>9</v>
      </c>
      <c r="D801" s="18">
        <v>0.18</v>
      </c>
      <c r="E801" s="21">
        <f t="shared" si="97"/>
        <v>1.3888430348409919E-2</v>
      </c>
      <c r="F801" s="5">
        <v>33262</v>
      </c>
      <c r="G801" s="5">
        <v>33535</v>
      </c>
      <c r="H801" s="16">
        <f t="shared" si="93"/>
        <v>273</v>
      </c>
      <c r="I801" s="5">
        <v>33535</v>
      </c>
      <c r="J801" s="5">
        <v>33702</v>
      </c>
      <c r="K801" s="16">
        <f t="shared" si="94"/>
        <v>440</v>
      </c>
      <c r="L801" s="13">
        <v>500</v>
      </c>
      <c r="M801" s="15">
        <f t="shared" si="92"/>
        <v>58.870450307253734</v>
      </c>
      <c r="N801" s="13">
        <v>465.79</v>
      </c>
      <c r="O801" s="13">
        <v>0</v>
      </c>
      <c r="P801" s="11">
        <f t="shared" si="98"/>
        <v>0</v>
      </c>
    </row>
    <row r="802" spans="1:16" ht="18.75" customHeight="1" thickBot="1" x14ac:dyDescent="0.3">
      <c r="A802" s="3" t="s">
        <v>11</v>
      </c>
      <c r="B802" s="4">
        <v>259821</v>
      </c>
      <c r="C802" s="3" t="s">
        <v>9</v>
      </c>
      <c r="D802" s="18">
        <v>0.15</v>
      </c>
      <c r="E802" s="21">
        <f t="shared" si="97"/>
        <v>1.171491691985338E-2</v>
      </c>
      <c r="F802" s="5">
        <v>33290</v>
      </c>
      <c r="G802" s="5">
        <v>34202</v>
      </c>
      <c r="H802" s="16">
        <f t="shared" si="93"/>
        <v>912</v>
      </c>
      <c r="I802" s="5">
        <v>34202</v>
      </c>
      <c r="J802" s="5">
        <v>34675</v>
      </c>
      <c r="K802" s="16">
        <f t="shared" si="94"/>
        <v>1385</v>
      </c>
      <c r="L802" s="13">
        <v>3817.92</v>
      </c>
      <c r="M802" s="15">
        <f t="shared" si="92"/>
        <v>150.00391175737346</v>
      </c>
      <c r="N802" s="13">
        <v>1461.33</v>
      </c>
      <c r="O802" s="13">
        <v>0</v>
      </c>
      <c r="P802" s="11">
        <f t="shared" si="98"/>
        <v>0</v>
      </c>
    </row>
    <row r="803" spans="1:16" ht="18.75" customHeight="1" thickBot="1" x14ac:dyDescent="0.3">
      <c r="A803" s="3" t="s">
        <v>11</v>
      </c>
      <c r="B803" s="4">
        <v>919501</v>
      </c>
      <c r="C803" s="3" t="s">
        <v>9</v>
      </c>
      <c r="D803" s="18">
        <v>0.14000000000000001</v>
      </c>
      <c r="E803" s="21">
        <f t="shared" si="97"/>
        <v>1.0978851950173452E-2</v>
      </c>
      <c r="F803" s="5">
        <v>33309</v>
      </c>
      <c r="G803" s="5">
        <v>34770</v>
      </c>
      <c r="H803" s="16">
        <f t="shared" si="93"/>
        <v>1461</v>
      </c>
      <c r="I803" s="5">
        <v>34770</v>
      </c>
      <c r="J803" s="5">
        <v>35052</v>
      </c>
      <c r="K803" s="16">
        <f t="shared" si="94"/>
        <v>1743</v>
      </c>
      <c r="L803" s="13">
        <v>11921.89</v>
      </c>
      <c r="M803" s="15">
        <f t="shared" si="92"/>
        <v>317.36130449663654</v>
      </c>
      <c r="N803" s="13">
        <v>2130.56</v>
      </c>
      <c r="O803" s="13">
        <v>0</v>
      </c>
      <c r="P803" s="11">
        <f t="shared" si="98"/>
        <v>0</v>
      </c>
    </row>
    <row r="804" spans="1:16" ht="18.75" hidden="1" customHeight="1" thickBot="1" x14ac:dyDescent="0.3">
      <c r="A804" s="3" t="s">
        <v>11</v>
      </c>
      <c r="B804" s="4">
        <v>292081</v>
      </c>
      <c r="C804" s="3" t="s">
        <v>9</v>
      </c>
      <c r="D804" s="18">
        <v>0.14000000000000001</v>
      </c>
      <c r="E804" s="21">
        <f t="shared" si="97"/>
        <v>1.0978851950173452E-2</v>
      </c>
      <c r="F804" s="5">
        <v>33325</v>
      </c>
      <c r="G804" s="5">
        <v>33539</v>
      </c>
      <c r="H804" s="16">
        <f t="shared" si="93"/>
        <v>214</v>
      </c>
      <c r="I804" s="5">
        <v>33539</v>
      </c>
      <c r="J804" s="2"/>
      <c r="K804" s="16">
        <f t="shared" si="94"/>
        <v>-33325</v>
      </c>
      <c r="L804" s="13">
        <v>4000</v>
      </c>
      <c r="M804" s="15">
        <f t="shared" si="92"/>
        <v>586.06296366075287</v>
      </c>
      <c r="N804" s="13">
        <v>4000</v>
      </c>
      <c r="O804" s="13">
        <v>0</v>
      </c>
      <c r="P804" s="11">
        <f t="shared" si="98"/>
        <v>0</v>
      </c>
    </row>
    <row r="805" spans="1:16" ht="18.75" customHeight="1" thickBot="1" x14ac:dyDescent="0.3">
      <c r="A805" s="3" t="s">
        <v>11</v>
      </c>
      <c r="B805" s="4">
        <v>906889</v>
      </c>
      <c r="C805" s="3" t="s">
        <v>9</v>
      </c>
      <c r="D805" s="18">
        <v>0.14000000000000001</v>
      </c>
      <c r="E805" s="21">
        <f t="shared" si="97"/>
        <v>1.0978851950173452E-2</v>
      </c>
      <c r="F805" s="5">
        <v>33400</v>
      </c>
      <c r="G805" s="5">
        <v>33674</v>
      </c>
      <c r="H805" s="16">
        <f t="shared" si="93"/>
        <v>274</v>
      </c>
      <c r="I805" s="5">
        <v>33674</v>
      </c>
      <c r="J805" s="5">
        <v>33753</v>
      </c>
      <c r="K805" s="16">
        <f t="shared" si="94"/>
        <v>353</v>
      </c>
      <c r="L805" s="13">
        <v>550</v>
      </c>
      <c r="M805" s="15">
        <f t="shared" si="92"/>
        <v>63.618302515541373</v>
      </c>
      <c r="N805" s="13">
        <v>192.05</v>
      </c>
      <c r="O805" s="13">
        <v>0</v>
      </c>
      <c r="P805" s="11">
        <f t="shared" si="98"/>
        <v>0</v>
      </c>
    </row>
    <row r="806" spans="1:16" ht="18.75" hidden="1" customHeight="1" thickBot="1" x14ac:dyDescent="0.3">
      <c r="A806" s="3" t="s">
        <v>11</v>
      </c>
      <c r="B806" s="4">
        <v>595508</v>
      </c>
      <c r="C806" s="3" t="s">
        <v>9</v>
      </c>
      <c r="D806" s="18">
        <v>0.14000000000000001</v>
      </c>
      <c r="E806" s="21">
        <f t="shared" si="97"/>
        <v>1.0978851950173452E-2</v>
      </c>
      <c r="F806" s="5">
        <v>33452</v>
      </c>
      <c r="G806" s="5">
        <v>33574</v>
      </c>
      <c r="H806" s="16">
        <f t="shared" si="93"/>
        <v>122</v>
      </c>
      <c r="I806" s="5">
        <v>33574</v>
      </c>
      <c r="J806" s="2"/>
      <c r="K806" s="16">
        <f t="shared" si="94"/>
        <v>-33452</v>
      </c>
      <c r="L806" s="13">
        <v>300</v>
      </c>
      <c r="M806" s="15">
        <f t="shared" si="92"/>
        <v>75.833727523424997</v>
      </c>
      <c r="N806" s="13">
        <v>300</v>
      </c>
      <c r="O806" s="13">
        <v>0</v>
      </c>
      <c r="P806" s="11">
        <f t="shared" si="98"/>
        <v>0</v>
      </c>
    </row>
    <row r="807" spans="1:16" ht="18.75" customHeight="1" thickBot="1" x14ac:dyDescent="0.3">
      <c r="A807" s="3" t="s">
        <v>11</v>
      </c>
      <c r="B807" s="4">
        <v>25942</v>
      </c>
      <c r="C807" s="3" t="s">
        <v>9</v>
      </c>
      <c r="D807" s="18">
        <v>0.11</v>
      </c>
      <c r="E807" s="21">
        <f t="shared" si="97"/>
        <v>8.7345938235519061E-3</v>
      </c>
      <c r="F807" s="5">
        <v>33541</v>
      </c>
      <c r="G807" s="5">
        <v>34509</v>
      </c>
      <c r="H807" s="16">
        <f t="shared" si="93"/>
        <v>968</v>
      </c>
      <c r="I807" s="5">
        <v>34509</v>
      </c>
      <c r="J807" s="5">
        <v>35048</v>
      </c>
      <c r="K807" s="16">
        <f t="shared" si="94"/>
        <v>1507</v>
      </c>
      <c r="L807" s="13">
        <v>11261.21</v>
      </c>
      <c r="M807" s="15">
        <f t="shared" si="92"/>
        <v>402.00460955663743</v>
      </c>
      <c r="N807" s="13">
        <v>7261.21</v>
      </c>
      <c r="O807" s="13">
        <v>0</v>
      </c>
      <c r="P807" s="11">
        <f t="shared" si="98"/>
        <v>0</v>
      </c>
    </row>
    <row r="808" spans="1:16" ht="18.75" customHeight="1" thickBot="1" x14ac:dyDescent="0.3">
      <c r="A808" s="3" t="s">
        <v>11</v>
      </c>
      <c r="B808" s="4">
        <v>637415</v>
      </c>
      <c r="C808" s="3" t="s">
        <v>9</v>
      </c>
      <c r="D808" s="18">
        <v>0.18</v>
      </c>
      <c r="E808" s="21">
        <f t="shared" si="97"/>
        <v>1.3888430348409919E-2</v>
      </c>
      <c r="F808" s="5">
        <v>33695</v>
      </c>
      <c r="G808" s="5">
        <v>34060</v>
      </c>
      <c r="H808" s="16">
        <f t="shared" si="93"/>
        <v>365</v>
      </c>
      <c r="I808" s="5">
        <v>34060</v>
      </c>
      <c r="J808" s="5">
        <v>33921</v>
      </c>
      <c r="K808" s="16">
        <f t="shared" si="94"/>
        <v>226</v>
      </c>
      <c r="L808" s="13">
        <v>700</v>
      </c>
      <c r="M808" s="15">
        <f t="shared" si="92"/>
        <v>62.929700495555906</v>
      </c>
      <c r="N808" s="13">
        <v>510.65</v>
      </c>
      <c r="O808" s="13">
        <v>0</v>
      </c>
      <c r="P808" s="11">
        <f t="shared" si="98"/>
        <v>0</v>
      </c>
    </row>
    <row r="809" spans="1:16" ht="18.75" customHeight="1" thickBot="1" x14ac:dyDescent="0.3">
      <c r="A809" s="3" t="s">
        <v>11</v>
      </c>
      <c r="B809" s="4">
        <v>443536</v>
      </c>
      <c r="C809" s="3" t="s">
        <v>9</v>
      </c>
      <c r="D809" s="18">
        <v>0.14000000000000001</v>
      </c>
      <c r="E809" s="21">
        <f t="shared" si="97"/>
        <v>1.0978851950173452E-2</v>
      </c>
      <c r="F809" s="5">
        <v>33695</v>
      </c>
      <c r="G809" s="5">
        <v>35886</v>
      </c>
      <c r="H809" s="16">
        <f t="shared" si="93"/>
        <v>2191</v>
      </c>
      <c r="I809" s="5">
        <v>35886</v>
      </c>
      <c r="J809" s="5">
        <v>34844</v>
      </c>
      <c r="K809" s="16">
        <f t="shared" si="94"/>
        <v>1149</v>
      </c>
      <c r="L809" s="13">
        <v>4009.19</v>
      </c>
      <c r="M809" s="15">
        <f t="shared" si="92"/>
        <v>80.098827666069496</v>
      </c>
      <c r="N809" s="13">
        <v>1873.19</v>
      </c>
      <c r="O809" s="13">
        <v>0</v>
      </c>
      <c r="P809" s="11">
        <f t="shared" si="98"/>
        <v>0</v>
      </c>
    </row>
    <row r="810" spans="1:16" ht="18.75" customHeight="1" thickBot="1" x14ac:dyDescent="0.3">
      <c r="A810" s="3" t="s">
        <v>11</v>
      </c>
      <c r="B810" s="4">
        <v>65449</v>
      </c>
      <c r="C810" s="3" t="s">
        <v>9</v>
      </c>
      <c r="D810" s="18">
        <v>0.125</v>
      </c>
      <c r="E810" s="21">
        <f t="shared" si="97"/>
        <v>9.8635805532114595E-3</v>
      </c>
      <c r="F810" s="5">
        <v>33715</v>
      </c>
      <c r="G810" s="5">
        <v>34445</v>
      </c>
      <c r="H810" s="16">
        <f t="shared" si="93"/>
        <v>730</v>
      </c>
      <c r="I810" s="5">
        <v>34445</v>
      </c>
      <c r="J810" s="5">
        <v>34124</v>
      </c>
      <c r="K810" s="16">
        <f t="shared" si="94"/>
        <v>409</v>
      </c>
      <c r="L810" s="13">
        <v>2000</v>
      </c>
      <c r="M810" s="15">
        <f t="shared" si="92"/>
        <v>92.852310799005664</v>
      </c>
      <c r="N810" s="13">
        <v>2000</v>
      </c>
      <c r="O810" s="13">
        <v>0</v>
      </c>
      <c r="P810" s="11">
        <f t="shared" si="98"/>
        <v>0</v>
      </c>
    </row>
    <row r="811" spans="1:16" ht="18.75" customHeight="1" thickBot="1" x14ac:dyDescent="0.3">
      <c r="A811" s="3" t="s">
        <v>11</v>
      </c>
      <c r="B811" s="4">
        <v>869003</v>
      </c>
      <c r="C811" s="3" t="s">
        <v>9</v>
      </c>
      <c r="D811" s="18">
        <v>0.14000000000000001</v>
      </c>
      <c r="E811" s="21">
        <f t="shared" si="97"/>
        <v>1.0978851950173452E-2</v>
      </c>
      <c r="F811" s="5">
        <v>33718</v>
      </c>
      <c r="G811" s="5">
        <v>34083</v>
      </c>
      <c r="H811" s="16">
        <f t="shared" si="93"/>
        <v>365</v>
      </c>
      <c r="I811" s="5">
        <v>34083</v>
      </c>
      <c r="J811" s="5">
        <v>34005</v>
      </c>
      <c r="K811" s="16">
        <f t="shared" si="94"/>
        <v>287</v>
      </c>
      <c r="L811" s="13">
        <v>1000</v>
      </c>
      <c r="M811" s="15">
        <f t="shared" si="92"/>
        <v>88.25307897588317</v>
      </c>
      <c r="N811" s="13">
        <v>299.32</v>
      </c>
      <c r="O811" s="13">
        <v>0</v>
      </c>
      <c r="P811" s="11">
        <f t="shared" si="98"/>
        <v>0</v>
      </c>
    </row>
    <row r="812" spans="1:16" ht="18.75" customHeight="1" thickBot="1" x14ac:dyDescent="0.3">
      <c r="A812" s="3" t="s">
        <v>11</v>
      </c>
      <c r="B812" s="4">
        <v>191960</v>
      </c>
      <c r="C812" s="3" t="s">
        <v>9</v>
      </c>
      <c r="D812" s="18">
        <v>0.14000000000000001</v>
      </c>
      <c r="E812" s="21">
        <f t="shared" si="97"/>
        <v>1.0978851950173452E-2</v>
      </c>
      <c r="F812" s="5">
        <v>33721</v>
      </c>
      <c r="G812" s="5">
        <v>34542</v>
      </c>
      <c r="H812" s="16">
        <f t="shared" si="93"/>
        <v>821</v>
      </c>
      <c r="I812" s="5">
        <v>34542</v>
      </c>
      <c r="J812" s="5">
        <v>34096</v>
      </c>
      <c r="K812" s="16">
        <f t="shared" si="94"/>
        <v>375</v>
      </c>
      <c r="L812" s="13">
        <v>2650</v>
      </c>
      <c r="M812" s="15">
        <f t="shared" si="92"/>
        <v>112.63410555761504</v>
      </c>
      <c r="N812" s="13">
        <v>1813.54</v>
      </c>
      <c r="O812" s="13">
        <v>0</v>
      </c>
      <c r="P812" s="11">
        <f t="shared" si="98"/>
        <v>0</v>
      </c>
    </row>
    <row r="813" spans="1:16" ht="18.75" customHeight="1" thickBot="1" x14ac:dyDescent="0.3">
      <c r="A813" s="3" t="s">
        <v>11</v>
      </c>
      <c r="B813" s="4">
        <v>213558</v>
      </c>
      <c r="C813" s="3" t="s">
        <v>9</v>
      </c>
      <c r="D813" s="18">
        <v>0.14000000000000001</v>
      </c>
      <c r="E813" s="21">
        <f t="shared" si="97"/>
        <v>1.0978851950173452E-2</v>
      </c>
      <c r="F813" s="5">
        <v>33779</v>
      </c>
      <c r="G813" s="5">
        <v>34692</v>
      </c>
      <c r="H813" s="16">
        <f t="shared" si="93"/>
        <v>913</v>
      </c>
      <c r="I813" s="5">
        <v>34692</v>
      </c>
      <c r="J813" s="5">
        <v>36999</v>
      </c>
      <c r="K813" s="16">
        <f t="shared" si="94"/>
        <v>3220</v>
      </c>
      <c r="L813" s="13">
        <v>4300.49</v>
      </c>
      <c r="M813" s="15">
        <f t="shared" si="92"/>
        <v>166.99511136545803</v>
      </c>
      <c r="N813" s="13">
        <v>1854</v>
      </c>
      <c r="O813" s="13">
        <v>0</v>
      </c>
      <c r="P813" s="11">
        <f t="shared" si="98"/>
        <v>0</v>
      </c>
    </row>
    <row r="814" spans="1:16" ht="18.75" customHeight="1" thickBot="1" x14ac:dyDescent="0.3">
      <c r="A814" s="3" t="s">
        <v>11</v>
      </c>
      <c r="B814" s="4">
        <v>355659</v>
      </c>
      <c r="C814" s="3" t="s">
        <v>9</v>
      </c>
      <c r="D814" s="18">
        <v>0.13</v>
      </c>
      <c r="E814" s="21">
        <f t="shared" si="97"/>
        <v>1.02368443581764E-2</v>
      </c>
      <c r="F814" s="5">
        <v>33787</v>
      </c>
      <c r="G814" s="5">
        <v>33971</v>
      </c>
      <c r="H814" s="16">
        <f t="shared" si="93"/>
        <v>184</v>
      </c>
      <c r="I814" s="5">
        <v>33971</v>
      </c>
      <c r="J814" s="5">
        <v>34233</v>
      </c>
      <c r="K814" s="16">
        <f t="shared" si="94"/>
        <v>446</v>
      </c>
      <c r="L814" s="13">
        <v>2000</v>
      </c>
      <c r="M814" s="15">
        <f t="shared" si="92"/>
        <v>338.09658864064613</v>
      </c>
      <c r="N814" s="13">
        <v>1400</v>
      </c>
      <c r="O814" s="13">
        <v>0</v>
      </c>
      <c r="P814" s="11">
        <f t="shared" si="98"/>
        <v>0</v>
      </c>
    </row>
    <row r="815" spans="1:16" ht="18.75" customHeight="1" thickBot="1" x14ac:dyDescent="0.3">
      <c r="A815" s="3" t="s">
        <v>11</v>
      </c>
      <c r="B815" s="4">
        <v>932853</v>
      </c>
      <c r="C815" s="3" t="s">
        <v>9</v>
      </c>
      <c r="D815" s="18">
        <v>0.14000000000000001</v>
      </c>
      <c r="E815" s="21">
        <f t="shared" si="97"/>
        <v>1.0978851950173452E-2</v>
      </c>
      <c r="F815" s="5">
        <v>33791</v>
      </c>
      <c r="G815" s="5">
        <v>34340</v>
      </c>
      <c r="H815" s="16">
        <f t="shared" si="93"/>
        <v>549</v>
      </c>
      <c r="I815" s="5">
        <v>34340</v>
      </c>
      <c r="J815" s="5">
        <v>34583</v>
      </c>
      <c r="K815" s="16">
        <f t="shared" si="94"/>
        <v>792</v>
      </c>
      <c r="L815" s="13">
        <v>2200</v>
      </c>
      <c r="M815" s="15">
        <f t="shared" si="92"/>
        <v>133.35597079986428</v>
      </c>
      <c r="N815" s="13">
        <v>1179.1600000000001</v>
      </c>
      <c r="O815" s="13">
        <v>0</v>
      </c>
      <c r="P815" s="11">
        <f t="shared" si="98"/>
        <v>0</v>
      </c>
    </row>
    <row r="816" spans="1:16" ht="18.75" customHeight="1" thickBot="1" x14ac:dyDescent="0.3">
      <c r="A816" s="3" t="s">
        <v>11</v>
      </c>
      <c r="B816" s="4">
        <v>378346</v>
      </c>
      <c r="C816" s="3" t="s">
        <v>9</v>
      </c>
      <c r="D816" s="18">
        <v>0.14000000000000001</v>
      </c>
      <c r="E816" s="21">
        <f t="shared" si="97"/>
        <v>1.0978851950173452E-2</v>
      </c>
      <c r="F816" s="5">
        <v>33833</v>
      </c>
      <c r="G816" s="5">
        <v>34382</v>
      </c>
      <c r="H816" s="16">
        <f t="shared" si="93"/>
        <v>549</v>
      </c>
      <c r="I816" s="5">
        <v>34382</v>
      </c>
      <c r="J816" s="5">
        <v>34821</v>
      </c>
      <c r="K816" s="16">
        <f t="shared" si="94"/>
        <v>988</v>
      </c>
      <c r="L816" s="13">
        <v>3097.69</v>
      </c>
      <c r="M816" s="15">
        <f t="shared" si="92"/>
        <v>187.77066235774163</v>
      </c>
      <c r="N816" s="13">
        <v>774.39</v>
      </c>
      <c r="O816" s="13">
        <v>0</v>
      </c>
      <c r="P816" s="11">
        <f t="shared" si="98"/>
        <v>0</v>
      </c>
    </row>
    <row r="817" spans="1:16" ht="18.75" customHeight="1" thickBot="1" x14ac:dyDescent="0.3">
      <c r="A817" s="3" t="s">
        <v>11</v>
      </c>
      <c r="B817" s="4">
        <v>174413</v>
      </c>
      <c r="C817" s="3" t="s">
        <v>9</v>
      </c>
      <c r="D817" s="18">
        <v>0.14000000000000001</v>
      </c>
      <c r="E817" s="21">
        <f t="shared" si="97"/>
        <v>1.0978851950173452E-2</v>
      </c>
      <c r="F817" s="5">
        <v>33840</v>
      </c>
      <c r="G817" s="5">
        <v>34692</v>
      </c>
      <c r="H817" s="16">
        <f t="shared" si="93"/>
        <v>852</v>
      </c>
      <c r="I817" s="5">
        <v>34692</v>
      </c>
      <c r="J817" s="5">
        <v>34194</v>
      </c>
      <c r="K817" s="16">
        <f t="shared" si="94"/>
        <v>354</v>
      </c>
      <c r="L817" s="13">
        <v>3000</v>
      </c>
      <c r="M817" s="15">
        <f t="shared" si="92"/>
        <v>123.53066952028396</v>
      </c>
      <c r="N817" s="13">
        <v>2191.08</v>
      </c>
      <c r="O817" s="13">
        <v>0</v>
      </c>
      <c r="P817" s="11">
        <f t="shared" si="98"/>
        <v>0</v>
      </c>
    </row>
    <row r="818" spans="1:16" ht="18.75" hidden="1" customHeight="1" thickBot="1" x14ac:dyDescent="0.3">
      <c r="A818" s="3" t="s">
        <v>11</v>
      </c>
      <c r="B818" s="4">
        <v>925602</v>
      </c>
      <c r="C818" s="3" t="s">
        <v>9</v>
      </c>
      <c r="D818" s="18">
        <v>0.14000000000000001</v>
      </c>
      <c r="E818" s="21">
        <f t="shared" si="97"/>
        <v>1.0978851950173452E-2</v>
      </c>
      <c r="F818" s="5">
        <v>33925</v>
      </c>
      <c r="G818" s="5">
        <v>34045</v>
      </c>
      <c r="H818" s="16">
        <f t="shared" si="93"/>
        <v>120</v>
      </c>
      <c r="I818" s="5">
        <v>34045</v>
      </c>
      <c r="J818" s="2"/>
      <c r="K818" s="16">
        <f t="shared" si="94"/>
        <v>-33925</v>
      </c>
      <c r="L818" s="13">
        <v>200</v>
      </c>
      <c r="M818" s="15">
        <f t="shared" si="92"/>
        <v>51.379848635969452</v>
      </c>
      <c r="N818" s="13">
        <v>200</v>
      </c>
      <c r="O818" s="13">
        <v>0</v>
      </c>
      <c r="P818" s="11">
        <f t="shared" si="98"/>
        <v>0</v>
      </c>
    </row>
    <row r="819" spans="1:16" ht="18.75" hidden="1" customHeight="1" thickBot="1" x14ac:dyDescent="0.3">
      <c r="A819" s="3" t="s">
        <v>11</v>
      </c>
      <c r="B819" s="4">
        <v>506504</v>
      </c>
      <c r="C819" s="3" t="s">
        <v>9</v>
      </c>
      <c r="D819" s="18">
        <v>0.14000000000000001</v>
      </c>
      <c r="E819" s="21">
        <f t="shared" si="97"/>
        <v>1.0978851950173452E-2</v>
      </c>
      <c r="F819" s="5">
        <v>33926</v>
      </c>
      <c r="G819" s="5">
        <v>34046</v>
      </c>
      <c r="H819" s="16">
        <f t="shared" si="93"/>
        <v>120</v>
      </c>
      <c r="I819" s="5">
        <v>34046</v>
      </c>
      <c r="J819" s="2"/>
      <c r="K819" s="16">
        <f t="shared" si="94"/>
        <v>-33926</v>
      </c>
      <c r="L819" s="13">
        <v>200</v>
      </c>
      <c r="M819" s="15">
        <f t="shared" si="92"/>
        <v>51.379848635969452</v>
      </c>
      <c r="N819" s="13">
        <v>200</v>
      </c>
      <c r="O819" s="13">
        <v>0</v>
      </c>
      <c r="P819" s="11">
        <f t="shared" si="98"/>
        <v>0</v>
      </c>
    </row>
    <row r="820" spans="1:16" ht="18.75" hidden="1" customHeight="1" thickBot="1" x14ac:dyDescent="0.3">
      <c r="A820" s="3" t="s">
        <v>11</v>
      </c>
      <c r="B820" s="4">
        <v>433855</v>
      </c>
      <c r="C820" s="3" t="s">
        <v>9</v>
      </c>
      <c r="D820" s="18">
        <v>0.12</v>
      </c>
      <c r="E820" s="21">
        <f t="shared" si="97"/>
        <v>9.4887929345830457E-3</v>
      </c>
      <c r="F820" s="5">
        <v>33947</v>
      </c>
      <c r="G820" s="5">
        <v>34312</v>
      </c>
      <c r="H820" s="16">
        <f t="shared" si="93"/>
        <v>365</v>
      </c>
      <c r="I820" s="5">
        <v>34312</v>
      </c>
      <c r="J820" s="2"/>
      <c r="K820" s="16">
        <f t="shared" si="94"/>
        <v>-33947</v>
      </c>
      <c r="L820" s="13">
        <v>5800</v>
      </c>
      <c r="M820" s="15">
        <f t="shared" si="92"/>
        <v>507.01483716871911</v>
      </c>
      <c r="N820" s="13">
        <v>5800</v>
      </c>
      <c r="O820" s="13">
        <v>0</v>
      </c>
      <c r="P820" s="11">
        <f t="shared" si="98"/>
        <v>0</v>
      </c>
    </row>
    <row r="821" spans="1:16" ht="18.75" customHeight="1" thickBot="1" x14ac:dyDescent="0.3">
      <c r="A821" s="3" t="s">
        <v>11</v>
      </c>
      <c r="B821" s="4">
        <v>721377</v>
      </c>
      <c r="C821" s="3" t="s">
        <v>9</v>
      </c>
      <c r="D821" s="18">
        <v>0.15</v>
      </c>
      <c r="E821" s="21">
        <f t="shared" si="97"/>
        <v>1.171491691985338E-2</v>
      </c>
      <c r="F821" s="5">
        <v>33956</v>
      </c>
      <c r="G821" s="5">
        <v>34352</v>
      </c>
      <c r="H821" s="16">
        <f t="shared" si="93"/>
        <v>396</v>
      </c>
      <c r="I821" s="5">
        <v>34352</v>
      </c>
      <c r="J821" s="5">
        <v>34096</v>
      </c>
      <c r="K821" s="16">
        <f t="shared" si="94"/>
        <v>140</v>
      </c>
      <c r="L821" s="13">
        <v>600</v>
      </c>
      <c r="M821" s="15">
        <f t="shared" si="92"/>
        <v>49.324767840577088</v>
      </c>
      <c r="N821" s="13">
        <v>464.33</v>
      </c>
      <c r="O821" s="13">
        <v>0</v>
      </c>
      <c r="P821" s="11">
        <f t="shared" si="98"/>
        <v>0</v>
      </c>
    </row>
    <row r="822" spans="1:16" ht="18.75" customHeight="1" thickBot="1" x14ac:dyDescent="0.3">
      <c r="A822" s="3" t="s">
        <v>11</v>
      </c>
      <c r="B822" s="4">
        <v>992175</v>
      </c>
      <c r="C822" s="3" t="s">
        <v>9</v>
      </c>
      <c r="D822" s="18">
        <v>0.12</v>
      </c>
      <c r="E822" s="21">
        <f t="shared" si="97"/>
        <v>9.4887929345830457E-3</v>
      </c>
      <c r="F822" s="5">
        <v>33974</v>
      </c>
      <c r="G822" s="5">
        <v>35221</v>
      </c>
      <c r="H822" s="16">
        <f t="shared" si="93"/>
        <v>1247</v>
      </c>
      <c r="I822" s="5">
        <v>35221</v>
      </c>
      <c r="J822" s="5">
        <v>34432</v>
      </c>
      <c r="K822" s="16">
        <f t="shared" si="94"/>
        <v>458</v>
      </c>
      <c r="L822" s="13">
        <v>5828.36</v>
      </c>
      <c r="M822" s="15">
        <f t="shared" si="92"/>
        <v>170.33795301545499</v>
      </c>
      <c r="N822" s="13">
        <v>5165.5</v>
      </c>
      <c r="O822" s="13">
        <v>0</v>
      </c>
      <c r="P822" s="11">
        <f t="shared" si="98"/>
        <v>0</v>
      </c>
    </row>
    <row r="823" spans="1:16" ht="18.75" customHeight="1" thickBot="1" x14ac:dyDescent="0.3">
      <c r="A823" s="3" t="s">
        <v>11</v>
      </c>
      <c r="B823" s="4">
        <v>527715</v>
      </c>
      <c r="C823" s="3" t="s">
        <v>9</v>
      </c>
      <c r="D823" s="18">
        <v>0.12</v>
      </c>
      <c r="E823" s="21">
        <f t="shared" si="97"/>
        <v>9.4887929345830457E-3</v>
      </c>
      <c r="F823" s="5">
        <v>34129</v>
      </c>
      <c r="G823" s="5">
        <v>35104</v>
      </c>
      <c r="H823" s="16">
        <f t="shared" si="93"/>
        <v>975</v>
      </c>
      <c r="I823" s="5">
        <v>35104</v>
      </c>
      <c r="J823" s="5">
        <v>34809</v>
      </c>
      <c r="K823" s="16">
        <f t="shared" si="94"/>
        <v>680</v>
      </c>
      <c r="L823" s="13">
        <v>2400</v>
      </c>
      <c r="M823" s="15">
        <f t="shared" si="92"/>
        <v>86.164079381919024</v>
      </c>
      <c r="N823" s="13">
        <v>1180.99</v>
      </c>
      <c r="O823" s="13">
        <v>0</v>
      </c>
      <c r="P823" s="11">
        <f t="shared" si="98"/>
        <v>0</v>
      </c>
    </row>
    <row r="824" spans="1:16" ht="18.75" customHeight="1" thickBot="1" x14ac:dyDescent="0.3">
      <c r="A824" s="3" t="s">
        <v>11</v>
      </c>
      <c r="B824" s="4">
        <v>508144</v>
      </c>
      <c r="C824" s="3" t="s">
        <v>9</v>
      </c>
      <c r="D824" s="18">
        <v>0.14000000000000001</v>
      </c>
      <c r="E824" s="21">
        <f t="shared" si="97"/>
        <v>1.0978851950173452E-2</v>
      </c>
      <c r="F824" s="5">
        <v>34141</v>
      </c>
      <c r="G824" s="5">
        <v>34506</v>
      </c>
      <c r="H824" s="16">
        <f t="shared" si="93"/>
        <v>365</v>
      </c>
      <c r="I824" s="5">
        <v>34506</v>
      </c>
      <c r="J824" s="5">
        <v>34242</v>
      </c>
      <c r="K824" s="16">
        <f t="shared" si="94"/>
        <v>101</v>
      </c>
      <c r="L824" s="13">
        <v>1230.53</v>
      </c>
      <c r="M824" s="15">
        <f t="shared" si="92"/>
        <v>108.59806127219352</v>
      </c>
      <c r="N824" s="13">
        <v>933.96</v>
      </c>
      <c r="O824" s="13">
        <v>0</v>
      </c>
      <c r="P824" s="11">
        <f t="shared" ref="P824:P855" si="99">IF((G824)&gt;(ConstantDateCutoff),1,0)</f>
        <v>0</v>
      </c>
    </row>
    <row r="825" spans="1:16" ht="18.75" customHeight="1" thickBot="1" x14ac:dyDescent="0.3">
      <c r="A825" s="3" t="s">
        <v>11</v>
      </c>
      <c r="B825" s="4">
        <v>781053</v>
      </c>
      <c r="C825" s="3" t="s">
        <v>9</v>
      </c>
      <c r="D825" s="18">
        <v>0.12</v>
      </c>
      <c r="E825" s="21">
        <f t="shared" si="97"/>
        <v>9.4887929345830457E-3</v>
      </c>
      <c r="F825" s="5">
        <v>34208</v>
      </c>
      <c r="G825" s="5">
        <v>35730</v>
      </c>
      <c r="H825" s="16">
        <f t="shared" si="93"/>
        <v>1522</v>
      </c>
      <c r="I825" s="5">
        <v>35730</v>
      </c>
      <c r="J825" s="5">
        <v>35124</v>
      </c>
      <c r="K825" s="16">
        <f t="shared" si="94"/>
        <v>916</v>
      </c>
      <c r="L825" s="13">
        <v>8028.82</v>
      </c>
      <c r="M825" s="15">
        <f t="shared" si="92"/>
        <v>200.12711596651414</v>
      </c>
      <c r="N825" s="13">
        <v>6198.5</v>
      </c>
      <c r="O825" s="13">
        <v>0</v>
      </c>
      <c r="P825" s="11">
        <f t="shared" si="99"/>
        <v>0</v>
      </c>
    </row>
    <row r="826" spans="1:16" ht="18.75" customHeight="1" thickBot="1" x14ac:dyDescent="0.3">
      <c r="A826" s="3" t="s">
        <v>11</v>
      </c>
      <c r="B826" s="4">
        <v>404728</v>
      </c>
      <c r="C826" s="3" t="s">
        <v>9</v>
      </c>
      <c r="D826" s="18">
        <v>0.12</v>
      </c>
      <c r="E826" s="21">
        <f t="shared" si="97"/>
        <v>9.4887929345830457E-3</v>
      </c>
      <c r="F826" s="5">
        <v>34234</v>
      </c>
      <c r="G826" s="5">
        <v>34415</v>
      </c>
      <c r="H826" s="16">
        <f t="shared" si="93"/>
        <v>181</v>
      </c>
      <c r="I826" s="5">
        <v>34415</v>
      </c>
      <c r="J826" s="5">
        <v>38478</v>
      </c>
      <c r="K826" s="16">
        <f t="shared" si="94"/>
        <v>4244</v>
      </c>
      <c r="L826" s="13">
        <v>915.85</v>
      </c>
      <c r="M826" s="15">
        <f t="shared" si="92"/>
        <v>156.90381762078221</v>
      </c>
      <c r="N826" s="13">
        <v>587.64</v>
      </c>
      <c r="O826" s="13">
        <v>0</v>
      </c>
      <c r="P826" s="11">
        <f t="shared" si="99"/>
        <v>0</v>
      </c>
    </row>
    <row r="827" spans="1:16" ht="18.75" hidden="1" customHeight="1" thickBot="1" x14ac:dyDescent="0.3">
      <c r="A827" s="3" t="s">
        <v>11</v>
      </c>
      <c r="B827" s="4">
        <v>833355</v>
      </c>
      <c r="C827" s="3" t="s">
        <v>9</v>
      </c>
      <c r="D827" s="18">
        <v>0.14000000000000001</v>
      </c>
      <c r="E827" s="21">
        <f t="shared" si="97"/>
        <v>1.0978851950173452E-2</v>
      </c>
      <c r="F827" s="5">
        <v>34242</v>
      </c>
      <c r="G827" s="5">
        <v>34272</v>
      </c>
      <c r="H827" s="16">
        <f t="shared" si="93"/>
        <v>30</v>
      </c>
      <c r="I827" s="5">
        <v>34272</v>
      </c>
      <c r="J827" s="2"/>
      <c r="K827" s="16">
        <f t="shared" si="94"/>
        <v>-34242</v>
      </c>
      <c r="L827" s="13">
        <v>1000</v>
      </c>
      <c r="M827" s="15">
        <f t="shared" si="92"/>
        <v>1010.9788519501736</v>
      </c>
      <c r="N827" s="13">
        <v>1000</v>
      </c>
      <c r="O827" s="13">
        <v>0</v>
      </c>
      <c r="P827" s="11">
        <f t="shared" si="99"/>
        <v>0</v>
      </c>
    </row>
    <row r="828" spans="1:16" ht="18.75" hidden="1" customHeight="1" thickBot="1" x14ac:dyDescent="0.3">
      <c r="A828" s="3" t="s">
        <v>11</v>
      </c>
      <c r="B828" s="4">
        <v>902208</v>
      </c>
      <c r="C828" s="3" t="s">
        <v>9</v>
      </c>
      <c r="D828" s="18">
        <v>0.12</v>
      </c>
      <c r="E828" s="21">
        <f t="shared" si="97"/>
        <v>9.4887929345830457E-3</v>
      </c>
      <c r="F828" s="5">
        <v>34275</v>
      </c>
      <c r="G828" s="5">
        <v>34456</v>
      </c>
      <c r="H828" s="16">
        <f t="shared" si="93"/>
        <v>181</v>
      </c>
      <c r="I828" s="5">
        <v>34456</v>
      </c>
      <c r="J828" s="2"/>
      <c r="K828" s="16">
        <f t="shared" si="94"/>
        <v>-34275</v>
      </c>
      <c r="L828" s="13">
        <v>1000</v>
      </c>
      <c r="M828" s="15">
        <f t="shared" si="92"/>
        <v>171.32043197115487</v>
      </c>
      <c r="N828" s="13">
        <v>1000</v>
      </c>
      <c r="O828" s="13">
        <v>0</v>
      </c>
      <c r="P828" s="11">
        <f t="shared" si="99"/>
        <v>0</v>
      </c>
    </row>
    <row r="829" spans="1:16" ht="18.75" hidden="1" customHeight="1" thickBot="1" x14ac:dyDescent="0.3">
      <c r="A829" s="3" t="s">
        <v>11</v>
      </c>
      <c r="B829" s="4">
        <v>240516</v>
      </c>
      <c r="C829" s="3" t="s">
        <v>9</v>
      </c>
      <c r="D829" s="18">
        <v>0.12</v>
      </c>
      <c r="E829" s="21">
        <f t="shared" si="97"/>
        <v>9.4887929345830457E-3</v>
      </c>
      <c r="F829" s="5">
        <v>34465</v>
      </c>
      <c r="G829" s="5">
        <v>35196</v>
      </c>
      <c r="H829" s="16">
        <f t="shared" si="93"/>
        <v>731</v>
      </c>
      <c r="I829" s="5">
        <v>35196</v>
      </c>
      <c r="J829" s="2"/>
      <c r="K829" s="16">
        <f t="shared" si="94"/>
        <v>-34465</v>
      </c>
      <c r="L829" s="13">
        <v>3000</v>
      </c>
      <c r="M829" s="15">
        <f t="shared" si="92"/>
        <v>138.48081997399888</v>
      </c>
      <c r="N829" s="13">
        <v>3000</v>
      </c>
      <c r="O829" s="13">
        <v>0</v>
      </c>
      <c r="P829" s="11">
        <f t="shared" si="99"/>
        <v>0</v>
      </c>
    </row>
    <row r="830" spans="1:16" ht="18.75" customHeight="1" thickBot="1" x14ac:dyDescent="0.3">
      <c r="A830" s="3" t="s">
        <v>11</v>
      </c>
      <c r="B830" s="4">
        <v>692899</v>
      </c>
      <c r="C830" s="3" t="s">
        <v>9</v>
      </c>
      <c r="D830" s="18">
        <v>0.12</v>
      </c>
      <c r="E830" s="21">
        <f t="shared" si="97"/>
        <v>9.4887929345830457E-3</v>
      </c>
      <c r="F830" s="5">
        <v>34590</v>
      </c>
      <c r="G830" s="5">
        <v>34893</v>
      </c>
      <c r="H830" s="16">
        <f t="shared" si="93"/>
        <v>303</v>
      </c>
      <c r="I830" s="5">
        <v>34893</v>
      </c>
      <c r="J830" s="5">
        <v>34947</v>
      </c>
      <c r="K830" s="16">
        <f t="shared" si="94"/>
        <v>357</v>
      </c>
      <c r="L830" s="13">
        <v>1800</v>
      </c>
      <c r="M830" s="15">
        <f t="shared" si="92"/>
        <v>187.7376832092842</v>
      </c>
      <c r="N830" s="13">
        <v>174.57</v>
      </c>
      <c r="O830" s="13">
        <v>0</v>
      </c>
      <c r="P830" s="11">
        <f t="shared" si="99"/>
        <v>0</v>
      </c>
    </row>
    <row r="831" spans="1:16" ht="18.75" hidden="1" customHeight="1" thickBot="1" x14ac:dyDescent="0.3">
      <c r="A831" s="3" t="s">
        <v>11</v>
      </c>
      <c r="B831" s="4">
        <v>167265</v>
      </c>
      <c r="C831" s="3" t="s">
        <v>9</v>
      </c>
      <c r="D831" s="18">
        <v>0.12</v>
      </c>
      <c r="E831" s="21">
        <f t="shared" si="97"/>
        <v>9.4887929345830457E-3</v>
      </c>
      <c r="F831" s="5">
        <v>34596</v>
      </c>
      <c r="G831" s="5">
        <v>34961</v>
      </c>
      <c r="H831" s="16">
        <f t="shared" si="93"/>
        <v>365</v>
      </c>
      <c r="I831" s="5">
        <v>34961</v>
      </c>
      <c r="J831" s="2"/>
      <c r="K831" s="16">
        <f t="shared" si="94"/>
        <v>-34596</v>
      </c>
      <c r="L831" s="13">
        <v>600</v>
      </c>
      <c r="M831" s="15">
        <f t="shared" si="92"/>
        <v>52.449810741591634</v>
      </c>
      <c r="N831" s="13">
        <v>600</v>
      </c>
      <c r="O831" s="13">
        <v>0</v>
      </c>
      <c r="P831" s="11">
        <f t="shared" si="99"/>
        <v>0</v>
      </c>
    </row>
    <row r="832" spans="1:16" ht="18.75" customHeight="1" thickBot="1" x14ac:dyDescent="0.3">
      <c r="A832" s="3" t="s">
        <v>11</v>
      </c>
      <c r="B832" s="4">
        <v>827214</v>
      </c>
      <c r="C832" s="3" t="s">
        <v>9</v>
      </c>
      <c r="D832" s="18">
        <v>0.11</v>
      </c>
      <c r="E832" s="21">
        <f t="shared" si="97"/>
        <v>8.7345938235519061E-3</v>
      </c>
      <c r="F832" s="5">
        <v>34661</v>
      </c>
      <c r="G832" s="5">
        <v>34842</v>
      </c>
      <c r="H832" s="16">
        <f t="shared" si="93"/>
        <v>181</v>
      </c>
      <c r="I832" s="5">
        <v>34842</v>
      </c>
      <c r="J832" s="5">
        <v>34950</v>
      </c>
      <c r="K832" s="16">
        <f t="shared" si="94"/>
        <v>289</v>
      </c>
      <c r="L832" s="13">
        <v>2625.51</v>
      </c>
      <c r="M832" s="15">
        <f t="shared" si="92"/>
        <v>448.63180432239614</v>
      </c>
      <c r="N832" s="13">
        <v>2425.5100000000002</v>
      </c>
      <c r="O832" s="13">
        <v>0</v>
      </c>
      <c r="P832" s="11">
        <f t="shared" si="99"/>
        <v>0</v>
      </c>
    </row>
    <row r="833" spans="1:16" ht="18.75" customHeight="1" thickBot="1" x14ac:dyDescent="0.3">
      <c r="A833" s="3" t="s">
        <v>11</v>
      </c>
      <c r="B833" s="4">
        <v>609646</v>
      </c>
      <c r="C833" s="3" t="s">
        <v>9</v>
      </c>
      <c r="D833" s="18">
        <v>0.14000000000000001</v>
      </c>
      <c r="E833" s="21">
        <f t="shared" si="97"/>
        <v>1.0978851950173452E-2</v>
      </c>
      <c r="F833" s="5">
        <v>34705</v>
      </c>
      <c r="G833" s="5">
        <v>35039</v>
      </c>
      <c r="H833" s="16">
        <f t="shared" si="93"/>
        <v>334</v>
      </c>
      <c r="I833" s="5">
        <v>35039</v>
      </c>
      <c r="J833" s="5">
        <v>41800</v>
      </c>
      <c r="K833" s="16">
        <f t="shared" si="94"/>
        <v>7095</v>
      </c>
      <c r="L833" s="13">
        <v>1000</v>
      </c>
      <c r="M833" s="15">
        <f t="shared" si="92"/>
        <v>95.913143240215859</v>
      </c>
      <c r="N833" s="13">
        <v>46</v>
      </c>
      <c r="O833" s="13">
        <v>0</v>
      </c>
      <c r="P833" s="11">
        <f t="shared" si="99"/>
        <v>0</v>
      </c>
    </row>
    <row r="834" spans="1:16" ht="18.75" customHeight="1" thickBot="1" x14ac:dyDescent="0.3">
      <c r="A834" s="3" t="s">
        <v>11</v>
      </c>
      <c r="B834" s="4">
        <v>920142</v>
      </c>
      <c r="C834" s="3" t="s">
        <v>9</v>
      </c>
      <c r="D834" s="18">
        <v>0.125</v>
      </c>
      <c r="E834" s="21">
        <f t="shared" si="97"/>
        <v>9.8635805532114595E-3</v>
      </c>
      <c r="F834" s="5">
        <v>34709</v>
      </c>
      <c r="G834" s="5">
        <v>35805</v>
      </c>
      <c r="H834" s="16">
        <f t="shared" si="93"/>
        <v>1096</v>
      </c>
      <c r="I834" s="5">
        <v>35805</v>
      </c>
      <c r="J834" s="5">
        <v>37447</v>
      </c>
      <c r="K834" s="16">
        <f t="shared" si="94"/>
        <v>2738</v>
      </c>
      <c r="L834" s="13">
        <v>4568.54</v>
      </c>
      <c r="M834" s="15">
        <f t="shared" ref="M834:M897" si="100">-PMT(E834,(H834/30),L834)</f>
        <v>149.54174660171503</v>
      </c>
      <c r="N834" s="13">
        <v>3182.72</v>
      </c>
      <c r="O834" s="13">
        <v>0</v>
      </c>
      <c r="P834" s="11">
        <f t="shared" si="99"/>
        <v>0</v>
      </c>
    </row>
    <row r="835" spans="1:16" ht="18.75" customHeight="1" thickBot="1" x14ac:dyDescent="0.3">
      <c r="A835" s="3" t="s">
        <v>11</v>
      </c>
      <c r="B835" s="4">
        <v>396364</v>
      </c>
      <c r="C835" s="3" t="s">
        <v>9</v>
      </c>
      <c r="D835" s="18">
        <v>0.12</v>
      </c>
      <c r="E835" s="21">
        <f t="shared" si="97"/>
        <v>9.4887929345830457E-3</v>
      </c>
      <c r="F835" s="5">
        <v>34740</v>
      </c>
      <c r="G835" s="5">
        <v>35836</v>
      </c>
      <c r="H835" s="16">
        <f t="shared" ref="H835:H898" si="101">G835-F835</f>
        <v>1096</v>
      </c>
      <c r="I835" s="5">
        <v>35836</v>
      </c>
      <c r="J835" s="5">
        <v>34996</v>
      </c>
      <c r="K835" s="16">
        <f t="shared" ref="K835:K898" si="102">J835-F835</f>
        <v>256</v>
      </c>
      <c r="L835" s="13">
        <v>9383.41</v>
      </c>
      <c r="M835" s="15">
        <f t="shared" si="100"/>
        <v>305.13536433444563</v>
      </c>
      <c r="N835" s="13">
        <v>3146.59</v>
      </c>
      <c r="O835" s="13">
        <v>0</v>
      </c>
      <c r="P835" s="11">
        <f t="shared" si="99"/>
        <v>0</v>
      </c>
    </row>
    <row r="836" spans="1:16" ht="18.75" customHeight="1" thickBot="1" x14ac:dyDescent="0.3">
      <c r="A836" s="3" t="s">
        <v>11</v>
      </c>
      <c r="B836" s="4">
        <v>573555</v>
      </c>
      <c r="C836" s="3" t="s">
        <v>9</v>
      </c>
      <c r="D836" s="18">
        <v>0.125</v>
      </c>
      <c r="E836" s="21">
        <f t="shared" si="97"/>
        <v>9.8635805532114595E-3</v>
      </c>
      <c r="F836" s="5">
        <v>34743</v>
      </c>
      <c r="G836" s="5">
        <v>35108</v>
      </c>
      <c r="H836" s="16">
        <f t="shared" si="101"/>
        <v>365</v>
      </c>
      <c r="I836" s="5">
        <v>35108</v>
      </c>
      <c r="J836" s="5">
        <v>35216</v>
      </c>
      <c r="K836" s="16">
        <f t="shared" si="102"/>
        <v>473</v>
      </c>
      <c r="L836" s="13">
        <v>1275</v>
      </c>
      <c r="M836" s="15">
        <f t="shared" si="100"/>
        <v>111.72365422043237</v>
      </c>
      <c r="N836" s="13">
        <v>140.22</v>
      </c>
      <c r="O836" s="13">
        <v>0</v>
      </c>
      <c r="P836" s="11">
        <f t="shared" si="99"/>
        <v>0</v>
      </c>
    </row>
    <row r="837" spans="1:16" ht="18.75" customHeight="1" thickBot="1" x14ac:dyDescent="0.3">
      <c r="A837" s="3" t="s">
        <v>11</v>
      </c>
      <c r="B837" s="4">
        <v>956677</v>
      </c>
      <c r="C837" s="3" t="s">
        <v>9</v>
      </c>
      <c r="D837" s="18">
        <v>0.125</v>
      </c>
      <c r="E837" s="21">
        <f t="shared" si="97"/>
        <v>9.8635805532114595E-3</v>
      </c>
      <c r="F837" s="5">
        <v>34828</v>
      </c>
      <c r="G837" s="5">
        <v>35194</v>
      </c>
      <c r="H837" s="16">
        <f t="shared" si="101"/>
        <v>366</v>
      </c>
      <c r="I837" s="5">
        <v>35194</v>
      </c>
      <c r="J837" s="5">
        <v>37448</v>
      </c>
      <c r="K837" s="16">
        <f t="shared" si="102"/>
        <v>2620</v>
      </c>
      <c r="L837" s="13">
        <v>1275</v>
      </c>
      <c r="M837" s="15">
        <f t="shared" si="100"/>
        <v>111.43626325099352</v>
      </c>
      <c r="N837" s="13">
        <v>100.39</v>
      </c>
      <c r="O837" s="13">
        <v>0</v>
      </c>
      <c r="P837" s="11">
        <f t="shared" si="99"/>
        <v>0</v>
      </c>
    </row>
    <row r="838" spans="1:16" ht="18.75" customHeight="1" thickBot="1" x14ac:dyDescent="0.3">
      <c r="A838" s="3" t="s">
        <v>11</v>
      </c>
      <c r="B838" s="4">
        <v>846651</v>
      </c>
      <c r="C838" s="3" t="s">
        <v>9</v>
      </c>
      <c r="D838" s="18">
        <v>0.12</v>
      </c>
      <c r="E838" s="21">
        <f t="shared" si="97"/>
        <v>9.4887929345830457E-3</v>
      </c>
      <c r="F838" s="5">
        <v>34838</v>
      </c>
      <c r="G838" s="5">
        <v>35022</v>
      </c>
      <c r="H838" s="16">
        <f t="shared" si="101"/>
        <v>184</v>
      </c>
      <c r="I838" s="5">
        <v>35022</v>
      </c>
      <c r="J838" s="5">
        <v>34974</v>
      </c>
      <c r="K838" s="16">
        <f t="shared" si="102"/>
        <v>136</v>
      </c>
      <c r="L838" s="13">
        <v>600</v>
      </c>
      <c r="M838" s="15">
        <f t="shared" si="100"/>
        <v>101.16359973314097</v>
      </c>
      <c r="N838" s="13">
        <v>312.43</v>
      </c>
      <c r="O838" s="13">
        <v>0</v>
      </c>
      <c r="P838" s="11">
        <f t="shared" si="99"/>
        <v>0</v>
      </c>
    </row>
    <row r="839" spans="1:16" ht="18.75" customHeight="1" thickBot="1" x14ac:dyDescent="0.3">
      <c r="A839" s="3" t="s">
        <v>11</v>
      </c>
      <c r="B839" s="4">
        <v>614869</v>
      </c>
      <c r="C839" s="3" t="s">
        <v>9</v>
      </c>
      <c r="D839" s="18">
        <v>0.12</v>
      </c>
      <c r="E839" s="21">
        <f t="shared" si="97"/>
        <v>9.4887929345830457E-3</v>
      </c>
      <c r="F839" s="5">
        <v>34899</v>
      </c>
      <c r="G839" s="5">
        <v>35083</v>
      </c>
      <c r="H839" s="16">
        <f t="shared" si="101"/>
        <v>184</v>
      </c>
      <c r="I839" s="5">
        <v>35083</v>
      </c>
      <c r="J839" s="5">
        <v>35046</v>
      </c>
      <c r="K839" s="16">
        <f t="shared" si="102"/>
        <v>147</v>
      </c>
      <c r="L839" s="13">
        <v>800</v>
      </c>
      <c r="M839" s="15">
        <f t="shared" si="100"/>
        <v>134.88479964418798</v>
      </c>
      <c r="N839" s="13">
        <v>280.18</v>
      </c>
      <c r="O839" s="13">
        <v>0</v>
      </c>
      <c r="P839" s="11">
        <f t="shared" si="99"/>
        <v>0</v>
      </c>
    </row>
    <row r="840" spans="1:16" ht="18.75" customHeight="1" thickBot="1" x14ac:dyDescent="0.3">
      <c r="A840" s="3" t="s">
        <v>11</v>
      </c>
      <c r="B840" s="4">
        <v>283834</v>
      </c>
      <c r="C840" s="3" t="s">
        <v>9</v>
      </c>
      <c r="D840" s="18">
        <v>0.11</v>
      </c>
      <c r="E840" s="21">
        <f t="shared" si="97"/>
        <v>8.7345938235519061E-3</v>
      </c>
      <c r="F840" s="5">
        <v>35003</v>
      </c>
      <c r="G840" s="5">
        <v>36556</v>
      </c>
      <c r="H840" s="16">
        <f t="shared" si="101"/>
        <v>1553</v>
      </c>
      <c r="I840" s="5">
        <v>36556</v>
      </c>
      <c r="J840" s="5">
        <v>36333</v>
      </c>
      <c r="K840" s="16">
        <f t="shared" si="102"/>
        <v>1330</v>
      </c>
      <c r="L840" s="13">
        <v>4653.18</v>
      </c>
      <c r="M840" s="15">
        <f t="shared" si="100"/>
        <v>112.12106715475167</v>
      </c>
      <c r="N840" s="13">
        <v>4653.18</v>
      </c>
      <c r="O840" s="13">
        <v>0</v>
      </c>
      <c r="P840" s="11">
        <f t="shared" si="99"/>
        <v>0</v>
      </c>
    </row>
    <row r="841" spans="1:16" ht="18.75" customHeight="1" thickBot="1" x14ac:dyDescent="0.3">
      <c r="A841" s="3" t="s">
        <v>11</v>
      </c>
      <c r="B841" s="4">
        <v>108252</v>
      </c>
      <c r="C841" s="3" t="s">
        <v>9</v>
      </c>
      <c r="D841" s="18">
        <v>0.12</v>
      </c>
      <c r="E841" s="21">
        <f t="shared" si="97"/>
        <v>9.4887929345830457E-3</v>
      </c>
      <c r="F841" s="5">
        <v>35191</v>
      </c>
      <c r="G841" s="5">
        <v>35375</v>
      </c>
      <c r="H841" s="16">
        <f t="shared" si="101"/>
        <v>184</v>
      </c>
      <c r="I841" s="5">
        <v>35375</v>
      </c>
      <c r="J841" s="5">
        <v>37448</v>
      </c>
      <c r="K841" s="16">
        <f t="shared" si="102"/>
        <v>2257</v>
      </c>
      <c r="L841" s="13">
        <v>251.69</v>
      </c>
      <c r="M841" s="15">
        <f t="shared" si="100"/>
        <v>42.436444028057089</v>
      </c>
      <c r="N841" s="13">
        <v>251.69</v>
      </c>
      <c r="O841" s="13">
        <v>0</v>
      </c>
      <c r="P841" s="11">
        <f t="shared" si="99"/>
        <v>0</v>
      </c>
    </row>
    <row r="842" spans="1:16" ht="18.75" customHeight="1" thickBot="1" x14ac:dyDescent="0.3">
      <c r="A842" s="3" t="s">
        <v>11</v>
      </c>
      <c r="B842" s="4">
        <v>354012</v>
      </c>
      <c r="C842" s="3" t="s">
        <v>9</v>
      </c>
      <c r="D842" s="18">
        <v>0.12</v>
      </c>
      <c r="E842" s="21">
        <f t="shared" si="97"/>
        <v>9.4887929345830457E-3</v>
      </c>
      <c r="F842" s="5">
        <v>35187</v>
      </c>
      <c r="G842" s="5">
        <v>35736</v>
      </c>
      <c r="H842" s="16">
        <f t="shared" si="101"/>
        <v>549</v>
      </c>
      <c r="I842" s="5">
        <v>35736</v>
      </c>
      <c r="J842" s="5">
        <v>35461</v>
      </c>
      <c r="K842" s="16">
        <f t="shared" si="102"/>
        <v>274</v>
      </c>
      <c r="L842" s="13">
        <v>1270.47</v>
      </c>
      <c r="M842" s="15">
        <f t="shared" si="100"/>
        <v>75.954598142214962</v>
      </c>
      <c r="N842" s="13">
        <v>1270.47</v>
      </c>
      <c r="O842" s="13">
        <v>0</v>
      </c>
      <c r="P842" s="11">
        <f t="shared" si="99"/>
        <v>0</v>
      </c>
    </row>
    <row r="843" spans="1:16" ht="18.75" customHeight="1" thickBot="1" x14ac:dyDescent="0.3">
      <c r="A843" s="3" t="s">
        <v>11</v>
      </c>
      <c r="B843" s="4">
        <v>855378</v>
      </c>
      <c r="C843" s="3" t="s">
        <v>9</v>
      </c>
      <c r="D843" s="18">
        <v>0.115</v>
      </c>
      <c r="E843" s="21">
        <f t="shared" si="97"/>
        <v>9.1124684369046083E-3</v>
      </c>
      <c r="F843" s="5">
        <v>35219</v>
      </c>
      <c r="G843" s="5">
        <v>36314</v>
      </c>
      <c r="H843" s="16">
        <f t="shared" si="101"/>
        <v>1095</v>
      </c>
      <c r="I843" s="5">
        <v>36314</v>
      </c>
      <c r="J843" s="5">
        <v>43629</v>
      </c>
      <c r="K843" s="16">
        <f t="shared" si="102"/>
        <v>8410</v>
      </c>
      <c r="L843" s="13">
        <v>150.56</v>
      </c>
      <c r="M843" s="15">
        <f t="shared" si="100"/>
        <v>4.8674697787781085</v>
      </c>
      <c r="N843" s="13">
        <v>150.56</v>
      </c>
      <c r="O843" s="13">
        <v>0</v>
      </c>
      <c r="P843" s="11">
        <f t="shared" si="99"/>
        <v>0</v>
      </c>
    </row>
    <row r="844" spans="1:16" ht="18.75" customHeight="1" thickBot="1" x14ac:dyDescent="0.3">
      <c r="A844" s="3" t="s">
        <v>11</v>
      </c>
      <c r="B844" s="4">
        <v>45381</v>
      </c>
      <c r="C844" s="3" t="s">
        <v>9</v>
      </c>
      <c r="D844" s="18">
        <v>0.12</v>
      </c>
      <c r="E844" s="21">
        <f t="shared" si="97"/>
        <v>9.4887929345830457E-3</v>
      </c>
      <c r="F844" s="5">
        <v>35354</v>
      </c>
      <c r="G844" s="5">
        <v>35719</v>
      </c>
      <c r="H844" s="16">
        <f t="shared" si="101"/>
        <v>365</v>
      </c>
      <c r="I844" s="5">
        <v>35719</v>
      </c>
      <c r="J844" s="5">
        <v>35550</v>
      </c>
      <c r="K844" s="16">
        <f t="shared" si="102"/>
        <v>196</v>
      </c>
      <c r="L844" s="13">
        <v>780.17</v>
      </c>
      <c r="M844" s="15">
        <f t="shared" si="100"/>
        <v>68.199614743779236</v>
      </c>
      <c r="N844" s="13">
        <v>780.17</v>
      </c>
      <c r="O844" s="13">
        <v>0</v>
      </c>
      <c r="P844" s="11">
        <f t="shared" si="99"/>
        <v>0</v>
      </c>
    </row>
    <row r="845" spans="1:16" ht="18.75" customHeight="1" thickBot="1" x14ac:dyDescent="0.3">
      <c r="A845" s="3" t="s">
        <v>11</v>
      </c>
      <c r="B845" s="4">
        <v>407559</v>
      </c>
      <c r="C845" s="3" t="s">
        <v>9</v>
      </c>
      <c r="D845" s="18">
        <v>0.11</v>
      </c>
      <c r="E845" s="21">
        <f t="shared" si="97"/>
        <v>8.7345938235519061E-3</v>
      </c>
      <c r="F845" s="5">
        <v>35355</v>
      </c>
      <c r="G845" s="5">
        <v>36816</v>
      </c>
      <c r="H845" s="16">
        <f t="shared" si="101"/>
        <v>1461</v>
      </c>
      <c r="I845" s="5">
        <v>36816</v>
      </c>
      <c r="J845" s="5">
        <v>37449</v>
      </c>
      <c r="K845" s="16">
        <f t="shared" si="102"/>
        <v>2094</v>
      </c>
      <c r="L845" s="13">
        <v>11025.76</v>
      </c>
      <c r="M845" s="15">
        <f t="shared" si="100"/>
        <v>278.93062728448257</v>
      </c>
      <c r="N845" s="13">
        <v>11025.76</v>
      </c>
      <c r="O845" s="13">
        <v>0</v>
      </c>
      <c r="P845" s="11">
        <f t="shared" si="99"/>
        <v>0</v>
      </c>
    </row>
    <row r="846" spans="1:16" ht="18.75" customHeight="1" thickBot="1" x14ac:dyDescent="0.3">
      <c r="A846" s="3" t="s">
        <v>11</v>
      </c>
      <c r="B846" s="4">
        <v>973549</v>
      </c>
      <c r="C846" s="3" t="s">
        <v>9</v>
      </c>
      <c r="D846" s="18">
        <v>0.12</v>
      </c>
      <c r="E846" s="21">
        <f t="shared" si="97"/>
        <v>9.4887929345830457E-3</v>
      </c>
      <c r="F846" s="5">
        <v>35429</v>
      </c>
      <c r="G846" s="5">
        <v>35976</v>
      </c>
      <c r="H846" s="16">
        <f t="shared" si="101"/>
        <v>547</v>
      </c>
      <c r="I846" s="5">
        <v>35976</v>
      </c>
      <c r="J846" s="5">
        <v>35550</v>
      </c>
      <c r="K846" s="16">
        <f t="shared" si="102"/>
        <v>121</v>
      </c>
      <c r="L846" s="13">
        <v>1459.62</v>
      </c>
      <c r="M846" s="15">
        <f t="shared" si="100"/>
        <v>87.555149067902576</v>
      </c>
      <c r="N846" s="13">
        <v>1459.62</v>
      </c>
      <c r="O846" s="13">
        <v>0</v>
      </c>
      <c r="P846" s="11">
        <f t="shared" si="99"/>
        <v>0</v>
      </c>
    </row>
    <row r="847" spans="1:16" ht="18.75" customHeight="1" thickBot="1" x14ac:dyDescent="0.3">
      <c r="A847" s="3" t="s">
        <v>11</v>
      </c>
      <c r="B847" s="4">
        <v>585581</v>
      </c>
      <c r="C847" s="3" t="s">
        <v>9</v>
      </c>
      <c r="D847" s="18">
        <v>0.12</v>
      </c>
      <c r="E847" s="21">
        <f t="shared" si="97"/>
        <v>9.4887929345830457E-3</v>
      </c>
      <c r="F847" s="5">
        <v>35451</v>
      </c>
      <c r="G847" s="5">
        <v>36728</v>
      </c>
      <c r="H847" s="16">
        <f t="shared" si="101"/>
        <v>1277</v>
      </c>
      <c r="I847" s="5">
        <v>36728</v>
      </c>
      <c r="J847" s="5">
        <v>37449</v>
      </c>
      <c r="K847" s="16">
        <f t="shared" si="102"/>
        <v>1998</v>
      </c>
      <c r="L847" s="13">
        <v>6956.03</v>
      </c>
      <c r="M847" s="15">
        <f t="shared" si="100"/>
        <v>199.39642950158193</v>
      </c>
      <c r="N847" s="13">
        <v>6956.03</v>
      </c>
      <c r="O847" s="13">
        <v>0</v>
      </c>
      <c r="P847" s="11">
        <f t="shared" si="99"/>
        <v>0</v>
      </c>
    </row>
    <row r="848" spans="1:16" ht="18.75" customHeight="1" thickBot="1" x14ac:dyDescent="0.3">
      <c r="A848" s="3" t="s">
        <v>11</v>
      </c>
      <c r="B848" s="4">
        <v>361772</v>
      </c>
      <c r="C848" s="3" t="s">
        <v>9</v>
      </c>
      <c r="D848" s="18">
        <v>0.12</v>
      </c>
      <c r="E848" s="21">
        <f t="shared" si="97"/>
        <v>9.4887929345830457E-3</v>
      </c>
      <c r="F848" s="5">
        <v>35464</v>
      </c>
      <c r="G848" s="5">
        <v>35829</v>
      </c>
      <c r="H848" s="16">
        <f t="shared" si="101"/>
        <v>365</v>
      </c>
      <c r="I848" s="5">
        <v>35829</v>
      </c>
      <c r="J848" s="5">
        <v>37453</v>
      </c>
      <c r="K848" s="16">
        <f t="shared" si="102"/>
        <v>1989</v>
      </c>
      <c r="L848" s="13">
        <v>1358.85</v>
      </c>
      <c r="M848" s="15">
        <f t="shared" si="100"/>
        <v>118.78570887701966</v>
      </c>
      <c r="N848" s="13">
        <v>1358.85</v>
      </c>
      <c r="O848" s="13">
        <v>0</v>
      </c>
      <c r="P848" s="11">
        <f t="shared" si="99"/>
        <v>0</v>
      </c>
    </row>
    <row r="849" spans="1:16" ht="18.75" customHeight="1" thickBot="1" x14ac:dyDescent="0.3">
      <c r="A849" s="3" t="s">
        <v>11</v>
      </c>
      <c r="B849" s="4">
        <v>803637</v>
      </c>
      <c r="C849" s="3" t="s">
        <v>9</v>
      </c>
      <c r="D849" s="18">
        <v>0.12</v>
      </c>
      <c r="E849" s="21">
        <f t="shared" si="97"/>
        <v>9.4887929345830457E-3</v>
      </c>
      <c r="F849" s="5">
        <v>35598</v>
      </c>
      <c r="G849" s="5">
        <v>36328</v>
      </c>
      <c r="H849" s="16">
        <f t="shared" si="101"/>
        <v>730</v>
      </c>
      <c r="I849" s="5">
        <v>36328</v>
      </c>
      <c r="J849" s="5">
        <v>41772</v>
      </c>
      <c r="K849" s="16">
        <f t="shared" si="102"/>
        <v>6174</v>
      </c>
      <c r="L849" s="13">
        <v>727.21</v>
      </c>
      <c r="M849" s="15">
        <f t="shared" si="100"/>
        <v>33.609108302366344</v>
      </c>
      <c r="N849" s="13">
        <v>727.21</v>
      </c>
      <c r="O849" s="13">
        <v>0</v>
      </c>
      <c r="P849" s="11">
        <f t="shared" si="99"/>
        <v>0</v>
      </c>
    </row>
    <row r="850" spans="1:16" ht="18.75" customHeight="1" thickBot="1" x14ac:dyDescent="0.3">
      <c r="A850" s="3" t="s">
        <v>11</v>
      </c>
      <c r="B850" s="4">
        <v>491732</v>
      </c>
      <c r="C850" s="3" t="s">
        <v>9</v>
      </c>
      <c r="D850" s="18">
        <v>0.12</v>
      </c>
      <c r="E850" s="21">
        <f t="shared" si="97"/>
        <v>9.4887929345830457E-3</v>
      </c>
      <c r="F850" s="5">
        <v>35596</v>
      </c>
      <c r="G850" s="5">
        <v>36144</v>
      </c>
      <c r="H850" s="16">
        <f t="shared" si="101"/>
        <v>548</v>
      </c>
      <c r="I850" s="5">
        <v>36144</v>
      </c>
      <c r="J850" s="5">
        <v>37448</v>
      </c>
      <c r="K850" s="16">
        <f t="shared" si="102"/>
        <v>1852</v>
      </c>
      <c r="L850" s="13">
        <v>1306.45</v>
      </c>
      <c r="M850" s="15">
        <f t="shared" si="100"/>
        <v>78.236217074900679</v>
      </c>
      <c r="N850" s="13">
        <v>1306.45</v>
      </c>
      <c r="O850" s="13">
        <v>0</v>
      </c>
      <c r="P850" s="11">
        <f t="shared" si="99"/>
        <v>0</v>
      </c>
    </row>
    <row r="851" spans="1:16" ht="18.75" customHeight="1" thickBot="1" x14ac:dyDescent="0.3">
      <c r="A851" s="3" t="s">
        <v>11</v>
      </c>
      <c r="B851" s="4">
        <v>1895</v>
      </c>
      <c r="C851" s="3" t="s">
        <v>9</v>
      </c>
      <c r="D851" s="18">
        <v>0.11</v>
      </c>
      <c r="E851" s="21">
        <f t="shared" si="97"/>
        <v>8.7345938235519061E-3</v>
      </c>
      <c r="F851" s="5">
        <v>35601</v>
      </c>
      <c r="G851" s="5">
        <v>37549</v>
      </c>
      <c r="H851" s="16">
        <f t="shared" si="101"/>
        <v>1948</v>
      </c>
      <c r="I851" s="5">
        <v>37549</v>
      </c>
      <c r="J851" s="5">
        <v>37307</v>
      </c>
      <c r="K851" s="16">
        <f t="shared" si="102"/>
        <v>1706</v>
      </c>
      <c r="L851" s="13">
        <v>1728.02</v>
      </c>
      <c r="M851" s="15">
        <f t="shared" si="100"/>
        <v>34.981584484399953</v>
      </c>
      <c r="N851" s="13">
        <v>1728.02</v>
      </c>
      <c r="O851" s="13">
        <v>0</v>
      </c>
      <c r="P851" s="11">
        <f t="shared" si="99"/>
        <v>0</v>
      </c>
    </row>
    <row r="852" spans="1:16" ht="18.75" customHeight="1" thickBot="1" x14ac:dyDescent="0.3">
      <c r="A852" s="3" t="s">
        <v>11</v>
      </c>
      <c r="B852" s="4">
        <v>743091</v>
      </c>
      <c r="C852" s="3" t="s">
        <v>9</v>
      </c>
      <c r="D852" s="18">
        <v>0.11</v>
      </c>
      <c r="E852" s="21">
        <f t="shared" si="97"/>
        <v>8.7345938235519061E-3</v>
      </c>
      <c r="F852" s="5">
        <v>35692</v>
      </c>
      <c r="G852" s="5">
        <v>37832</v>
      </c>
      <c r="H852" s="16">
        <f t="shared" si="101"/>
        <v>2140</v>
      </c>
      <c r="I852" s="5">
        <v>37832</v>
      </c>
      <c r="J852" s="5">
        <v>36762</v>
      </c>
      <c r="K852" s="16">
        <f t="shared" si="102"/>
        <v>1070</v>
      </c>
      <c r="L852" s="13">
        <v>2084.3200000000002</v>
      </c>
      <c r="M852" s="15">
        <f t="shared" si="100"/>
        <v>39.384903412351527</v>
      </c>
      <c r="N852" s="13">
        <v>2084.3200000000002</v>
      </c>
      <c r="O852" s="13">
        <v>0</v>
      </c>
      <c r="P852" s="11">
        <f t="shared" si="99"/>
        <v>0</v>
      </c>
    </row>
    <row r="853" spans="1:16" ht="18.75" customHeight="1" thickBot="1" x14ac:dyDescent="0.3">
      <c r="A853" s="3" t="s">
        <v>11</v>
      </c>
      <c r="B853" s="4">
        <v>90504</v>
      </c>
      <c r="C853" s="3" t="s">
        <v>9</v>
      </c>
      <c r="D853" s="18">
        <v>0.11</v>
      </c>
      <c r="E853" s="21">
        <f t="shared" si="97"/>
        <v>8.7345938235519061E-3</v>
      </c>
      <c r="F853" s="5">
        <v>35702</v>
      </c>
      <c r="G853" s="5">
        <v>36604</v>
      </c>
      <c r="H853" s="16">
        <f t="shared" si="101"/>
        <v>902</v>
      </c>
      <c r="I853" s="5">
        <v>36604</v>
      </c>
      <c r="J853" s="5">
        <v>38793</v>
      </c>
      <c r="K853" s="16">
        <f t="shared" si="102"/>
        <v>3091</v>
      </c>
      <c r="L853" s="13">
        <v>3978.05</v>
      </c>
      <c r="M853" s="15">
        <f t="shared" si="100"/>
        <v>151.01423203456753</v>
      </c>
      <c r="N853" s="13">
        <v>3978.05</v>
      </c>
      <c r="O853" s="13">
        <v>0</v>
      </c>
      <c r="P853" s="11">
        <f t="shared" si="99"/>
        <v>0</v>
      </c>
    </row>
    <row r="854" spans="1:16" ht="18.75" customHeight="1" thickBot="1" x14ac:dyDescent="0.3">
      <c r="A854" s="3" t="s">
        <v>11</v>
      </c>
      <c r="B854" s="4">
        <v>315377</v>
      </c>
      <c r="C854" s="3" t="s">
        <v>9</v>
      </c>
      <c r="D854" s="18">
        <v>0.11</v>
      </c>
      <c r="E854" s="21">
        <f t="shared" si="97"/>
        <v>8.7345938235519061E-3</v>
      </c>
      <c r="F854" s="5">
        <v>35727</v>
      </c>
      <c r="G854" s="5">
        <v>36823</v>
      </c>
      <c r="H854" s="16">
        <f t="shared" si="101"/>
        <v>1096</v>
      </c>
      <c r="I854" s="5">
        <v>36823</v>
      </c>
      <c r="J854" s="5">
        <v>35907</v>
      </c>
      <c r="K854" s="16">
        <f t="shared" si="102"/>
        <v>180</v>
      </c>
      <c r="L854" s="13">
        <v>3832.11</v>
      </c>
      <c r="M854" s="15">
        <f t="shared" si="100"/>
        <v>122.97165396835028</v>
      </c>
      <c r="N854" s="13">
        <v>3832.11</v>
      </c>
      <c r="O854" s="13">
        <v>0</v>
      </c>
      <c r="P854" s="11">
        <f t="shared" si="99"/>
        <v>0</v>
      </c>
    </row>
    <row r="855" spans="1:16" ht="18.75" customHeight="1" thickBot="1" x14ac:dyDescent="0.3">
      <c r="A855" s="3" t="s">
        <v>11</v>
      </c>
      <c r="B855" s="4">
        <v>302788</v>
      </c>
      <c r="C855" s="3" t="s">
        <v>9</v>
      </c>
      <c r="D855" s="18">
        <v>0.11</v>
      </c>
      <c r="E855" s="21">
        <f t="shared" si="97"/>
        <v>8.7345938235519061E-3</v>
      </c>
      <c r="F855" s="5">
        <v>35856</v>
      </c>
      <c r="G855" s="5">
        <v>36952</v>
      </c>
      <c r="H855" s="16">
        <f t="shared" si="101"/>
        <v>1096</v>
      </c>
      <c r="I855" s="5">
        <v>36952</v>
      </c>
      <c r="J855" s="5">
        <v>36427</v>
      </c>
      <c r="K855" s="16">
        <f t="shared" si="102"/>
        <v>571</v>
      </c>
      <c r="L855" s="13">
        <v>148.69999999999999</v>
      </c>
      <c r="M855" s="15">
        <f t="shared" si="100"/>
        <v>4.7717536670642762</v>
      </c>
      <c r="N855" s="13">
        <v>148.69999999999999</v>
      </c>
      <c r="O855" s="13">
        <v>0</v>
      </c>
      <c r="P855" s="11">
        <f t="shared" si="99"/>
        <v>0</v>
      </c>
    </row>
    <row r="856" spans="1:16" ht="18.75" customHeight="1" thickBot="1" x14ac:dyDescent="0.3">
      <c r="A856" s="3" t="s">
        <v>11</v>
      </c>
      <c r="B856" s="4">
        <v>334454</v>
      </c>
      <c r="C856" s="3" t="s">
        <v>9</v>
      </c>
      <c r="D856" s="18">
        <v>0.11</v>
      </c>
      <c r="E856" s="21">
        <f t="shared" ref="E856:E912" si="103">(1+D856)^(1/12)-1</f>
        <v>8.7345938235519061E-3</v>
      </c>
      <c r="F856" s="5">
        <v>35881</v>
      </c>
      <c r="G856" s="5">
        <v>36612</v>
      </c>
      <c r="H856" s="16">
        <f t="shared" si="101"/>
        <v>731</v>
      </c>
      <c r="I856" s="5">
        <v>36612</v>
      </c>
      <c r="J856" s="5">
        <v>36104</v>
      </c>
      <c r="K856" s="16">
        <f t="shared" si="102"/>
        <v>223</v>
      </c>
      <c r="L856" s="13">
        <v>2319.54</v>
      </c>
      <c r="M856" s="15">
        <f t="shared" si="100"/>
        <v>106.09592359794991</v>
      </c>
      <c r="N856" s="13">
        <v>2319.54</v>
      </c>
      <c r="O856" s="13">
        <v>0</v>
      </c>
      <c r="P856" s="11">
        <f t="shared" ref="P856:P887" si="104">IF((G856)&gt;(ConstantDateCutoff),1,0)</f>
        <v>0</v>
      </c>
    </row>
    <row r="857" spans="1:16" ht="18.75" customHeight="1" thickBot="1" x14ac:dyDescent="0.3">
      <c r="A857" s="3" t="s">
        <v>11</v>
      </c>
      <c r="B857" s="4">
        <v>613535</v>
      </c>
      <c r="C857" s="3" t="s">
        <v>9</v>
      </c>
      <c r="D857" s="18">
        <v>0.11</v>
      </c>
      <c r="E857" s="21">
        <f t="shared" si="103"/>
        <v>8.7345938235519061E-3</v>
      </c>
      <c r="F857" s="5">
        <v>35950</v>
      </c>
      <c r="G857" s="5">
        <v>36864</v>
      </c>
      <c r="H857" s="16">
        <f t="shared" si="101"/>
        <v>914</v>
      </c>
      <c r="I857" s="5">
        <v>36864</v>
      </c>
      <c r="J857" s="5">
        <v>36420</v>
      </c>
      <c r="K857" s="16">
        <f t="shared" si="102"/>
        <v>470</v>
      </c>
      <c r="L857" s="13">
        <v>2949.6</v>
      </c>
      <c r="M857" s="15">
        <f t="shared" si="100"/>
        <v>110.68617762646288</v>
      </c>
      <c r="N857" s="13">
        <v>2949.6</v>
      </c>
      <c r="O857" s="13">
        <v>0</v>
      </c>
      <c r="P857" s="11">
        <f t="shared" si="104"/>
        <v>0</v>
      </c>
    </row>
    <row r="858" spans="1:16" ht="18.75" customHeight="1" thickBot="1" x14ac:dyDescent="0.3">
      <c r="A858" s="3" t="s">
        <v>11</v>
      </c>
      <c r="B858" s="4">
        <v>175375</v>
      </c>
      <c r="C858" s="3" t="s">
        <v>9</v>
      </c>
      <c r="D858" s="18">
        <v>0.12</v>
      </c>
      <c r="E858" s="21">
        <f t="shared" si="103"/>
        <v>9.4887929345830457E-3</v>
      </c>
      <c r="F858" s="5">
        <v>35984</v>
      </c>
      <c r="G858" s="5">
        <v>38176</v>
      </c>
      <c r="H858" s="16">
        <f t="shared" si="101"/>
        <v>2192</v>
      </c>
      <c r="I858" s="5">
        <v>38176</v>
      </c>
      <c r="J858" s="5">
        <v>37046</v>
      </c>
      <c r="K858" s="16">
        <f t="shared" si="102"/>
        <v>1062</v>
      </c>
      <c r="L858" s="13">
        <v>455.05</v>
      </c>
      <c r="M858" s="15">
        <f t="shared" si="100"/>
        <v>8.6626585916963013</v>
      </c>
      <c r="N858" s="13">
        <v>455.05</v>
      </c>
      <c r="O858" s="13">
        <v>0</v>
      </c>
      <c r="P858" s="11">
        <f t="shared" si="104"/>
        <v>0</v>
      </c>
    </row>
    <row r="859" spans="1:16" ht="18.75" customHeight="1" thickBot="1" x14ac:dyDescent="0.3">
      <c r="A859" s="3" t="s">
        <v>11</v>
      </c>
      <c r="B859" s="4">
        <v>950912</v>
      </c>
      <c r="C859" s="3" t="s">
        <v>9</v>
      </c>
      <c r="D859" s="18">
        <v>0.11</v>
      </c>
      <c r="E859" s="21">
        <f t="shared" si="103"/>
        <v>8.7345938235519061E-3</v>
      </c>
      <c r="F859" s="5">
        <v>35993</v>
      </c>
      <c r="G859" s="5">
        <v>37089</v>
      </c>
      <c r="H859" s="16">
        <f t="shared" si="101"/>
        <v>1096</v>
      </c>
      <c r="I859" s="5">
        <v>37089</v>
      </c>
      <c r="J859" s="5">
        <v>36871</v>
      </c>
      <c r="K859" s="16">
        <f t="shared" si="102"/>
        <v>878</v>
      </c>
      <c r="L859" s="13">
        <v>3787.41</v>
      </c>
      <c r="M859" s="15">
        <f t="shared" si="100"/>
        <v>121.53723978598461</v>
      </c>
      <c r="N859" s="13">
        <v>3787.41</v>
      </c>
      <c r="O859" s="13">
        <v>0</v>
      </c>
      <c r="P859" s="11">
        <f t="shared" si="104"/>
        <v>0</v>
      </c>
    </row>
    <row r="860" spans="1:16" ht="18.75" customHeight="1" thickBot="1" x14ac:dyDescent="0.3">
      <c r="A860" s="3" t="s">
        <v>11</v>
      </c>
      <c r="B860" s="4">
        <v>598283</v>
      </c>
      <c r="C860" s="3" t="s">
        <v>9</v>
      </c>
      <c r="D860" s="18">
        <v>0.12</v>
      </c>
      <c r="E860" s="21">
        <f t="shared" si="103"/>
        <v>9.4887929345830457E-3</v>
      </c>
      <c r="F860" s="5">
        <v>36052</v>
      </c>
      <c r="G860" s="5">
        <v>36417</v>
      </c>
      <c r="H860" s="16">
        <f t="shared" si="101"/>
        <v>365</v>
      </c>
      <c r="I860" s="5">
        <v>36417</v>
      </c>
      <c r="J860" s="5">
        <v>38238</v>
      </c>
      <c r="K860" s="16">
        <f t="shared" si="102"/>
        <v>2186</v>
      </c>
      <c r="L860" s="13">
        <v>3023.48</v>
      </c>
      <c r="M860" s="15">
        <f t="shared" si="100"/>
        <v>264.30158963497911</v>
      </c>
      <c r="N860" s="13">
        <v>3023.48</v>
      </c>
      <c r="O860" s="13">
        <v>0</v>
      </c>
      <c r="P860" s="11">
        <f t="shared" si="104"/>
        <v>0</v>
      </c>
    </row>
    <row r="861" spans="1:16" ht="18.75" customHeight="1" thickBot="1" x14ac:dyDescent="0.3">
      <c r="A861" s="3" t="s">
        <v>11</v>
      </c>
      <c r="B861" s="4">
        <v>216460</v>
      </c>
      <c r="C861" s="3" t="s">
        <v>9</v>
      </c>
      <c r="D861" s="18">
        <v>0.12</v>
      </c>
      <c r="E861" s="21">
        <f t="shared" si="103"/>
        <v>9.4887929345830457E-3</v>
      </c>
      <c r="F861" s="5">
        <v>36070</v>
      </c>
      <c r="G861" s="5">
        <v>37592</v>
      </c>
      <c r="H861" s="16">
        <f t="shared" si="101"/>
        <v>1522</v>
      </c>
      <c r="I861" s="5">
        <v>37592</v>
      </c>
      <c r="J861" s="5">
        <v>36770</v>
      </c>
      <c r="K861" s="16">
        <f t="shared" si="102"/>
        <v>700</v>
      </c>
      <c r="L861" s="13">
        <v>4462.28</v>
      </c>
      <c r="M861" s="15">
        <f t="shared" si="100"/>
        <v>111.22720736485022</v>
      </c>
      <c r="N861" s="13">
        <v>4462.28</v>
      </c>
      <c r="O861" s="13">
        <v>0</v>
      </c>
      <c r="P861" s="11">
        <f t="shared" si="104"/>
        <v>0</v>
      </c>
    </row>
    <row r="862" spans="1:16" ht="18.75" customHeight="1" thickBot="1" x14ac:dyDescent="0.3">
      <c r="A862" s="3" t="s">
        <v>11</v>
      </c>
      <c r="B862" s="4">
        <v>732198</v>
      </c>
      <c r="C862" s="3" t="s">
        <v>9</v>
      </c>
      <c r="D862" s="18">
        <v>0.105</v>
      </c>
      <c r="E862" s="21">
        <f t="shared" si="103"/>
        <v>8.355155683635207E-3</v>
      </c>
      <c r="F862" s="5">
        <v>36073</v>
      </c>
      <c r="G862" s="5">
        <v>37716</v>
      </c>
      <c r="H862" s="16">
        <f t="shared" si="101"/>
        <v>1643</v>
      </c>
      <c r="I862" s="5">
        <v>37716</v>
      </c>
      <c r="J862" s="5">
        <v>37070</v>
      </c>
      <c r="K862" s="16">
        <f t="shared" si="102"/>
        <v>997</v>
      </c>
      <c r="L862" s="13">
        <v>3510.06</v>
      </c>
      <c r="M862" s="15">
        <f t="shared" si="100"/>
        <v>80.131918001785991</v>
      </c>
      <c r="N862" s="13">
        <v>3510.06</v>
      </c>
      <c r="O862" s="13">
        <v>0</v>
      </c>
      <c r="P862" s="11">
        <f t="shared" si="104"/>
        <v>0</v>
      </c>
    </row>
    <row r="863" spans="1:16" ht="18.75" customHeight="1" thickBot="1" x14ac:dyDescent="0.3">
      <c r="A863" s="3" t="s">
        <v>11</v>
      </c>
      <c r="B863" s="4">
        <v>998265</v>
      </c>
      <c r="C863" s="3" t="s">
        <v>9</v>
      </c>
      <c r="D863" s="18">
        <v>0.12</v>
      </c>
      <c r="E863" s="21">
        <f t="shared" si="103"/>
        <v>9.4887929345830457E-3</v>
      </c>
      <c r="F863" s="5">
        <v>36102</v>
      </c>
      <c r="G863" s="5">
        <v>36140</v>
      </c>
      <c r="H863" s="16">
        <f t="shared" si="101"/>
        <v>38</v>
      </c>
      <c r="I863" s="5">
        <v>36140</v>
      </c>
      <c r="J863" s="5">
        <v>38455</v>
      </c>
      <c r="K863" s="16">
        <f t="shared" si="102"/>
        <v>2353</v>
      </c>
      <c r="L863" s="13">
        <v>195.96</v>
      </c>
      <c r="M863" s="15">
        <f t="shared" si="100"/>
        <v>156.36965650340517</v>
      </c>
      <c r="N863" s="13">
        <v>195.96</v>
      </c>
      <c r="O863" s="13">
        <v>0</v>
      </c>
      <c r="P863" s="11">
        <f t="shared" si="104"/>
        <v>0</v>
      </c>
    </row>
    <row r="864" spans="1:16" ht="18.75" hidden="1" customHeight="1" thickBot="1" x14ac:dyDescent="0.3">
      <c r="A864" s="3" t="s">
        <v>11</v>
      </c>
      <c r="B864" s="4">
        <v>399974</v>
      </c>
      <c r="C864" s="3" t="s">
        <v>9</v>
      </c>
      <c r="D864" s="18">
        <v>0.11</v>
      </c>
      <c r="E864" s="21">
        <f t="shared" si="103"/>
        <v>8.7345938235519061E-3</v>
      </c>
      <c r="F864" s="5">
        <v>36116</v>
      </c>
      <c r="G864" s="5">
        <v>36481</v>
      </c>
      <c r="H864" s="16">
        <f t="shared" si="101"/>
        <v>365</v>
      </c>
      <c r="I864" s="5">
        <v>36481</v>
      </c>
      <c r="J864" s="2"/>
      <c r="K864" s="16">
        <f t="shared" si="102"/>
        <v>-36116</v>
      </c>
      <c r="L864" s="13">
        <v>1000</v>
      </c>
      <c r="M864" s="15">
        <f t="shared" si="100"/>
        <v>86.994515879086876</v>
      </c>
      <c r="N864" s="13">
        <v>1000</v>
      </c>
      <c r="O864" s="13">
        <v>0</v>
      </c>
      <c r="P864" s="11">
        <f t="shared" si="104"/>
        <v>0</v>
      </c>
    </row>
    <row r="865" spans="1:16" ht="18.75" customHeight="1" thickBot="1" x14ac:dyDescent="0.3">
      <c r="A865" s="3" t="s">
        <v>11</v>
      </c>
      <c r="B865" s="4">
        <v>787394</v>
      </c>
      <c r="C865" s="3" t="s">
        <v>9</v>
      </c>
      <c r="D865" s="18">
        <v>0.11</v>
      </c>
      <c r="E865" s="21">
        <f t="shared" si="103"/>
        <v>8.7345938235519061E-3</v>
      </c>
      <c r="F865" s="5">
        <v>36126</v>
      </c>
      <c r="G865" s="5">
        <v>36857</v>
      </c>
      <c r="H865" s="16">
        <f t="shared" si="101"/>
        <v>731</v>
      </c>
      <c r="I865" s="5">
        <v>36857</v>
      </c>
      <c r="J865" s="5">
        <v>36607</v>
      </c>
      <c r="K865" s="16">
        <f t="shared" si="102"/>
        <v>481</v>
      </c>
      <c r="L865" s="13">
        <v>2433.83</v>
      </c>
      <c r="M865" s="15">
        <f t="shared" si="100"/>
        <v>111.3235562785718</v>
      </c>
      <c r="N865" s="13">
        <v>2433.83</v>
      </c>
      <c r="O865" s="13">
        <v>0</v>
      </c>
      <c r="P865" s="11">
        <f t="shared" si="104"/>
        <v>0</v>
      </c>
    </row>
    <row r="866" spans="1:16" ht="18.75" customHeight="1" thickBot="1" x14ac:dyDescent="0.3">
      <c r="A866" s="3" t="s">
        <v>11</v>
      </c>
      <c r="B866" s="4">
        <v>65733</v>
      </c>
      <c r="C866" s="3" t="s">
        <v>9</v>
      </c>
      <c r="D866" s="18">
        <v>0.11</v>
      </c>
      <c r="E866" s="21">
        <f t="shared" si="103"/>
        <v>8.7345938235519061E-3</v>
      </c>
      <c r="F866" s="5">
        <v>36139</v>
      </c>
      <c r="G866" s="5">
        <v>37600</v>
      </c>
      <c r="H866" s="16">
        <f t="shared" si="101"/>
        <v>1461</v>
      </c>
      <c r="I866" s="5">
        <v>37600</v>
      </c>
      <c r="J866" s="5">
        <v>37410</v>
      </c>
      <c r="K866" s="16">
        <f t="shared" si="102"/>
        <v>1271</v>
      </c>
      <c r="L866" s="13">
        <v>3408.56</v>
      </c>
      <c r="M866" s="15">
        <f t="shared" si="100"/>
        <v>86.230044816574633</v>
      </c>
      <c r="N866" s="13">
        <v>3408.56</v>
      </c>
      <c r="O866" s="13">
        <v>0</v>
      </c>
      <c r="P866" s="11">
        <f t="shared" si="104"/>
        <v>0</v>
      </c>
    </row>
    <row r="867" spans="1:16" ht="18.75" customHeight="1" thickBot="1" x14ac:dyDescent="0.3">
      <c r="A867" s="3" t="s">
        <v>11</v>
      </c>
      <c r="B867" s="4">
        <v>640826</v>
      </c>
      <c r="C867" s="3" t="s">
        <v>9</v>
      </c>
      <c r="D867" s="18">
        <v>0.1</v>
      </c>
      <c r="E867" s="21">
        <f t="shared" si="103"/>
        <v>7.9741404289037643E-3</v>
      </c>
      <c r="F867" s="5">
        <v>36237</v>
      </c>
      <c r="G867" s="5">
        <v>36968</v>
      </c>
      <c r="H867" s="16">
        <f t="shared" si="101"/>
        <v>731</v>
      </c>
      <c r="I867" s="5">
        <v>36968</v>
      </c>
      <c r="J867" s="5">
        <v>36742</v>
      </c>
      <c r="K867" s="16">
        <f t="shared" si="102"/>
        <v>505</v>
      </c>
      <c r="L867" s="13">
        <v>1129.6400000000001</v>
      </c>
      <c r="M867" s="15">
        <f t="shared" si="100"/>
        <v>51.193791217888787</v>
      </c>
      <c r="N867" s="13">
        <v>1129.6400000000001</v>
      </c>
      <c r="O867" s="13">
        <v>0</v>
      </c>
      <c r="P867" s="11">
        <f t="shared" si="104"/>
        <v>0</v>
      </c>
    </row>
    <row r="868" spans="1:16" ht="18.75" hidden="1" customHeight="1" thickBot="1" x14ac:dyDescent="0.3">
      <c r="A868" s="3" t="s">
        <v>11</v>
      </c>
      <c r="B868" s="4">
        <v>153931</v>
      </c>
      <c r="C868" s="3" t="s">
        <v>9</v>
      </c>
      <c r="D868" s="18">
        <v>0.14000000000000001</v>
      </c>
      <c r="E868" s="21">
        <f t="shared" si="103"/>
        <v>1.0978851950173452E-2</v>
      </c>
      <c r="F868" s="5">
        <v>36248</v>
      </c>
      <c r="G868" s="5">
        <v>36523</v>
      </c>
      <c r="H868" s="16">
        <f t="shared" si="101"/>
        <v>275</v>
      </c>
      <c r="I868" s="5">
        <v>36523</v>
      </c>
      <c r="J868" s="2"/>
      <c r="K868" s="16">
        <f t="shared" si="102"/>
        <v>-36248</v>
      </c>
      <c r="L868" s="13">
        <v>500</v>
      </c>
      <c r="M868" s="15">
        <f t="shared" si="100"/>
        <v>57.634825084449901</v>
      </c>
      <c r="N868" s="13">
        <v>500</v>
      </c>
      <c r="O868" s="13">
        <v>0</v>
      </c>
      <c r="P868" s="11">
        <f t="shared" si="104"/>
        <v>0</v>
      </c>
    </row>
    <row r="869" spans="1:16" ht="18.75" customHeight="1" thickBot="1" x14ac:dyDescent="0.3">
      <c r="A869" s="3" t="s">
        <v>11</v>
      </c>
      <c r="B869" s="4">
        <v>972291</v>
      </c>
      <c r="C869" s="3" t="s">
        <v>9</v>
      </c>
      <c r="D869" s="18">
        <v>0.12</v>
      </c>
      <c r="E869" s="21">
        <f t="shared" si="103"/>
        <v>9.4887929345830457E-3</v>
      </c>
      <c r="F869" s="5">
        <v>36262</v>
      </c>
      <c r="G869" s="5">
        <v>36811</v>
      </c>
      <c r="H869" s="16">
        <f t="shared" si="101"/>
        <v>549</v>
      </c>
      <c r="I869" s="5">
        <v>36811</v>
      </c>
      <c r="J869" s="5">
        <v>40753</v>
      </c>
      <c r="K869" s="16">
        <f t="shared" si="102"/>
        <v>4491</v>
      </c>
      <c r="L869" s="13">
        <v>1244.25</v>
      </c>
      <c r="M869" s="15">
        <f t="shared" si="100"/>
        <v>74.387044746000271</v>
      </c>
      <c r="N869" s="13">
        <v>1244.25</v>
      </c>
      <c r="O869" s="13">
        <v>0</v>
      </c>
      <c r="P869" s="11">
        <f t="shared" si="104"/>
        <v>0</v>
      </c>
    </row>
    <row r="870" spans="1:16" ht="18.75" customHeight="1" thickBot="1" x14ac:dyDescent="0.3">
      <c r="A870" s="3" t="s">
        <v>11</v>
      </c>
      <c r="B870" s="4">
        <v>535975</v>
      </c>
      <c r="C870" s="3" t="s">
        <v>9</v>
      </c>
      <c r="D870" s="18">
        <v>0.11</v>
      </c>
      <c r="E870" s="21">
        <f t="shared" si="103"/>
        <v>8.7345938235519061E-3</v>
      </c>
      <c r="F870" s="5">
        <v>36313</v>
      </c>
      <c r="G870" s="5">
        <v>37044</v>
      </c>
      <c r="H870" s="16">
        <f t="shared" si="101"/>
        <v>731</v>
      </c>
      <c r="I870" s="5">
        <v>37044</v>
      </c>
      <c r="J870" s="5">
        <v>36448</v>
      </c>
      <c r="K870" s="16">
        <f t="shared" si="102"/>
        <v>135</v>
      </c>
      <c r="L870" s="13">
        <v>2074.36</v>
      </c>
      <c r="M870" s="15">
        <f t="shared" si="100"/>
        <v>94.881373063039831</v>
      </c>
      <c r="N870" s="13">
        <v>2074.36</v>
      </c>
      <c r="O870" s="13">
        <v>0</v>
      </c>
      <c r="P870" s="11">
        <f t="shared" si="104"/>
        <v>0</v>
      </c>
    </row>
    <row r="871" spans="1:16" ht="18.75" customHeight="1" thickBot="1" x14ac:dyDescent="0.3">
      <c r="A871" s="3" t="s">
        <v>11</v>
      </c>
      <c r="B871" s="4">
        <v>941003</v>
      </c>
      <c r="C871" s="3" t="s">
        <v>9</v>
      </c>
      <c r="D871" s="18">
        <v>0.105</v>
      </c>
      <c r="E871" s="21">
        <f t="shared" si="103"/>
        <v>8.355155683635207E-3</v>
      </c>
      <c r="F871" s="5">
        <v>36313</v>
      </c>
      <c r="G871" s="5">
        <v>37909</v>
      </c>
      <c r="H871" s="16">
        <f t="shared" si="101"/>
        <v>1596</v>
      </c>
      <c r="I871" s="5">
        <v>37909</v>
      </c>
      <c r="J871" s="5">
        <v>41277</v>
      </c>
      <c r="K871" s="16">
        <f t="shared" si="102"/>
        <v>4964</v>
      </c>
      <c r="L871" s="13">
        <v>84.83</v>
      </c>
      <c r="M871" s="15">
        <f t="shared" si="100"/>
        <v>1.981644468946524</v>
      </c>
      <c r="N871" s="13">
        <v>84.83</v>
      </c>
      <c r="O871" s="13">
        <v>0</v>
      </c>
      <c r="P871" s="11">
        <f t="shared" si="104"/>
        <v>0</v>
      </c>
    </row>
    <row r="872" spans="1:16" ht="18.75" customHeight="1" thickBot="1" x14ac:dyDescent="0.3">
      <c r="A872" s="3" t="s">
        <v>11</v>
      </c>
      <c r="B872" s="4">
        <v>87759</v>
      </c>
      <c r="C872" s="3" t="s">
        <v>9</v>
      </c>
      <c r="D872" s="18">
        <v>0.11</v>
      </c>
      <c r="E872" s="21">
        <f t="shared" si="103"/>
        <v>8.7345938235519061E-3</v>
      </c>
      <c r="F872" s="5">
        <v>36355</v>
      </c>
      <c r="G872" s="5">
        <v>37878</v>
      </c>
      <c r="H872" s="16">
        <f t="shared" si="101"/>
        <v>1523</v>
      </c>
      <c r="I872" s="5">
        <v>37878</v>
      </c>
      <c r="J872" s="5">
        <v>38828</v>
      </c>
      <c r="K872" s="16">
        <f t="shared" si="102"/>
        <v>2473</v>
      </c>
      <c r="L872" s="13">
        <v>10762.77</v>
      </c>
      <c r="M872" s="15">
        <f t="shared" si="100"/>
        <v>263.38096798502664</v>
      </c>
      <c r="N872" s="13">
        <v>10762.77</v>
      </c>
      <c r="O872" s="13">
        <v>0</v>
      </c>
      <c r="P872" s="11">
        <f t="shared" si="104"/>
        <v>0</v>
      </c>
    </row>
    <row r="873" spans="1:16" ht="18.75" customHeight="1" thickBot="1" x14ac:dyDescent="0.3">
      <c r="A873" s="3" t="s">
        <v>11</v>
      </c>
      <c r="B873" s="4">
        <v>832988</v>
      </c>
      <c r="C873" s="3" t="s">
        <v>9</v>
      </c>
      <c r="D873" s="18">
        <v>0.1</v>
      </c>
      <c r="E873" s="21">
        <f t="shared" si="103"/>
        <v>7.9741404289037643E-3</v>
      </c>
      <c r="F873" s="5">
        <v>36357</v>
      </c>
      <c r="G873" s="5">
        <v>37088</v>
      </c>
      <c r="H873" s="16">
        <f t="shared" si="101"/>
        <v>731</v>
      </c>
      <c r="I873" s="5">
        <v>37088</v>
      </c>
      <c r="J873" s="5">
        <v>36616</v>
      </c>
      <c r="K873" s="16">
        <f t="shared" si="102"/>
        <v>259</v>
      </c>
      <c r="L873" s="13">
        <v>1573.38</v>
      </c>
      <c r="M873" s="15">
        <f t="shared" si="100"/>
        <v>71.303501315819076</v>
      </c>
      <c r="N873" s="13">
        <v>1573.38</v>
      </c>
      <c r="O873" s="13">
        <v>0</v>
      </c>
      <c r="P873" s="11">
        <f t="shared" si="104"/>
        <v>0</v>
      </c>
    </row>
    <row r="874" spans="1:16" ht="18.75" customHeight="1" thickBot="1" x14ac:dyDescent="0.3">
      <c r="A874" s="3" t="s">
        <v>11</v>
      </c>
      <c r="B874" s="4">
        <v>573013</v>
      </c>
      <c r="C874" s="3" t="s">
        <v>9</v>
      </c>
      <c r="D874" s="18">
        <v>0.12</v>
      </c>
      <c r="E874" s="21">
        <f t="shared" si="103"/>
        <v>9.4887929345830457E-3</v>
      </c>
      <c r="F874" s="5">
        <v>36362</v>
      </c>
      <c r="G874" s="5">
        <v>36943</v>
      </c>
      <c r="H874" s="16">
        <f t="shared" si="101"/>
        <v>581</v>
      </c>
      <c r="I874" s="5">
        <v>36943</v>
      </c>
      <c r="J874" s="5">
        <v>37452</v>
      </c>
      <c r="K874" s="16">
        <f t="shared" si="102"/>
        <v>1090</v>
      </c>
      <c r="L874" s="13">
        <v>7776.5</v>
      </c>
      <c r="M874" s="15">
        <f t="shared" si="100"/>
        <v>441.46136445335571</v>
      </c>
      <c r="N874" s="13">
        <v>7776.5</v>
      </c>
      <c r="O874" s="13">
        <v>0</v>
      </c>
      <c r="P874" s="11">
        <f t="shared" si="104"/>
        <v>0</v>
      </c>
    </row>
    <row r="875" spans="1:16" ht="18.75" customHeight="1" thickBot="1" x14ac:dyDescent="0.3">
      <c r="A875" s="3" t="s">
        <v>11</v>
      </c>
      <c r="B875" s="4">
        <v>113562</v>
      </c>
      <c r="C875" s="3" t="s">
        <v>9</v>
      </c>
      <c r="D875" s="18">
        <v>0.1</v>
      </c>
      <c r="E875" s="21">
        <f t="shared" si="103"/>
        <v>7.9741404289037643E-3</v>
      </c>
      <c r="F875" s="5">
        <v>36369</v>
      </c>
      <c r="G875" s="5">
        <v>37812</v>
      </c>
      <c r="H875" s="16">
        <f t="shared" si="101"/>
        <v>1443</v>
      </c>
      <c r="I875" s="5">
        <v>37812</v>
      </c>
      <c r="J875" s="5">
        <v>36616</v>
      </c>
      <c r="K875" s="16">
        <f t="shared" si="102"/>
        <v>247</v>
      </c>
      <c r="L875" s="13">
        <v>4107.9799999999996</v>
      </c>
      <c r="M875" s="15">
        <f t="shared" si="100"/>
        <v>103.16421056593452</v>
      </c>
      <c r="N875" s="13">
        <v>4107.9799999999996</v>
      </c>
      <c r="O875" s="13">
        <v>0</v>
      </c>
      <c r="P875" s="11">
        <f t="shared" si="104"/>
        <v>0</v>
      </c>
    </row>
    <row r="876" spans="1:16" ht="18.75" customHeight="1" thickBot="1" x14ac:dyDescent="0.3">
      <c r="A876" s="3" t="s">
        <v>11</v>
      </c>
      <c r="B876" s="4">
        <v>254411</v>
      </c>
      <c r="C876" s="3" t="s">
        <v>9</v>
      </c>
      <c r="D876" s="18">
        <v>0.11</v>
      </c>
      <c r="E876" s="21">
        <f t="shared" si="103"/>
        <v>8.7345938235519061E-3</v>
      </c>
      <c r="F876" s="5">
        <v>36376</v>
      </c>
      <c r="G876" s="5">
        <v>37472</v>
      </c>
      <c r="H876" s="16">
        <f t="shared" si="101"/>
        <v>1096</v>
      </c>
      <c r="I876" s="5">
        <v>37472</v>
      </c>
      <c r="J876" s="5">
        <v>38653</v>
      </c>
      <c r="K876" s="16">
        <f t="shared" si="102"/>
        <v>2277</v>
      </c>
      <c r="L876" s="13">
        <v>500</v>
      </c>
      <c r="M876" s="15">
        <f t="shared" si="100"/>
        <v>16.044901368743364</v>
      </c>
      <c r="N876" s="13">
        <v>500</v>
      </c>
      <c r="O876" s="13">
        <v>0</v>
      </c>
      <c r="P876" s="11">
        <f t="shared" si="104"/>
        <v>0</v>
      </c>
    </row>
    <row r="877" spans="1:16" ht="18.75" customHeight="1" thickBot="1" x14ac:dyDescent="0.3">
      <c r="A877" s="3" t="s">
        <v>11</v>
      </c>
      <c r="B877" s="4">
        <v>726900</v>
      </c>
      <c r="C877" s="3" t="s">
        <v>9</v>
      </c>
      <c r="D877" s="18">
        <v>0.115</v>
      </c>
      <c r="E877" s="21">
        <f t="shared" si="103"/>
        <v>9.1124684369046083E-3</v>
      </c>
      <c r="F877" s="5">
        <v>36397</v>
      </c>
      <c r="G877" s="5">
        <v>37401</v>
      </c>
      <c r="H877" s="16">
        <f t="shared" si="101"/>
        <v>1004</v>
      </c>
      <c r="I877" s="5">
        <v>37401</v>
      </c>
      <c r="J877" s="5">
        <v>37452</v>
      </c>
      <c r="K877" s="16">
        <f t="shared" si="102"/>
        <v>1055</v>
      </c>
      <c r="L877" s="13">
        <v>4625.3</v>
      </c>
      <c r="M877" s="15">
        <f t="shared" si="100"/>
        <v>160.9735204522278</v>
      </c>
      <c r="N877" s="13">
        <v>4625.3</v>
      </c>
      <c r="O877" s="13">
        <v>0</v>
      </c>
      <c r="P877" s="11">
        <f t="shared" si="104"/>
        <v>0</v>
      </c>
    </row>
    <row r="878" spans="1:16" ht="18.75" customHeight="1" thickBot="1" x14ac:dyDescent="0.3">
      <c r="A878" s="3" t="s">
        <v>11</v>
      </c>
      <c r="B878" s="4">
        <v>904492</v>
      </c>
      <c r="C878" s="3" t="s">
        <v>9</v>
      </c>
      <c r="D878" s="18">
        <v>0.1</v>
      </c>
      <c r="E878" s="21">
        <f t="shared" si="103"/>
        <v>7.9741404289037643E-3</v>
      </c>
      <c r="F878" s="5">
        <v>36417</v>
      </c>
      <c r="G878" s="5">
        <v>38486</v>
      </c>
      <c r="H878" s="16">
        <f t="shared" si="101"/>
        <v>2069</v>
      </c>
      <c r="I878" s="5">
        <v>38486</v>
      </c>
      <c r="J878" s="5">
        <v>37705</v>
      </c>
      <c r="K878" s="16">
        <f t="shared" si="102"/>
        <v>1288</v>
      </c>
      <c r="L878" s="13">
        <v>2323.64</v>
      </c>
      <c r="M878" s="15">
        <f t="shared" si="100"/>
        <v>43.932492075584712</v>
      </c>
      <c r="N878" s="13">
        <v>2323.64</v>
      </c>
      <c r="O878" s="13">
        <v>0</v>
      </c>
      <c r="P878" s="11">
        <f t="shared" si="104"/>
        <v>0</v>
      </c>
    </row>
    <row r="879" spans="1:16" ht="18.75" customHeight="1" thickBot="1" x14ac:dyDescent="0.3">
      <c r="A879" s="3" t="s">
        <v>11</v>
      </c>
      <c r="B879" s="4">
        <v>250852</v>
      </c>
      <c r="C879" s="3" t="s">
        <v>9</v>
      </c>
      <c r="D879" s="18">
        <v>0.12</v>
      </c>
      <c r="E879" s="21">
        <f t="shared" si="103"/>
        <v>9.4887929345830457E-3</v>
      </c>
      <c r="F879" s="5">
        <v>36440</v>
      </c>
      <c r="G879" s="5">
        <v>36988</v>
      </c>
      <c r="H879" s="16">
        <f t="shared" si="101"/>
        <v>548</v>
      </c>
      <c r="I879" s="5">
        <v>36988</v>
      </c>
      <c r="J879" s="5">
        <v>36678</v>
      </c>
      <c r="K879" s="16">
        <f t="shared" si="102"/>
        <v>238</v>
      </c>
      <c r="L879" s="13">
        <v>1262.56</v>
      </c>
      <c r="M879" s="15">
        <f t="shared" si="100"/>
        <v>75.607882605600366</v>
      </c>
      <c r="N879" s="13">
        <v>1262.56</v>
      </c>
      <c r="O879" s="13">
        <v>0</v>
      </c>
      <c r="P879" s="11">
        <f t="shared" si="104"/>
        <v>0</v>
      </c>
    </row>
    <row r="880" spans="1:16" ht="18.75" customHeight="1" thickBot="1" x14ac:dyDescent="0.3">
      <c r="A880" s="3" t="s">
        <v>11</v>
      </c>
      <c r="B880" s="4">
        <v>400128</v>
      </c>
      <c r="C880" s="3" t="s">
        <v>9</v>
      </c>
      <c r="D880" s="18">
        <v>0.11</v>
      </c>
      <c r="E880" s="21">
        <f t="shared" si="103"/>
        <v>8.7345938235519061E-3</v>
      </c>
      <c r="F880" s="5">
        <v>36469</v>
      </c>
      <c r="G880" s="5">
        <v>36802</v>
      </c>
      <c r="H880" s="16">
        <f t="shared" si="101"/>
        <v>333</v>
      </c>
      <c r="I880" s="5">
        <v>36802</v>
      </c>
      <c r="J880" s="5">
        <v>36741</v>
      </c>
      <c r="K880" s="16">
        <f t="shared" si="102"/>
        <v>272</v>
      </c>
      <c r="L880" s="13">
        <v>2500</v>
      </c>
      <c r="M880" s="15">
        <f t="shared" si="100"/>
        <v>237.3013017564881</v>
      </c>
      <c r="N880" s="13">
        <v>2500</v>
      </c>
      <c r="O880" s="13">
        <v>0</v>
      </c>
      <c r="P880" s="11">
        <f t="shared" si="104"/>
        <v>0</v>
      </c>
    </row>
    <row r="881" spans="1:16" ht="18.75" customHeight="1" thickBot="1" x14ac:dyDescent="0.3">
      <c r="A881" s="3" t="s">
        <v>11</v>
      </c>
      <c r="B881" s="4">
        <v>427399</v>
      </c>
      <c r="C881" s="3" t="s">
        <v>9</v>
      </c>
      <c r="D881" s="18">
        <v>0.15</v>
      </c>
      <c r="E881" s="21">
        <f t="shared" si="103"/>
        <v>1.171491691985338E-2</v>
      </c>
      <c r="F881" s="5">
        <v>36483</v>
      </c>
      <c r="G881" s="5">
        <v>36665</v>
      </c>
      <c r="H881" s="16">
        <f t="shared" si="101"/>
        <v>182</v>
      </c>
      <c r="I881" s="5">
        <v>36665</v>
      </c>
      <c r="J881" s="5">
        <v>36712</v>
      </c>
      <c r="K881" s="16">
        <f t="shared" si="102"/>
        <v>229</v>
      </c>
      <c r="L881" s="13">
        <v>1300</v>
      </c>
      <c r="M881" s="15">
        <f t="shared" si="100"/>
        <v>223.24280851125721</v>
      </c>
      <c r="N881" s="13">
        <v>1300</v>
      </c>
      <c r="O881" s="13">
        <v>0</v>
      </c>
      <c r="P881" s="11">
        <f t="shared" si="104"/>
        <v>0</v>
      </c>
    </row>
    <row r="882" spans="1:16" ht="18.75" customHeight="1" thickBot="1" x14ac:dyDescent="0.3">
      <c r="A882" s="3" t="s">
        <v>11</v>
      </c>
      <c r="B882" s="4">
        <v>533591</v>
      </c>
      <c r="C882" s="3" t="s">
        <v>9</v>
      </c>
      <c r="D882" s="18">
        <v>0.15</v>
      </c>
      <c r="E882" s="21">
        <f t="shared" si="103"/>
        <v>1.171491691985338E-2</v>
      </c>
      <c r="F882" s="5">
        <v>36472</v>
      </c>
      <c r="G882" s="5">
        <v>36654</v>
      </c>
      <c r="H882" s="16">
        <f t="shared" si="101"/>
        <v>182</v>
      </c>
      <c r="I882" s="5">
        <v>36654</v>
      </c>
      <c r="J882" s="5">
        <v>36741</v>
      </c>
      <c r="K882" s="16">
        <f t="shared" si="102"/>
        <v>269</v>
      </c>
      <c r="L882" s="13">
        <v>2000</v>
      </c>
      <c r="M882" s="15">
        <f t="shared" si="100"/>
        <v>343.45047463270339</v>
      </c>
      <c r="N882" s="13">
        <v>2000</v>
      </c>
      <c r="O882" s="13">
        <v>0</v>
      </c>
      <c r="P882" s="11">
        <f t="shared" si="104"/>
        <v>0</v>
      </c>
    </row>
    <row r="883" spans="1:16" ht="18.75" customHeight="1" thickBot="1" x14ac:dyDescent="0.3">
      <c r="A883" s="3" t="s">
        <v>11</v>
      </c>
      <c r="B883" s="4">
        <v>164798</v>
      </c>
      <c r="C883" s="3" t="s">
        <v>9</v>
      </c>
      <c r="D883" s="18">
        <v>0.15</v>
      </c>
      <c r="E883" s="21">
        <f t="shared" si="103"/>
        <v>1.171491691985338E-2</v>
      </c>
      <c r="F883" s="5">
        <v>36472</v>
      </c>
      <c r="G883" s="5">
        <v>36654</v>
      </c>
      <c r="H883" s="16">
        <f t="shared" si="101"/>
        <v>182</v>
      </c>
      <c r="I883" s="5">
        <v>36654</v>
      </c>
      <c r="J883" s="5">
        <v>36861</v>
      </c>
      <c r="K883" s="16">
        <f t="shared" si="102"/>
        <v>389</v>
      </c>
      <c r="L883" s="13">
        <v>1200</v>
      </c>
      <c r="M883" s="15">
        <f t="shared" si="100"/>
        <v>206.07028477962203</v>
      </c>
      <c r="N883" s="13">
        <v>1200</v>
      </c>
      <c r="O883" s="13">
        <v>0</v>
      </c>
      <c r="P883" s="11">
        <f t="shared" si="104"/>
        <v>0</v>
      </c>
    </row>
    <row r="884" spans="1:16" ht="18.75" customHeight="1" thickBot="1" x14ac:dyDescent="0.3">
      <c r="A884" s="3" t="s">
        <v>11</v>
      </c>
      <c r="B884" s="4">
        <v>28521</v>
      </c>
      <c r="C884" s="3" t="s">
        <v>9</v>
      </c>
      <c r="D884" s="18">
        <v>0.1</v>
      </c>
      <c r="E884" s="21">
        <f t="shared" si="103"/>
        <v>7.9741404289037643E-3</v>
      </c>
      <c r="F884" s="5">
        <v>36508</v>
      </c>
      <c r="G884" s="5">
        <v>38528</v>
      </c>
      <c r="H884" s="16">
        <f t="shared" si="101"/>
        <v>2020</v>
      </c>
      <c r="I884" s="5">
        <v>38528</v>
      </c>
      <c r="J884" s="5">
        <v>39661</v>
      </c>
      <c r="K884" s="16">
        <f t="shared" si="102"/>
        <v>3153</v>
      </c>
      <c r="L884" s="13">
        <v>16844.23</v>
      </c>
      <c r="M884" s="15">
        <f t="shared" si="100"/>
        <v>324.27478275089754</v>
      </c>
      <c r="N884" s="13">
        <v>16844.23</v>
      </c>
      <c r="O884" s="13">
        <v>0</v>
      </c>
      <c r="P884" s="11">
        <f t="shared" si="104"/>
        <v>0</v>
      </c>
    </row>
    <row r="885" spans="1:16" ht="18.75" customHeight="1" thickBot="1" x14ac:dyDescent="0.3">
      <c r="A885" s="3" t="s">
        <v>11</v>
      </c>
      <c r="B885" s="4">
        <v>142280</v>
      </c>
      <c r="C885" s="3" t="s">
        <v>9</v>
      </c>
      <c r="D885" s="18">
        <v>0.12</v>
      </c>
      <c r="E885" s="21">
        <f t="shared" si="103"/>
        <v>9.4887929345830457E-3</v>
      </c>
      <c r="F885" s="5">
        <v>36514</v>
      </c>
      <c r="G885" s="5">
        <v>37031</v>
      </c>
      <c r="H885" s="16">
        <f t="shared" si="101"/>
        <v>517</v>
      </c>
      <c r="I885" s="5">
        <v>37031</v>
      </c>
      <c r="J885" s="5">
        <v>36642</v>
      </c>
      <c r="K885" s="16">
        <f t="shared" si="102"/>
        <v>128</v>
      </c>
      <c r="L885" s="13">
        <v>1091.53</v>
      </c>
      <c r="M885" s="15">
        <f t="shared" si="100"/>
        <v>68.957389117444464</v>
      </c>
      <c r="N885" s="13">
        <v>1091.53</v>
      </c>
      <c r="O885" s="13">
        <v>0</v>
      </c>
      <c r="P885" s="11">
        <f t="shared" si="104"/>
        <v>0</v>
      </c>
    </row>
    <row r="886" spans="1:16" ht="18.75" customHeight="1" thickBot="1" x14ac:dyDescent="0.3">
      <c r="A886" s="3" t="s">
        <v>11</v>
      </c>
      <c r="B886" s="4">
        <v>254743</v>
      </c>
      <c r="C886" s="3" t="s">
        <v>9</v>
      </c>
      <c r="D886" s="18">
        <v>0.1</v>
      </c>
      <c r="E886" s="21">
        <f t="shared" si="103"/>
        <v>7.9741404289037643E-3</v>
      </c>
      <c r="F886" s="5">
        <v>36536</v>
      </c>
      <c r="G886" s="5">
        <v>37267</v>
      </c>
      <c r="H886" s="16">
        <f t="shared" si="101"/>
        <v>731</v>
      </c>
      <c r="I886" s="5">
        <v>37267</v>
      </c>
      <c r="J886" s="5">
        <v>36784</v>
      </c>
      <c r="K886" s="16">
        <f t="shared" si="102"/>
        <v>248</v>
      </c>
      <c r="L886" s="13">
        <v>2356.14</v>
      </c>
      <c r="M886" s="15">
        <f t="shared" si="100"/>
        <v>106.77714956987755</v>
      </c>
      <c r="N886" s="13">
        <v>2356.14</v>
      </c>
      <c r="O886" s="13">
        <v>0</v>
      </c>
      <c r="P886" s="11">
        <f t="shared" si="104"/>
        <v>0</v>
      </c>
    </row>
    <row r="887" spans="1:16" ht="18.75" customHeight="1" thickBot="1" x14ac:dyDescent="0.3">
      <c r="A887" s="3" t="s">
        <v>11</v>
      </c>
      <c r="B887" s="4">
        <v>462708</v>
      </c>
      <c r="C887" s="3" t="s">
        <v>9</v>
      </c>
      <c r="D887" s="18">
        <v>0.11</v>
      </c>
      <c r="E887" s="21">
        <f t="shared" si="103"/>
        <v>8.7345938235519061E-3</v>
      </c>
      <c r="F887" s="5">
        <v>36551</v>
      </c>
      <c r="G887" s="5">
        <v>36802</v>
      </c>
      <c r="H887" s="16">
        <f t="shared" si="101"/>
        <v>251</v>
      </c>
      <c r="I887" s="5">
        <v>36802</v>
      </c>
      <c r="J887" s="5">
        <v>36741</v>
      </c>
      <c r="K887" s="16">
        <f t="shared" si="102"/>
        <v>190</v>
      </c>
      <c r="L887" s="13">
        <v>2000</v>
      </c>
      <c r="M887" s="15">
        <f t="shared" si="100"/>
        <v>248.92679595067256</v>
      </c>
      <c r="N887" s="13">
        <v>2000</v>
      </c>
      <c r="O887" s="13">
        <v>0</v>
      </c>
      <c r="P887" s="11">
        <f t="shared" si="104"/>
        <v>0</v>
      </c>
    </row>
    <row r="888" spans="1:16" ht="18.75" customHeight="1" thickBot="1" x14ac:dyDescent="0.3">
      <c r="A888" s="3" t="s">
        <v>11</v>
      </c>
      <c r="B888" s="4">
        <v>365287</v>
      </c>
      <c r="C888" s="3" t="s">
        <v>9</v>
      </c>
      <c r="D888" s="18">
        <v>0.105</v>
      </c>
      <c r="E888" s="21">
        <f t="shared" si="103"/>
        <v>8.355155683635207E-3</v>
      </c>
      <c r="F888" s="5">
        <v>36557</v>
      </c>
      <c r="G888" s="5">
        <v>38565</v>
      </c>
      <c r="H888" s="16">
        <f t="shared" si="101"/>
        <v>2008</v>
      </c>
      <c r="I888" s="5">
        <v>38565</v>
      </c>
      <c r="J888" s="5">
        <v>37778</v>
      </c>
      <c r="K888" s="16">
        <f t="shared" si="102"/>
        <v>1221</v>
      </c>
      <c r="L888" s="13">
        <v>4040.29</v>
      </c>
      <c r="M888" s="15">
        <f t="shared" si="100"/>
        <v>79.051966550016203</v>
      </c>
      <c r="N888" s="13">
        <v>4040.29</v>
      </c>
      <c r="O888" s="13">
        <v>0</v>
      </c>
      <c r="P888" s="11">
        <f t="shared" ref="P888:P912" si="105">IF((G888)&gt;(ConstantDateCutoff),1,0)</f>
        <v>0</v>
      </c>
    </row>
    <row r="889" spans="1:16" ht="18.75" customHeight="1" thickBot="1" x14ac:dyDescent="0.3">
      <c r="A889" s="3" t="s">
        <v>11</v>
      </c>
      <c r="B889" s="4">
        <v>55741</v>
      </c>
      <c r="C889" s="3" t="s">
        <v>9</v>
      </c>
      <c r="D889" s="18">
        <v>0.105</v>
      </c>
      <c r="E889" s="21">
        <f t="shared" si="103"/>
        <v>8.355155683635207E-3</v>
      </c>
      <c r="F889" s="5">
        <v>36560</v>
      </c>
      <c r="G889" s="5">
        <v>38398</v>
      </c>
      <c r="H889" s="16">
        <f t="shared" si="101"/>
        <v>1838</v>
      </c>
      <c r="I889" s="5">
        <v>38398</v>
      </c>
      <c r="J889" s="5">
        <v>37125</v>
      </c>
      <c r="K889" s="16">
        <f t="shared" si="102"/>
        <v>565</v>
      </c>
      <c r="L889" s="13">
        <v>7079.77</v>
      </c>
      <c r="M889" s="15">
        <f t="shared" si="100"/>
        <v>148.11701983775396</v>
      </c>
      <c r="N889" s="13">
        <v>7079.77</v>
      </c>
      <c r="O889" s="13">
        <v>0</v>
      </c>
      <c r="P889" s="11">
        <f t="shared" si="105"/>
        <v>0</v>
      </c>
    </row>
    <row r="890" spans="1:16" ht="18.75" customHeight="1" thickBot="1" x14ac:dyDescent="0.3">
      <c r="A890" s="3" t="s">
        <v>11</v>
      </c>
      <c r="B890" s="4">
        <v>719642</v>
      </c>
      <c r="C890" s="3" t="s">
        <v>9</v>
      </c>
      <c r="D890" s="18">
        <v>0.11</v>
      </c>
      <c r="E890" s="21">
        <f t="shared" si="103"/>
        <v>8.7345938235519061E-3</v>
      </c>
      <c r="F890" s="5">
        <v>36566</v>
      </c>
      <c r="G890" s="5">
        <v>36802</v>
      </c>
      <c r="H890" s="16">
        <f t="shared" si="101"/>
        <v>236</v>
      </c>
      <c r="I890" s="5">
        <v>36802</v>
      </c>
      <c r="J890" s="5">
        <v>36741</v>
      </c>
      <c r="K890" s="16">
        <f t="shared" si="102"/>
        <v>175</v>
      </c>
      <c r="L890" s="13">
        <v>4428.5600000000004</v>
      </c>
      <c r="M890" s="15">
        <f t="shared" si="100"/>
        <v>584.96890889052361</v>
      </c>
      <c r="N890" s="13">
        <v>4428.5600000000004</v>
      </c>
      <c r="O890" s="13">
        <v>0</v>
      </c>
      <c r="P890" s="11">
        <f t="shared" si="105"/>
        <v>0</v>
      </c>
    </row>
    <row r="891" spans="1:16" ht="18.75" customHeight="1" thickBot="1" x14ac:dyDescent="0.3">
      <c r="A891" s="3" t="s">
        <v>11</v>
      </c>
      <c r="B891" s="4">
        <v>74536</v>
      </c>
      <c r="C891" s="3" t="s">
        <v>9</v>
      </c>
      <c r="D891" s="18">
        <v>0.12</v>
      </c>
      <c r="E891" s="21">
        <f t="shared" si="103"/>
        <v>9.4887929345830457E-3</v>
      </c>
      <c r="F891" s="5">
        <v>36587</v>
      </c>
      <c r="G891" s="5">
        <v>36862</v>
      </c>
      <c r="H891" s="16">
        <f t="shared" si="101"/>
        <v>275</v>
      </c>
      <c r="I891" s="5">
        <v>36862</v>
      </c>
      <c r="J891" s="5">
        <v>36934</v>
      </c>
      <c r="K891" s="16">
        <f t="shared" si="102"/>
        <v>347</v>
      </c>
      <c r="L891" s="13">
        <v>702.98</v>
      </c>
      <c r="M891" s="15">
        <f t="shared" si="100"/>
        <v>80.435328025560082</v>
      </c>
      <c r="N891" s="13">
        <v>702.98</v>
      </c>
      <c r="O891" s="13">
        <v>0</v>
      </c>
      <c r="P891" s="11">
        <f t="shared" si="105"/>
        <v>0</v>
      </c>
    </row>
    <row r="892" spans="1:16" ht="18.75" customHeight="1" thickBot="1" x14ac:dyDescent="0.3">
      <c r="A892" s="3" t="s">
        <v>11</v>
      </c>
      <c r="B892" s="4">
        <v>570028</v>
      </c>
      <c r="C892" s="3" t="s">
        <v>9</v>
      </c>
      <c r="D892" s="18">
        <v>0.11</v>
      </c>
      <c r="E892" s="21">
        <f t="shared" si="103"/>
        <v>8.7345938235519061E-3</v>
      </c>
      <c r="F892" s="5">
        <v>36588</v>
      </c>
      <c r="G892" s="5">
        <v>36802</v>
      </c>
      <c r="H892" s="16">
        <f t="shared" si="101"/>
        <v>214</v>
      </c>
      <c r="I892" s="5">
        <v>36802</v>
      </c>
      <c r="J892" s="5">
        <v>36741</v>
      </c>
      <c r="K892" s="16">
        <f t="shared" si="102"/>
        <v>153</v>
      </c>
      <c r="L892" s="13">
        <v>2000</v>
      </c>
      <c r="M892" s="15">
        <f t="shared" si="100"/>
        <v>290.4214309830142</v>
      </c>
      <c r="N892" s="13">
        <v>2000</v>
      </c>
      <c r="O892" s="13">
        <v>0</v>
      </c>
      <c r="P892" s="11">
        <f t="shared" si="105"/>
        <v>0</v>
      </c>
    </row>
    <row r="893" spans="1:16" ht="18.75" customHeight="1" thickBot="1" x14ac:dyDescent="0.3">
      <c r="A893" s="3" t="s">
        <v>11</v>
      </c>
      <c r="B893" s="4">
        <v>662460</v>
      </c>
      <c r="C893" s="3" t="s">
        <v>9</v>
      </c>
      <c r="D893" s="18">
        <v>0.11</v>
      </c>
      <c r="E893" s="21">
        <f t="shared" si="103"/>
        <v>8.7345938235519061E-3</v>
      </c>
      <c r="F893" s="5">
        <v>36591</v>
      </c>
      <c r="G893" s="5">
        <v>37686</v>
      </c>
      <c r="H893" s="16">
        <f t="shared" si="101"/>
        <v>1095</v>
      </c>
      <c r="I893" s="5">
        <v>37686</v>
      </c>
      <c r="J893" s="5">
        <v>39261</v>
      </c>
      <c r="K893" s="16">
        <f t="shared" si="102"/>
        <v>2670</v>
      </c>
      <c r="L893" s="13">
        <v>124.91</v>
      </c>
      <c r="M893" s="15">
        <f t="shared" si="100"/>
        <v>4.011447090263994</v>
      </c>
      <c r="N893" s="13">
        <v>124.91</v>
      </c>
      <c r="O893" s="13">
        <v>0</v>
      </c>
      <c r="P893" s="11">
        <f t="shared" si="105"/>
        <v>0</v>
      </c>
    </row>
    <row r="894" spans="1:16" ht="18.75" customHeight="1" thickBot="1" x14ac:dyDescent="0.3">
      <c r="A894" s="3" t="s">
        <v>11</v>
      </c>
      <c r="B894" s="4">
        <v>156031</v>
      </c>
      <c r="C894" s="3" t="s">
        <v>9</v>
      </c>
      <c r="D894" s="18">
        <v>0.12</v>
      </c>
      <c r="E894" s="21">
        <f t="shared" si="103"/>
        <v>9.4887929345830457E-3</v>
      </c>
      <c r="F894" s="5">
        <v>36616</v>
      </c>
      <c r="G894" s="5">
        <v>36829</v>
      </c>
      <c r="H894" s="16">
        <f t="shared" si="101"/>
        <v>213</v>
      </c>
      <c r="I894" s="5">
        <v>36829</v>
      </c>
      <c r="J894" s="5">
        <v>36741</v>
      </c>
      <c r="K894" s="16">
        <f t="shared" si="102"/>
        <v>125</v>
      </c>
      <c r="L894" s="13">
        <v>4000</v>
      </c>
      <c r="M894" s="15">
        <f t="shared" si="100"/>
        <v>585.23862731954148</v>
      </c>
      <c r="N894" s="13">
        <v>4000</v>
      </c>
      <c r="O894" s="13">
        <v>0</v>
      </c>
      <c r="P894" s="11">
        <f t="shared" si="105"/>
        <v>0</v>
      </c>
    </row>
    <row r="895" spans="1:16" ht="18.75" customHeight="1" thickBot="1" x14ac:dyDescent="0.3">
      <c r="A895" s="3" t="s">
        <v>11</v>
      </c>
      <c r="B895" s="4">
        <v>597318</v>
      </c>
      <c r="C895" s="3" t="s">
        <v>9</v>
      </c>
      <c r="D895" s="18">
        <v>0.105</v>
      </c>
      <c r="E895" s="21">
        <f t="shared" si="103"/>
        <v>8.355155683635207E-3</v>
      </c>
      <c r="F895" s="5">
        <v>36619</v>
      </c>
      <c r="G895" s="5">
        <v>37361</v>
      </c>
      <c r="H895" s="16">
        <f t="shared" si="101"/>
        <v>742</v>
      </c>
      <c r="I895" s="5">
        <v>37361</v>
      </c>
      <c r="J895" s="5">
        <v>36985</v>
      </c>
      <c r="K895" s="16">
        <f t="shared" si="102"/>
        <v>366</v>
      </c>
      <c r="L895" s="13">
        <v>8000</v>
      </c>
      <c r="M895" s="15">
        <f t="shared" si="100"/>
        <v>359.36559815961664</v>
      </c>
      <c r="N895" s="13">
        <v>8000</v>
      </c>
      <c r="O895" s="13">
        <v>0</v>
      </c>
      <c r="P895" s="11">
        <f t="shared" si="105"/>
        <v>0</v>
      </c>
    </row>
    <row r="896" spans="1:16" ht="18.75" customHeight="1" thickBot="1" x14ac:dyDescent="0.3">
      <c r="A896" s="3" t="s">
        <v>11</v>
      </c>
      <c r="B896" s="4">
        <v>544322</v>
      </c>
      <c r="C896" s="3" t="s">
        <v>9</v>
      </c>
      <c r="D896" s="18">
        <v>0.11</v>
      </c>
      <c r="E896" s="21">
        <f t="shared" si="103"/>
        <v>8.7345938235519061E-3</v>
      </c>
      <c r="F896" s="5">
        <v>36626</v>
      </c>
      <c r="G896" s="5">
        <v>37356</v>
      </c>
      <c r="H896" s="16">
        <f t="shared" si="101"/>
        <v>730</v>
      </c>
      <c r="I896" s="5">
        <v>37356</v>
      </c>
      <c r="J896" s="5">
        <v>37889</v>
      </c>
      <c r="K896" s="16">
        <f t="shared" si="102"/>
        <v>1263</v>
      </c>
      <c r="L896" s="13">
        <v>833.57</v>
      </c>
      <c r="M896" s="15">
        <f t="shared" si="100"/>
        <v>38.174441851887671</v>
      </c>
      <c r="N896" s="13">
        <v>833.57</v>
      </c>
      <c r="O896" s="13">
        <v>0</v>
      </c>
      <c r="P896" s="11">
        <f t="shared" si="105"/>
        <v>0</v>
      </c>
    </row>
    <row r="897" spans="1:16" ht="18.75" customHeight="1" thickBot="1" x14ac:dyDescent="0.3">
      <c r="A897" s="3" t="s">
        <v>11</v>
      </c>
      <c r="B897" s="4">
        <v>828654</v>
      </c>
      <c r="C897" s="3" t="s">
        <v>9</v>
      </c>
      <c r="D897" s="18">
        <v>0.1</v>
      </c>
      <c r="E897" s="21">
        <f t="shared" si="103"/>
        <v>7.9741404289037643E-3</v>
      </c>
      <c r="F897" s="5">
        <v>36637</v>
      </c>
      <c r="G897" s="5">
        <v>38098</v>
      </c>
      <c r="H897" s="16">
        <f t="shared" si="101"/>
        <v>1461</v>
      </c>
      <c r="I897" s="5">
        <v>38098</v>
      </c>
      <c r="J897" s="5">
        <v>37593</v>
      </c>
      <c r="K897" s="16">
        <f t="shared" si="102"/>
        <v>956</v>
      </c>
      <c r="L897" s="13">
        <v>8346.9599999999991</v>
      </c>
      <c r="M897" s="15">
        <f t="shared" si="100"/>
        <v>207.49797639405216</v>
      </c>
      <c r="N897" s="13">
        <v>8346.9599999999991</v>
      </c>
      <c r="O897" s="13">
        <v>0</v>
      </c>
      <c r="P897" s="11">
        <f t="shared" si="105"/>
        <v>0</v>
      </c>
    </row>
    <row r="898" spans="1:16" ht="18.75" customHeight="1" thickBot="1" x14ac:dyDescent="0.3">
      <c r="A898" s="3" t="s">
        <v>11</v>
      </c>
      <c r="B898" s="4">
        <v>963959</v>
      </c>
      <c r="C898" s="3" t="s">
        <v>9</v>
      </c>
      <c r="D898" s="18">
        <v>0.11</v>
      </c>
      <c r="E898" s="21">
        <f t="shared" si="103"/>
        <v>8.7345938235519061E-3</v>
      </c>
      <c r="F898" s="5">
        <v>36641</v>
      </c>
      <c r="G898" s="5">
        <v>37371</v>
      </c>
      <c r="H898" s="16">
        <f t="shared" si="101"/>
        <v>730</v>
      </c>
      <c r="I898" s="5">
        <v>37371</v>
      </c>
      <c r="J898" s="5">
        <v>37270</v>
      </c>
      <c r="K898" s="16">
        <f t="shared" si="102"/>
        <v>629</v>
      </c>
      <c r="L898" s="13">
        <v>3002.58</v>
      </c>
      <c r="M898" s="15">
        <f t="shared" ref="M898:M961" si="106">-PMT(E898,(H898/30),L898)</f>
        <v>137.50712671478206</v>
      </c>
      <c r="N898" s="13">
        <v>3002.58</v>
      </c>
      <c r="O898" s="13">
        <v>0</v>
      </c>
      <c r="P898" s="11">
        <f t="shared" si="105"/>
        <v>0</v>
      </c>
    </row>
    <row r="899" spans="1:16" ht="18.75" customHeight="1" thickBot="1" x14ac:dyDescent="0.3">
      <c r="A899" s="3" t="s">
        <v>11</v>
      </c>
      <c r="B899" s="4">
        <v>229915</v>
      </c>
      <c r="C899" s="3" t="s">
        <v>9</v>
      </c>
      <c r="D899" s="18">
        <v>0.105</v>
      </c>
      <c r="E899" s="21">
        <f t="shared" si="103"/>
        <v>8.355155683635207E-3</v>
      </c>
      <c r="F899" s="5">
        <v>36649</v>
      </c>
      <c r="G899" s="5">
        <v>37361</v>
      </c>
      <c r="H899" s="16">
        <f t="shared" ref="H899:H962" si="107">G899-F899</f>
        <v>712</v>
      </c>
      <c r="I899" s="5">
        <v>37361</v>
      </c>
      <c r="J899" s="5">
        <v>36985</v>
      </c>
      <c r="K899" s="16">
        <f t="shared" ref="K899:K962" si="108">J899-F899</f>
        <v>336</v>
      </c>
      <c r="L899" s="13">
        <v>15237.5</v>
      </c>
      <c r="M899" s="15">
        <f t="shared" si="106"/>
        <v>710.45742504144903</v>
      </c>
      <c r="N899" s="13">
        <v>15237.5</v>
      </c>
      <c r="O899" s="13">
        <v>0</v>
      </c>
      <c r="P899" s="11">
        <f t="shared" si="105"/>
        <v>0</v>
      </c>
    </row>
    <row r="900" spans="1:16" ht="18.75" customHeight="1" thickBot="1" x14ac:dyDescent="0.3">
      <c r="A900" s="3" t="s">
        <v>11</v>
      </c>
      <c r="B900" s="4">
        <v>645951</v>
      </c>
      <c r="C900" s="3" t="s">
        <v>9</v>
      </c>
      <c r="D900" s="18">
        <v>0.12</v>
      </c>
      <c r="E900" s="21">
        <f t="shared" si="103"/>
        <v>9.4887929345830457E-3</v>
      </c>
      <c r="F900" s="5">
        <v>36651</v>
      </c>
      <c r="G900" s="5">
        <v>36804</v>
      </c>
      <c r="H900" s="16">
        <f t="shared" si="107"/>
        <v>153</v>
      </c>
      <c r="I900" s="5">
        <v>36804</v>
      </c>
      <c r="J900" s="5">
        <v>36741</v>
      </c>
      <c r="K900" s="16">
        <f t="shared" si="108"/>
        <v>90</v>
      </c>
      <c r="L900" s="13">
        <v>1800</v>
      </c>
      <c r="M900" s="15">
        <f t="shared" si="106"/>
        <v>363.22149838562348</v>
      </c>
      <c r="N900" s="13">
        <v>1800</v>
      </c>
      <c r="O900" s="13">
        <v>0</v>
      </c>
      <c r="P900" s="11">
        <f t="shared" si="105"/>
        <v>0</v>
      </c>
    </row>
    <row r="901" spans="1:16" ht="18.75" customHeight="1" thickBot="1" x14ac:dyDescent="0.3">
      <c r="A901" s="3" t="s">
        <v>11</v>
      </c>
      <c r="B901" s="4">
        <v>470357</v>
      </c>
      <c r="C901" s="3" t="s">
        <v>9</v>
      </c>
      <c r="D901" s="18">
        <v>0.105</v>
      </c>
      <c r="E901" s="21">
        <f t="shared" si="103"/>
        <v>8.355155683635207E-3</v>
      </c>
      <c r="F901" s="5">
        <v>36664</v>
      </c>
      <c r="G901" s="5">
        <v>37759</v>
      </c>
      <c r="H901" s="16">
        <f t="shared" si="107"/>
        <v>1095</v>
      </c>
      <c r="I901" s="5">
        <v>37759</v>
      </c>
      <c r="J901" s="5">
        <v>38310</v>
      </c>
      <c r="K901" s="16">
        <f t="shared" si="108"/>
        <v>1646</v>
      </c>
      <c r="L901" s="13">
        <v>2129.33</v>
      </c>
      <c r="M901" s="15">
        <f t="shared" si="106"/>
        <v>67.926184230636565</v>
      </c>
      <c r="N901" s="13">
        <v>2129.33</v>
      </c>
      <c r="O901" s="13">
        <v>0</v>
      </c>
      <c r="P901" s="11">
        <f t="shared" si="105"/>
        <v>0</v>
      </c>
    </row>
    <row r="902" spans="1:16" ht="18.75" customHeight="1" thickBot="1" x14ac:dyDescent="0.3">
      <c r="A902" s="3" t="s">
        <v>11</v>
      </c>
      <c r="B902" s="4">
        <v>604985</v>
      </c>
      <c r="C902" s="3" t="s">
        <v>9</v>
      </c>
      <c r="D902" s="18">
        <v>0.12</v>
      </c>
      <c r="E902" s="21">
        <f t="shared" si="103"/>
        <v>9.4887929345830457E-3</v>
      </c>
      <c r="F902" s="5">
        <v>36669</v>
      </c>
      <c r="G902" s="5">
        <v>37065</v>
      </c>
      <c r="H902" s="16">
        <f t="shared" si="107"/>
        <v>396</v>
      </c>
      <c r="I902" s="5">
        <v>37065</v>
      </c>
      <c r="J902" s="5">
        <v>36851</v>
      </c>
      <c r="K902" s="16">
        <f t="shared" si="108"/>
        <v>182</v>
      </c>
      <c r="L902" s="13">
        <v>1600</v>
      </c>
      <c r="M902" s="15">
        <f t="shared" si="106"/>
        <v>129.53500626289511</v>
      </c>
      <c r="N902" s="13">
        <v>1600</v>
      </c>
      <c r="O902" s="13">
        <v>0</v>
      </c>
      <c r="P902" s="11">
        <f t="shared" si="105"/>
        <v>0</v>
      </c>
    </row>
    <row r="903" spans="1:16" ht="18.75" customHeight="1" thickBot="1" x14ac:dyDescent="0.3">
      <c r="A903" s="3" t="s">
        <v>11</v>
      </c>
      <c r="B903" s="4">
        <v>258869</v>
      </c>
      <c r="C903" s="3" t="s">
        <v>9</v>
      </c>
      <c r="D903" s="18">
        <v>0.12</v>
      </c>
      <c r="E903" s="21">
        <f t="shared" si="103"/>
        <v>9.4887929345830457E-3</v>
      </c>
      <c r="F903" s="5">
        <v>36671</v>
      </c>
      <c r="G903" s="5">
        <v>37036</v>
      </c>
      <c r="H903" s="16">
        <f t="shared" si="107"/>
        <v>365</v>
      </c>
      <c r="I903" s="5">
        <v>37036</v>
      </c>
      <c r="J903" s="5">
        <v>37230</v>
      </c>
      <c r="K903" s="16">
        <f t="shared" si="108"/>
        <v>559</v>
      </c>
      <c r="L903" s="13">
        <v>250.43</v>
      </c>
      <c r="M903" s="15">
        <f t="shared" si="106"/>
        <v>21.891676840027991</v>
      </c>
      <c r="N903" s="13">
        <v>250.43</v>
      </c>
      <c r="O903" s="13">
        <v>0</v>
      </c>
      <c r="P903" s="11">
        <f t="shared" si="105"/>
        <v>0</v>
      </c>
    </row>
    <row r="904" spans="1:16" ht="18.75" customHeight="1" thickBot="1" x14ac:dyDescent="0.3">
      <c r="A904" s="3" t="s">
        <v>11</v>
      </c>
      <c r="B904" s="4">
        <v>363402</v>
      </c>
      <c r="C904" s="3" t="s">
        <v>9</v>
      </c>
      <c r="D904" s="18">
        <v>0.1</v>
      </c>
      <c r="E904" s="21">
        <f t="shared" si="103"/>
        <v>7.9741404289037643E-3</v>
      </c>
      <c r="F904" s="5">
        <v>36698</v>
      </c>
      <c r="G904" s="5">
        <v>37946</v>
      </c>
      <c r="H904" s="16">
        <f t="shared" si="107"/>
        <v>1248</v>
      </c>
      <c r="I904" s="5">
        <v>37946</v>
      </c>
      <c r="J904" s="5">
        <v>37532</v>
      </c>
      <c r="K904" s="16">
        <f t="shared" si="108"/>
        <v>834</v>
      </c>
      <c r="L904" s="13">
        <v>6038.58</v>
      </c>
      <c r="M904" s="15">
        <f t="shared" si="106"/>
        <v>171.13583215611209</v>
      </c>
      <c r="N904" s="13">
        <v>6038.58</v>
      </c>
      <c r="O904" s="13">
        <v>0</v>
      </c>
      <c r="P904" s="11">
        <f t="shared" si="105"/>
        <v>0</v>
      </c>
    </row>
    <row r="905" spans="1:16" ht="18.75" customHeight="1" thickBot="1" x14ac:dyDescent="0.3">
      <c r="A905" s="3" t="s">
        <v>11</v>
      </c>
      <c r="B905" s="4">
        <v>460737</v>
      </c>
      <c r="C905" s="3" t="s">
        <v>9</v>
      </c>
      <c r="D905" s="18">
        <v>0.12</v>
      </c>
      <c r="E905" s="21">
        <f t="shared" si="103"/>
        <v>9.4887929345830457E-3</v>
      </c>
      <c r="F905" s="5">
        <v>36700</v>
      </c>
      <c r="G905" s="5">
        <v>38283</v>
      </c>
      <c r="H905" s="16">
        <f t="shared" si="107"/>
        <v>1583</v>
      </c>
      <c r="I905" s="5">
        <v>38283</v>
      </c>
      <c r="J905" s="5">
        <v>37620</v>
      </c>
      <c r="K905" s="16">
        <f t="shared" si="108"/>
        <v>920</v>
      </c>
      <c r="L905" s="13">
        <v>4289.07</v>
      </c>
      <c r="M905" s="15">
        <f t="shared" si="106"/>
        <v>103.70092647910356</v>
      </c>
      <c r="N905" s="13">
        <v>4289.07</v>
      </c>
      <c r="O905" s="13">
        <v>0</v>
      </c>
      <c r="P905" s="11">
        <f t="shared" si="105"/>
        <v>0</v>
      </c>
    </row>
    <row r="906" spans="1:16" ht="18.75" customHeight="1" thickBot="1" x14ac:dyDescent="0.3">
      <c r="A906" s="3" t="s">
        <v>11</v>
      </c>
      <c r="B906" s="4">
        <v>567176</v>
      </c>
      <c r="C906" s="3" t="s">
        <v>9</v>
      </c>
      <c r="D906" s="18">
        <v>0.12</v>
      </c>
      <c r="E906" s="21">
        <f t="shared" si="103"/>
        <v>9.4887929345830457E-3</v>
      </c>
      <c r="F906" s="5">
        <v>36707</v>
      </c>
      <c r="G906" s="5">
        <v>37894</v>
      </c>
      <c r="H906" s="16">
        <f t="shared" si="107"/>
        <v>1187</v>
      </c>
      <c r="I906" s="5">
        <v>37894</v>
      </c>
      <c r="J906" s="5">
        <v>38455</v>
      </c>
      <c r="K906" s="16">
        <f t="shared" si="108"/>
        <v>1748</v>
      </c>
      <c r="L906" s="13">
        <v>2583.79</v>
      </c>
      <c r="M906" s="15">
        <f t="shared" si="106"/>
        <v>78.631715777798291</v>
      </c>
      <c r="N906" s="13">
        <v>2583.79</v>
      </c>
      <c r="O906" s="13">
        <v>0</v>
      </c>
      <c r="P906" s="11">
        <f t="shared" si="105"/>
        <v>0</v>
      </c>
    </row>
    <row r="907" spans="1:16" ht="18.75" hidden="1" customHeight="1" thickBot="1" x14ac:dyDescent="0.3">
      <c r="A907" s="3" t="s">
        <v>11</v>
      </c>
      <c r="B907" s="4">
        <v>351290</v>
      </c>
      <c r="C907" s="3" t="s">
        <v>9</v>
      </c>
      <c r="D907" s="18">
        <v>0.11</v>
      </c>
      <c r="E907" s="21">
        <f t="shared" si="103"/>
        <v>8.7345938235519061E-3</v>
      </c>
      <c r="F907" s="5">
        <v>36752</v>
      </c>
      <c r="G907" s="5">
        <v>36936</v>
      </c>
      <c r="H907" s="16">
        <f t="shared" si="107"/>
        <v>184</v>
      </c>
      <c r="I907" s="5">
        <v>36936</v>
      </c>
      <c r="J907" s="2"/>
      <c r="K907" s="16">
        <f t="shared" si="108"/>
        <v>-36752</v>
      </c>
      <c r="L907" s="13">
        <v>14430.5</v>
      </c>
      <c r="M907" s="15">
        <f t="shared" si="106"/>
        <v>2426.6419058934694</v>
      </c>
      <c r="N907" s="13">
        <v>14430.5</v>
      </c>
      <c r="O907" s="13">
        <v>0</v>
      </c>
      <c r="P907" s="11">
        <f t="shared" si="105"/>
        <v>0</v>
      </c>
    </row>
    <row r="908" spans="1:16" ht="18.75" customHeight="1" thickBot="1" x14ac:dyDescent="0.3">
      <c r="A908" s="3" t="s">
        <v>11</v>
      </c>
      <c r="B908" s="4">
        <v>163996</v>
      </c>
      <c r="C908" s="3" t="s">
        <v>9</v>
      </c>
      <c r="D908" s="18">
        <v>0.12</v>
      </c>
      <c r="E908" s="21">
        <f t="shared" si="103"/>
        <v>9.4887929345830457E-3</v>
      </c>
      <c r="F908" s="5">
        <v>36752</v>
      </c>
      <c r="G908" s="5">
        <v>38335</v>
      </c>
      <c r="H908" s="16">
        <f t="shared" si="107"/>
        <v>1583</v>
      </c>
      <c r="I908" s="5">
        <v>38335</v>
      </c>
      <c r="J908" s="5">
        <v>37006</v>
      </c>
      <c r="K908" s="16">
        <f t="shared" si="108"/>
        <v>254</v>
      </c>
      <c r="L908" s="13">
        <v>2855.9</v>
      </c>
      <c r="M908" s="15">
        <f t="shared" si="106"/>
        <v>69.049811714817395</v>
      </c>
      <c r="N908" s="13">
        <v>2855.9</v>
      </c>
      <c r="O908" s="13">
        <v>0</v>
      </c>
      <c r="P908" s="11">
        <f t="shared" si="105"/>
        <v>0</v>
      </c>
    </row>
    <row r="909" spans="1:16" ht="18.75" customHeight="1" thickBot="1" x14ac:dyDescent="0.3">
      <c r="A909" s="3" t="s">
        <v>11</v>
      </c>
      <c r="B909" s="4">
        <v>270462</v>
      </c>
      <c r="C909" s="3" t="s">
        <v>9</v>
      </c>
      <c r="D909" s="18">
        <v>0.1</v>
      </c>
      <c r="E909" s="21">
        <f t="shared" si="103"/>
        <v>7.9741404289037643E-3</v>
      </c>
      <c r="F909" s="5">
        <v>36747</v>
      </c>
      <c r="G909" s="5">
        <v>37112</v>
      </c>
      <c r="H909" s="16">
        <f t="shared" si="107"/>
        <v>365</v>
      </c>
      <c r="I909" s="5">
        <v>37112</v>
      </c>
      <c r="J909" s="5">
        <v>40949</v>
      </c>
      <c r="K909" s="16">
        <f t="shared" si="108"/>
        <v>4202</v>
      </c>
      <c r="L909" s="13">
        <v>3753.26</v>
      </c>
      <c r="M909" s="15">
        <f t="shared" si="106"/>
        <v>324.92094185868194</v>
      </c>
      <c r="N909" s="13">
        <v>3753.26</v>
      </c>
      <c r="O909" s="13">
        <v>0</v>
      </c>
      <c r="P909" s="11">
        <f t="shared" si="105"/>
        <v>0</v>
      </c>
    </row>
    <row r="910" spans="1:16" ht="18.75" customHeight="1" thickBot="1" x14ac:dyDescent="0.3">
      <c r="A910" s="3" t="s">
        <v>11</v>
      </c>
      <c r="B910" s="4">
        <v>747916</v>
      </c>
      <c r="C910" s="3" t="s">
        <v>9</v>
      </c>
      <c r="D910" s="18">
        <v>0.12</v>
      </c>
      <c r="E910" s="21">
        <f t="shared" si="103"/>
        <v>9.4887929345830457E-3</v>
      </c>
      <c r="F910" s="5">
        <v>36754</v>
      </c>
      <c r="G910" s="5">
        <v>37484</v>
      </c>
      <c r="H910" s="16">
        <f t="shared" si="107"/>
        <v>730</v>
      </c>
      <c r="I910" s="5">
        <v>37484</v>
      </c>
      <c r="J910" s="5">
        <v>37021</v>
      </c>
      <c r="K910" s="16">
        <f t="shared" si="108"/>
        <v>267</v>
      </c>
      <c r="L910" s="13">
        <v>2780.22</v>
      </c>
      <c r="M910" s="15">
        <f t="shared" si="106"/>
        <v>128.49206568172184</v>
      </c>
      <c r="N910" s="13">
        <v>2780.22</v>
      </c>
      <c r="O910" s="13">
        <v>0</v>
      </c>
      <c r="P910" s="11">
        <f t="shared" si="105"/>
        <v>0</v>
      </c>
    </row>
    <row r="911" spans="1:16" ht="18.75" customHeight="1" thickBot="1" x14ac:dyDescent="0.3">
      <c r="A911" s="3" t="s">
        <v>11</v>
      </c>
      <c r="B911" s="4">
        <v>579717</v>
      </c>
      <c r="C911" s="3" t="s">
        <v>9</v>
      </c>
      <c r="D911" s="18">
        <v>0.13</v>
      </c>
      <c r="E911" s="21">
        <f t="shared" si="103"/>
        <v>1.02368443581764E-2</v>
      </c>
      <c r="F911" s="5">
        <v>36844</v>
      </c>
      <c r="G911" s="5">
        <v>37025</v>
      </c>
      <c r="H911" s="16">
        <f t="shared" si="107"/>
        <v>181</v>
      </c>
      <c r="I911" s="5">
        <v>37025</v>
      </c>
      <c r="J911" s="5">
        <v>37294</v>
      </c>
      <c r="K911" s="16">
        <f t="shared" si="108"/>
        <v>450</v>
      </c>
      <c r="L911" s="13">
        <v>3309.42</v>
      </c>
      <c r="M911" s="15">
        <f t="shared" si="106"/>
        <v>568.43793341159937</v>
      </c>
      <c r="N911" s="13">
        <v>3309.42</v>
      </c>
      <c r="O911" s="13">
        <v>0</v>
      </c>
      <c r="P911" s="11">
        <f t="shared" si="105"/>
        <v>0</v>
      </c>
    </row>
    <row r="912" spans="1:16" ht="18.75" customHeight="1" thickBot="1" x14ac:dyDescent="0.3">
      <c r="A912" s="3" t="s">
        <v>11</v>
      </c>
      <c r="B912" s="4">
        <v>619295</v>
      </c>
      <c r="C912" s="3" t="s">
        <v>9</v>
      </c>
      <c r="D912" s="18">
        <v>0.18</v>
      </c>
      <c r="E912" s="21">
        <f t="shared" si="103"/>
        <v>1.3888430348409919E-2</v>
      </c>
      <c r="F912" s="5">
        <v>36845</v>
      </c>
      <c r="G912" s="5">
        <v>37026</v>
      </c>
      <c r="H912" s="16">
        <f t="shared" si="107"/>
        <v>181</v>
      </c>
      <c r="I912" s="5">
        <v>37026</v>
      </c>
      <c r="J912" s="5">
        <v>37071</v>
      </c>
      <c r="K912" s="16">
        <f t="shared" si="108"/>
        <v>226</v>
      </c>
      <c r="L912" s="13">
        <v>177.6</v>
      </c>
      <c r="M912" s="15">
        <f t="shared" si="106"/>
        <v>30.890803112337672</v>
      </c>
      <c r="N912" s="13">
        <v>177.6</v>
      </c>
      <c r="O912" s="13">
        <v>0</v>
      </c>
      <c r="P912" s="11">
        <f t="shared" si="105"/>
        <v>0</v>
      </c>
    </row>
    <row r="913" spans="1:16" ht="18.75" hidden="1" customHeight="1" thickBot="1" x14ac:dyDescent="0.3">
      <c r="A913" s="3" t="s">
        <v>11</v>
      </c>
      <c r="B913" s="4">
        <v>63931</v>
      </c>
      <c r="C913" s="3" t="s">
        <v>9</v>
      </c>
      <c r="D913" s="7">
        <v>0.12</v>
      </c>
      <c r="E913" s="7">
        <f t="shared" ref="E913" si="109">D913/12</f>
        <v>0.01</v>
      </c>
      <c r="F913" s="5">
        <v>36858</v>
      </c>
      <c r="G913" s="5">
        <v>55102</v>
      </c>
      <c r="H913" s="8">
        <f t="shared" si="107"/>
        <v>18244</v>
      </c>
      <c r="I913" s="5">
        <v>55102</v>
      </c>
      <c r="J913" s="5">
        <v>42151</v>
      </c>
      <c r="K913" s="8">
        <f t="shared" si="108"/>
        <v>5293</v>
      </c>
      <c r="L913" s="6">
        <v>3771.75</v>
      </c>
      <c r="M913" s="9">
        <f t="shared" si="106"/>
        <v>37.806542124719293</v>
      </c>
      <c r="N913" s="6">
        <v>3771.75</v>
      </c>
      <c r="O913" s="6">
        <v>0</v>
      </c>
      <c r="P913" s="6">
        <v>0</v>
      </c>
    </row>
    <row r="914" spans="1:16" ht="18.75" customHeight="1" thickBot="1" x14ac:dyDescent="0.3">
      <c r="A914" s="3" t="s">
        <v>11</v>
      </c>
      <c r="B914" s="4">
        <v>165155</v>
      </c>
      <c r="C914" s="3" t="s">
        <v>9</v>
      </c>
      <c r="D914" s="18">
        <v>0.14000000000000001</v>
      </c>
      <c r="E914" s="21">
        <f t="shared" ref="E914:E977" si="110">(1+D914)^(1/12)-1</f>
        <v>1.0978851950173452E-2</v>
      </c>
      <c r="F914" s="5">
        <v>36872</v>
      </c>
      <c r="G914" s="5">
        <v>37146</v>
      </c>
      <c r="H914" s="16">
        <f t="shared" si="107"/>
        <v>274</v>
      </c>
      <c r="I914" s="5">
        <v>37146</v>
      </c>
      <c r="J914" s="5">
        <v>36914</v>
      </c>
      <c r="K914" s="16">
        <f t="shared" si="108"/>
        <v>42</v>
      </c>
      <c r="L914" s="13">
        <v>449.2</v>
      </c>
      <c r="M914" s="15">
        <f t="shared" si="106"/>
        <v>51.958802709056705</v>
      </c>
      <c r="N914" s="13">
        <v>449.2</v>
      </c>
      <c r="O914" s="13">
        <v>0</v>
      </c>
      <c r="P914" s="11">
        <f t="shared" ref="P914:P977" si="111">IF((G914)&gt;(ConstantDateCutoff),1,0)</f>
        <v>0</v>
      </c>
    </row>
    <row r="915" spans="1:16" ht="18.75" customHeight="1" thickBot="1" x14ac:dyDescent="0.3">
      <c r="A915" s="3" t="s">
        <v>11</v>
      </c>
      <c r="B915" s="4">
        <v>904925</v>
      </c>
      <c r="C915" s="3" t="s">
        <v>9</v>
      </c>
      <c r="D915" s="18">
        <v>0.11</v>
      </c>
      <c r="E915" s="21">
        <f t="shared" si="110"/>
        <v>8.7345938235519061E-3</v>
      </c>
      <c r="F915" s="5">
        <v>36878</v>
      </c>
      <c r="G915" s="5">
        <v>39008</v>
      </c>
      <c r="H915" s="16">
        <f t="shared" si="107"/>
        <v>2130</v>
      </c>
      <c r="I915" s="5">
        <v>39008</v>
      </c>
      <c r="J915" s="5">
        <v>37943</v>
      </c>
      <c r="K915" s="16">
        <f t="shared" si="108"/>
        <v>1065</v>
      </c>
      <c r="L915" s="13">
        <v>12049.61</v>
      </c>
      <c r="M915" s="15">
        <f t="shared" si="106"/>
        <v>228.45863925576788</v>
      </c>
      <c r="N915" s="13">
        <v>12049.61</v>
      </c>
      <c r="O915" s="13">
        <v>0</v>
      </c>
      <c r="P915" s="11">
        <f t="shared" si="111"/>
        <v>0</v>
      </c>
    </row>
    <row r="916" spans="1:16" ht="18.75" customHeight="1" thickBot="1" x14ac:dyDescent="0.3">
      <c r="A916" s="3" t="s">
        <v>11</v>
      </c>
      <c r="B916" s="4">
        <v>319205</v>
      </c>
      <c r="C916" s="3" t="s">
        <v>9</v>
      </c>
      <c r="D916" s="18">
        <v>0.12</v>
      </c>
      <c r="E916" s="21">
        <f t="shared" si="110"/>
        <v>9.4887929345830457E-3</v>
      </c>
      <c r="F916" s="5">
        <v>36882</v>
      </c>
      <c r="G916" s="5">
        <v>37855</v>
      </c>
      <c r="H916" s="16">
        <f t="shared" si="107"/>
        <v>973</v>
      </c>
      <c r="I916" s="5">
        <v>37855</v>
      </c>
      <c r="J916" s="5">
        <v>39244</v>
      </c>
      <c r="K916" s="16">
        <f t="shared" si="108"/>
        <v>2362</v>
      </c>
      <c r="L916" s="13">
        <v>9942.36</v>
      </c>
      <c r="M916" s="15">
        <f t="shared" si="106"/>
        <v>357.57449105802147</v>
      </c>
      <c r="N916" s="13">
        <v>9942.36</v>
      </c>
      <c r="O916" s="13">
        <v>0</v>
      </c>
      <c r="P916" s="11">
        <f t="shared" si="111"/>
        <v>0</v>
      </c>
    </row>
    <row r="917" spans="1:16" ht="18.75" customHeight="1" thickBot="1" x14ac:dyDescent="0.3">
      <c r="A917" s="3" t="s">
        <v>11</v>
      </c>
      <c r="B917" s="4">
        <v>939886</v>
      </c>
      <c r="C917" s="3" t="s">
        <v>9</v>
      </c>
      <c r="D917" s="18">
        <v>0.105</v>
      </c>
      <c r="E917" s="21">
        <f t="shared" si="110"/>
        <v>8.355155683635207E-3</v>
      </c>
      <c r="F917" s="5">
        <v>36893</v>
      </c>
      <c r="G917" s="5">
        <v>38750</v>
      </c>
      <c r="H917" s="16">
        <f t="shared" si="107"/>
        <v>1857</v>
      </c>
      <c r="I917" s="5">
        <v>38750</v>
      </c>
      <c r="J917" s="5">
        <v>37532</v>
      </c>
      <c r="K917" s="16">
        <f t="shared" si="108"/>
        <v>639</v>
      </c>
      <c r="L917" s="13">
        <v>9755.32</v>
      </c>
      <c r="M917" s="15">
        <f t="shared" si="106"/>
        <v>202.49202570584922</v>
      </c>
      <c r="N917" s="13">
        <v>9755.32</v>
      </c>
      <c r="O917" s="13">
        <v>0</v>
      </c>
      <c r="P917" s="11">
        <f t="shared" si="111"/>
        <v>0</v>
      </c>
    </row>
    <row r="918" spans="1:16" ht="18.75" hidden="1" customHeight="1" thickBot="1" x14ac:dyDescent="0.3">
      <c r="A918" s="3" t="s">
        <v>11</v>
      </c>
      <c r="B918" s="4">
        <v>824940</v>
      </c>
      <c r="C918" s="3" t="s">
        <v>9</v>
      </c>
      <c r="D918" s="18">
        <v>0.105</v>
      </c>
      <c r="E918" s="21">
        <f t="shared" si="110"/>
        <v>8.355155683635207E-3</v>
      </c>
      <c r="F918" s="5">
        <v>36894</v>
      </c>
      <c r="G918" s="5">
        <v>37361</v>
      </c>
      <c r="H918" s="16">
        <f t="shared" si="107"/>
        <v>467</v>
      </c>
      <c r="I918" s="5">
        <v>37361</v>
      </c>
      <c r="J918" s="2"/>
      <c r="K918" s="16">
        <f t="shared" si="108"/>
        <v>-36894</v>
      </c>
      <c r="L918" s="13">
        <v>81250</v>
      </c>
      <c r="M918" s="15">
        <f t="shared" si="106"/>
        <v>5588.014018181917</v>
      </c>
      <c r="N918" s="13">
        <v>81250</v>
      </c>
      <c r="O918" s="13">
        <v>0</v>
      </c>
      <c r="P918" s="11">
        <f t="shared" si="111"/>
        <v>0</v>
      </c>
    </row>
    <row r="919" spans="1:16" ht="18.75" hidden="1" customHeight="1" thickBot="1" x14ac:dyDescent="0.3">
      <c r="A919" s="3" t="s">
        <v>11</v>
      </c>
      <c r="B919" s="4">
        <v>870183</v>
      </c>
      <c r="C919" s="3" t="s">
        <v>9</v>
      </c>
      <c r="D919" s="18">
        <v>0.105</v>
      </c>
      <c r="E919" s="21">
        <f t="shared" si="110"/>
        <v>8.355155683635207E-3</v>
      </c>
      <c r="F919" s="5">
        <v>36894</v>
      </c>
      <c r="G919" s="5">
        <v>37361</v>
      </c>
      <c r="H919" s="16">
        <f t="shared" si="107"/>
        <v>467</v>
      </c>
      <c r="I919" s="5">
        <v>37361</v>
      </c>
      <c r="J919" s="2"/>
      <c r="K919" s="16">
        <f t="shared" si="108"/>
        <v>-36894</v>
      </c>
      <c r="L919" s="13">
        <v>81250</v>
      </c>
      <c r="M919" s="15">
        <f t="shared" si="106"/>
        <v>5588.014018181917</v>
      </c>
      <c r="N919" s="13">
        <v>81250</v>
      </c>
      <c r="O919" s="13">
        <v>0</v>
      </c>
      <c r="P919" s="11">
        <f t="shared" si="111"/>
        <v>0</v>
      </c>
    </row>
    <row r="920" spans="1:16" ht="18.75" customHeight="1" thickBot="1" x14ac:dyDescent="0.3">
      <c r="A920" s="3" t="s">
        <v>11</v>
      </c>
      <c r="B920" s="4">
        <v>906445</v>
      </c>
      <c r="C920" s="3" t="s">
        <v>9</v>
      </c>
      <c r="D920" s="18">
        <v>0.12</v>
      </c>
      <c r="E920" s="21">
        <f t="shared" si="110"/>
        <v>9.4887929345830457E-3</v>
      </c>
      <c r="F920" s="5">
        <v>36908</v>
      </c>
      <c r="G920" s="5">
        <v>38063</v>
      </c>
      <c r="H920" s="16">
        <f t="shared" si="107"/>
        <v>1155</v>
      </c>
      <c r="I920" s="5">
        <v>38063</v>
      </c>
      <c r="J920" s="5">
        <v>37526</v>
      </c>
      <c r="K920" s="16">
        <f t="shared" si="108"/>
        <v>618</v>
      </c>
      <c r="L920" s="13">
        <v>2968.45</v>
      </c>
      <c r="M920" s="15">
        <f t="shared" si="106"/>
        <v>92.402907438155921</v>
      </c>
      <c r="N920" s="13">
        <v>2968.45</v>
      </c>
      <c r="O920" s="13">
        <v>0</v>
      </c>
      <c r="P920" s="11">
        <f t="shared" si="111"/>
        <v>0</v>
      </c>
    </row>
    <row r="921" spans="1:16" ht="18.75" customHeight="1" thickBot="1" x14ac:dyDescent="0.3">
      <c r="A921" s="3" t="s">
        <v>11</v>
      </c>
      <c r="B921" s="4">
        <v>386190</v>
      </c>
      <c r="C921" s="3" t="s">
        <v>9</v>
      </c>
      <c r="D921" s="18">
        <v>0.13</v>
      </c>
      <c r="E921" s="21">
        <f t="shared" si="110"/>
        <v>1.02368443581764E-2</v>
      </c>
      <c r="F921" s="5">
        <v>36915</v>
      </c>
      <c r="G921" s="5">
        <v>38010</v>
      </c>
      <c r="H921" s="16">
        <f t="shared" si="107"/>
        <v>1095</v>
      </c>
      <c r="I921" s="5">
        <v>38010</v>
      </c>
      <c r="J921" s="5">
        <v>42264</v>
      </c>
      <c r="K921" s="16">
        <f t="shared" si="108"/>
        <v>5349</v>
      </c>
      <c r="L921" s="13">
        <v>10907.81</v>
      </c>
      <c r="M921" s="15">
        <f t="shared" si="106"/>
        <v>359.65309709816404</v>
      </c>
      <c r="N921" s="13">
        <v>10907.81</v>
      </c>
      <c r="O921" s="13">
        <v>0</v>
      </c>
      <c r="P921" s="11">
        <f t="shared" si="111"/>
        <v>0</v>
      </c>
    </row>
    <row r="922" spans="1:16" ht="18.75" customHeight="1" thickBot="1" x14ac:dyDescent="0.3">
      <c r="A922" s="3" t="s">
        <v>11</v>
      </c>
      <c r="B922" s="4">
        <v>10802</v>
      </c>
      <c r="C922" s="3" t="s">
        <v>9</v>
      </c>
      <c r="D922" s="18">
        <v>0.1</v>
      </c>
      <c r="E922" s="21">
        <f t="shared" si="110"/>
        <v>7.9741404289037643E-3</v>
      </c>
      <c r="F922" s="5">
        <v>36927</v>
      </c>
      <c r="G922" s="5">
        <v>38878</v>
      </c>
      <c r="H922" s="16">
        <f t="shared" si="107"/>
        <v>1951</v>
      </c>
      <c r="I922" s="5">
        <v>38878</v>
      </c>
      <c r="J922" s="5">
        <v>38141</v>
      </c>
      <c r="K922" s="16">
        <f t="shared" si="108"/>
        <v>1214</v>
      </c>
      <c r="L922" s="13">
        <v>10000</v>
      </c>
      <c r="M922" s="15">
        <f t="shared" si="106"/>
        <v>197.66749444992661</v>
      </c>
      <c r="N922" s="13">
        <v>10000</v>
      </c>
      <c r="O922" s="13">
        <v>0</v>
      </c>
      <c r="P922" s="11">
        <f t="shared" si="111"/>
        <v>0</v>
      </c>
    </row>
    <row r="923" spans="1:16" ht="18.75" customHeight="1" thickBot="1" x14ac:dyDescent="0.3">
      <c r="A923" s="3" t="s">
        <v>11</v>
      </c>
      <c r="B923" s="4">
        <v>921383</v>
      </c>
      <c r="C923" s="3" t="s">
        <v>9</v>
      </c>
      <c r="D923" s="18">
        <v>0.105</v>
      </c>
      <c r="E923" s="21">
        <f t="shared" si="110"/>
        <v>8.355155683635207E-3</v>
      </c>
      <c r="F923" s="5">
        <v>36938</v>
      </c>
      <c r="G923" s="5">
        <v>38399</v>
      </c>
      <c r="H923" s="16">
        <f t="shared" si="107"/>
        <v>1461</v>
      </c>
      <c r="I923" s="5">
        <v>38399</v>
      </c>
      <c r="J923" s="5">
        <v>38435</v>
      </c>
      <c r="K923" s="16">
        <f t="shared" si="108"/>
        <v>1497</v>
      </c>
      <c r="L923" s="13">
        <v>4508.22</v>
      </c>
      <c r="M923" s="15">
        <f t="shared" si="106"/>
        <v>113.05931554661996</v>
      </c>
      <c r="N923" s="13">
        <v>4508.22</v>
      </c>
      <c r="O923" s="13">
        <v>0</v>
      </c>
      <c r="P923" s="11">
        <f t="shared" si="111"/>
        <v>0</v>
      </c>
    </row>
    <row r="924" spans="1:16" ht="18.75" customHeight="1" thickBot="1" x14ac:dyDescent="0.3">
      <c r="A924" s="3" t="s">
        <v>11</v>
      </c>
      <c r="B924" s="4">
        <v>472827</v>
      </c>
      <c r="C924" s="3" t="s">
        <v>9</v>
      </c>
      <c r="D924" s="18">
        <v>0.12</v>
      </c>
      <c r="E924" s="21">
        <f t="shared" si="110"/>
        <v>9.4887929345830457E-3</v>
      </c>
      <c r="F924" s="5">
        <v>36957</v>
      </c>
      <c r="G924" s="5">
        <v>38053</v>
      </c>
      <c r="H924" s="16">
        <f t="shared" si="107"/>
        <v>1096</v>
      </c>
      <c r="I924" s="5">
        <v>38053</v>
      </c>
      <c r="J924" s="5">
        <v>37522</v>
      </c>
      <c r="K924" s="16">
        <f t="shared" si="108"/>
        <v>565</v>
      </c>
      <c r="L924" s="13">
        <v>4373.6099999999997</v>
      </c>
      <c r="M924" s="15">
        <f t="shared" si="106"/>
        <v>142.22367783212869</v>
      </c>
      <c r="N924" s="13">
        <v>4373.6099999999997</v>
      </c>
      <c r="O924" s="13">
        <v>0</v>
      </c>
      <c r="P924" s="11">
        <f t="shared" si="111"/>
        <v>0</v>
      </c>
    </row>
    <row r="925" spans="1:16" ht="18.75" customHeight="1" thickBot="1" x14ac:dyDescent="0.3">
      <c r="A925" s="3" t="s">
        <v>11</v>
      </c>
      <c r="B925" s="4">
        <v>260473</v>
      </c>
      <c r="C925" s="3" t="s">
        <v>9</v>
      </c>
      <c r="D925" s="18">
        <v>0.11</v>
      </c>
      <c r="E925" s="21">
        <f t="shared" si="110"/>
        <v>8.7345938235519061E-3</v>
      </c>
      <c r="F925" s="5">
        <v>36969</v>
      </c>
      <c r="G925" s="5">
        <v>37699</v>
      </c>
      <c r="H925" s="16">
        <f t="shared" si="107"/>
        <v>730</v>
      </c>
      <c r="I925" s="5">
        <v>37699</v>
      </c>
      <c r="J925" s="5">
        <v>38800</v>
      </c>
      <c r="K925" s="16">
        <f t="shared" si="108"/>
        <v>1831</v>
      </c>
      <c r="L925" s="13">
        <v>406.45</v>
      </c>
      <c r="M925" s="15">
        <f t="shared" si="106"/>
        <v>18.613915916719346</v>
      </c>
      <c r="N925" s="13">
        <v>406.45</v>
      </c>
      <c r="O925" s="13">
        <v>0</v>
      </c>
      <c r="P925" s="11">
        <f t="shared" si="111"/>
        <v>0</v>
      </c>
    </row>
    <row r="926" spans="1:16" ht="18.75" customHeight="1" thickBot="1" x14ac:dyDescent="0.3">
      <c r="A926" s="3" t="s">
        <v>11</v>
      </c>
      <c r="B926" s="4">
        <v>668309</v>
      </c>
      <c r="C926" s="3" t="s">
        <v>9</v>
      </c>
      <c r="D926" s="18">
        <v>0.1</v>
      </c>
      <c r="E926" s="21">
        <f t="shared" si="110"/>
        <v>7.9741404289037643E-3</v>
      </c>
      <c r="F926" s="5">
        <v>36973</v>
      </c>
      <c r="G926" s="5">
        <v>38799</v>
      </c>
      <c r="H926" s="16">
        <f t="shared" si="107"/>
        <v>1826</v>
      </c>
      <c r="I926" s="5">
        <v>38799</v>
      </c>
      <c r="J926" s="5">
        <v>38539</v>
      </c>
      <c r="K926" s="16">
        <f t="shared" si="108"/>
        <v>1566</v>
      </c>
      <c r="L926" s="13">
        <v>4623.12</v>
      </c>
      <c r="M926" s="15">
        <f t="shared" si="106"/>
        <v>96.169428925041373</v>
      </c>
      <c r="N926" s="13">
        <v>4623.12</v>
      </c>
      <c r="O926" s="13">
        <v>0</v>
      </c>
      <c r="P926" s="11">
        <f t="shared" si="111"/>
        <v>0</v>
      </c>
    </row>
    <row r="927" spans="1:16" ht="18.75" customHeight="1" thickBot="1" x14ac:dyDescent="0.3">
      <c r="A927" s="3" t="s">
        <v>11</v>
      </c>
      <c r="B927" s="4">
        <v>455723</v>
      </c>
      <c r="C927" s="3" t="s">
        <v>9</v>
      </c>
      <c r="D927" s="18">
        <v>0.11</v>
      </c>
      <c r="E927" s="21">
        <f t="shared" si="110"/>
        <v>8.7345938235519061E-3</v>
      </c>
      <c r="F927" s="5">
        <v>36980</v>
      </c>
      <c r="G927" s="5">
        <v>37164</v>
      </c>
      <c r="H927" s="16">
        <f t="shared" si="107"/>
        <v>184</v>
      </c>
      <c r="I927" s="5">
        <v>37164</v>
      </c>
      <c r="J927" s="5">
        <v>39610</v>
      </c>
      <c r="K927" s="16">
        <f t="shared" si="108"/>
        <v>2630</v>
      </c>
      <c r="L927" s="13">
        <v>2611.6</v>
      </c>
      <c r="M927" s="15">
        <f t="shared" si="106"/>
        <v>439.16828948625374</v>
      </c>
      <c r="N927" s="13">
        <v>2611.6</v>
      </c>
      <c r="O927" s="13">
        <v>0</v>
      </c>
      <c r="P927" s="11">
        <f t="shared" si="111"/>
        <v>0</v>
      </c>
    </row>
    <row r="928" spans="1:16" ht="18.75" customHeight="1" thickBot="1" x14ac:dyDescent="0.3">
      <c r="A928" s="3" t="s">
        <v>11</v>
      </c>
      <c r="B928" s="4">
        <v>38169</v>
      </c>
      <c r="C928" s="3" t="s">
        <v>9</v>
      </c>
      <c r="D928" s="18">
        <v>0.11</v>
      </c>
      <c r="E928" s="21">
        <f t="shared" si="110"/>
        <v>8.7345938235519061E-3</v>
      </c>
      <c r="F928" s="5">
        <v>36990</v>
      </c>
      <c r="G928" s="5">
        <v>38239</v>
      </c>
      <c r="H928" s="16">
        <f t="shared" si="107"/>
        <v>1249</v>
      </c>
      <c r="I928" s="5">
        <v>38239</v>
      </c>
      <c r="J928" s="5">
        <v>38226</v>
      </c>
      <c r="K928" s="16">
        <f t="shared" si="108"/>
        <v>1236</v>
      </c>
      <c r="L928" s="13">
        <v>159.06</v>
      </c>
      <c r="M928" s="15">
        <f t="shared" si="106"/>
        <v>4.5736479364828648</v>
      </c>
      <c r="N928" s="13">
        <v>159.06</v>
      </c>
      <c r="O928" s="13">
        <v>0</v>
      </c>
      <c r="P928" s="11">
        <f t="shared" si="111"/>
        <v>0</v>
      </c>
    </row>
    <row r="929" spans="1:16" ht="18.75" customHeight="1" thickBot="1" x14ac:dyDescent="0.3">
      <c r="A929" s="3" t="s">
        <v>11</v>
      </c>
      <c r="B929" s="4">
        <v>276962</v>
      </c>
      <c r="C929" s="3" t="s">
        <v>9</v>
      </c>
      <c r="D929" s="18">
        <v>0.12</v>
      </c>
      <c r="E929" s="21">
        <f t="shared" si="110"/>
        <v>9.4887929345830457E-3</v>
      </c>
      <c r="F929" s="5">
        <v>36997</v>
      </c>
      <c r="G929" s="5">
        <v>37362</v>
      </c>
      <c r="H929" s="16">
        <f t="shared" si="107"/>
        <v>365</v>
      </c>
      <c r="I929" s="5">
        <v>37362</v>
      </c>
      <c r="J929" s="5">
        <v>37106</v>
      </c>
      <c r="K929" s="16">
        <f t="shared" si="108"/>
        <v>109</v>
      </c>
      <c r="L929" s="13">
        <v>4117.08</v>
      </c>
      <c r="M929" s="15">
        <f t="shared" si="106"/>
        <v>359.90011134665349</v>
      </c>
      <c r="N929" s="13">
        <v>4117.08</v>
      </c>
      <c r="O929" s="13">
        <v>0</v>
      </c>
      <c r="P929" s="11">
        <f t="shared" si="111"/>
        <v>0</v>
      </c>
    </row>
    <row r="930" spans="1:16" ht="18.75" customHeight="1" thickBot="1" x14ac:dyDescent="0.3">
      <c r="A930" s="3" t="s">
        <v>11</v>
      </c>
      <c r="B930" s="4">
        <v>198311</v>
      </c>
      <c r="C930" s="3" t="s">
        <v>9</v>
      </c>
      <c r="D930" s="18">
        <v>0.11</v>
      </c>
      <c r="E930" s="21">
        <f t="shared" si="110"/>
        <v>8.7345938235519061E-3</v>
      </c>
      <c r="F930" s="5">
        <v>36999</v>
      </c>
      <c r="G930" s="5">
        <v>37742</v>
      </c>
      <c r="H930" s="16">
        <f t="shared" si="107"/>
        <v>743</v>
      </c>
      <c r="I930" s="5">
        <v>37742</v>
      </c>
      <c r="J930" s="5">
        <v>37152</v>
      </c>
      <c r="K930" s="16">
        <f t="shared" si="108"/>
        <v>153</v>
      </c>
      <c r="L930" s="13">
        <v>1672.83</v>
      </c>
      <c r="M930" s="15">
        <f t="shared" si="106"/>
        <v>75.405966167980296</v>
      </c>
      <c r="N930" s="13">
        <v>1672.83</v>
      </c>
      <c r="O930" s="13">
        <v>0</v>
      </c>
      <c r="P930" s="11">
        <f t="shared" si="111"/>
        <v>0</v>
      </c>
    </row>
    <row r="931" spans="1:16" ht="18.75" customHeight="1" thickBot="1" x14ac:dyDescent="0.3">
      <c r="A931" s="3" t="s">
        <v>11</v>
      </c>
      <c r="B931" s="4">
        <v>249020</v>
      </c>
      <c r="C931" s="3" t="s">
        <v>9</v>
      </c>
      <c r="D931" s="18">
        <v>0.11</v>
      </c>
      <c r="E931" s="21">
        <f t="shared" si="110"/>
        <v>8.7345938235519061E-3</v>
      </c>
      <c r="F931" s="5">
        <v>37008</v>
      </c>
      <c r="G931" s="5">
        <v>38104</v>
      </c>
      <c r="H931" s="16">
        <f t="shared" si="107"/>
        <v>1096</v>
      </c>
      <c r="I931" s="5">
        <v>38104</v>
      </c>
      <c r="J931" s="5">
        <v>38831</v>
      </c>
      <c r="K931" s="16">
        <f t="shared" si="108"/>
        <v>1823</v>
      </c>
      <c r="L931" s="13">
        <v>34.72</v>
      </c>
      <c r="M931" s="15">
        <f t="shared" si="106"/>
        <v>1.1141579510455393</v>
      </c>
      <c r="N931" s="13">
        <v>34.72</v>
      </c>
      <c r="O931" s="13">
        <v>0</v>
      </c>
      <c r="P931" s="11">
        <f t="shared" si="111"/>
        <v>0</v>
      </c>
    </row>
    <row r="932" spans="1:16" ht="18.75" hidden="1" customHeight="1" thickBot="1" x14ac:dyDescent="0.3">
      <c r="A932" s="3" t="s">
        <v>11</v>
      </c>
      <c r="B932" s="4">
        <v>569788</v>
      </c>
      <c r="C932" s="3" t="s">
        <v>9</v>
      </c>
      <c r="D932" s="18">
        <v>0.11</v>
      </c>
      <c r="E932" s="21">
        <f t="shared" si="110"/>
        <v>8.7345938235519061E-3</v>
      </c>
      <c r="F932" s="5">
        <v>37018</v>
      </c>
      <c r="G932" s="5">
        <v>37383</v>
      </c>
      <c r="H932" s="16">
        <f t="shared" si="107"/>
        <v>365</v>
      </c>
      <c r="I932" s="5">
        <v>37383</v>
      </c>
      <c r="J932" s="2"/>
      <c r="K932" s="16">
        <f t="shared" si="108"/>
        <v>-37018</v>
      </c>
      <c r="L932" s="13">
        <v>2297.9299999999998</v>
      </c>
      <c r="M932" s="15">
        <f t="shared" si="106"/>
        <v>199.9073078740301</v>
      </c>
      <c r="N932" s="13">
        <v>2297.9299999999998</v>
      </c>
      <c r="O932" s="13">
        <v>0</v>
      </c>
      <c r="P932" s="11">
        <f t="shared" si="111"/>
        <v>0</v>
      </c>
    </row>
    <row r="933" spans="1:16" ht="18.75" hidden="1" customHeight="1" thickBot="1" x14ac:dyDescent="0.3">
      <c r="A933" s="3" t="s">
        <v>11</v>
      </c>
      <c r="B933" s="4">
        <v>782506</v>
      </c>
      <c r="C933" s="3" t="s">
        <v>9</v>
      </c>
      <c r="D933" s="18">
        <v>0.105</v>
      </c>
      <c r="E933" s="21">
        <f t="shared" si="110"/>
        <v>8.355155683635207E-3</v>
      </c>
      <c r="F933" s="5">
        <v>37036</v>
      </c>
      <c r="G933" s="5">
        <v>37605</v>
      </c>
      <c r="H933" s="16">
        <f t="shared" si="107"/>
        <v>569</v>
      </c>
      <c r="I933" s="5">
        <v>37605</v>
      </c>
      <c r="J933" s="2"/>
      <c r="K933" s="16">
        <f t="shared" si="108"/>
        <v>-37036</v>
      </c>
      <c r="L933" s="13">
        <v>5187.5</v>
      </c>
      <c r="M933" s="15">
        <f t="shared" si="106"/>
        <v>296.88810076135331</v>
      </c>
      <c r="N933" s="13">
        <v>5187.5</v>
      </c>
      <c r="O933" s="13">
        <v>0</v>
      </c>
      <c r="P933" s="11">
        <f t="shared" si="111"/>
        <v>0</v>
      </c>
    </row>
    <row r="934" spans="1:16" ht="18.75" hidden="1" customHeight="1" thickBot="1" x14ac:dyDescent="0.3">
      <c r="A934" s="3" t="s">
        <v>11</v>
      </c>
      <c r="B934" s="4">
        <v>853702</v>
      </c>
      <c r="C934" s="3" t="s">
        <v>9</v>
      </c>
      <c r="D934" s="18">
        <v>0.105</v>
      </c>
      <c r="E934" s="21">
        <f t="shared" si="110"/>
        <v>8.355155683635207E-3</v>
      </c>
      <c r="F934" s="5">
        <v>37036</v>
      </c>
      <c r="G934" s="5">
        <v>37361</v>
      </c>
      <c r="H934" s="16">
        <f t="shared" si="107"/>
        <v>325</v>
      </c>
      <c r="I934" s="5">
        <v>37361</v>
      </c>
      <c r="J934" s="2"/>
      <c r="K934" s="16">
        <f t="shared" si="108"/>
        <v>-37036</v>
      </c>
      <c r="L934" s="13">
        <v>5187.5</v>
      </c>
      <c r="M934" s="15">
        <f t="shared" si="106"/>
        <v>502.84050460129941</v>
      </c>
      <c r="N934" s="13">
        <v>5187.5</v>
      </c>
      <c r="O934" s="13">
        <v>0</v>
      </c>
      <c r="P934" s="11">
        <f t="shared" si="111"/>
        <v>0</v>
      </c>
    </row>
    <row r="935" spans="1:16" ht="18.75" hidden="1" customHeight="1" thickBot="1" x14ac:dyDescent="0.3">
      <c r="A935" s="3" t="s">
        <v>11</v>
      </c>
      <c r="B935" s="4">
        <v>74432</v>
      </c>
      <c r="C935" s="3" t="s">
        <v>9</v>
      </c>
      <c r="D935" s="18">
        <v>0.105</v>
      </c>
      <c r="E935" s="21">
        <f t="shared" si="110"/>
        <v>8.355155683635207E-3</v>
      </c>
      <c r="F935" s="5">
        <v>37036</v>
      </c>
      <c r="G935" s="5">
        <v>37361</v>
      </c>
      <c r="H935" s="16">
        <f t="shared" si="107"/>
        <v>325</v>
      </c>
      <c r="I935" s="5">
        <v>37361</v>
      </c>
      <c r="J935" s="2"/>
      <c r="K935" s="16">
        <f t="shared" si="108"/>
        <v>-37036</v>
      </c>
      <c r="L935" s="13">
        <v>86312.5</v>
      </c>
      <c r="M935" s="15">
        <f t="shared" si="106"/>
        <v>8366.5389982457164</v>
      </c>
      <c r="N935" s="13">
        <v>86312.5</v>
      </c>
      <c r="O935" s="13">
        <v>0</v>
      </c>
      <c r="P935" s="11">
        <f t="shared" si="111"/>
        <v>0</v>
      </c>
    </row>
    <row r="936" spans="1:16" ht="18.75" customHeight="1" thickBot="1" x14ac:dyDescent="0.3">
      <c r="A936" s="3" t="s">
        <v>11</v>
      </c>
      <c r="B936" s="4">
        <v>680773</v>
      </c>
      <c r="C936" s="3" t="s">
        <v>9</v>
      </c>
      <c r="D936" s="18">
        <v>0.06</v>
      </c>
      <c r="E936" s="21">
        <f t="shared" si="110"/>
        <v>4.8675505653430484E-3</v>
      </c>
      <c r="F936" s="5">
        <v>37041</v>
      </c>
      <c r="G936" s="5">
        <v>38579</v>
      </c>
      <c r="H936" s="16">
        <f t="shared" si="107"/>
        <v>1538</v>
      </c>
      <c r="I936" s="5">
        <v>38579</v>
      </c>
      <c r="J936" s="5">
        <v>39707</v>
      </c>
      <c r="K936" s="16">
        <f t="shared" si="108"/>
        <v>2666</v>
      </c>
      <c r="L936" s="13">
        <v>17.75</v>
      </c>
      <c r="M936" s="15">
        <f t="shared" si="106"/>
        <v>0.39206082413232857</v>
      </c>
      <c r="N936" s="13">
        <v>17.75</v>
      </c>
      <c r="O936" s="13">
        <v>0</v>
      </c>
      <c r="P936" s="11">
        <f t="shared" si="111"/>
        <v>0</v>
      </c>
    </row>
    <row r="937" spans="1:16" ht="18.75" customHeight="1" thickBot="1" x14ac:dyDescent="0.3">
      <c r="A937" s="3" t="s">
        <v>11</v>
      </c>
      <c r="B937" s="4">
        <v>845081</v>
      </c>
      <c r="C937" s="3" t="s">
        <v>9</v>
      </c>
      <c r="D937" s="18">
        <v>0.105</v>
      </c>
      <c r="E937" s="21">
        <f t="shared" si="110"/>
        <v>8.355155683635207E-3</v>
      </c>
      <c r="F937" s="5">
        <v>37053</v>
      </c>
      <c r="G937" s="5">
        <v>38940</v>
      </c>
      <c r="H937" s="16">
        <f t="shared" si="107"/>
        <v>1887</v>
      </c>
      <c r="I937" s="5">
        <v>38940</v>
      </c>
      <c r="J937" s="5">
        <v>39204</v>
      </c>
      <c r="K937" s="16">
        <f t="shared" si="108"/>
        <v>2151</v>
      </c>
      <c r="L937" s="13">
        <v>2229.16</v>
      </c>
      <c r="M937" s="15">
        <f t="shared" si="106"/>
        <v>45.708689071682223</v>
      </c>
      <c r="N937" s="13">
        <v>2229.16</v>
      </c>
      <c r="O937" s="13">
        <v>0</v>
      </c>
      <c r="P937" s="11">
        <f t="shared" si="111"/>
        <v>0</v>
      </c>
    </row>
    <row r="938" spans="1:16" ht="18.75" customHeight="1" thickBot="1" x14ac:dyDescent="0.3">
      <c r="A938" s="3" t="s">
        <v>11</v>
      </c>
      <c r="B938" s="4">
        <v>835370</v>
      </c>
      <c r="C938" s="3" t="s">
        <v>9</v>
      </c>
      <c r="D938" s="18">
        <v>0.105</v>
      </c>
      <c r="E938" s="21">
        <f t="shared" si="110"/>
        <v>8.355155683635207E-3</v>
      </c>
      <c r="F938" s="5">
        <v>37060</v>
      </c>
      <c r="G938" s="5">
        <v>39281</v>
      </c>
      <c r="H938" s="16">
        <f t="shared" si="107"/>
        <v>2221</v>
      </c>
      <c r="I938" s="5">
        <v>39281</v>
      </c>
      <c r="J938" s="5">
        <v>39639</v>
      </c>
      <c r="K938" s="16">
        <f t="shared" si="108"/>
        <v>2579</v>
      </c>
      <c r="L938" s="13">
        <v>8682.3700000000008</v>
      </c>
      <c r="M938" s="15">
        <f t="shared" si="106"/>
        <v>157.73747923411474</v>
      </c>
      <c r="N938" s="13">
        <v>8682.3700000000008</v>
      </c>
      <c r="O938" s="13">
        <v>0</v>
      </c>
      <c r="P938" s="11">
        <f t="shared" si="111"/>
        <v>0</v>
      </c>
    </row>
    <row r="939" spans="1:16" ht="18.75" customHeight="1" thickBot="1" x14ac:dyDescent="0.3">
      <c r="A939" s="3" t="s">
        <v>11</v>
      </c>
      <c r="B939" s="4">
        <v>975850</v>
      </c>
      <c r="C939" s="3" t="s">
        <v>9</v>
      </c>
      <c r="D939" s="18">
        <v>0.11</v>
      </c>
      <c r="E939" s="21">
        <f t="shared" si="110"/>
        <v>8.7345938235519061E-3</v>
      </c>
      <c r="F939" s="5">
        <v>37067</v>
      </c>
      <c r="G939" s="5">
        <v>37889</v>
      </c>
      <c r="H939" s="16">
        <f t="shared" si="107"/>
        <v>822</v>
      </c>
      <c r="I939" s="5">
        <v>37889</v>
      </c>
      <c r="J939" s="5">
        <v>42277</v>
      </c>
      <c r="K939" s="16">
        <f t="shared" si="108"/>
        <v>5210</v>
      </c>
      <c r="L939" s="13">
        <v>7767.18</v>
      </c>
      <c r="M939" s="15">
        <f t="shared" si="106"/>
        <v>319.97743839430956</v>
      </c>
      <c r="N939" s="13">
        <v>7767.18</v>
      </c>
      <c r="O939" s="13">
        <v>0</v>
      </c>
      <c r="P939" s="11">
        <f t="shared" si="111"/>
        <v>0</v>
      </c>
    </row>
    <row r="940" spans="1:16" ht="18.75" hidden="1" customHeight="1" thickBot="1" x14ac:dyDescent="0.3">
      <c r="A940" s="3" t="s">
        <v>11</v>
      </c>
      <c r="B940" s="4">
        <v>979520</v>
      </c>
      <c r="C940" s="3" t="s">
        <v>9</v>
      </c>
      <c r="D940" s="18">
        <v>0.105</v>
      </c>
      <c r="E940" s="21">
        <f t="shared" si="110"/>
        <v>8.355155683635207E-3</v>
      </c>
      <c r="F940" s="5">
        <v>37067</v>
      </c>
      <c r="G940" s="5">
        <v>38163</v>
      </c>
      <c r="H940" s="16">
        <f t="shared" si="107"/>
        <v>1096</v>
      </c>
      <c r="I940" s="5">
        <v>38163</v>
      </c>
      <c r="J940" s="2"/>
      <c r="K940" s="16">
        <f t="shared" si="108"/>
        <v>-37067</v>
      </c>
      <c r="L940" s="13">
        <v>7926.6</v>
      </c>
      <c r="M940" s="15">
        <f t="shared" si="106"/>
        <v>252.66316617518828</v>
      </c>
      <c r="N940" s="13">
        <v>7926.6</v>
      </c>
      <c r="O940" s="13">
        <v>0</v>
      </c>
      <c r="P940" s="11">
        <f t="shared" si="111"/>
        <v>0</v>
      </c>
    </row>
    <row r="941" spans="1:16" ht="18.75" customHeight="1" thickBot="1" x14ac:dyDescent="0.3">
      <c r="A941" s="3" t="s">
        <v>11</v>
      </c>
      <c r="B941" s="4">
        <v>101516</v>
      </c>
      <c r="C941" s="3" t="s">
        <v>9</v>
      </c>
      <c r="D941" s="18">
        <v>0.1</v>
      </c>
      <c r="E941" s="21">
        <f t="shared" si="110"/>
        <v>7.9741404289037643E-3</v>
      </c>
      <c r="F941" s="5">
        <v>37106</v>
      </c>
      <c r="G941" s="5">
        <v>38202</v>
      </c>
      <c r="H941" s="16">
        <f t="shared" si="107"/>
        <v>1096</v>
      </c>
      <c r="I941" s="5">
        <v>38202</v>
      </c>
      <c r="J941" s="5">
        <v>38342</v>
      </c>
      <c r="K941" s="16">
        <f t="shared" si="108"/>
        <v>1236</v>
      </c>
      <c r="L941" s="13">
        <v>7545.41</v>
      </c>
      <c r="M941" s="15">
        <f t="shared" si="106"/>
        <v>238.89426535203378</v>
      </c>
      <c r="N941" s="13">
        <v>7545.41</v>
      </c>
      <c r="O941" s="13">
        <v>0</v>
      </c>
      <c r="P941" s="11">
        <f t="shared" si="111"/>
        <v>0</v>
      </c>
    </row>
    <row r="942" spans="1:16" ht="18.75" customHeight="1" thickBot="1" x14ac:dyDescent="0.3">
      <c r="A942" s="3" t="s">
        <v>11</v>
      </c>
      <c r="B942" s="4">
        <v>443165</v>
      </c>
      <c r="C942" s="3" t="s">
        <v>9</v>
      </c>
      <c r="D942" s="18">
        <v>0.105</v>
      </c>
      <c r="E942" s="21">
        <f t="shared" si="110"/>
        <v>8.355155683635207E-3</v>
      </c>
      <c r="F942" s="5">
        <v>37118</v>
      </c>
      <c r="G942" s="5">
        <v>37848</v>
      </c>
      <c r="H942" s="16">
        <f t="shared" si="107"/>
        <v>730</v>
      </c>
      <c r="I942" s="5">
        <v>37848</v>
      </c>
      <c r="J942" s="5">
        <v>38184</v>
      </c>
      <c r="K942" s="16">
        <f t="shared" si="108"/>
        <v>1066</v>
      </c>
      <c r="L942" s="13">
        <v>38973.07</v>
      </c>
      <c r="M942" s="15">
        <f t="shared" si="106"/>
        <v>1776.6179326729828</v>
      </c>
      <c r="N942" s="13">
        <v>38973.07</v>
      </c>
      <c r="O942" s="13">
        <v>0</v>
      </c>
      <c r="P942" s="11">
        <f t="shared" si="111"/>
        <v>0</v>
      </c>
    </row>
    <row r="943" spans="1:16" ht="18.75" hidden="1" customHeight="1" thickBot="1" x14ac:dyDescent="0.3">
      <c r="A943" s="3" t="s">
        <v>11</v>
      </c>
      <c r="B943" s="4">
        <v>290470</v>
      </c>
      <c r="C943" s="3" t="s">
        <v>9</v>
      </c>
      <c r="D943" s="18">
        <v>0.11</v>
      </c>
      <c r="E943" s="21">
        <f t="shared" si="110"/>
        <v>8.7345938235519061E-3</v>
      </c>
      <c r="F943" s="5">
        <v>37141</v>
      </c>
      <c r="G943" s="5">
        <v>37322</v>
      </c>
      <c r="H943" s="16">
        <f t="shared" si="107"/>
        <v>181</v>
      </c>
      <c r="I943" s="5">
        <v>37322</v>
      </c>
      <c r="J943" s="2"/>
      <c r="K943" s="16">
        <f t="shared" si="108"/>
        <v>-37141</v>
      </c>
      <c r="L943" s="13">
        <v>1200</v>
      </c>
      <c r="M943" s="15">
        <f t="shared" si="106"/>
        <v>205.0489867442422</v>
      </c>
      <c r="N943" s="13">
        <v>1200</v>
      </c>
      <c r="O943" s="13">
        <v>0</v>
      </c>
      <c r="P943" s="11">
        <f t="shared" si="111"/>
        <v>0</v>
      </c>
    </row>
    <row r="944" spans="1:16" ht="18.75" customHeight="1" thickBot="1" x14ac:dyDescent="0.3">
      <c r="A944" s="3" t="s">
        <v>11</v>
      </c>
      <c r="B944" s="4">
        <v>634179</v>
      </c>
      <c r="C944" s="3" t="s">
        <v>9</v>
      </c>
      <c r="D944" s="18">
        <v>0.105</v>
      </c>
      <c r="E944" s="21">
        <f t="shared" si="110"/>
        <v>8.355155683635207E-3</v>
      </c>
      <c r="F944" s="5">
        <v>37144</v>
      </c>
      <c r="G944" s="5">
        <v>37874</v>
      </c>
      <c r="H944" s="16">
        <f t="shared" si="107"/>
        <v>730</v>
      </c>
      <c r="I944" s="5">
        <v>37874</v>
      </c>
      <c r="J944" s="5">
        <v>37428</v>
      </c>
      <c r="K944" s="16">
        <f t="shared" si="108"/>
        <v>284</v>
      </c>
      <c r="L944" s="13">
        <v>7922.65</v>
      </c>
      <c r="M944" s="15">
        <f t="shared" si="106"/>
        <v>361.16020791514774</v>
      </c>
      <c r="N944" s="13">
        <v>7922.65</v>
      </c>
      <c r="O944" s="13">
        <v>0</v>
      </c>
      <c r="P944" s="11">
        <f t="shared" si="111"/>
        <v>0</v>
      </c>
    </row>
    <row r="945" spans="1:16" ht="18.75" customHeight="1" thickBot="1" x14ac:dyDescent="0.3">
      <c r="A945" s="3" t="s">
        <v>11</v>
      </c>
      <c r="B945" s="4">
        <v>988685</v>
      </c>
      <c r="C945" s="3" t="s">
        <v>9</v>
      </c>
      <c r="D945" s="18">
        <v>0.13</v>
      </c>
      <c r="E945" s="21">
        <f t="shared" si="110"/>
        <v>1.02368443581764E-2</v>
      </c>
      <c r="F945" s="5">
        <v>37147</v>
      </c>
      <c r="G945" s="5">
        <v>37603</v>
      </c>
      <c r="H945" s="16">
        <f t="shared" si="107"/>
        <v>456</v>
      </c>
      <c r="I945" s="5">
        <v>37603</v>
      </c>
      <c r="J945" s="5">
        <v>37288</v>
      </c>
      <c r="K945" s="16">
        <f t="shared" si="108"/>
        <v>141</v>
      </c>
      <c r="L945" s="13">
        <v>581.35</v>
      </c>
      <c r="M945" s="15">
        <f t="shared" si="106"/>
        <v>41.49447993073823</v>
      </c>
      <c r="N945" s="13">
        <v>581.35</v>
      </c>
      <c r="O945" s="13">
        <v>0</v>
      </c>
      <c r="P945" s="11">
        <f t="shared" si="111"/>
        <v>0</v>
      </c>
    </row>
    <row r="946" spans="1:16" ht="18.75" customHeight="1" thickBot="1" x14ac:dyDescent="0.3">
      <c r="A946" s="3" t="s">
        <v>11</v>
      </c>
      <c r="B946" s="4">
        <v>688737</v>
      </c>
      <c r="C946" s="3" t="s">
        <v>9</v>
      </c>
      <c r="D946" s="18">
        <v>0.12</v>
      </c>
      <c r="E946" s="21">
        <f t="shared" si="110"/>
        <v>9.4887929345830457E-3</v>
      </c>
      <c r="F946" s="5">
        <v>37162</v>
      </c>
      <c r="G946" s="5">
        <v>38865</v>
      </c>
      <c r="H946" s="16">
        <f t="shared" si="107"/>
        <v>1703</v>
      </c>
      <c r="I946" s="5">
        <v>38865</v>
      </c>
      <c r="J946" s="5">
        <v>37525</v>
      </c>
      <c r="K946" s="16">
        <f t="shared" si="108"/>
        <v>363</v>
      </c>
      <c r="L946" s="13">
        <v>5754.13</v>
      </c>
      <c r="M946" s="15">
        <f t="shared" si="106"/>
        <v>131.57229608834601</v>
      </c>
      <c r="N946" s="13">
        <v>5754.13</v>
      </c>
      <c r="O946" s="13">
        <v>0</v>
      </c>
      <c r="P946" s="11">
        <f t="shared" si="111"/>
        <v>0</v>
      </c>
    </row>
    <row r="947" spans="1:16" ht="18.75" customHeight="1" thickBot="1" x14ac:dyDescent="0.3">
      <c r="A947" s="3" t="s">
        <v>11</v>
      </c>
      <c r="B947" s="4">
        <v>970953</v>
      </c>
      <c r="C947" s="3" t="s">
        <v>9</v>
      </c>
      <c r="D947" s="18">
        <v>0.1</v>
      </c>
      <c r="E947" s="21">
        <f t="shared" si="110"/>
        <v>7.9741404289037643E-3</v>
      </c>
      <c r="F947" s="5">
        <v>37176</v>
      </c>
      <c r="G947" s="5">
        <v>38849</v>
      </c>
      <c r="H947" s="16">
        <f t="shared" si="107"/>
        <v>1673</v>
      </c>
      <c r="I947" s="5">
        <v>38849</v>
      </c>
      <c r="J947" s="5">
        <v>37532</v>
      </c>
      <c r="K947" s="16">
        <f t="shared" si="108"/>
        <v>356</v>
      </c>
      <c r="L947" s="13">
        <v>4988.6000000000004</v>
      </c>
      <c r="M947" s="15">
        <f t="shared" si="106"/>
        <v>111.16447948660142</v>
      </c>
      <c r="N947" s="13">
        <v>4988.6000000000004</v>
      </c>
      <c r="O947" s="13">
        <v>0</v>
      </c>
      <c r="P947" s="11">
        <f t="shared" si="111"/>
        <v>0</v>
      </c>
    </row>
    <row r="948" spans="1:16" ht="18.75" customHeight="1" thickBot="1" x14ac:dyDescent="0.3">
      <c r="A948" s="3" t="s">
        <v>11</v>
      </c>
      <c r="B948" s="4">
        <v>47197</v>
      </c>
      <c r="C948" s="3" t="s">
        <v>9</v>
      </c>
      <c r="D948" s="18">
        <v>0.12</v>
      </c>
      <c r="E948" s="21">
        <f t="shared" si="110"/>
        <v>9.4887929345830457E-3</v>
      </c>
      <c r="F948" s="5">
        <v>37179</v>
      </c>
      <c r="G948" s="5">
        <v>37726</v>
      </c>
      <c r="H948" s="16">
        <f t="shared" si="107"/>
        <v>547</v>
      </c>
      <c r="I948" s="5">
        <v>37726</v>
      </c>
      <c r="J948" s="5">
        <v>37365</v>
      </c>
      <c r="K948" s="16">
        <f t="shared" si="108"/>
        <v>186</v>
      </c>
      <c r="L948" s="13">
        <v>931.11</v>
      </c>
      <c r="M948" s="15">
        <f t="shared" si="106"/>
        <v>55.85253343241034</v>
      </c>
      <c r="N948" s="13">
        <v>931.11</v>
      </c>
      <c r="O948" s="13">
        <v>0</v>
      </c>
      <c r="P948" s="11">
        <f t="shared" si="111"/>
        <v>0</v>
      </c>
    </row>
    <row r="949" spans="1:16" ht="18.75" hidden="1" customHeight="1" thickBot="1" x14ac:dyDescent="0.3">
      <c r="A949" s="3" t="s">
        <v>11</v>
      </c>
      <c r="B949" s="4">
        <v>201625</v>
      </c>
      <c r="C949" s="3" t="s">
        <v>9</v>
      </c>
      <c r="D949" s="18">
        <v>0.11</v>
      </c>
      <c r="E949" s="21">
        <f t="shared" si="110"/>
        <v>8.7345938235519061E-3</v>
      </c>
      <c r="F949" s="5">
        <v>37189</v>
      </c>
      <c r="G949" s="5">
        <v>37736</v>
      </c>
      <c r="H949" s="16">
        <f t="shared" si="107"/>
        <v>547</v>
      </c>
      <c r="I949" s="5">
        <v>37736</v>
      </c>
      <c r="J949" s="2"/>
      <c r="K949" s="16">
        <f t="shared" si="108"/>
        <v>-37189</v>
      </c>
      <c r="L949" s="13">
        <v>1300</v>
      </c>
      <c r="M949" s="15">
        <f t="shared" si="106"/>
        <v>77.436386113032967</v>
      </c>
      <c r="N949" s="13">
        <v>1300</v>
      </c>
      <c r="O949" s="13">
        <v>0</v>
      </c>
      <c r="P949" s="11">
        <f t="shared" si="111"/>
        <v>0</v>
      </c>
    </row>
    <row r="950" spans="1:16" ht="18.75" customHeight="1" thickBot="1" x14ac:dyDescent="0.3">
      <c r="A950" s="3" t="s">
        <v>11</v>
      </c>
      <c r="B950" s="4">
        <v>748526</v>
      </c>
      <c r="C950" s="3" t="s">
        <v>9</v>
      </c>
      <c r="D950" s="18">
        <v>0.11</v>
      </c>
      <c r="E950" s="21">
        <f t="shared" si="110"/>
        <v>8.7345938235519061E-3</v>
      </c>
      <c r="F950" s="5">
        <v>37221</v>
      </c>
      <c r="G950" s="5">
        <v>38409</v>
      </c>
      <c r="H950" s="16">
        <f t="shared" si="107"/>
        <v>1188</v>
      </c>
      <c r="I950" s="5">
        <v>38409</v>
      </c>
      <c r="J950" s="5">
        <v>38001</v>
      </c>
      <c r="K950" s="16">
        <f t="shared" si="108"/>
        <v>780</v>
      </c>
      <c r="L950" s="13">
        <v>3216.26</v>
      </c>
      <c r="M950" s="15">
        <f t="shared" si="106"/>
        <v>96.423885244410286</v>
      </c>
      <c r="N950" s="13">
        <v>3216.26</v>
      </c>
      <c r="O950" s="13">
        <v>0</v>
      </c>
      <c r="P950" s="11">
        <f t="shared" si="111"/>
        <v>0</v>
      </c>
    </row>
    <row r="951" spans="1:16" ht="18.75" customHeight="1" thickBot="1" x14ac:dyDescent="0.3">
      <c r="A951" s="3" t="s">
        <v>11</v>
      </c>
      <c r="B951" s="4">
        <v>901587</v>
      </c>
      <c r="C951" s="3" t="s">
        <v>9</v>
      </c>
      <c r="D951" s="18">
        <v>0.1</v>
      </c>
      <c r="E951" s="21">
        <f t="shared" si="110"/>
        <v>7.9741404289037643E-3</v>
      </c>
      <c r="F951" s="5">
        <v>37223</v>
      </c>
      <c r="G951" s="5">
        <v>39900</v>
      </c>
      <c r="H951" s="16">
        <f t="shared" si="107"/>
        <v>2677</v>
      </c>
      <c r="I951" s="5">
        <v>39900</v>
      </c>
      <c r="J951" s="5">
        <v>38149</v>
      </c>
      <c r="K951" s="16">
        <f t="shared" si="108"/>
        <v>926</v>
      </c>
      <c r="L951" s="13">
        <v>5307.1</v>
      </c>
      <c r="M951" s="15">
        <f t="shared" si="106"/>
        <v>83.349782476144796</v>
      </c>
      <c r="N951" s="13">
        <v>5307.1</v>
      </c>
      <c r="O951" s="13">
        <v>0</v>
      </c>
      <c r="P951" s="11">
        <f t="shared" si="111"/>
        <v>0</v>
      </c>
    </row>
    <row r="952" spans="1:16" ht="18.75" hidden="1" customHeight="1" thickBot="1" x14ac:dyDescent="0.3">
      <c r="A952" s="3" t="s">
        <v>11</v>
      </c>
      <c r="B952" s="4">
        <v>705191</v>
      </c>
      <c r="C952" s="3" t="s">
        <v>9</v>
      </c>
      <c r="D952" s="18">
        <v>0.11</v>
      </c>
      <c r="E952" s="21">
        <f t="shared" si="110"/>
        <v>8.7345938235519061E-3</v>
      </c>
      <c r="F952" s="5">
        <v>37230</v>
      </c>
      <c r="G952" s="5">
        <v>37657</v>
      </c>
      <c r="H952" s="16">
        <f t="shared" si="107"/>
        <v>427</v>
      </c>
      <c r="I952" s="5">
        <v>37657</v>
      </c>
      <c r="J952" s="2"/>
      <c r="K952" s="16">
        <f t="shared" si="108"/>
        <v>-37230</v>
      </c>
      <c r="L952" s="13">
        <v>1200</v>
      </c>
      <c r="M952" s="15">
        <f t="shared" si="106"/>
        <v>90.025650562929613</v>
      </c>
      <c r="N952" s="13">
        <v>1200</v>
      </c>
      <c r="O952" s="13">
        <v>0</v>
      </c>
      <c r="P952" s="11">
        <f t="shared" si="111"/>
        <v>0</v>
      </c>
    </row>
    <row r="953" spans="1:16" ht="18.75" customHeight="1" thickBot="1" x14ac:dyDescent="0.3">
      <c r="A953" s="3" t="s">
        <v>11</v>
      </c>
      <c r="B953" s="4">
        <v>566565</v>
      </c>
      <c r="C953" s="3" t="s">
        <v>9</v>
      </c>
      <c r="D953" s="18">
        <v>0.1</v>
      </c>
      <c r="E953" s="21">
        <f t="shared" si="110"/>
        <v>7.9741404289037643E-3</v>
      </c>
      <c r="F953" s="5">
        <v>37231</v>
      </c>
      <c r="G953" s="5">
        <v>38782</v>
      </c>
      <c r="H953" s="16">
        <f t="shared" si="107"/>
        <v>1551</v>
      </c>
      <c r="I953" s="5">
        <v>38782</v>
      </c>
      <c r="J953" s="5">
        <v>38014</v>
      </c>
      <c r="K953" s="16">
        <f t="shared" si="108"/>
        <v>783</v>
      </c>
      <c r="L953" s="13">
        <v>6243.73</v>
      </c>
      <c r="M953" s="15">
        <f t="shared" si="106"/>
        <v>147.8424767928237</v>
      </c>
      <c r="N953" s="13">
        <v>6243.73</v>
      </c>
      <c r="O953" s="13">
        <v>0</v>
      </c>
      <c r="P953" s="11">
        <f t="shared" si="111"/>
        <v>0</v>
      </c>
    </row>
    <row r="954" spans="1:16" ht="18.75" customHeight="1" thickBot="1" x14ac:dyDescent="0.3">
      <c r="A954" s="3" t="s">
        <v>11</v>
      </c>
      <c r="B954" s="4">
        <v>679861</v>
      </c>
      <c r="C954" s="3" t="s">
        <v>9</v>
      </c>
      <c r="D954" s="18">
        <v>0.13</v>
      </c>
      <c r="E954" s="21">
        <f t="shared" si="110"/>
        <v>1.02368443581764E-2</v>
      </c>
      <c r="F954" s="5">
        <v>37242</v>
      </c>
      <c r="G954" s="5">
        <v>37332</v>
      </c>
      <c r="H954" s="16">
        <f t="shared" si="107"/>
        <v>90</v>
      </c>
      <c r="I954" s="5">
        <v>37332</v>
      </c>
      <c r="J954" s="5">
        <v>37308</v>
      </c>
      <c r="K954" s="16">
        <f t="shared" si="108"/>
        <v>66</v>
      </c>
      <c r="L954" s="13">
        <v>209.61</v>
      </c>
      <c r="M954" s="15">
        <f t="shared" si="106"/>
        <v>71.305352988648323</v>
      </c>
      <c r="N954" s="13">
        <v>209.61</v>
      </c>
      <c r="O954" s="13">
        <v>0</v>
      </c>
      <c r="P954" s="11">
        <f t="shared" si="111"/>
        <v>0</v>
      </c>
    </row>
    <row r="955" spans="1:16" ht="18.75" customHeight="1" thickBot="1" x14ac:dyDescent="0.3">
      <c r="A955" s="3" t="s">
        <v>11</v>
      </c>
      <c r="B955" s="4">
        <v>399290</v>
      </c>
      <c r="C955" s="3" t="s">
        <v>9</v>
      </c>
      <c r="D955" s="18">
        <v>0.105</v>
      </c>
      <c r="E955" s="21">
        <f t="shared" si="110"/>
        <v>8.355155683635207E-3</v>
      </c>
      <c r="F955" s="5">
        <v>37243</v>
      </c>
      <c r="G955" s="5">
        <v>38339</v>
      </c>
      <c r="H955" s="16">
        <f t="shared" si="107"/>
        <v>1096</v>
      </c>
      <c r="I955" s="5">
        <v>38339</v>
      </c>
      <c r="J955" s="5">
        <v>38601</v>
      </c>
      <c r="K955" s="16">
        <f t="shared" si="108"/>
        <v>1358</v>
      </c>
      <c r="L955" s="13">
        <v>1000</v>
      </c>
      <c r="M955" s="15">
        <f t="shared" si="106"/>
        <v>31.875352127669906</v>
      </c>
      <c r="N955" s="13">
        <v>1000</v>
      </c>
      <c r="O955" s="13">
        <v>0</v>
      </c>
      <c r="P955" s="11">
        <f t="shared" si="111"/>
        <v>0</v>
      </c>
    </row>
    <row r="956" spans="1:16" ht="18.75" hidden="1" customHeight="1" thickBot="1" x14ac:dyDescent="0.3">
      <c r="A956" s="3" t="s">
        <v>11</v>
      </c>
      <c r="B956" s="4">
        <v>989324</v>
      </c>
      <c r="C956" s="3" t="s">
        <v>9</v>
      </c>
      <c r="D956" s="18">
        <v>0.12</v>
      </c>
      <c r="E956" s="21">
        <f t="shared" si="110"/>
        <v>9.4887929345830457E-3</v>
      </c>
      <c r="F956" s="5">
        <v>37244</v>
      </c>
      <c r="G956" s="5">
        <v>37346</v>
      </c>
      <c r="H956" s="16">
        <f t="shared" si="107"/>
        <v>102</v>
      </c>
      <c r="I956" s="5">
        <v>37346</v>
      </c>
      <c r="J956" s="2"/>
      <c r="K956" s="16">
        <f t="shared" si="108"/>
        <v>-37244</v>
      </c>
      <c r="L956" s="13">
        <v>1500</v>
      </c>
      <c r="M956" s="15">
        <f t="shared" si="106"/>
        <v>450.42097154199911</v>
      </c>
      <c r="N956" s="13">
        <v>1500</v>
      </c>
      <c r="O956" s="13">
        <v>0</v>
      </c>
      <c r="P956" s="11">
        <f t="shared" si="111"/>
        <v>0</v>
      </c>
    </row>
    <row r="957" spans="1:16" ht="18.75" customHeight="1" thickBot="1" x14ac:dyDescent="0.3">
      <c r="A957" s="3" t="s">
        <v>11</v>
      </c>
      <c r="B957" s="4">
        <v>405294</v>
      </c>
      <c r="C957" s="3" t="s">
        <v>9</v>
      </c>
      <c r="D957" s="18">
        <v>0.12</v>
      </c>
      <c r="E957" s="21">
        <f t="shared" si="110"/>
        <v>9.4887929345830457E-3</v>
      </c>
      <c r="F957" s="5">
        <v>37264</v>
      </c>
      <c r="G957" s="5">
        <v>37629</v>
      </c>
      <c r="H957" s="16">
        <f t="shared" si="107"/>
        <v>365</v>
      </c>
      <c r="I957" s="5">
        <v>37629</v>
      </c>
      <c r="J957" s="5">
        <v>38793</v>
      </c>
      <c r="K957" s="16">
        <f t="shared" si="108"/>
        <v>1529</v>
      </c>
      <c r="L957" s="13">
        <v>674.06</v>
      </c>
      <c r="M957" s="15">
        <f t="shared" si="106"/>
        <v>58.923865714128759</v>
      </c>
      <c r="N957" s="13">
        <v>674.06</v>
      </c>
      <c r="O957" s="13">
        <v>0</v>
      </c>
      <c r="P957" s="11">
        <f t="shared" si="111"/>
        <v>0</v>
      </c>
    </row>
    <row r="958" spans="1:16" ht="18.75" customHeight="1" thickBot="1" x14ac:dyDescent="0.3">
      <c r="A958" s="3" t="s">
        <v>11</v>
      </c>
      <c r="B958" s="4">
        <v>161866</v>
      </c>
      <c r="C958" s="3" t="s">
        <v>9</v>
      </c>
      <c r="D958" s="18">
        <v>0.12</v>
      </c>
      <c r="E958" s="21">
        <f t="shared" si="110"/>
        <v>9.4887929345830457E-3</v>
      </c>
      <c r="F958" s="5">
        <v>37274</v>
      </c>
      <c r="G958" s="5">
        <v>37629</v>
      </c>
      <c r="H958" s="16">
        <f t="shared" si="107"/>
        <v>355</v>
      </c>
      <c r="I958" s="5">
        <v>37629</v>
      </c>
      <c r="J958" s="5">
        <v>38383</v>
      </c>
      <c r="K958" s="16">
        <f t="shared" si="108"/>
        <v>1109</v>
      </c>
      <c r="L958" s="13">
        <v>2021.29</v>
      </c>
      <c r="M958" s="15">
        <f t="shared" si="106"/>
        <v>181.39075106826095</v>
      </c>
      <c r="N958" s="13">
        <v>2021.29</v>
      </c>
      <c r="O958" s="13">
        <v>0</v>
      </c>
      <c r="P958" s="11">
        <f t="shared" si="111"/>
        <v>0</v>
      </c>
    </row>
    <row r="959" spans="1:16" ht="18.75" customHeight="1" thickBot="1" x14ac:dyDescent="0.3">
      <c r="A959" s="3" t="s">
        <v>11</v>
      </c>
      <c r="B959" s="4">
        <v>322656</v>
      </c>
      <c r="C959" s="3" t="s">
        <v>9</v>
      </c>
      <c r="D959" s="18">
        <v>0.11</v>
      </c>
      <c r="E959" s="21">
        <f t="shared" si="110"/>
        <v>8.7345938235519061E-3</v>
      </c>
      <c r="F959" s="5">
        <v>37286</v>
      </c>
      <c r="G959" s="5">
        <v>37468</v>
      </c>
      <c r="H959" s="16">
        <f t="shared" si="107"/>
        <v>182</v>
      </c>
      <c r="I959" s="5">
        <v>37468</v>
      </c>
      <c r="J959" s="5">
        <v>37342</v>
      </c>
      <c r="K959" s="16">
        <f t="shared" si="108"/>
        <v>56</v>
      </c>
      <c r="L959" s="13">
        <v>2447.85</v>
      </c>
      <c r="M959" s="15">
        <f t="shared" si="106"/>
        <v>416.03586041393305</v>
      </c>
      <c r="N959" s="13">
        <v>2447.85</v>
      </c>
      <c r="O959" s="13">
        <v>0</v>
      </c>
      <c r="P959" s="11">
        <f t="shared" si="111"/>
        <v>0</v>
      </c>
    </row>
    <row r="960" spans="1:16" ht="18.75" customHeight="1" thickBot="1" x14ac:dyDescent="0.3">
      <c r="A960" s="3" t="s">
        <v>11</v>
      </c>
      <c r="B960" s="4">
        <v>621764</v>
      </c>
      <c r="C960" s="3" t="s">
        <v>9</v>
      </c>
      <c r="D960" s="18">
        <v>0.12</v>
      </c>
      <c r="E960" s="21">
        <f t="shared" si="110"/>
        <v>9.4887929345830457E-3</v>
      </c>
      <c r="F960" s="5">
        <v>37312</v>
      </c>
      <c r="G960" s="5">
        <v>37646</v>
      </c>
      <c r="H960" s="16">
        <f t="shared" si="107"/>
        <v>334</v>
      </c>
      <c r="I960" s="5">
        <v>37646</v>
      </c>
      <c r="J960" s="5">
        <v>37396</v>
      </c>
      <c r="K960" s="16">
        <f t="shared" si="108"/>
        <v>84</v>
      </c>
      <c r="L960" s="13">
        <v>1814.01</v>
      </c>
      <c r="M960" s="15">
        <f t="shared" si="106"/>
        <v>172.46401443629907</v>
      </c>
      <c r="N960" s="13">
        <v>1814.01</v>
      </c>
      <c r="O960" s="13">
        <v>0</v>
      </c>
      <c r="P960" s="11">
        <f t="shared" si="111"/>
        <v>0</v>
      </c>
    </row>
    <row r="961" spans="1:16" ht="18.75" customHeight="1" thickBot="1" x14ac:dyDescent="0.3">
      <c r="A961" s="3" t="s">
        <v>11</v>
      </c>
      <c r="B961" s="4">
        <v>960764</v>
      </c>
      <c r="C961" s="3" t="s">
        <v>9</v>
      </c>
      <c r="D961" s="18">
        <v>0.11</v>
      </c>
      <c r="E961" s="21">
        <f t="shared" si="110"/>
        <v>8.7345938235519061E-3</v>
      </c>
      <c r="F961" s="5">
        <v>37335</v>
      </c>
      <c r="G961" s="5">
        <v>39192</v>
      </c>
      <c r="H961" s="16">
        <f t="shared" si="107"/>
        <v>1857</v>
      </c>
      <c r="I961" s="5">
        <v>39192</v>
      </c>
      <c r="J961" s="5">
        <v>37937</v>
      </c>
      <c r="K961" s="16">
        <f t="shared" si="108"/>
        <v>602</v>
      </c>
      <c r="L961" s="13">
        <v>2123.87</v>
      </c>
      <c r="M961" s="15">
        <f t="shared" si="106"/>
        <v>44.564728005985486</v>
      </c>
      <c r="N961" s="13">
        <v>2123.87</v>
      </c>
      <c r="O961" s="13">
        <v>0</v>
      </c>
      <c r="P961" s="11">
        <f t="shared" si="111"/>
        <v>0</v>
      </c>
    </row>
    <row r="962" spans="1:16" ht="18.75" customHeight="1" thickBot="1" x14ac:dyDescent="0.3">
      <c r="A962" s="3" t="s">
        <v>11</v>
      </c>
      <c r="B962" s="4">
        <v>507386</v>
      </c>
      <c r="C962" s="3" t="s">
        <v>9</v>
      </c>
      <c r="D962" s="18">
        <v>0.1</v>
      </c>
      <c r="E962" s="21">
        <f t="shared" si="110"/>
        <v>7.9741404289037643E-3</v>
      </c>
      <c r="F962" s="5">
        <v>37348</v>
      </c>
      <c r="G962" s="5">
        <v>38354</v>
      </c>
      <c r="H962" s="16">
        <f t="shared" si="107"/>
        <v>1006</v>
      </c>
      <c r="I962" s="5">
        <v>38354</v>
      </c>
      <c r="J962" s="5">
        <v>38407</v>
      </c>
      <c r="K962" s="16">
        <f t="shared" si="108"/>
        <v>1059</v>
      </c>
      <c r="L962" s="13">
        <v>2965.63</v>
      </c>
      <c r="M962" s="15">
        <f t="shared" ref="M962:M1025" si="112">-PMT(E962,(H962/30),L962)</f>
        <v>101.13884191040161</v>
      </c>
      <c r="N962" s="13">
        <v>2965.63</v>
      </c>
      <c r="O962" s="13">
        <v>400</v>
      </c>
      <c r="P962" s="11">
        <f t="shared" si="111"/>
        <v>0</v>
      </c>
    </row>
    <row r="963" spans="1:16" ht="18.75" customHeight="1" thickBot="1" x14ac:dyDescent="0.3">
      <c r="A963" s="3" t="s">
        <v>11</v>
      </c>
      <c r="B963" s="4">
        <v>437860</v>
      </c>
      <c r="C963" s="3" t="s">
        <v>9</v>
      </c>
      <c r="D963" s="18">
        <v>0.11</v>
      </c>
      <c r="E963" s="21">
        <f t="shared" si="110"/>
        <v>8.7345938235519061E-3</v>
      </c>
      <c r="F963" s="5">
        <v>37368</v>
      </c>
      <c r="G963" s="5">
        <v>37582</v>
      </c>
      <c r="H963" s="16">
        <f t="shared" ref="H963:H1026" si="113">G963-F963</f>
        <v>214</v>
      </c>
      <c r="I963" s="5">
        <v>37582</v>
      </c>
      <c r="J963" s="5">
        <v>38008</v>
      </c>
      <c r="K963" s="16">
        <f t="shared" ref="K963:K1026" si="114">J963-F963</f>
        <v>640</v>
      </c>
      <c r="L963" s="13">
        <v>556.55999999999995</v>
      </c>
      <c r="M963" s="15">
        <f t="shared" si="112"/>
        <v>80.818475813953185</v>
      </c>
      <c r="N963" s="13">
        <v>556.55999999999995</v>
      </c>
      <c r="O963" s="13">
        <v>0</v>
      </c>
      <c r="P963" s="11">
        <f t="shared" si="111"/>
        <v>0</v>
      </c>
    </row>
    <row r="964" spans="1:16" ht="18.75" customHeight="1" thickBot="1" x14ac:dyDescent="0.3">
      <c r="A964" s="3" t="s">
        <v>11</v>
      </c>
      <c r="B964" s="4">
        <v>808245</v>
      </c>
      <c r="C964" s="3" t="s">
        <v>9</v>
      </c>
      <c r="D964" s="18">
        <v>0.12</v>
      </c>
      <c r="E964" s="21">
        <f t="shared" si="110"/>
        <v>9.4887929345830457E-3</v>
      </c>
      <c r="F964" s="5">
        <v>37376</v>
      </c>
      <c r="G964" s="5">
        <v>37651</v>
      </c>
      <c r="H964" s="16">
        <f t="shared" si="113"/>
        <v>275</v>
      </c>
      <c r="I964" s="5">
        <v>37651</v>
      </c>
      <c r="J964" s="5">
        <v>37432</v>
      </c>
      <c r="K964" s="16">
        <f t="shared" si="114"/>
        <v>56</v>
      </c>
      <c r="L964" s="13">
        <v>1172.1500000000001</v>
      </c>
      <c r="M964" s="15">
        <f t="shared" si="112"/>
        <v>134.11799730456096</v>
      </c>
      <c r="N964" s="13">
        <v>1172.1500000000001</v>
      </c>
      <c r="O964" s="13">
        <v>0</v>
      </c>
      <c r="P964" s="11">
        <f t="shared" si="111"/>
        <v>0</v>
      </c>
    </row>
    <row r="965" spans="1:16" ht="18.75" customHeight="1" thickBot="1" x14ac:dyDescent="0.3">
      <c r="A965" s="3" t="s">
        <v>11</v>
      </c>
      <c r="B965" s="4">
        <v>631408</v>
      </c>
      <c r="C965" s="3" t="s">
        <v>9</v>
      </c>
      <c r="D965" s="18">
        <v>0.105</v>
      </c>
      <c r="E965" s="21">
        <f t="shared" si="110"/>
        <v>8.355155683635207E-3</v>
      </c>
      <c r="F965" s="5">
        <v>37376</v>
      </c>
      <c r="G965" s="5">
        <v>38107</v>
      </c>
      <c r="H965" s="16">
        <f t="shared" si="113"/>
        <v>731</v>
      </c>
      <c r="I965" s="5">
        <v>38107</v>
      </c>
      <c r="J965" s="5">
        <v>38624</v>
      </c>
      <c r="K965" s="16">
        <f t="shared" si="114"/>
        <v>1248</v>
      </c>
      <c r="L965" s="13">
        <v>28.57</v>
      </c>
      <c r="M965" s="15">
        <f t="shared" si="112"/>
        <v>1.3007784716740145</v>
      </c>
      <c r="N965" s="13">
        <v>28.57</v>
      </c>
      <c r="O965" s="13">
        <v>0</v>
      </c>
      <c r="P965" s="11">
        <f t="shared" si="111"/>
        <v>0</v>
      </c>
    </row>
    <row r="966" spans="1:16" ht="18.75" customHeight="1" thickBot="1" x14ac:dyDescent="0.3">
      <c r="A966" s="3" t="s">
        <v>11</v>
      </c>
      <c r="B966" s="4">
        <v>93958</v>
      </c>
      <c r="C966" s="3" t="s">
        <v>9</v>
      </c>
      <c r="D966" s="18">
        <v>0.105</v>
      </c>
      <c r="E966" s="21">
        <f t="shared" si="110"/>
        <v>8.355155683635207E-3</v>
      </c>
      <c r="F966" s="5">
        <v>37378</v>
      </c>
      <c r="G966" s="5">
        <v>39204</v>
      </c>
      <c r="H966" s="16">
        <f t="shared" si="113"/>
        <v>1826</v>
      </c>
      <c r="I966" s="5">
        <v>39204</v>
      </c>
      <c r="J966" s="5">
        <v>37937</v>
      </c>
      <c r="K966" s="16">
        <f t="shared" si="114"/>
        <v>559</v>
      </c>
      <c r="L966" s="13">
        <v>3763.15</v>
      </c>
      <c r="M966" s="15">
        <f t="shared" si="112"/>
        <v>79.126200974305675</v>
      </c>
      <c r="N966" s="13">
        <v>3763.15</v>
      </c>
      <c r="O966" s="13">
        <v>0</v>
      </c>
      <c r="P966" s="11">
        <f t="shared" si="111"/>
        <v>0</v>
      </c>
    </row>
    <row r="967" spans="1:16" ht="18.75" customHeight="1" thickBot="1" x14ac:dyDescent="0.3">
      <c r="A967" s="3" t="s">
        <v>11</v>
      </c>
      <c r="B967" s="4">
        <v>130656</v>
      </c>
      <c r="C967" s="3" t="s">
        <v>9</v>
      </c>
      <c r="D967" s="18">
        <v>0.1</v>
      </c>
      <c r="E967" s="21">
        <f t="shared" si="110"/>
        <v>7.9741404289037643E-3</v>
      </c>
      <c r="F967" s="5">
        <v>37396</v>
      </c>
      <c r="G967" s="5">
        <v>38676</v>
      </c>
      <c r="H967" s="16">
        <f t="shared" si="113"/>
        <v>1280</v>
      </c>
      <c r="I967" s="5">
        <v>38676</v>
      </c>
      <c r="J967" s="5">
        <v>38447</v>
      </c>
      <c r="K967" s="16">
        <f t="shared" si="114"/>
        <v>1051</v>
      </c>
      <c r="L967" s="13">
        <v>1559.02</v>
      </c>
      <c r="M967" s="15">
        <f t="shared" si="112"/>
        <v>43.251352101540363</v>
      </c>
      <c r="N967" s="13">
        <v>1559.02</v>
      </c>
      <c r="O967" s="13">
        <v>0</v>
      </c>
      <c r="P967" s="11">
        <f t="shared" si="111"/>
        <v>0</v>
      </c>
    </row>
    <row r="968" spans="1:16" ht="18.75" customHeight="1" thickBot="1" x14ac:dyDescent="0.3">
      <c r="A968" s="3" t="s">
        <v>11</v>
      </c>
      <c r="B968" s="4">
        <v>512770</v>
      </c>
      <c r="C968" s="3" t="s">
        <v>9</v>
      </c>
      <c r="D968" s="18">
        <v>9.5000000000000001E-2</v>
      </c>
      <c r="E968" s="21">
        <f t="shared" si="110"/>
        <v>7.5915342905825689E-3</v>
      </c>
      <c r="F968" s="5">
        <v>37407</v>
      </c>
      <c r="G968" s="5">
        <v>39263</v>
      </c>
      <c r="H968" s="16">
        <f t="shared" si="113"/>
        <v>1856</v>
      </c>
      <c r="I968" s="5">
        <v>39263</v>
      </c>
      <c r="J968" s="5">
        <v>37988</v>
      </c>
      <c r="K968" s="16">
        <f t="shared" si="114"/>
        <v>581</v>
      </c>
      <c r="L968" s="13">
        <v>11538.97</v>
      </c>
      <c r="M968" s="15">
        <f t="shared" si="112"/>
        <v>234.42297077686933</v>
      </c>
      <c r="N968" s="13">
        <v>11538.97</v>
      </c>
      <c r="O968" s="13">
        <v>0</v>
      </c>
      <c r="P968" s="11">
        <f t="shared" si="111"/>
        <v>0</v>
      </c>
    </row>
    <row r="969" spans="1:16" ht="18.75" customHeight="1" thickBot="1" x14ac:dyDescent="0.3">
      <c r="A969" s="3" t="s">
        <v>11</v>
      </c>
      <c r="B969" s="4">
        <v>631572</v>
      </c>
      <c r="C969" s="3" t="s">
        <v>9</v>
      </c>
      <c r="D969" s="18">
        <v>0.105</v>
      </c>
      <c r="E969" s="21">
        <f t="shared" si="110"/>
        <v>8.355155683635207E-3</v>
      </c>
      <c r="F969" s="5">
        <v>37413</v>
      </c>
      <c r="G969" s="5">
        <v>39027</v>
      </c>
      <c r="H969" s="16">
        <f t="shared" si="113"/>
        <v>1614</v>
      </c>
      <c r="I969" s="5">
        <v>39027</v>
      </c>
      <c r="J969" s="5">
        <v>37648</v>
      </c>
      <c r="K969" s="16">
        <f t="shared" si="114"/>
        <v>235</v>
      </c>
      <c r="L969" s="13">
        <v>13895.91</v>
      </c>
      <c r="M969" s="15">
        <f t="shared" si="112"/>
        <v>321.73367236804512</v>
      </c>
      <c r="N969" s="13">
        <v>8480.34</v>
      </c>
      <c r="O969" s="13">
        <v>0</v>
      </c>
      <c r="P969" s="11">
        <f t="shared" si="111"/>
        <v>0</v>
      </c>
    </row>
    <row r="970" spans="1:16" ht="18.75" customHeight="1" thickBot="1" x14ac:dyDescent="0.3">
      <c r="A970" s="3" t="s">
        <v>11</v>
      </c>
      <c r="B970" s="4">
        <v>249124</v>
      </c>
      <c r="C970" s="3" t="s">
        <v>9</v>
      </c>
      <c r="D970" s="18">
        <v>0.1</v>
      </c>
      <c r="E970" s="21">
        <f t="shared" si="110"/>
        <v>7.9741404289037643E-3</v>
      </c>
      <c r="F970" s="5">
        <v>37421</v>
      </c>
      <c r="G970" s="5">
        <v>39004</v>
      </c>
      <c r="H970" s="16">
        <f t="shared" si="113"/>
        <v>1583</v>
      </c>
      <c r="I970" s="5">
        <v>39004</v>
      </c>
      <c r="J970" s="5">
        <v>38495</v>
      </c>
      <c r="K970" s="16">
        <f t="shared" si="114"/>
        <v>1074</v>
      </c>
      <c r="L970" s="13">
        <v>824.29</v>
      </c>
      <c r="M970" s="15">
        <f t="shared" si="112"/>
        <v>19.199011341290532</v>
      </c>
      <c r="N970" s="13">
        <v>824.29</v>
      </c>
      <c r="O970" s="13">
        <v>0</v>
      </c>
      <c r="P970" s="11">
        <f t="shared" si="111"/>
        <v>0</v>
      </c>
    </row>
    <row r="971" spans="1:16" ht="18.75" customHeight="1" thickBot="1" x14ac:dyDescent="0.3">
      <c r="A971" s="3" t="s">
        <v>11</v>
      </c>
      <c r="B971" s="4">
        <v>930831</v>
      </c>
      <c r="C971" s="3" t="s">
        <v>9</v>
      </c>
      <c r="D971" s="18">
        <v>0.1</v>
      </c>
      <c r="E971" s="21">
        <f t="shared" si="110"/>
        <v>7.9741404289037643E-3</v>
      </c>
      <c r="F971" s="5">
        <v>37424</v>
      </c>
      <c r="G971" s="5">
        <v>38520</v>
      </c>
      <c r="H971" s="16">
        <f t="shared" si="113"/>
        <v>1096</v>
      </c>
      <c r="I971" s="5">
        <v>38520</v>
      </c>
      <c r="J971" s="5">
        <v>42193</v>
      </c>
      <c r="K971" s="16">
        <f t="shared" si="114"/>
        <v>4769</v>
      </c>
      <c r="L971" s="13">
        <v>10533.65</v>
      </c>
      <c r="M971" s="15">
        <f t="shared" si="112"/>
        <v>333.50455153867722</v>
      </c>
      <c r="N971" s="13">
        <v>10533.65</v>
      </c>
      <c r="O971" s="13">
        <v>0</v>
      </c>
      <c r="P971" s="11">
        <f t="shared" si="111"/>
        <v>0</v>
      </c>
    </row>
    <row r="972" spans="1:16" ht="18.75" customHeight="1" thickBot="1" x14ac:dyDescent="0.3">
      <c r="A972" s="3" t="s">
        <v>11</v>
      </c>
      <c r="B972" s="4">
        <v>408778</v>
      </c>
      <c r="C972" s="3" t="s">
        <v>9</v>
      </c>
      <c r="D972" s="18">
        <v>0.1</v>
      </c>
      <c r="E972" s="21">
        <f t="shared" si="110"/>
        <v>7.9741404289037643E-3</v>
      </c>
      <c r="F972" s="5">
        <v>37433</v>
      </c>
      <c r="G972" s="5">
        <v>39442</v>
      </c>
      <c r="H972" s="16">
        <f t="shared" si="113"/>
        <v>2009</v>
      </c>
      <c r="I972" s="5">
        <v>39442</v>
      </c>
      <c r="J972" s="5">
        <v>38604</v>
      </c>
      <c r="K972" s="16">
        <f t="shared" si="114"/>
        <v>1171</v>
      </c>
      <c r="L972" s="13">
        <v>23069.7</v>
      </c>
      <c r="M972" s="15">
        <f t="shared" si="112"/>
        <v>445.96312892960276</v>
      </c>
      <c r="N972" s="13">
        <v>23069.7</v>
      </c>
      <c r="O972" s="13">
        <v>0</v>
      </c>
      <c r="P972" s="11">
        <f t="shared" si="111"/>
        <v>0</v>
      </c>
    </row>
    <row r="973" spans="1:16" ht="18.75" customHeight="1" thickBot="1" x14ac:dyDescent="0.3">
      <c r="A973" s="3" t="s">
        <v>11</v>
      </c>
      <c r="B973" s="4">
        <v>588718</v>
      </c>
      <c r="C973" s="3" t="s">
        <v>9</v>
      </c>
      <c r="D973" s="18">
        <v>0.105</v>
      </c>
      <c r="E973" s="21">
        <f t="shared" si="110"/>
        <v>8.355155683635207E-3</v>
      </c>
      <c r="F973" s="5">
        <v>37448</v>
      </c>
      <c r="G973" s="5">
        <v>37601</v>
      </c>
      <c r="H973" s="16">
        <f t="shared" si="113"/>
        <v>153</v>
      </c>
      <c r="I973" s="5">
        <v>37601</v>
      </c>
      <c r="J973" s="5">
        <v>37511</v>
      </c>
      <c r="K973" s="16">
        <f t="shared" si="114"/>
        <v>63</v>
      </c>
      <c r="L973" s="13">
        <v>8093</v>
      </c>
      <c r="M973" s="15">
        <f t="shared" si="112"/>
        <v>1627.5310360041951</v>
      </c>
      <c r="N973" s="13">
        <v>8093</v>
      </c>
      <c r="O973" s="13">
        <v>0</v>
      </c>
      <c r="P973" s="11">
        <f t="shared" si="111"/>
        <v>0</v>
      </c>
    </row>
    <row r="974" spans="1:16" ht="18.75" customHeight="1" thickBot="1" x14ac:dyDescent="0.3">
      <c r="A974" s="3" t="s">
        <v>11</v>
      </c>
      <c r="B974" s="4">
        <v>378052</v>
      </c>
      <c r="C974" s="3" t="s">
        <v>9</v>
      </c>
      <c r="D974" s="18">
        <v>0.105</v>
      </c>
      <c r="E974" s="21">
        <f t="shared" si="110"/>
        <v>8.355155683635207E-3</v>
      </c>
      <c r="F974" s="5">
        <v>37448</v>
      </c>
      <c r="G974" s="5">
        <v>37601</v>
      </c>
      <c r="H974" s="16">
        <f t="shared" si="113"/>
        <v>153</v>
      </c>
      <c r="I974" s="5">
        <v>37601</v>
      </c>
      <c r="J974" s="5">
        <v>38279</v>
      </c>
      <c r="K974" s="16">
        <f t="shared" si="114"/>
        <v>831</v>
      </c>
      <c r="L974" s="13">
        <v>10095.209999999999</v>
      </c>
      <c r="M974" s="15">
        <f t="shared" si="112"/>
        <v>2030.1825762980243</v>
      </c>
      <c r="N974" s="13">
        <v>10095.209999999999</v>
      </c>
      <c r="O974" s="13">
        <v>0</v>
      </c>
      <c r="P974" s="11">
        <f t="shared" si="111"/>
        <v>0</v>
      </c>
    </row>
    <row r="975" spans="1:16" ht="18.75" hidden="1" customHeight="1" thickBot="1" x14ac:dyDescent="0.3">
      <c r="A975" s="3" t="s">
        <v>11</v>
      </c>
      <c r="B975" s="4">
        <v>717783</v>
      </c>
      <c r="C975" s="3" t="s">
        <v>9</v>
      </c>
      <c r="D975" s="18">
        <v>0.105</v>
      </c>
      <c r="E975" s="21">
        <f t="shared" si="110"/>
        <v>8.355155683635207E-3</v>
      </c>
      <c r="F975" s="5">
        <v>37448</v>
      </c>
      <c r="G975" s="5">
        <v>37601</v>
      </c>
      <c r="H975" s="16">
        <f t="shared" si="113"/>
        <v>153</v>
      </c>
      <c r="I975" s="5">
        <v>37601</v>
      </c>
      <c r="J975" s="2"/>
      <c r="K975" s="16">
        <f t="shared" si="114"/>
        <v>-37448</v>
      </c>
      <c r="L975" s="13">
        <v>10225</v>
      </c>
      <c r="M975" s="15">
        <f t="shared" si="112"/>
        <v>2056.2838061464099</v>
      </c>
      <c r="N975" s="13">
        <v>10225</v>
      </c>
      <c r="O975" s="13">
        <v>0</v>
      </c>
      <c r="P975" s="11">
        <f t="shared" si="111"/>
        <v>0</v>
      </c>
    </row>
    <row r="976" spans="1:16" ht="18.75" customHeight="1" thickBot="1" x14ac:dyDescent="0.3">
      <c r="A976" s="3" t="s">
        <v>11</v>
      </c>
      <c r="B976" s="4">
        <v>119346</v>
      </c>
      <c r="C976" s="3" t="s">
        <v>9</v>
      </c>
      <c r="D976" s="18">
        <v>0.1</v>
      </c>
      <c r="E976" s="21">
        <f t="shared" si="110"/>
        <v>7.9741404289037643E-3</v>
      </c>
      <c r="F976" s="5">
        <v>37466</v>
      </c>
      <c r="G976" s="5">
        <v>39426</v>
      </c>
      <c r="H976" s="16">
        <f t="shared" si="113"/>
        <v>1960</v>
      </c>
      <c r="I976" s="5">
        <v>39426</v>
      </c>
      <c r="J976" s="5">
        <v>39167</v>
      </c>
      <c r="K976" s="16">
        <f t="shared" si="114"/>
        <v>1701</v>
      </c>
      <c r="L976" s="13">
        <v>11299.11</v>
      </c>
      <c r="M976" s="15">
        <f t="shared" si="112"/>
        <v>222.56335190240776</v>
      </c>
      <c r="N976" s="13">
        <v>11299.11</v>
      </c>
      <c r="O976" s="13">
        <v>0</v>
      </c>
      <c r="P976" s="11">
        <f t="shared" si="111"/>
        <v>0</v>
      </c>
    </row>
    <row r="977" spans="1:16" ht="18.75" customHeight="1" thickBot="1" x14ac:dyDescent="0.3">
      <c r="A977" s="3" t="s">
        <v>11</v>
      </c>
      <c r="B977" s="4">
        <v>371781</v>
      </c>
      <c r="C977" s="3" t="s">
        <v>9</v>
      </c>
      <c r="D977" s="18">
        <v>0.1</v>
      </c>
      <c r="E977" s="21">
        <f t="shared" si="110"/>
        <v>7.9741404289037643E-3</v>
      </c>
      <c r="F977" s="5">
        <v>37487</v>
      </c>
      <c r="G977" s="5">
        <v>39374</v>
      </c>
      <c r="H977" s="16">
        <f t="shared" si="113"/>
        <v>1887</v>
      </c>
      <c r="I977" s="5">
        <v>39374</v>
      </c>
      <c r="J977" s="5">
        <v>37770</v>
      </c>
      <c r="K977" s="16">
        <f t="shared" si="114"/>
        <v>283</v>
      </c>
      <c r="L977" s="13">
        <v>9537.43</v>
      </c>
      <c r="M977" s="15">
        <f t="shared" si="112"/>
        <v>193.41175270328731</v>
      </c>
      <c r="N977" s="13">
        <v>9537.43</v>
      </c>
      <c r="O977" s="13">
        <v>0</v>
      </c>
      <c r="P977" s="11">
        <f t="shared" si="111"/>
        <v>0</v>
      </c>
    </row>
    <row r="978" spans="1:16" ht="18.75" hidden="1" customHeight="1" thickBot="1" x14ac:dyDescent="0.3">
      <c r="A978" s="3" t="s">
        <v>11</v>
      </c>
      <c r="B978" s="4">
        <v>639455</v>
      </c>
      <c r="C978" s="3" t="s">
        <v>9</v>
      </c>
      <c r="D978" s="18">
        <v>0.13</v>
      </c>
      <c r="E978" s="21">
        <f t="shared" ref="E978:E1041" si="115">(1+D978)^(1/12)-1</f>
        <v>1.02368443581764E-2</v>
      </c>
      <c r="F978" s="5">
        <v>37505</v>
      </c>
      <c r="G978" s="5">
        <v>37658</v>
      </c>
      <c r="H978" s="16">
        <f t="shared" si="113"/>
        <v>153</v>
      </c>
      <c r="I978" s="5">
        <v>37658</v>
      </c>
      <c r="J978" s="2"/>
      <c r="K978" s="16">
        <f t="shared" si="114"/>
        <v>-37505</v>
      </c>
      <c r="L978" s="13">
        <v>700</v>
      </c>
      <c r="M978" s="15">
        <f t="shared" si="112"/>
        <v>141.57014953033109</v>
      </c>
      <c r="N978" s="13">
        <v>700</v>
      </c>
      <c r="O978" s="13">
        <v>0</v>
      </c>
      <c r="P978" s="11">
        <f t="shared" ref="P978:P1041" si="116">IF((G978)&gt;(ConstantDateCutoff),1,0)</f>
        <v>0</v>
      </c>
    </row>
    <row r="979" spans="1:16" ht="18.75" customHeight="1" thickBot="1" x14ac:dyDescent="0.3">
      <c r="A979" s="3" t="s">
        <v>11</v>
      </c>
      <c r="B979" s="4">
        <v>362091</v>
      </c>
      <c r="C979" s="3" t="s">
        <v>9</v>
      </c>
      <c r="D979" s="18">
        <v>0.06</v>
      </c>
      <c r="E979" s="21">
        <f t="shared" si="115"/>
        <v>4.8675505653430484E-3</v>
      </c>
      <c r="F979" s="5">
        <v>37517</v>
      </c>
      <c r="G979" s="5">
        <v>39069</v>
      </c>
      <c r="H979" s="16">
        <f t="shared" si="113"/>
        <v>1552</v>
      </c>
      <c r="I979" s="5">
        <v>39069</v>
      </c>
      <c r="J979" s="5">
        <v>40106</v>
      </c>
      <c r="K979" s="16">
        <f t="shared" si="114"/>
        <v>2589</v>
      </c>
      <c r="L979" s="13">
        <v>3653.36</v>
      </c>
      <c r="M979" s="15">
        <f t="shared" si="112"/>
        <v>80.054131578353804</v>
      </c>
      <c r="N979" s="13">
        <v>3653.36</v>
      </c>
      <c r="O979" s="13">
        <v>0</v>
      </c>
      <c r="P979" s="11">
        <f t="shared" si="116"/>
        <v>0</v>
      </c>
    </row>
    <row r="980" spans="1:16" ht="18.75" customHeight="1" thickBot="1" x14ac:dyDescent="0.3">
      <c r="A980" s="3" t="s">
        <v>11</v>
      </c>
      <c r="B980" s="4">
        <v>312759</v>
      </c>
      <c r="C980" s="3" t="s">
        <v>9</v>
      </c>
      <c r="D980" s="18">
        <v>0.12</v>
      </c>
      <c r="E980" s="21">
        <f t="shared" si="115"/>
        <v>9.4887929345830457E-3</v>
      </c>
      <c r="F980" s="5">
        <v>37537</v>
      </c>
      <c r="G980" s="5">
        <v>39059</v>
      </c>
      <c r="H980" s="16">
        <f t="shared" si="113"/>
        <v>1522</v>
      </c>
      <c r="I980" s="5">
        <v>39059</v>
      </c>
      <c r="J980" s="5">
        <v>39661</v>
      </c>
      <c r="K980" s="16">
        <f t="shared" si="114"/>
        <v>2124</v>
      </c>
      <c r="L980" s="13">
        <v>9030.4699999999993</v>
      </c>
      <c r="M980" s="15">
        <f t="shared" si="112"/>
        <v>225.09433726526771</v>
      </c>
      <c r="N980" s="13">
        <v>9030.4699999999993</v>
      </c>
      <c r="O980" s="13">
        <v>0</v>
      </c>
      <c r="P980" s="11">
        <f t="shared" si="116"/>
        <v>0</v>
      </c>
    </row>
    <row r="981" spans="1:16" ht="18.75" customHeight="1" thickBot="1" x14ac:dyDescent="0.3">
      <c r="A981" s="3" t="s">
        <v>11</v>
      </c>
      <c r="B981" s="4">
        <v>219723</v>
      </c>
      <c r="C981" s="3" t="s">
        <v>9</v>
      </c>
      <c r="D981" s="18">
        <v>0.105</v>
      </c>
      <c r="E981" s="21">
        <f t="shared" si="115"/>
        <v>8.355155683635207E-3</v>
      </c>
      <c r="F981" s="5">
        <v>37544</v>
      </c>
      <c r="G981" s="5">
        <v>39187</v>
      </c>
      <c r="H981" s="16">
        <f t="shared" si="113"/>
        <v>1643</v>
      </c>
      <c r="I981" s="5">
        <v>39187</v>
      </c>
      <c r="J981" s="5">
        <v>40917</v>
      </c>
      <c r="K981" s="16">
        <f t="shared" si="114"/>
        <v>3373</v>
      </c>
      <c r="L981" s="13">
        <v>1722.77</v>
      </c>
      <c r="M981" s="15">
        <f t="shared" si="112"/>
        <v>39.329488491916621</v>
      </c>
      <c r="N981" s="13">
        <v>1722.77</v>
      </c>
      <c r="O981" s="13">
        <v>0</v>
      </c>
      <c r="P981" s="11">
        <f t="shared" si="116"/>
        <v>0</v>
      </c>
    </row>
    <row r="982" spans="1:16" ht="18.75" customHeight="1" thickBot="1" x14ac:dyDescent="0.3">
      <c r="A982" s="3" t="s">
        <v>11</v>
      </c>
      <c r="B982" s="4">
        <v>192651</v>
      </c>
      <c r="C982" s="3" t="s">
        <v>9</v>
      </c>
      <c r="D982" s="18">
        <v>0.1</v>
      </c>
      <c r="E982" s="21">
        <f t="shared" si="115"/>
        <v>7.9741404289037643E-3</v>
      </c>
      <c r="F982" s="5">
        <v>37546</v>
      </c>
      <c r="G982" s="5">
        <v>38185</v>
      </c>
      <c r="H982" s="16">
        <f t="shared" si="113"/>
        <v>639</v>
      </c>
      <c r="I982" s="5">
        <v>38185</v>
      </c>
      <c r="J982" s="5">
        <v>37915</v>
      </c>
      <c r="K982" s="16">
        <f t="shared" si="114"/>
        <v>369</v>
      </c>
      <c r="L982" s="13">
        <v>900.94</v>
      </c>
      <c r="M982" s="15">
        <f t="shared" si="112"/>
        <v>46.159418714857736</v>
      </c>
      <c r="N982" s="13">
        <v>900.94</v>
      </c>
      <c r="O982" s="13">
        <v>0</v>
      </c>
      <c r="P982" s="11">
        <f t="shared" si="116"/>
        <v>0</v>
      </c>
    </row>
    <row r="983" spans="1:16" ht="18.75" customHeight="1" thickBot="1" x14ac:dyDescent="0.3">
      <c r="A983" s="3" t="s">
        <v>11</v>
      </c>
      <c r="B983" s="4">
        <v>309437</v>
      </c>
      <c r="C983" s="3" t="s">
        <v>9</v>
      </c>
      <c r="D983" s="18">
        <v>0.1</v>
      </c>
      <c r="E983" s="21">
        <f t="shared" si="115"/>
        <v>7.9741404289037643E-3</v>
      </c>
      <c r="F983" s="5">
        <v>37573</v>
      </c>
      <c r="G983" s="5">
        <v>39185</v>
      </c>
      <c r="H983" s="16">
        <f t="shared" si="113"/>
        <v>1612</v>
      </c>
      <c r="I983" s="5">
        <v>39185</v>
      </c>
      <c r="J983" s="5">
        <v>38447</v>
      </c>
      <c r="K983" s="16">
        <f t="shared" si="114"/>
        <v>874</v>
      </c>
      <c r="L983" s="13">
        <v>4478.9399999999996</v>
      </c>
      <c r="M983" s="15">
        <f t="shared" si="112"/>
        <v>102.81109610097259</v>
      </c>
      <c r="N983" s="13">
        <v>4478.9399999999996</v>
      </c>
      <c r="O983" s="13">
        <v>0</v>
      </c>
      <c r="P983" s="11">
        <f t="shared" si="116"/>
        <v>0</v>
      </c>
    </row>
    <row r="984" spans="1:16" ht="18.75" customHeight="1" thickBot="1" x14ac:dyDescent="0.3">
      <c r="A984" s="3" t="s">
        <v>11</v>
      </c>
      <c r="B984" s="4">
        <v>154518</v>
      </c>
      <c r="C984" s="3" t="s">
        <v>9</v>
      </c>
      <c r="D984" s="18">
        <v>0.1</v>
      </c>
      <c r="E984" s="21">
        <f t="shared" si="115"/>
        <v>7.9741404289037643E-3</v>
      </c>
      <c r="F984" s="5">
        <v>37581</v>
      </c>
      <c r="G984" s="5">
        <v>38312</v>
      </c>
      <c r="H984" s="16">
        <f t="shared" si="113"/>
        <v>731</v>
      </c>
      <c r="I984" s="5">
        <v>38312</v>
      </c>
      <c r="J984" s="5">
        <v>38026</v>
      </c>
      <c r="K984" s="16">
        <f t="shared" si="114"/>
        <v>445</v>
      </c>
      <c r="L984" s="13">
        <v>3265.09</v>
      </c>
      <c r="M984" s="15">
        <f t="shared" si="112"/>
        <v>147.96956177863436</v>
      </c>
      <c r="N984" s="13">
        <v>3265.09</v>
      </c>
      <c r="O984" s="13">
        <v>0</v>
      </c>
      <c r="P984" s="11">
        <f t="shared" si="116"/>
        <v>0</v>
      </c>
    </row>
    <row r="985" spans="1:16" ht="18.75" customHeight="1" thickBot="1" x14ac:dyDescent="0.3">
      <c r="A985" s="3" t="s">
        <v>11</v>
      </c>
      <c r="B985" s="4">
        <v>150377</v>
      </c>
      <c r="C985" s="3" t="s">
        <v>9</v>
      </c>
      <c r="D985" s="18">
        <v>0.1</v>
      </c>
      <c r="E985" s="21">
        <f t="shared" si="115"/>
        <v>7.9741404289037643E-3</v>
      </c>
      <c r="F985" s="5">
        <v>37601</v>
      </c>
      <c r="G985" s="5">
        <v>38241</v>
      </c>
      <c r="H985" s="16">
        <f t="shared" si="113"/>
        <v>640</v>
      </c>
      <c r="I985" s="5">
        <v>38241</v>
      </c>
      <c r="J985" s="5">
        <v>42131</v>
      </c>
      <c r="K985" s="16">
        <f t="shared" si="114"/>
        <v>4530</v>
      </c>
      <c r="L985" s="13">
        <v>1540.41</v>
      </c>
      <c r="M985" s="15">
        <f t="shared" si="112"/>
        <v>78.809313381884579</v>
      </c>
      <c r="N985" s="13">
        <v>1540.41</v>
      </c>
      <c r="O985" s="13">
        <v>0</v>
      </c>
      <c r="P985" s="11">
        <f t="shared" si="116"/>
        <v>0</v>
      </c>
    </row>
    <row r="986" spans="1:16" ht="18.75" hidden="1" customHeight="1" thickBot="1" x14ac:dyDescent="0.3">
      <c r="A986" s="3" t="s">
        <v>11</v>
      </c>
      <c r="B986" s="4">
        <v>105076</v>
      </c>
      <c r="C986" s="3" t="s">
        <v>9</v>
      </c>
      <c r="D986" s="18">
        <v>0.12</v>
      </c>
      <c r="E986" s="21">
        <f t="shared" si="115"/>
        <v>9.4887929345830457E-3</v>
      </c>
      <c r="F986" s="5">
        <v>37616</v>
      </c>
      <c r="G986" s="5">
        <v>37859</v>
      </c>
      <c r="H986" s="16">
        <f t="shared" si="113"/>
        <v>243</v>
      </c>
      <c r="I986" s="5">
        <v>37859</v>
      </c>
      <c r="J986" s="2"/>
      <c r="K986" s="16">
        <f t="shared" si="114"/>
        <v>-37616</v>
      </c>
      <c r="L986" s="13">
        <v>1528.44</v>
      </c>
      <c r="M986" s="15">
        <f t="shared" si="112"/>
        <v>196.93410668485257</v>
      </c>
      <c r="N986" s="13">
        <v>1528.44</v>
      </c>
      <c r="O986" s="13">
        <v>0</v>
      </c>
      <c r="P986" s="11">
        <f t="shared" si="116"/>
        <v>0</v>
      </c>
    </row>
    <row r="987" spans="1:16" ht="18.75" customHeight="1" thickBot="1" x14ac:dyDescent="0.3">
      <c r="A987" s="3" t="s">
        <v>11</v>
      </c>
      <c r="B987" s="4">
        <v>837530</v>
      </c>
      <c r="C987" s="3" t="s">
        <v>9</v>
      </c>
      <c r="D987" s="18">
        <v>9.2499999999999999E-2</v>
      </c>
      <c r="E987" s="21">
        <f t="shared" si="115"/>
        <v>7.3996302871768282E-3</v>
      </c>
      <c r="F987" s="5">
        <v>37620</v>
      </c>
      <c r="G987" s="5">
        <v>38896</v>
      </c>
      <c r="H987" s="16">
        <f t="shared" si="113"/>
        <v>1276</v>
      </c>
      <c r="I987" s="5">
        <v>38896</v>
      </c>
      <c r="J987" s="5">
        <v>37988</v>
      </c>
      <c r="K987" s="16">
        <f t="shared" si="114"/>
        <v>368</v>
      </c>
      <c r="L987" s="13">
        <v>1201.19</v>
      </c>
      <c r="M987" s="15">
        <f t="shared" si="112"/>
        <v>33.021565978371207</v>
      </c>
      <c r="N987" s="13">
        <v>1201.19</v>
      </c>
      <c r="O987" s="13">
        <v>0</v>
      </c>
      <c r="P987" s="11">
        <f t="shared" si="116"/>
        <v>0</v>
      </c>
    </row>
    <row r="988" spans="1:16" ht="18.75" customHeight="1" thickBot="1" x14ac:dyDescent="0.3">
      <c r="A988" s="3" t="s">
        <v>11</v>
      </c>
      <c r="B988" s="4">
        <v>59405</v>
      </c>
      <c r="C988" s="3" t="s">
        <v>9</v>
      </c>
      <c r="D988" s="18">
        <v>0.1</v>
      </c>
      <c r="E988" s="21">
        <f t="shared" si="115"/>
        <v>7.9741404289037643E-3</v>
      </c>
      <c r="F988" s="5">
        <v>37627</v>
      </c>
      <c r="G988" s="5">
        <v>38829</v>
      </c>
      <c r="H988" s="16">
        <f t="shared" si="113"/>
        <v>1202</v>
      </c>
      <c r="I988" s="5">
        <v>38829</v>
      </c>
      <c r="J988" s="5">
        <v>39637</v>
      </c>
      <c r="K988" s="16">
        <f t="shared" si="114"/>
        <v>2010</v>
      </c>
      <c r="L988" s="13">
        <v>858.71</v>
      </c>
      <c r="M988" s="15">
        <f t="shared" si="112"/>
        <v>25.1223885145838</v>
      </c>
      <c r="N988" s="13">
        <v>858.71</v>
      </c>
      <c r="O988" s="13">
        <v>0</v>
      </c>
      <c r="P988" s="11">
        <f t="shared" si="116"/>
        <v>0</v>
      </c>
    </row>
    <row r="989" spans="1:16" ht="18.75" customHeight="1" thickBot="1" x14ac:dyDescent="0.3">
      <c r="A989" s="3" t="s">
        <v>11</v>
      </c>
      <c r="B989" s="4">
        <v>119678</v>
      </c>
      <c r="C989" s="3" t="s">
        <v>9</v>
      </c>
      <c r="D989" s="18">
        <v>0.1</v>
      </c>
      <c r="E989" s="21">
        <f t="shared" si="115"/>
        <v>7.9741404289037643E-3</v>
      </c>
      <c r="F989" s="5">
        <v>37644</v>
      </c>
      <c r="G989" s="5">
        <v>39164</v>
      </c>
      <c r="H989" s="16">
        <f t="shared" si="113"/>
        <v>1520</v>
      </c>
      <c r="I989" s="5">
        <v>39164</v>
      </c>
      <c r="J989" s="5">
        <v>43364</v>
      </c>
      <c r="K989" s="16">
        <f t="shared" si="114"/>
        <v>5720</v>
      </c>
      <c r="L989" s="13">
        <v>8221.26</v>
      </c>
      <c r="M989" s="15">
        <f t="shared" si="112"/>
        <v>197.87910714351978</v>
      </c>
      <c r="N989" s="13">
        <v>8212.08</v>
      </c>
      <c r="O989" s="13">
        <v>0</v>
      </c>
      <c r="P989" s="11">
        <f t="shared" si="116"/>
        <v>0</v>
      </c>
    </row>
    <row r="990" spans="1:16" ht="18.75" customHeight="1" thickBot="1" x14ac:dyDescent="0.3">
      <c r="A990" s="3" t="s">
        <v>11</v>
      </c>
      <c r="B990" s="4">
        <v>588549</v>
      </c>
      <c r="C990" s="3" t="s">
        <v>9</v>
      </c>
      <c r="D990" s="18">
        <v>0.1</v>
      </c>
      <c r="E990" s="21">
        <f t="shared" si="115"/>
        <v>7.9741404289037643E-3</v>
      </c>
      <c r="F990" s="5">
        <v>37651</v>
      </c>
      <c r="G990" s="5">
        <v>39782</v>
      </c>
      <c r="H990" s="16">
        <f t="shared" si="113"/>
        <v>2131</v>
      </c>
      <c r="I990" s="5">
        <v>39782</v>
      </c>
      <c r="J990" s="5">
        <v>38223</v>
      </c>
      <c r="K990" s="16">
        <f t="shared" si="114"/>
        <v>572</v>
      </c>
      <c r="L990" s="13">
        <v>6357.74</v>
      </c>
      <c r="M990" s="15">
        <f t="shared" si="112"/>
        <v>117.57976161208165</v>
      </c>
      <c r="N990" s="13">
        <v>6357.74</v>
      </c>
      <c r="O990" s="13">
        <v>0</v>
      </c>
      <c r="P990" s="11">
        <f t="shared" si="116"/>
        <v>0</v>
      </c>
    </row>
    <row r="991" spans="1:16" ht="18.75" customHeight="1" thickBot="1" x14ac:dyDescent="0.3">
      <c r="A991" s="3" t="s">
        <v>11</v>
      </c>
      <c r="B991" s="4">
        <v>678306</v>
      </c>
      <c r="C991" s="3" t="s">
        <v>9</v>
      </c>
      <c r="D991" s="18">
        <v>0.1</v>
      </c>
      <c r="E991" s="21">
        <f t="shared" si="115"/>
        <v>7.9741404289037643E-3</v>
      </c>
      <c r="F991" s="5">
        <v>37659</v>
      </c>
      <c r="G991" s="5">
        <v>38267</v>
      </c>
      <c r="H991" s="16">
        <f t="shared" si="113"/>
        <v>608</v>
      </c>
      <c r="I991" s="5">
        <v>38267</v>
      </c>
      <c r="J991" s="5">
        <v>38288</v>
      </c>
      <c r="K991" s="16">
        <f t="shared" si="114"/>
        <v>629</v>
      </c>
      <c r="L991" s="13">
        <v>3650.72</v>
      </c>
      <c r="M991" s="15">
        <f t="shared" si="112"/>
        <v>195.7974764229312</v>
      </c>
      <c r="N991" s="13">
        <v>3650.72</v>
      </c>
      <c r="O991" s="13">
        <v>0</v>
      </c>
      <c r="P991" s="11">
        <f t="shared" si="116"/>
        <v>0</v>
      </c>
    </row>
    <row r="992" spans="1:16" ht="18.75" customHeight="1" thickBot="1" x14ac:dyDescent="0.3">
      <c r="A992" s="3" t="s">
        <v>11</v>
      </c>
      <c r="B992" s="4">
        <v>94507</v>
      </c>
      <c r="C992" s="3" t="s">
        <v>9</v>
      </c>
      <c r="D992" s="18">
        <v>0.105</v>
      </c>
      <c r="E992" s="21">
        <f t="shared" si="115"/>
        <v>8.355155683635207E-3</v>
      </c>
      <c r="F992" s="5">
        <v>37672</v>
      </c>
      <c r="G992" s="5">
        <v>38949</v>
      </c>
      <c r="H992" s="16">
        <f t="shared" si="113"/>
        <v>1277</v>
      </c>
      <c r="I992" s="5">
        <v>38949</v>
      </c>
      <c r="J992" s="5">
        <v>38447</v>
      </c>
      <c r="K992" s="16">
        <f t="shared" si="114"/>
        <v>775</v>
      </c>
      <c r="L992" s="13">
        <v>1205.3499999999999</v>
      </c>
      <c r="M992" s="15">
        <f t="shared" si="112"/>
        <v>33.766950174711795</v>
      </c>
      <c r="N992" s="13">
        <v>1205.3499999999999</v>
      </c>
      <c r="O992" s="13">
        <v>0</v>
      </c>
      <c r="P992" s="11">
        <f t="shared" si="116"/>
        <v>0</v>
      </c>
    </row>
    <row r="993" spans="1:16" ht="18.75" customHeight="1" thickBot="1" x14ac:dyDescent="0.3">
      <c r="A993" s="3" t="s">
        <v>11</v>
      </c>
      <c r="B993" s="4">
        <v>647165</v>
      </c>
      <c r="C993" s="3" t="s">
        <v>9</v>
      </c>
      <c r="D993" s="18">
        <v>9.5000000000000001E-2</v>
      </c>
      <c r="E993" s="21">
        <f t="shared" si="115"/>
        <v>7.5915342905825689E-3</v>
      </c>
      <c r="F993" s="5">
        <v>37690</v>
      </c>
      <c r="G993" s="5">
        <v>39536</v>
      </c>
      <c r="H993" s="16">
        <f t="shared" si="113"/>
        <v>1846</v>
      </c>
      <c r="I993" s="5">
        <v>39536</v>
      </c>
      <c r="J993" s="5">
        <v>40035</v>
      </c>
      <c r="K993" s="16">
        <f t="shared" si="114"/>
        <v>2345</v>
      </c>
      <c r="L993" s="13">
        <v>44.7</v>
      </c>
      <c r="M993" s="15">
        <f t="shared" si="112"/>
        <v>0.91197287437554875</v>
      </c>
      <c r="N993" s="13">
        <v>44.7</v>
      </c>
      <c r="O993" s="13">
        <v>0</v>
      </c>
      <c r="P993" s="11">
        <f t="shared" si="116"/>
        <v>0</v>
      </c>
    </row>
    <row r="994" spans="1:16" ht="18.75" customHeight="1" thickBot="1" x14ac:dyDescent="0.3">
      <c r="A994" s="3" t="s">
        <v>11</v>
      </c>
      <c r="B994" s="4">
        <v>687591</v>
      </c>
      <c r="C994" s="3" t="s">
        <v>9</v>
      </c>
      <c r="D994" s="18">
        <v>9.7500000000000003E-2</v>
      </c>
      <c r="E994" s="21">
        <f t="shared" si="115"/>
        <v>7.7830370878799737E-3</v>
      </c>
      <c r="F994" s="5">
        <v>37691</v>
      </c>
      <c r="G994" s="5">
        <v>39518</v>
      </c>
      <c r="H994" s="16">
        <f t="shared" si="113"/>
        <v>1827</v>
      </c>
      <c r="I994" s="5">
        <v>39518</v>
      </c>
      <c r="J994" s="5">
        <v>37977</v>
      </c>
      <c r="K994" s="16">
        <f t="shared" si="114"/>
        <v>286</v>
      </c>
      <c r="L994" s="13">
        <v>4997.6499999999996</v>
      </c>
      <c r="M994" s="15">
        <f t="shared" si="112"/>
        <v>103.35538473320356</v>
      </c>
      <c r="N994" s="13">
        <v>4997.6499999999996</v>
      </c>
      <c r="O994" s="13">
        <v>0</v>
      </c>
      <c r="P994" s="11">
        <f t="shared" si="116"/>
        <v>0</v>
      </c>
    </row>
    <row r="995" spans="1:16" ht="18.75" customHeight="1" thickBot="1" x14ac:dyDescent="0.3">
      <c r="A995" s="3" t="s">
        <v>11</v>
      </c>
      <c r="B995" s="4">
        <v>691194</v>
      </c>
      <c r="C995" s="3" t="s">
        <v>9</v>
      </c>
      <c r="D995" s="18">
        <v>0.12</v>
      </c>
      <c r="E995" s="21">
        <f t="shared" si="115"/>
        <v>9.4887929345830457E-3</v>
      </c>
      <c r="F995" s="5">
        <v>37691</v>
      </c>
      <c r="G995" s="5">
        <v>38057</v>
      </c>
      <c r="H995" s="16">
        <f t="shared" si="113"/>
        <v>366</v>
      </c>
      <c r="I995" s="5">
        <v>38057</v>
      </c>
      <c r="J995" s="5">
        <v>37897</v>
      </c>
      <c r="K995" s="16">
        <f t="shared" si="114"/>
        <v>206</v>
      </c>
      <c r="L995" s="13">
        <v>864.41</v>
      </c>
      <c r="M995" s="15">
        <f t="shared" si="112"/>
        <v>75.368745104492987</v>
      </c>
      <c r="N995" s="13">
        <v>864.41</v>
      </c>
      <c r="O995" s="13">
        <v>0</v>
      </c>
      <c r="P995" s="11">
        <f t="shared" si="116"/>
        <v>0</v>
      </c>
    </row>
    <row r="996" spans="1:16" ht="18.75" customHeight="1" thickBot="1" x14ac:dyDescent="0.3">
      <c r="A996" s="3" t="s">
        <v>11</v>
      </c>
      <c r="B996" s="4">
        <v>576702</v>
      </c>
      <c r="C996" s="3" t="s">
        <v>9</v>
      </c>
      <c r="D996" s="18">
        <v>0.1</v>
      </c>
      <c r="E996" s="21">
        <f t="shared" si="115"/>
        <v>7.9741404289037643E-3</v>
      </c>
      <c r="F996" s="5">
        <v>37693</v>
      </c>
      <c r="G996" s="5">
        <v>42503</v>
      </c>
      <c r="H996" s="16">
        <f t="shared" si="113"/>
        <v>4810</v>
      </c>
      <c r="I996" s="5">
        <v>42503</v>
      </c>
      <c r="J996" s="5">
        <v>42446</v>
      </c>
      <c r="K996" s="16">
        <f t="shared" si="114"/>
        <v>4753</v>
      </c>
      <c r="L996" s="13">
        <v>4980.76</v>
      </c>
      <c r="M996" s="15">
        <f t="shared" si="112"/>
        <v>55.152505175618735</v>
      </c>
      <c r="N996" s="13">
        <v>4980.76</v>
      </c>
      <c r="O996" s="13">
        <v>0</v>
      </c>
      <c r="P996" s="11">
        <f t="shared" si="116"/>
        <v>1</v>
      </c>
    </row>
    <row r="997" spans="1:16" ht="18.75" customHeight="1" thickBot="1" x14ac:dyDescent="0.3">
      <c r="A997" s="3" t="s">
        <v>11</v>
      </c>
      <c r="B997" s="4">
        <v>334482</v>
      </c>
      <c r="C997" s="3" t="s">
        <v>9</v>
      </c>
      <c r="D997" s="18">
        <v>0.1</v>
      </c>
      <c r="E997" s="21">
        <f t="shared" si="115"/>
        <v>7.9741404289037643E-3</v>
      </c>
      <c r="F997" s="5">
        <v>37701</v>
      </c>
      <c r="G997" s="5">
        <v>39528</v>
      </c>
      <c r="H997" s="16">
        <f t="shared" si="113"/>
        <v>1827</v>
      </c>
      <c r="I997" s="5">
        <v>39528</v>
      </c>
      <c r="J997" s="5">
        <v>37867</v>
      </c>
      <c r="K997" s="16">
        <f t="shared" si="114"/>
        <v>166</v>
      </c>
      <c r="L997" s="13">
        <v>5251.85</v>
      </c>
      <c r="M997" s="15">
        <f t="shared" si="112"/>
        <v>109.20167115733919</v>
      </c>
      <c r="N997" s="13">
        <v>5251.85</v>
      </c>
      <c r="O997" s="13">
        <v>0</v>
      </c>
      <c r="P997" s="11">
        <f t="shared" si="116"/>
        <v>0</v>
      </c>
    </row>
    <row r="998" spans="1:16" ht="18.75" customHeight="1" thickBot="1" x14ac:dyDescent="0.3">
      <c r="A998" s="3" t="s">
        <v>11</v>
      </c>
      <c r="B998" s="4">
        <v>950408</v>
      </c>
      <c r="C998" s="3" t="s">
        <v>9</v>
      </c>
      <c r="D998" s="18">
        <v>0.1</v>
      </c>
      <c r="E998" s="21">
        <f t="shared" si="115"/>
        <v>7.9741404289037643E-3</v>
      </c>
      <c r="F998" s="5">
        <v>37711</v>
      </c>
      <c r="G998" s="5">
        <v>39598</v>
      </c>
      <c r="H998" s="16">
        <f t="shared" si="113"/>
        <v>1887</v>
      </c>
      <c r="I998" s="5">
        <v>39598</v>
      </c>
      <c r="J998" s="5">
        <v>39379</v>
      </c>
      <c r="K998" s="16">
        <f t="shared" si="114"/>
        <v>1668</v>
      </c>
      <c r="L998" s="13">
        <v>23563.94</v>
      </c>
      <c r="M998" s="15">
        <f t="shared" si="112"/>
        <v>477.85859880440535</v>
      </c>
      <c r="N998" s="13">
        <v>23563.94</v>
      </c>
      <c r="O998" s="13">
        <v>0</v>
      </c>
      <c r="P998" s="11">
        <f t="shared" si="116"/>
        <v>0</v>
      </c>
    </row>
    <row r="999" spans="1:16" ht="18.75" customHeight="1" thickBot="1" x14ac:dyDescent="0.3">
      <c r="A999" s="3" t="s">
        <v>11</v>
      </c>
      <c r="B999" s="4">
        <v>788078</v>
      </c>
      <c r="C999" s="3" t="s">
        <v>9</v>
      </c>
      <c r="D999" s="18">
        <v>0.1</v>
      </c>
      <c r="E999" s="21">
        <f t="shared" si="115"/>
        <v>7.9741404289037643E-3</v>
      </c>
      <c r="F999" s="5">
        <v>37726</v>
      </c>
      <c r="G999" s="5">
        <v>38275</v>
      </c>
      <c r="H999" s="16">
        <f t="shared" si="113"/>
        <v>549</v>
      </c>
      <c r="I999" s="5">
        <v>38275</v>
      </c>
      <c r="J999" s="5">
        <v>38838</v>
      </c>
      <c r="K999" s="16">
        <f t="shared" si="114"/>
        <v>1112</v>
      </c>
      <c r="L999" s="13">
        <v>2112.1799999999998</v>
      </c>
      <c r="M999" s="15">
        <f t="shared" si="112"/>
        <v>124.50459335017648</v>
      </c>
      <c r="N999" s="13">
        <v>2112.1799999999998</v>
      </c>
      <c r="O999" s="13">
        <v>0</v>
      </c>
      <c r="P999" s="11">
        <f t="shared" si="116"/>
        <v>0</v>
      </c>
    </row>
    <row r="1000" spans="1:16" ht="18.75" customHeight="1" thickBot="1" x14ac:dyDescent="0.3">
      <c r="A1000" s="3" t="s">
        <v>11</v>
      </c>
      <c r="B1000" s="4">
        <v>406769</v>
      </c>
      <c r="C1000" s="3" t="s">
        <v>9</v>
      </c>
      <c r="D1000" s="18">
        <v>0.12</v>
      </c>
      <c r="E1000" s="21">
        <f t="shared" si="115"/>
        <v>9.4887929345830457E-3</v>
      </c>
      <c r="F1000" s="5">
        <v>37727</v>
      </c>
      <c r="G1000" s="5">
        <v>38519</v>
      </c>
      <c r="H1000" s="16">
        <f t="shared" si="113"/>
        <v>792</v>
      </c>
      <c r="I1000" s="5">
        <v>38519</v>
      </c>
      <c r="J1000" s="5">
        <v>40158</v>
      </c>
      <c r="K1000" s="16">
        <f t="shared" si="114"/>
        <v>2431</v>
      </c>
      <c r="L1000" s="13">
        <v>1273.49</v>
      </c>
      <c r="M1000" s="15">
        <f t="shared" si="112"/>
        <v>54.759506430603075</v>
      </c>
      <c r="N1000" s="13">
        <v>1273.49</v>
      </c>
      <c r="O1000" s="13">
        <v>0</v>
      </c>
      <c r="P1000" s="11">
        <f t="shared" si="116"/>
        <v>0</v>
      </c>
    </row>
    <row r="1001" spans="1:16" ht="18.75" customHeight="1" thickBot="1" x14ac:dyDescent="0.3">
      <c r="A1001" s="3" t="s">
        <v>11</v>
      </c>
      <c r="B1001" s="4">
        <v>896380</v>
      </c>
      <c r="C1001" s="3" t="s">
        <v>9</v>
      </c>
      <c r="D1001" s="18">
        <v>0.12</v>
      </c>
      <c r="E1001" s="21">
        <f t="shared" si="115"/>
        <v>9.4887929345830457E-3</v>
      </c>
      <c r="F1001" s="5">
        <v>37734</v>
      </c>
      <c r="G1001" s="5">
        <v>37802</v>
      </c>
      <c r="H1001" s="16">
        <f t="shared" si="113"/>
        <v>68</v>
      </c>
      <c r="I1001" s="5">
        <v>37802</v>
      </c>
      <c r="J1001" s="5">
        <v>37819</v>
      </c>
      <c r="K1001" s="16">
        <f t="shared" si="114"/>
        <v>85</v>
      </c>
      <c r="L1001" s="13">
        <v>194.09</v>
      </c>
      <c r="M1001" s="15">
        <f t="shared" si="112"/>
        <v>86.957679849461456</v>
      </c>
      <c r="N1001" s="13">
        <v>194.09</v>
      </c>
      <c r="O1001" s="13">
        <v>0</v>
      </c>
      <c r="P1001" s="11">
        <f t="shared" si="116"/>
        <v>0</v>
      </c>
    </row>
    <row r="1002" spans="1:16" ht="18.75" customHeight="1" thickBot="1" x14ac:dyDescent="0.3">
      <c r="A1002" s="3" t="s">
        <v>11</v>
      </c>
      <c r="B1002" s="4">
        <v>9482</v>
      </c>
      <c r="C1002" s="3" t="s">
        <v>9</v>
      </c>
      <c r="D1002" s="18">
        <v>0.11</v>
      </c>
      <c r="E1002" s="21">
        <f t="shared" si="115"/>
        <v>8.7345938235519061E-3</v>
      </c>
      <c r="F1002" s="5">
        <v>37757</v>
      </c>
      <c r="G1002" s="5">
        <v>39218</v>
      </c>
      <c r="H1002" s="16">
        <f t="shared" si="113"/>
        <v>1461</v>
      </c>
      <c r="I1002" s="5">
        <v>39218</v>
      </c>
      <c r="J1002" s="5">
        <v>37985</v>
      </c>
      <c r="K1002" s="16">
        <f t="shared" si="114"/>
        <v>228</v>
      </c>
      <c r="L1002" s="13">
        <v>12970.46</v>
      </c>
      <c r="M1002" s="15">
        <f t="shared" si="112"/>
        <v>328.12781558534647</v>
      </c>
      <c r="N1002" s="13">
        <v>12970.46</v>
      </c>
      <c r="O1002" s="13">
        <v>0</v>
      </c>
      <c r="P1002" s="11">
        <f t="shared" si="116"/>
        <v>0</v>
      </c>
    </row>
    <row r="1003" spans="1:16" ht="18.75" customHeight="1" thickBot="1" x14ac:dyDescent="0.3">
      <c r="A1003" s="3" t="s">
        <v>11</v>
      </c>
      <c r="B1003" s="4">
        <v>789805</v>
      </c>
      <c r="C1003" s="3" t="s">
        <v>9</v>
      </c>
      <c r="D1003" s="18">
        <v>0.1</v>
      </c>
      <c r="E1003" s="21">
        <f t="shared" si="115"/>
        <v>7.9741404289037643E-3</v>
      </c>
      <c r="F1003" s="5">
        <v>37762</v>
      </c>
      <c r="G1003" s="5">
        <v>39589</v>
      </c>
      <c r="H1003" s="16">
        <f t="shared" si="113"/>
        <v>1827</v>
      </c>
      <c r="I1003" s="5">
        <v>39589</v>
      </c>
      <c r="J1003" s="5">
        <v>39143</v>
      </c>
      <c r="K1003" s="16">
        <f t="shared" si="114"/>
        <v>1381</v>
      </c>
      <c r="L1003" s="13">
        <v>16209.12</v>
      </c>
      <c r="M1003" s="15">
        <f t="shared" si="112"/>
        <v>337.03609051855057</v>
      </c>
      <c r="N1003" s="13">
        <v>16209.12</v>
      </c>
      <c r="O1003" s="13">
        <v>0</v>
      </c>
      <c r="P1003" s="11">
        <f t="shared" si="116"/>
        <v>0</v>
      </c>
    </row>
    <row r="1004" spans="1:16" ht="18.75" customHeight="1" thickBot="1" x14ac:dyDescent="0.3">
      <c r="A1004" s="3" t="s">
        <v>11</v>
      </c>
      <c r="B1004" s="4">
        <v>961962</v>
      </c>
      <c r="C1004" s="3" t="s">
        <v>9</v>
      </c>
      <c r="D1004" s="18">
        <v>0.1</v>
      </c>
      <c r="E1004" s="21">
        <f t="shared" si="115"/>
        <v>7.9741404289037643E-3</v>
      </c>
      <c r="F1004" s="5">
        <v>37776</v>
      </c>
      <c r="G1004" s="5">
        <v>38752</v>
      </c>
      <c r="H1004" s="16">
        <f t="shared" si="113"/>
        <v>976</v>
      </c>
      <c r="I1004" s="5">
        <v>38752</v>
      </c>
      <c r="J1004" s="5">
        <v>40737</v>
      </c>
      <c r="K1004" s="16">
        <f t="shared" si="114"/>
        <v>2961</v>
      </c>
      <c r="L1004" s="13">
        <v>2031.01</v>
      </c>
      <c r="M1004" s="15">
        <f t="shared" si="112"/>
        <v>71.123295369695271</v>
      </c>
      <c r="N1004" s="13">
        <v>2031.01</v>
      </c>
      <c r="O1004" s="13">
        <v>0</v>
      </c>
      <c r="P1004" s="11">
        <f t="shared" si="116"/>
        <v>0</v>
      </c>
    </row>
    <row r="1005" spans="1:16" ht="18.75" customHeight="1" thickBot="1" x14ac:dyDescent="0.3">
      <c r="A1005" s="3" t="s">
        <v>11</v>
      </c>
      <c r="B1005" s="4">
        <v>989961</v>
      </c>
      <c r="C1005" s="3" t="s">
        <v>9</v>
      </c>
      <c r="D1005" s="18">
        <v>0.1</v>
      </c>
      <c r="E1005" s="21">
        <f t="shared" si="115"/>
        <v>7.9741404289037643E-3</v>
      </c>
      <c r="F1005" s="5">
        <v>37789</v>
      </c>
      <c r="G1005" s="5">
        <v>39616</v>
      </c>
      <c r="H1005" s="16">
        <f t="shared" si="113"/>
        <v>1827</v>
      </c>
      <c r="I1005" s="5">
        <v>39616</v>
      </c>
      <c r="J1005" s="5">
        <v>38498</v>
      </c>
      <c r="K1005" s="16">
        <f t="shared" si="114"/>
        <v>709</v>
      </c>
      <c r="L1005" s="13">
        <v>4957.07</v>
      </c>
      <c r="M1005" s="15">
        <f t="shared" si="112"/>
        <v>103.07231319323883</v>
      </c>
      <c r="N1005" s="13">
        <v>4957.07</v>
      </c>
      <c r="O1005" s="13">
        <v>0</v>
      </c>
      <c r="P1005" s="11">
        <f t="shared" si="116"/>
        <v>0</v>
      </c>
    </row>
    <row r="1006" spans="1:16" ht="18.75" customHeight="1" thickBot="1" x14ac:dyDescent="0.3">
      <c r="A1006" s="3" t="s">
        <v>11</v>
      </c>
      <c r="B1006" s="4">
        <v>361769</v>
      </c>
      <c r="C1006" s="3" t="s">
        <v>9</v>
      </c>
      <c r="D1006" s="18">
        <v>0.1</v>
      </c>
      <c r="E1006" s="21">
        <f t="shared" si="115"/>
        <v>7.9741404289037643E-3</v>
      </c>
      <c r="F1006" s="5">
        <v>37791</v>
      </c>
      <c r="G1006" s="5">
        <v>39374</v>
      </c>
      <c r="H1006" s="16">
        <f t="shared" si="113"/>
        <v>1583</v>
      </c>
      <c r="I1006" s="5">
        <v>39374</v>
      </c>
      <c r="J1006" s="5">
        <v>39898</v>
      </c>
      <c r="K1006" s="16">
        <f t="shared" si="114"/>
        <v>2107</v>
      </c>
      <c r="L1006" s="13">
        <v>2098.9699999999998</v>
      </c>
      <c r="M1006" s="15">
        <f t="shared" si="112"/>
        <v>48.888314591986543</v>
      </c>
      <c r="N1006" s="13">
        <v>2098.9699999999998</v>
      </c>
      <c r="O1006" s="13">
        <v>0</v>
      </c>
      <c r="P1006" s="11">
        <f t="shared" si="116"/>
        <v>0</v>
      </c>
    </row>
    <row r="1007" spans="1:16" ht="18.75" customHeight="1" thickBot="1" x14ac:dyDescent="0.3">
      <c r="A1007" s="3" t="s">
        <v>11</v>
      </c>
      <c r="B1007" s="4">
        <v>664400</v>
      </c>
      <c r="C1007" s="3" t="s">
        <v>9</v>
      </c>
      <c r="D1007" s="18">
        <v>0.11</v>
      </c>
      <c r="E1007" s="21">
        <f t="shared" si="115"/>
        <v>8.7345938235519061E-3</v>
      </c>
      <c r="F1007" s="5">
        <v>37802</v>
      </c>
      <c r="G1007" s="5">
        <v>38716</v>
      </c>
      <c r="H1007" s="16">
        <f t="shared" si="113"/>
        <v>914</v>
      </c>
      <c r="I1007" s="5">
        <v>38716</v>
      </c>
      <c r="J1007" s="5">
        <v>38205</v>
      </c>
      <c r="K1007" s="16">
        <f t="shared" si="114"/>
        <v>403</v>
      </c>
      <c r="L1007" s="13">
        <v>1809.24</v>
      </c>
      <c r="M1007" s="15">
        <f t="shared" si="112"/>
        <v>67.893226203180674</v>
      </c>
      <c r="N1007" s="13">
        <v>1809.24</v>
      </c>
      <c r="O1007" s="13">
        <v>0</v>
      </c>
      <c r="P1007" s="11">
        <f t="shared" si="116"/>
        <v>0</v>
      </c>
    </row>
    <row r="1008" spans="1:16" ht="18.75" customHeight="1" thickBot="1" x14ac:dyDescent="0.3">
      <c r="A1008" s="3" t="s">
        <v>11</v>
      </c>
      <c r="B1008" s="4">
        <v>204351</v>
      </c>
      <c r="C1008" s="3" t="s">
        <v>9</v>
      </c>
      <c r="D1008" s="18">
        <v>0.1</v>
      </c>
      <c r="E1008" s="21">
        <f t="shared" si="115"/>
        <v>7.9741404289037643E-3</v>
      </c>
      <c r="F1008" s="5">
        <v>37812</v>
      </c>
      <c r="G1008" s="5">
        <v>38543</v>
      </c>
      <c r="H1008" s="16">
        <f t="shared" si="113"/>
        <v>731</v>
      </c>
      <c r="I1008" s="5">
        <v>38543</v>
      </c>
      <c r="J1008" s="5">
        <v>37935</v>
      </c>
      <c r="K1008" s="16">
        <f t="shared" si="114"/>
        <v>123</v>
      </c>
      <c r="L1008" s="13">
        <v>1170</v>
      </c>
      <c r="M1008" s="15">
        <f t="shared" si="112"/>
        <v>53.022853054893488</v>
      </c>
      <c r="N1008" s="13">
        <v>1170</v>
      </c>
      <c r="O1008" s="13">
        <v>0</v>
      </c>
      <c r="P1008" s="11">
        <f t="shared" si="116"/>
        <v>0</v>
      </c>
    </row>
    <row r="1009" spans="1:16" ht="18.75" customHeight="1" thickBot="1" x14ac:dyDescent="0.3">
      <c r="A1009" s="3" t="s">
        <v>11</v>
      </c>
      <c r="B1009" s="4">
        <v>950900</v>
      </c>
      <c r="C1009" s="3" t="s">
        <v>9</v>
      </c>
      <c r="D1009" s="18">
        <v>0.11</v>
      </c>
      <c r="E1009" s="21">
        <f t="shared" si="115"/>
        <v>8.7345938235519061E-3</v>
      </c>
      <c r="F1009" s="5">
        <v>37816</v>
      </c>
      <c r="G1009" s="5">
        <v>37908</v>
      </c>
      <c r="H1009" s="16">
        <f t="shared" si="113"/>
        <v>92</v>
      </c>
      <c r="I1009" s="5">
        <v>37908</v>
      </c>
      <c r="J1009" s="5">
        <v>38211</v>
      </c>
      <c r="K1009" s="16">
        <f t="shared" si="114"/>
        <v>395</v>
      </c>
      <c r="L1009" s="13">
        <v>5434.14</v>
      </c>
      <c r="M1009" s="15">
        <f t="shared" si="112"/>
        <v>1803.5678082015081</v>
      </c>
      <c r="N1009" s="13">
        <v>5434.14</v>
      </c>
      <c r="O1009" s="13">
        <v>0</v>
      </c>
      <c r="P1009" s="11">
        <f t="shared" si="116"/>
        <v>0</v>
      </c>
    </row>
    <row r="1010" spans="1:16" ht="18.75" hidden="1" customHeight="1" thickBot="1" x14ac:dyDescent="0.3">
      <c r="A1010" s="3" t="s">
        <v>11</v>
      </c>
      <c r="B1010" s="4">
        <v>776486</v>
      </c>
      <c r="C1010" s="3" t="s">
        <v>9</v>
      </c>
      <c r="D1010" s="18">
        <v>0.1</v>
      </c>
      <c r="E1010" s="21">
        <f t="shared" si="115"/>
        <v>7.9741404289037643E-3</v>
      </c>
      <c r="F1010" s="5">
        <v>37817</v>
      </c>
      <c r="G1010" s="5">
        <v>37909</v>
      </c>
      <c r="H1010" s="16">
        <f t="shared" si="113"/>
        <v>92</v>
      </c>
      <c r="I1010" s="5">
        <v>37909</v>
      </c>
      <c r="J1010" s="2"/>
      <c r="K1010" s="16">
        <f t="shared" si="114"/>
        <v>-37817</v>
      </c>
      <c r="L1010" s="13">
        <v>2500</v>
      </c>
      <c r="M1010" s="15">
        <f t="shared" si="112"/>
        <v>828.47155664815421</v>
      </c>
      <c r="N1010" s="13">
        <v>2500</v>
      </c>
      <c r="O1010" s="13">
        <v>0</v>
      </c>
      <c r="P1010" s="11">
        <f t="shared" si="116"/>
        <v>0</v>
      </c>
    </row>
    <row r="1011" spans="1:16" ht="18.75" customHeight="1" thickBot="1" x14ac:dyDescent="0.3">
      <c r="A1011" s="3" t="s">
        <v>11</v>
      </c>
      <c r="B1011" s="4">
        <v>738068</v>
      </c>
      <c r="C1011" s="3" t="s">
        <v>9</v>
      </c>
      <c r="D1011" s="18">
        <v>0.11</v>
      </c>
      <c r="E1011" s="21">
        <f t="shared" si="115"/>
        <v>8.7345938235519061E-3</v>
      </c>
      <c r="F1011" s="5">
        <v>37818</v>
      </c>
      <c r="G1011" s="5">
        <v>38549</v>
      </c>
      <c r="H1011" s="16">
        <f t="shared" si="113"/>
        <v>731</v>
      </c>
      <c r="I1011" s="5">
        <v>38549</v>
      </c>
      <c r="J1011" s="5">
        <v>38421</v>
      </c>
      <c r="K1011" s="16">
        <f t="shared" si="114"/>
        <v>603</v>
      </c>
      <c r="L1011" s="13">
        <v>530.32000000000005</v>
      </c>
      <c r="M1011" s="15">
        <f t="shared" si="112"/>
        <v>24.256874295103685</v>
      </c>
      <c r="N1011" s="13">
        <v>530.32000000000005</v>
      </c>
      <c r="O1011" s="13">
        <v>0</v>
      </c>
      <c r="P1011" s="11">
        <f t="shared" si="116"/>
        <v>0</v>
      </c>
    </row>
    <row r="1012" spans="1:16" ht="18.75" customHeight="1" thickBot="1" x14ac:dyDescent="0.3">
      <c r="A1012" s="3" t="s">
        <v>11</v>
      </c>
      <c r="B1012" s="4">
        <v>639151</v>
      </c>
      <c r="C1012" s="3" t="s">
        <v>9</v>
      </c>
      <c r="D1012" s="18">
        <v>0.06</v>
      </c>
      <c r="E1012" s="21">
        <f t="shared" si="115"/>
        <v>4.8675505653430484E-3</v>
      </c>
      <c r="F1012" s="5">
        <v>37819</v>
      </c>
      <c r="G1012" s="5">
        <v>38642</v>
      </c>
      <c r="H1012" s="16">
        <f t="shared" si="113"/>
        <v>823</v>
      </c>
      <c r="I1012" s="5">
        <v>38642</v>
      </c>
      <c r="J1012" s="5">
        <v>38513</v>
      </c>
      <c r="K1012" s="16">
        <f t="shared" si="114"/>
        <v>694</v>
      </c>
      <c r="L1012" s="13">
        <v>1844.14</v>
      </c>
      <c r="M1012" s="15">
        <f t="shared" si="112"/>
        <v>71.97391085170328</v>
      </c>
      <c r="N1012" s="13">
        <v>1844.14</v>
      </c>
      <c r="O1012" s="13">
        <v>0</v>
      </c>
      <c r="P1012" s="11">
        <f t="shared" si="116"/>
        <v>0</v>
      </c>
    </row>
    <row r="1013" spans="1:16" ht="18.75" customHeight="1" thickBot="1" x14ac:dyDescent="0.3">
      <c r="A1013" s="3" t="s">
        <v>11</v>
      </c>
      <c r="B1013" s="4">
        <v>788412</v>
      </c>
      <c r="C1013" s="3" t="s">
        <v>9</v>
      </c>
      <c r="D1013" s="18">
        <v>0.1</v>
      </c>
      <c r="E1013" s="21">
        <f t="shared" si="115"/>
        <v>7.9741404289037643E-3</v>
      </c>
      <c r="F1013" s="5">
        <v>37820</v>
      </c>
      <c r="G1013" s="5">
        <v>40196</v>
      </c>
      <c r="H1013" s="16">
        <f t="shared" si="113"/>
        <v>2376</v>
      </c>
      <c r="I1013" s="5">
        <v>40196</v>
      </c>
      <c r="J1013" s="5">
        <v>39430</v>
      </c>
      <c r="K1013" s="16">
        <f t="shared" si="114"/>
        <v>1610</v>
      </c>
      <c r="L1013" s="13">
        <v>20211.95</v>
      </c>
      <c r="M1013" s="15">
        <f t="shared" si="112"/>
        <v>345.19759308798785</v>
      </c>
      <c r="N1013" s="13">
        <v>20211.95</v>
      </c>
      <c r="O1013" s="13">
        <v>0</v>
      </c>
      <c r="P1013" s="11">
        <f t="shared" si="116"/>
        <v>0</v>
      </c>
    </row>
    <row r="1014" spans="1:16" ht="18.75" customHeight="1" thickBot="1" x14ac:dyDescent="0.3">
      <c r="A1014" s="3" t="s">
        <v>11</v>
      </c>
      <c r="B1014" s="4">
        <v>537995</v>
      </c>
      <c r="C1014" s="3" t="s">
        <v>9</v>
      </c>
      <c r="D1014" s="18">
        <v>0.1</v>
      </c>
      <c r="E1014" s="21">
        <f t="shared" si="115"/>
        <v>7.9741404289037643E-3</v>
      </c>
      <c r="F1014" s="5">
        <v>37830</v>
      </c>
      <c r="G1014" s="5">
        <v>38196</v>
      </c>
      <c r="H1014" s="16">
        <f t="shared" si="113"/>
        <v>366</v>
      </c>
      <c r="I1014" s="5">
        <v>38196</v>
      </c>
      <c r="J1014" s="5">
        <v>40072</v>
      </c>
      <c r="K1014" s="16">
        <f t="shared" si="114"/>
        <v>2242</v>
      </c>
      <c r="L1014" s="13">
        <v>15.03</v>
      </c>
      <c r="M1014" s="15">
        <f t="shared" si="112"/>
        <v>1.297765950957837</v>
      </c>
      <c r="N1014" s="13">
        <v>15.03</v>
      </c>
      <c r="O1014" s="13">
        <v>15.03</v>
      </c>
      <c r="P1014" s="11">
        <f t="shared" si="116"/>
        <v>0</v>
      </c>
    </row>
    <row r="1015" spans="1:16" ht="18.75" customHeight="1" thickBot="1" x14ac:dyDescent="0.3">
      <c r="A1015" s="3" t="s">
        <v>11</v>
      </c>
      <c r="B1015" s="4">
        <v>451517</v>
      </c>
      <c r="C1015" s="3" t="s">
        <v>9</v>
      </c>
      <c r="D1015" s="18">
        <v>0.1</v>
      </c>
      <c r="E1015" s="21">
        <f t="shared" si="115"/>
        <v>7.9741404289037643E-3</v>
      </c>
      <c r="F1015" s="5">
        <v>37837</v>
      </c>
      <c r="G1015" s="5">
        <v>38964</v>
      </c>
      <c r="H1015" s="16">
        <f t="shared" si="113"/>
        <v>1127</v>
      </c>
      <c r="I1015" s="5">
        <v>38964</v>
      </c>
      <c r="J1015" s="5">
        <v>38405</v>
      </c>
      <c r="K1015" s="16">
        <f t="shared" si="114"/>
        <v>568</v>
      </c>
      <c r="L1015" s="13">
        <v>2006.5</v>
      </c>
      <c r="M1015" s="15">
        <f t="shared" si="112"/>
        <v>62.02168874651683</v>
      </c>
      <c r="N1015" s="13">
        <v>2006.5</v>
      </c>
      <c r="O1015" s="13">
        <v>0</v>
      </c>
      <c r="P1015" s="11">
        <f t="shared" si="116"/>
        <v>0</v>
      </c>
    </row>
    <row r="1016" spans="1:16" ht="18.75" customHeight="1" thickBot="1" x14ac:dyDescent="0.3">
      <c r="A1016" s="3" t="s">
        <v>11</v>
      </c>
      <c r="B1016" s="4">
        <v>753375</v>
      </c>
      <c r="C1016" s="3" t="s">
        <v>9</v>
      </c>
      <c r="D1016" s="18">
        <v>0.1</v>
      </c>
      <c r="E1016" s="21">
        <f t="shared" si="115"/>
        <v>7.9741404289037643E-3</v>
      </c>
      <c r="F1016" s="5">
        <v>37840</v>
      </c>
      <c r="G1016" s="5">
        <v>38814</v>
      </c>
      <c r="H1016" s="16">
        <f t="shared" si="113"/>
        <v>974</v>
      </c>
      <c r="I1016" s="5">
        <v>38814</v>
      </c>
      <c r="J1016" s="5">
        <v>38509</v>
      </c>
      <c r="K1016" s="16">
        <f t="shared" si="114"/>
        <v>669</v>
      </c>
      <c r="L1016" s="13">
        <v>847.46</v>
      </c>
      <c r="M1016" s="15">
        <f t="shared" si="112"/>
        <v>29.730337539762136</v>
      </c>
      <c r="N1016" s="13">
        <v>847.46</v>
      </c>
      <c r="O1016" s="13">
        <v>0</v>
      </c>
      <c r="P1016" s="11">
        <f t="shared" si="116"/>
        <v>0</v>
      </c>
    </row>
    <row r="1017" spans="1:16" ht="18.75" customHeight="1" thickBot="1" x14ac:dyDescent="0.3">
      <c r="A1017" s="3" t="s">
        <v>11</v>
      </c>
      <c r="B1017" s="4">
        <v>423552</v>
      </c>
      <c r="C1017" s="3" t="s">
        <v>9</v>
      </c>
      <c r="D1017" s="18">
        <v>0.1</v>
      </c>
      <c r="E1017" s="21">
        <f t="shared" si="115"/>
        <v>7.9741404289037643E-3</v>
      </c>
      <c r="F1017" s="5">
        <v>37866</v>
      </c>
      <c r="G1017" s="5">
        <v>38870</v>
      </c>
      <c r="H1017" s="16">
        <f t="shared" si="113"/>
        <v>1004</v>
      </c>
      <c r="I1017" s="5">
        <v>38870</v>
      </c>
      <c r="J1017" s="5">
        <v>38498</v>
      </c>
      <c r="K1017" s="16">
        <f t="shared" si="114"/>
        <v>632</v>
      </c>
      <c r="L1017" s="13">
        <v>5428.17</v>
      </c>
      <c r="M1017" s="15">
        <f t="shared" si="112"/>
        <v>185.44231134390611</v>
      </c>
      <c r="N1017" s="13">
        <v>5428.17</v>
      </c>
      <c r="O1017" s="13">
        <v>0</v>
      </c>
      <c r="P1017" s="11">
        <f t="shared" si="116"/>
        <v>0</v>
      </c>
    </row>
    <row r="1018" spans="1:16" ht="18.75" customHeight="1" thickBot="1" x14ac:dyDescent="0.3">
      <c r="A1018" s="3" t="s">
        <v>11</v>
      </c>
      <c r="B1018" s="4">
        <v>661952</v>
      </c>
      <c r="C1018" s="3" t="s">
        <v>9</v>
      </c>
      <c r="D1018" s="18">
        <v>0.1</v>
      </c>
      <c r="E1018" s="21">
        <f t="shared" si="115"/>
        <v>7.9741404289037643E-3</v>
      </c>
      <c r="F1018" s="5">
        <v>37900</v>
      </c>
      <c r="G1018" s="5">
        <v>38448</v>
      </c>
      <c r="H1018" s="16">
        <f t="shared" si="113"/>
        <v>548</v>
      </c>
      <c r="I1018" s="5">
        <v>38448</v>
      </c>
      <c r="J1018" s="5">
        <v>38063</v>
      </c>
      <c r="K1018" s="16">
        <f t="shared" si="114"/>
        <v>163</v>
      </c>
      <c r="L1018" s="13">
        <v>1466.99</v>
      </c>
      <c r="M1018" s="15">
        <f t="shared" si="112"/>
        <v>86.619822329498689</v>
      </c>
      <c r="N1018" s="13">
        <v>1466.99</v>
      </c>
      <c r="O1018" s="13">
        <v>0</v>
      </c>
      <c r="P1018" s="11">
        <f t="shared" si="116"/>
        <v>0</v>
      </c>
    </row>
    <row r="1019" spans="1:16" ht="18.75" customHeight="1" thickBot="1" x14ac:dyDescent="0.3">
      <c r="A1019" s="3" t="s">
        <v>11</v>
      </c>
      <c r="B1019" s="4">
        <v>392894</v>
      </c>
      <c r="C1019" s="3" t="s">
        <v>9</v>
      </c>
      <c r="D1019" s="18">
        <v>0.1</v>
      </c>
      <c r="E1019" s="21">
        <f t="shared" si="115"/>
        <v>7.9741404289037643E-3</v>
      </c>
      <c r="F1019" s="5">
        <v>37910</v>
      </c>
      <c r="G1019" s="5">
        <v>38641</v>
      </c>
      <c r="H1019" s="16">
        <f t="shared" si="113"/>
        <v>731</v>
      </c>
      <c r="I1019" s="5">
        <v>38641</v>
      </c>
      <c r="J1019" s="5">
        <v>38267</v>
      </c>
      <c r="K1019" s="16">
        <f t="shared" si="114"/>
        <v>357</v>
      </c>
      <c r="L1019" s="13">
        <v>2000</v>
      </c>
      <c r="M1019" s="15">
        <f t="shared" si="112"/>
        <v>90.637355649390571</v>
      </c>
      <c r="N1019" s="13">
        <v>2000</v>
      </c>
      <c r="O1019" s="13">
        <v>0</v>
      </c>
      <c r="P1019" s="11">
        <f t="shared" si="116"/>
        <v>0</v>
      </c>
    </row>
    <row r="1020" spans="1:16" ht="18.75" customHeight="1" thickBot="1" x14ac:dyDescent="0.3">
      <c r="A1020" s="3" t="s">
        <v>11</v>
      </c>
      <c r="B1020" s="4">
        <v>590012</v>
      </c>
      <c r="C1020" s="3" t="s">
        <v>9</v>
      </c>
      <c r="D1020" s="18">
        <v>9.5000000000000001E-2</v>
      </c>
      <c r="E1020" s="21">
        <f t="shared" si="115"/>
        <v>7.5915342905825689E-3</v>
      </c>
      <c r="F1020" s="5">
        <v>37918</v>
      </c>
      <c r="G1020" s="5">
        <v>39014</v>
      </c>
      <c r="H1020" s="16">
        <f t="shared" si="113"/>
        <v>1096</v>
      </c>
      <c r="I1020" s="5">
        <v>39014</v>
      </c>
      <c r="J1020" s="5">
        <v>38548</v>
      </c>
      <c r="K1020" s="16">
        <f t="shared" si="114"/>
        <v>630</v>
      </c>
      <c r="L1020" s="13">
        <v>1350</v>
      </c>
      <c r="M1020" s="15">
        <f t="shared" si="112"/>
        <v>42.452597662477991</v>
      </c>
      <c r="N1020" s="13">
        <v>1350</v>
      </c>
      <c r="O1020" s="13">
        <v>0</v>
      </c>
      <c r="P1020" s="11">
        <f t="shared" si="116"/>
        <v>0</v>
      </c>
    </row>
    <row r="1021" spans="1:16" ht="18.75" customHeight="1" thickBot="1" x14ac:dyDescent="0.3">
      <c r="A1021" s="3" t="s">
        <v>11</v>
      </c>
      <c r="B1021" s="4">
        <v>227406</v>
      </c>
      <c r="C1021" s="3" t="s">
        <v>9</v>
      </c>
      <c r="D1021" s="18">
        <v>8.5000000000000006E-2</v>
      </c>
      <c r="E1021" s="21">
        <f t="shared" si="115"/>
        <v>6.8214933659622723E-3</v>
      </c>
      <c r="F1021" s="5">
        <v>37942</v>
      </c>
      <c r="G1021" s="5">
        <v>39799</v>
      </c>
      <c r="H1021" s="16">
        <f t="shared" si="113"/>
        <v>1857</v>
      </c>
      <c r="I1021" s="5">
        <v>39799</v>
      </c>
      <c r="J1021" s="5">
        <v>40308</v>
      </c>
      <c r="K1021" s="16">
        <f t="shared" si="114"/>
        <v>2366</v>
      </c>
      <c r="L1021" s="13">
        <v>14690.72</v>
      </c>
      <c r="M1021" s="15">
        <f t="shared" si="112"/>
        <v>291.74870132955152</v>
      </c>
      <c r="N1021" s="13">
        <v>14690.72</v>
      </c>
      <c r="O1021" s="13">
        <v>0</v>
      </c>
      <c r="P1021" s="11">
        <f t="shared" si="116"/>
        <v>0</v>
      </c>
    </row>
    <row r="1022" spans="1:16" ht="18.75" customHeight="1" thickBot="1" x14ac:dyDescent="0.3">
      <c r="A1022" s="3" t="s">
        <v>11</v>
      </c>
      <c r="B1022" s="4">
        <v>775261</v>
      </c>
      <c r="C1022" s="3" t="s">
        <v>9</v>
      </c>
      <c r="D1022" s="18">
        <v>0.11</v>
      </c>
      <c r="E1022" s="21">
        <f t="shared" si="115"/>
        <v>8.7345938235519061E-3</v>
      </c>
      <c r="F1022" s="5">
        <v>37945</v>
      </c>
      <c r="G1022" s="5">
        <v>39192</v>
      </c>
      <c r="H1022" s="16">
        <f t="shared" si="113"/>
        <v>1247</v>
      </c>
      <c r="I1022" s="5">
        <v>39192</v>
      </c>
      <c r="J1022" s="5">
        <v>39500</v>
      </c>
      <c r="K1022" s="16">
        <f t="shared" si="114"/>
        <v>1555</v>
      </c>
      <c r="L1022" s="13">
        <v>3290.49</v>
      </c>
      <c r="M1022" s="15">
        <f t="shared" si="112"/>
        <v>94.741442025833933</v>
      </c>
      <c r="N1022" s="13">
        <v>3290.49</v>
      </c>
      <c r="O1022" s="13">
        <v>0</v>
      </c>
      <c r="P1022" s="11">
        <f t="shared" si="116"/>
        <v>0</v>
      </c>
    </row>
    <row r="1023" spans="1:16" ht="18.75" customHeight="1" thickBot="1" x14ac:dyDescent="0.3">
      <c r="A1023" s="3" t="s">
        <v>11</v>
      </c>
      <c r="B1023" s="4">
        <v>471671</v>
      </c>
      <c r="C1023" s="3" t="s">
        <v>9</v>
      </c>
      <c r="D1023" s="18">
        <v>0.11</v>
      </c>
      <c r="E1023" s="21">
        <f t="shared" si="115"/>
        <v>8.7345938235519061E-3</v>
      </c>
      <c r="F1023" s="5">
        <v>37949</v>
      </c>
      <c r="G1023" s="5">
        <v>38496</v>
      </c>
      <c r="H1023" s="16">
        <f t="shared" si="113"/>
        <v>547</v>
      </c>
      <c r="I1023" s="5">
        <v>38496</v>
      </c>
      <c r="J1023" s="5">
        <v>38028</v>
      </c>
      <c r="K1023" s="16">
        <f t="shared" si="114"/>
        <v>79</v>
      </c>
      <c r="L1023" s="13">
        <v>2876.19</v>
      </c>
      <c r="M1023" s="15">
        <f t="shared" si="112"/>
        <v>171.32443028803405</v>
      </c>
      <c r="N1023" s="13">
        <v>2876.19</v>
      </c>
      <c r="O1023" s="13">
        <v>0</v>
      </c>
      <c r="P1023" s="11">
        <f t="shared" si="116"/>
        <v>0</v>
      </c>
    </row>
    <row r="1024" spans="1:16" ht="18.75" customHeight="1" thickBot="1" x14ac:dyDescent="0.3">
      <c r="A1024" s="3" t="s">
        <v>11</v>
      </c>
      <c r="B1024" s="4">
        <v>289320</v>
      </c>
      <c r="C1024" s="3" t="s">
        <v>9</v>
      </c>
      <c r="D1024" s="18">
        <v>0.11</v>
      </c>
      <c r="E1024" s="21">
        <f t="shared" si="115"/>
        <v>8.7345938235519061E-3</v>
      </c>
      <c r="F1024" s="5">
        <v>37951</v>
      </c>
      <c r="G1024" s="5">
        <v>39228</v>
      </c>
      <c r="H1024" s="16">
        <f t="shared" si="113"/>
        <v>1277</v>
      </c>
      <c r="I1024" s="5">
        <v>39228</v>
      </c>
      <c r="J1024" s="5">
        <v>38616</v>
      </c>
      <c r="K1024" s="16">
        <f t="shared" si="114"/>
        <v>665</v>
      </c>
      <c r="L1024" s="13">
        <v>4480.42</v>
      </c>
      <c r="M1024" s="15">
        <f t="shared" si="112"/>
        <v>126.48740036847023</v>
      </c>
      <c r="N1024" s="13">
        <v>4480.42</v>
      </c>
      <c r="O1024" s="13">
        <v>0</v>
      </c>
      <c r="P1024" s="11">
        <f t="shared" si="116"/>
        <v>0</v>
      </c>
    </row>
    <row r="1025" spans="1:16" ht="18.75" customHeight="1" thickBot="1" x14ac:dyDescent="0.3">
      <c r="A1025" s="3" t="s">
        <v>11</v>
      </c>
      <c r="B1025" s="4">
        <v>473950</v>
      </c>
      <c r="C1025" s="3" t="s">
        <v>9</v>
      </c>
      <c r="D1025" s="18">
        <v>0.13</v>
      </c>
      <c r="E1025" s="21">
        <f t="shared" si="115"/>
        <v>1.02368443581764E-2</v>
      </c>
      <c r="F1025" s="5">
        <v>37957</v>
      </c>
      <c r="G1025" s="5">
        <v>38385</v>
      </c>
      <c r="H1025" s="16">
        <f t="shared" si="113"/>
        <v>428</v>
      </c>
      <c r="I1025" s="5">
        <v>38385</v>
      </c>
      <c r="J1025" s="5">
        <v>39490</v>
      </c>
      <c r="K1025" s="16">
        <f t="shared" si="114"/>
        <v>1533</v>
      </c>
      <c r="L1025" s="13">
        <v>353.75</v>
      </c>
      <c r="M1025" s="15">
        <f t="shared" si="112"/>
        <v>26.77673455884819</v>
      </c>
      <c r="N1025" s="13">
        <v>353.75</v>
      </c>
      <c r="O1025" s="13">
        <v>0</v>
      </c>
      <c r="P1025" s="11">
        <f t="shared" si="116"/>
        <v>0</v>
      </c>
    </row>
    <row r="1026" spans="1:16" ht="18.75" customHeight="1" thickBot="1" x14ac:dyDescent="0.3">
      <c r="A1026" s="3" t="s">
        <v>11</v>
      </c>
      <c r="B1026" s="4">
        <v>904630</v>
      </c>
      <c r="C1026" s="3" t="s">
        <v>9</v>
      </c>
      <c r="D1026" s="18">
        <v>9.5000000000000001E-2</v>
      </c>
      <c r="E1026" s="21">
        <f t="shared" si="115"/>
        <v>7.5915342905825689E-3</v>
      </c>
      <c r="F1026" s="5">
        <v>37958</v>
      </c>
      <c r="G1026" s="5">
        <v>39906</v>
      </c>
      <c r="H1026" s="16">
        <f t="shared" si="113"/>
        <v>1948</v>
      </c>
      <c r="I1026" s="5">
        <v>39906</v>
      </c>
      <c r="J1026" s="5">
        <v>38447</v>
      </c>
      <c r="K1026" s="16">
        <f t="shared" si="114"/>
        <v>489</v>
      </c>
      <c r="L1026" s="13">
        <v>7484.14</v>
      </c>
      <c r="M1026" s="15">
        <f t="shared" ref="M1026:M1089" si="117">-PMT(E1026,(H1026/30),L1026)</f>
        <v>146.41964801638602</v>
      </c>
      <c r="N1026" s="13">
        <v>7484.14</v>
      </c>
      <c r="O1026" s="13">
        <v>0</v>
      </c>
      <c r="P1026" s="11">
        <f t="shared" si="116"/>
        <v>0</v>
      </c>
    </row>
    <row r="1027" spans="1:16" ht="18.75" customHeight="1" thickBot="1" x14ac:dyDescent="0.3">
      <c r="A1027" s="3" t="s">
        <v>11</v>
      </c>
      <c r="B1027" s="4">
        <v>439434</v>
      </c>
      <c r="C1027" s="3" t="s">
        <v>9</v>
      </c>
      <c r="D1027" s="18">
        <v>0.09</v>
      </c>
      <c r="E1027" s="21">
        <f t="shared" si="115"/>
        <v>7.2073233161367156E-3</v>
      </c>
      <c r="F1027" s="5">
        <v>40995</v>
      </c>
      <c r="G1027" s="5">
        <v>42090</v>
      </c>
      <c r="H1027" s="16">
        <f t="shared" ref="H1027:H1090" si="118">G1027-F1027</f>
        <v>1095</v>
      </c>
      <c r="I1027" s="5">
        <v>42090</v>
      </c>
      <c r="J1027" s="5">
        <v>41817</v>
      </c>
      <c r="K1027" s="16">
        <f t="shared" ref="K1027:K1090" si="119">J1027-F1027</f>
        <v>822</v>
      </c>
      <c r="L1027" s="13">
        <v>10000</v>
      </c>
      <c r="M1027" s="15">
        <f t="shared" si="117"/>
        <v>312.56788489269195</v>
      </c>
      <c r="N1027" s="13">
        <v>10000</v>
      </c>
      <c r="O1027" s="13">
        <v>0</v>
      </c>
      <c r="P1027" s="11">
        <f t="shared" si="116"/>
        <v>1</v>
      </c>
    </row>
    <row r="1028" spans="1:16" ht="18.75" customHeight="1" thickBot="1" x14ac:dyDescent="0.3">
      <c r="A1028" s="3" t="s">
        <v>11</v>
      </c>
      <c r="B1028" s="4">
        <v>76779</v>
      </c>
      <c r="C1028" s="3" t="s">
        <v>9</v>
      </c>
      <c r="D1028" s="18">
        <v>0.12</v>
      </c>
      <c r="E1028" s="21">
        <f t="shared" si="115"/>
        <v>9.4887929345830457E-3</v>
      </c>
      <c r="F1028" s="5">
        <v>37978</v>
      </c>
      <c r="G1028" s="5">
        <v>39256</v>
      </c>
      <c r="H1028" s="16">
        <f t="shared" si="118"/>
        <v>1278</v>
      </c>
      <c r="I1028" s="5">
        <v>39256</v>
      </c>
      <c r="J1028" s="5">
        <v>39955</v>
      </c>
      <c r="K1028" s="16">
        <f t="shared" si="119"/>
        <v>1977</v>
      </c>
      <c r="L1028" s="13">
        <v>5753.15</v>
      </c>
      <c r="M1028" s="15">
        <f t="shared" si="117"/>
        <v>164.81072151146458</v>
      </c>
      <c r="N1028" s="13">
        <v>5753.15</v>
      </c>
      <c r="O1028" s="13">
        <v>0</v>
      </c>
      <c r="P1028" s="11">
        <f t="shared" si="116"/>
        <v>0</v>
      </c>
    </row>
    <row r="1029" spans="1:16" ht="18.75" customHeight="1" thickBot="1" x14ac:dyDescent="0.3">
      <c r="A1029" s="3" t="s">
        <v>11</v>
      </c>
      <c r="B1029" s="4">
        <v>196414</v>
      </c>
      <c r="C1029" s="3" t="s">
        <v>2</v>
      </c>
      <c r="D1029" s="18">
        <v>0.1</v>
      </c>
      <c r="E1029" s="21">
        <f t="shared" si="115"/>
        <v>7.9741404289037643E-3</v>
      </c>
      <c r="F1029" s="5">
        <v>37986</v>
      </c>
      <c r="G1029" s="5">
        <v>43921</v>
      </c>
      <c r="H1029" s="16">
        <f t="shared" si="118"/>
        <v>5935</v>
      </c>
      <c r="I1029" s="5">
        <v>43921</v>
      </c>
      <c r="J1029" s="5">
        <v>43714</v>
      </c>
      <c r="K1029" s="16">
        <f t="shared" si="119"/>
        <v>5728</v>
      </c>
      <c r="L1029" s="13">
        <v>33175.589999999997</v>
      </c>
      <c r="M1029" s="15">
        <f t="shared" si="117"/>
        <v>333.92935250245989</v>
      </c>
      <c r="N1029" s="13">
        <v>17068.919999999998</v>
      </c>
      <c r="O1029" s="13">
        <v>0</v>
      </c>
      <c r="P1029" s="11">
        <f t="shared" si="116"/>
        <v>1</v>
      </c>
    </row>
    <row r="1030" spans="1:16" ht="18.75" customHeight="1" thickBot="1" x14ac:dyDescent="0.3">
      <c r="A1030" s="3" t="s">
        <v>11</v>
      </c>
      <c r="B1030" s="4">
        <v>88515</v>
      </c>
      <c r="C1030" s="3" t="s">
        <v>9</v>
      </c>
      <c r="D1030" s="18">
        <v>0.1</v>
      </c>
      <c r="E1030" s="21">
        <f t="shared" si="115"/>
        <v>7.9741404289037643E-3</v>
      </c>
      <c r="F1030" s="5">
        <v>37986</v>
      </c>
      <c r="G1030" s="5">
        <v>38016</v>
      </c>
      <c r="H1030" s="16">
        <f t="shared" si="118"/>
        <v>30</v>
      </c>
      <c r="I1030" s="5">
        <v>38016</v>
      </c>
      <c r="J1030" s="5">
        <v>38035</v>
      </c>
      <c r="K1030" s="16">
        <f t="shared" si="119"/>
        <v>49</v>
      </c>
      <c r="L1030" s="13">
        <v>867.73</v>
      </c>
      <c r="M1030" s="15">
        <f t="shared" si="117"/>
        <v>874.64940087437265</v>
      </c>
      <c r="N1030" s="13">
        <v>867.73</v>
      </c>
      <c r="O1030" s="13">
        <v>0</v>
      </c>
      <c r="P1030" s="11">
        <f t="shared" si="116"/>
        <v>0</v>
      </c>
    </row>
    <row r="1031" spans="1:16" ht="18.75" customHeight="1" thickBot="1" x14ac:dyDescent="0.3">
      <c r="A1031" s="3" t="s">
        <v>11</v>
      </c>
      <c r="B1031" s="4">
        <v>431698</v>
      </c>
      <c r="C1031" s="3" t="s">
        <v>9</v>
      </c>
      <c r="D1031" s="18">
        <v>0.1</v>
      </c>
      <c r="E1031" s="21">
        <f t="shared" si="115"/>
        <v>7.9741404289037643E-3</v>
      </c>
      <c r="F1031" s="5">
        <v>37986</v>
      </c>
      <c r="G1031" s="5">
        <v>38352</v>
      </c>
      <c r="H1031" s="16">
        <f t="shared" si="118"/>
        <v>366</v>
      </c>
      <c r="I1031" s="5">
        <v>38352</v>
      </c>
      <c r="J1031" s="5">
        <v>38498</v>
      </c>
      <c r="K1031" s="16">
        <f t="shared" si="119"/>
        <v>512</v>
      </c>
      <c r="L1031" s="13">
        <v>2500</v>
      </c>
      <c r="M1031" s="15">
        <f t="shared" si="117"/>
        <v>215.86259995972006</v>
      </c>
      <c r="N1031" s="13">
        <v>2500</v>
      </c>
      <c r="O1031" s="13">
        <v>0</v>
      </c>
      <c r="P1031" s="11">
        <f t="shared" si="116"/>
        <v>0</v>
      </c>
    </row>
    <row r="1032" spans="1:16" ht="18.75" customHeight="1" thickBot="1" x14ac:dyDescent="0.3">
      <c r="A1032" s="3" t="s">
        <v>11</v>
      </c>
      <c r="B1032" s="4">
        <v>830065</v>
      </c>
      <c r="C1032" s="3" t="s">
        <v>9</v>
      </c>
      <c r="D1032" s="18">
        <v>0.1</v>
      </c>
      <c r="E1032" s="21">
        <f t="shared" si="115"/>
        <v>7.9741404289037643E-3</v>
      </c>
      <c r="F1032" s="5">
        <v>38001</v>
      </c>
      <c r="G1032" s="5">
        <v>39097</v>
      </c>
      <c r="H1032" s="16">
        <f t="shared" si="118"/>
        <v>1096</v>
      </c>
      <c r="I1032" s="5">
        <v>39097</v>
      </c>
      <c r="J1032" s="5">
        <v>38554</v>
      </c>
      <c r="K1032" s="16">
        <f t="shared" si="119"/>
        <v>553</v>
      </c>
      <c r="L1032" s="13">
        <v>5508.27</v>
      </c>
      <c r="M1032" s="15">
        <f t="shared" si="117"/>
        <v>174.39663517431754</v>
      </c>
      <c r="N1032" s="13">
        <v>5508.27</v>
      </c>
      <c r="O1032" s="13">
        <v>0</v>
      </c>
      <c r="P1032" s="11">
        <f t="shared" si="116"/>
        <v>0</v>
      </c>
    </row>
    <row r="1033" spans="1:16" ht="18.75" customHeight="1" thickBot="1" x14ac:dyDescent="0.3">
      <c r="A1033" s="3" t="s">
        <v>11</v>
      </c>
      <c r="B1033" s="4">
        <v>626592</v>
      </c>
      <c r="C1033" s="3" t="s">
        <v>9</v>
      </c>
      <c r="D1033" s="18">
        <v>0.1</v>
      </c>
      <c r="E1033" s="21">
        <f t="shared" si="115"/>
        <v>7.9741404289037643E-3</v>
      </c>
      <c r="F1033" s="5">
        <v>38006</v>
      </c>
      <c r="G1033" s="5">
        <v>39833</v>
      </c>
      <c r="H1033" s="16">
        <f t="shared" si="118"/>
        <v>1827</v>
      </c>
      <c r="I1033" s="5">
        <v>39833</v>
      </c>
      <c r="J1033" s="5">
        <v>40742</v>
      </c>
      <c r="K1033" s="16">
        <f t="shared" si="119"/>
        <v>2736</v>
      </c>
      <c r="L1033" s="13">
        <v>7600.83</v>
      </c>
      <c r="M1033" s="15">
        <f t="shared" si="117"/>
        <v>158.04399177105941</v>
      </c>
      <c r="N1033" s="13">
        <v>7600.83</v>
      </c>
      <c r="O1033" s="13">
        <v>0</v>
      </c>
      <c r="P1033" s="11">
        <f t="shared" si="116"/>
        <v>0</v>
      </c>
    </row>
    <row r="1034" spans="1:16" ht="18.75" hidden="1" customHeight="1" thickBot="1" x14ac:dyDescent="0.3">
      <c r="A1034" s="3" t="s">
        <v>11</v>
      </c>
      <c r="B1034" s="4">
        <v>480822</v>
      </c>
      <c r="C1034" s="3" t="s">
        <v>9</v>
      </c>
      <c r="D1034" s="18">
        <v>0.1</v>
      </c>
      <c r="E1034" s="21">
        <f t="shared" si="115"/>
        <v>7.9741404289037643E-3</v>
      </c>
      <c r="F1034" s="5">
        <v>38016</v>
      </c>
      <c r="G1034" s="5">
        <v>38382</v>
      </c>
      <c r="H1034" s="16">
        <f t="shared" si="118"/>
        <v>366</v>
      </c>
      <c r="I1034" s="5">
        <v>38382</v>
      </c>
      <c r="J1034" s="2"/>
      <c r="K1034" s="16">
        <f t="shared" si="119"/>
        <v>-38016</v>
      </c>
      <c r="L1034" s="13">
        <v>21000</v>
      </c>
      <c r="M1034" s="15">
        <f t="shared" si="117"/>
        <v>1813.2458396616485</v>
      </c>
      <c r="N1034" s="13">
        <v>21000</v>
      </c>
      <c r="O1034" s="13">
        <v>0</v>
      </c>
      <c r="P1034" s="11">
        <f t="shared" si="116"/>
        <v>0</v>
      </c>
    </row>
    <row r="1035" spans="1:16" ht="18.75" customHeight="1" thickBot="1" x14ac:dyDescent="0.3">
      <c r="A1035" s="3" t="s">
        <v>11</v>
      </c>
      <c r="B1035" s="4">
        <v>757155</v>
      </c>
      <c r="C1035" s="3" t="s">
        <v>9</v>
      </c>
      <c r="D1035" s="18">
        <v>0.105</v>
      </c>
      <c r="E1035" s="21">
        <f t="shared" si="115"/>
        <v>8.355155683635207E-3</v>
      </c>
      <c r="F1035" s="5">
        <v>38034</v>
      </c>
      <c r="G1035" s="5">
        <v>38765</v>
      </c>
      <c r="H1035" s="16">
        <f t="shared" si="118"/>
        <v>731</v>
      </c>
      <c r="I1035" s="5">
        <v>38765</v>
      </c>
      <c r="J1035" s="5">
        <v>38335</v>
      </c>
      <c r="K1035" s="16">
        <f t="shared" si="119"/>
        <v>301</v>
      </c>
      <c r="L1035" s="13">
        <v>5389.78</v>
      </c>
      <c r="M1035" s="15">
        <f t="shared" si="117"/>
        <v>245.39411239269054</v>
      </c>
      <c r="N1035" s="13">
        <v>5389.78</v>
      </c>
      <c r="O1035" s="13">
        <v>0</v>
      </c>
      <c r="P1035" s="11">
        <f t="shared" si="116"/>
        <v>0</v>
      </c>
    </row>
    <row r="1036" spans="1:16" ht="18.75" customHeight="1" thickBot="1" x14ac:dyDescent="0.3">
      <c r="A1036" s="3" t="s">
        <v>11</v>
      </c>
      <c r="B1036" s="4">
        <v>62625</v>
      </c>
      <c r="C1036" s="3" t="s">
        <v>9</v>
      </c>
      <c r="D1036" s="18">
        <v>0.1</v>
      </c>
      <c r="E1036" s="21">
        <f t="shared" si="115"/>
        <v>7.9741404289037643E-3</v>
      </c>
      <c r="F1036" s="5">
        <v>38037</v>
      </c>
      <c r="G1036" s="5">
        <v>38492</v>
      </c>
      <c r="H1036" s="16">
        <f t="shared" si="118"/>
        <v>455</v>
      </c>
      <c r="I1036" s="5">
        <v>38492</v>
      </c>
      <c r="J1036" s="5">
        <v>38492</v>
      </c>
      <c r="K1036" s="16">
        <f t="shared" si="119"/>
        <v>455</v>
      </c>
      <c r="L1036" s="13">
        <v>174.82</v>
      </c>
      <c r="M1036" s="15">
        <f t="shared" si="117"/>
        <v>12.283500141461134</v>
      </c>
      <c r="N1036" s="13">
        <v>174.82</v>
      </c>
      <c r="O1036" s="13">
        <v>0</v>
      </c>
      <c r="P1036" s="11">
        <f t="shared" si="116"/>
        <v>0</v>
      </c>
    </row>
    <row r="1037" spans="1:16" ht="18.75" customHeight="1" thickBot="1" x14ac:dyDescent="0.3">
      <c r="A1037" s="3" t="s">
        <v>11</v>
      </c>
      <c r="B1037" s="4">
        <v>350956</v>
      </c>
      <c r="C1037" s="3" t="s">
        <v>9</v>
      </c>
      <c r="D1037" s="18">
        <v>0.1</v>
      </c>
      <c r="E1037" s="21">
        <f t="shared" si="115"/>
        <v>7.9741404289037643E-3</v>
      </c>
      <c r="F1037" s="5">
        <v>38040</v>
      </c>
      <c r="G1037" s="5">
        <v>39409</v>
      </c>
      <c r="H1037" s="16">
        <f t="shared" si="118"/>
        <v>1369</v>
      </c>
      <c r="I1037" s="5">
        <v>39409</v>
      </c>
      <c r="J1037" s="5">
        <v>41103</v>
      </c>
      <c r="K1037" s="16">
        <f t="shared" si="119"/>
        <v>3063</v>
      </c>
      <c r="L1037" s="13">
        <v>13809.62</v>
      </c>
      <c r="M1037" s="15">
        <f t="shared" si="117"/>
        <v>362.20498796961647</v>
      </c>
      <c r="N1037" s="13">
        <v>13809.62</v>
      </c>
      <c r="O1037" s="13">
        <v>0</v>
      </c>
      <c r="P1037" s="11">
        <f t="shared" si="116"/>
        <v>0</v>
      </c>
    </row>
    <row r="1038" spans="1:16" ht="18.75" customHeight="1" thickBot="1" x14ac:dyDescent="0.3">
      <c r="A1038" s="3" t="s">
        <v>11</v>
      </c>
      <c r="B1038" s="4">
        <v>819320</v>
      </c>
      <c r="C1038" s="3" t="s">
        <v>9</v>
      </c>
      <c r="D1038" s="18">
        <v>9.5000000000000001E-2</v>
      </c>
      <c r="E1038" s="21">
        <f t="shared" si="115"/>
        <v>7.5915342905825689E-3</v>
      </c>
      <c r="F1038" s="5">
        <v>38058</v>
      </c>
      <c r="G1038" s="5">
        <v>38306</v>
      </c>
      <c r="H1038" s="16">
        <f t="shared" si="118"/>
        <v>248</v>
      </c>
      <c r="I1038" s="5">
        <v>38306</v>
      </c>
      <c r="J1038" s="5">
        <v>41400</v>
      </c>
      <c r="K1038" s="16">
        <f t="shared" si="119"/>
        <v>3342</v>
      </c>
      <c r="L1038" s="13">
        <v>6324.01</v>
      </c>
      <c r="M1038" s="15">
        <f t="shared" si="117"/>
        <v>792.15589435929758</v>
      </c>
      <c r="N1038" s="13">
        <v>6324.01</v>
      </c>
      <c r="O1038" s="13">
        <v>0</v>
      </c>
      <c r="P1038" s="11">
        <f t="shared" si="116"/>
        <v>0</v>
      </c>
    </row>
    <row r="1039" spans="1:16" ht="18.75" customHeight="1" thickBot="1" x14ac:dyDescent="0.3">
      <c r="A1039" s="3" t="s">
        <v>11</v>
      </c>
      <c r="B1039" s="4">
        <v>313994</v>
      </c>
      <c r="C1039" s="3" t="s">
        <v>2</v>
      </c>
      <c r="D1039" s="18">
        <v>0.09</v>
      </c>
      <c r="E1039" s="21">
        <f t="shared" si="115"/>
        <v>7.2073233161367156E-3</v>
      </c>
      <c r="F1039" s="5">
        <v>38068</v>
      </c>
      <c r="G1039" s="5">
        <v>38433</v>
      </c>
      <c r="H1039" s="16">
        <f t="shared" si="118"/>
        <v>365</v>
      </c>
      <c r="I1039" s="5">
        <v>43921</v>
      </c>
      <c r="J1039" s="5">
        <v>44011</v>
      </c>
      <c r="K1039" s="16">
        <f t="shared" si="119"/>
        <v>5943</v>
      </c>
      <c r="L1039" s="13">
        <v>125000</v>
      </c>
      <c r="M1039" s="15">
        <f t="shared" si="117"/>
        <v>10767.968843268784</v>
      </c>
      <c r="N1039" s="13">
        <v>11700</v>
      </c>
      <c r="O1039" s="13">
        <v>0</v>
      </c>
      <c r="P1039" s="11">
        <f t="shared" si="116"/>
        <v>0</v>
      </c>
    </row>
    <row r="1040" spans="1:16" ht="18.75" customHeight="1" thickBot="1" x14ac:dyDescent="0.3">
      <c r="A1040" s="3" t="s">
        <v>11</v>
      </c>
      <c r="B1040" s="4">
        <v>573129</v>
      </c>
      <c r="C1040" s="3" t="s">
        <v>9</v>
      </c>
      <c r="D1040" s="18">
        <v>0.105</v>
      </c>
      <c r="E1040" s="21">
        <f t="shared" si="115"/>
        <v>8.355155683635207E-3</v>
      </c>
      <c r="F1040" s="5">
        <v>38075</v>
      </c>
      <c r="G1040" s="5">
        <v>38607</v>
      </c>
      <c r="H1040" s="16">
        <f t="shared" si="118"/>
        <v>532</v>
      </c>
      <c r="I1040" s="5">
        <v>38607</v>
      </c>
      <c r="J1040" s="5">
        <v>40238</v>
      </c>
      <c r="K1040" s="16">
        <f t="shared" si="119"/>
        <v>2163</v>
      </c>
      <c r="L1040" s="13">
        <v>1733.86</v>
      </c>
      <c r="M1040" s="15">
        <f t="shared" si="117"/>
        <v>105.60334772801197</v>
      </c>
      <c r="N1040" s="13">
        <v>1733.86</v>
      </c>
      <c r="O1040" s="13">
        <v>0</v>
      </c>
      <c r="P1040" s="11">
        <f t="shared" si="116"/>
        <v>0</v>
      </c>
    </row>
    <row r="1041" spans="1:16" ht="18.75" hidden="1" customHeight="1" thickBot="1" x14ac:dyDescent="0.3">
      <c r="A1041" s="3" t="s">
        <v>11</v>
      </c>
      <c r="B1041" s="4">
        <v>109875</v>
      </c>
      <c r="C1041" s="3" t="s">
        <v>9</v>
      </c>
      <c r="D1041" s="18">
        <v>0.09</v>
      </c>
      <c r="E1041" s="21">
        <f t="shared" si="115"/>
        <v>7.2073233161367156E-3</v>
      </c>
      <c r="F1041" s="5">
        <v>38082</v>
      </c>
      <c r="G1041" s="5">
        <v>38447</v>
      </c>
      <c r="H1041" s="16">
        <f t="shared" si="118"/>
        <v>365</v>
      </c>
      <c r="I1041" s="5">
        <v>38447</v>
      </c>
      <c r="J1041" s="2"/>
      <c r="K1041" s="16">
        <f t="shared" si="119"/>
        <v>-38082</v>
      </c>
      <c r="L1041" s="13">
        <v>14000</v>
      </c>
      <c r="M1041" s="15">
        <f t="shared" si="117"/>
        <v>1206.0125104461038</v>
      </c>
      <c r="N1041" s="13">
        <v>14000</v>
      </c>
      <c r="O1041" s="13">
        <v>0</v>
      </c>
      <c r="P1041" s="11">
        <f t="shared" si="116"/>
        <v>0</v>
      </c>
    </row>
    <row r="1042" spans="1:16" ht="18.75" customHeight="1" thickBot="1" x14ac:dyDescent="0.3">
      <c r="A1042" s="3" t="s">
        <v>11</v>
      </c>
      <c r="B1042" s="4">
        <v>195812</v>
      </c>
      <c r="C1042" s="3" t="s">
        <v>9</v>
      </c>
      <c r="D1042" s="18">
        <v>0.1</v>
      </c>
      <c r="E1042" s="21">
        <f t="shared" ref="E1042:E1105" si="120">(1+D1042)^(1/12)-1</f>
        <v>7.9741404289037643E-3</v>
      </c>
      <c r="F1042" s="5">
        <v>38092</v>
      </c>
      <c r="G1042" s="5">
        <v>39553</v>
      </c>
      <c r="H1042" s="16">
        <f t="shared" si="118"/>
        <v>1461</v>
      </c>
      <c r="I1042" s="5">
        <v>39553</v>
      </c>
      <c r="J1042" s="5">
        <v>38572</v>
      </c>
      <c r="K1042" s="16">
        <f t="shared" si="119"/>
        <v>480</v>
      </c>
      <c r="L1042" s="13">
        <v>4669.78</v>
      </c>
      <c r="M1042" s="15">
        <f t="shared" si="117"/>
        <v>116.0865632763805</v>
      </c>
      <c r="N1042" s="13">
        <v>4669.78</v>
      </c>
      <c r="O1042" s="13">
        <v>0</v>
      </c>
      <c r="P1042" s="11">
        <f t="shared" ref="P1042:P1105" si="121">IF((G1042)&gt;(ConstantDateCutoff),1,0)</f>
        <v>0</v>
      </c>
    </row>
    <row r="1043" spans="1:16" ht="18.75" customHeight="1" thickBot="1" x14ac:dyDescent="0.3">
      <c r="A1043" s="3" t="s">
        <v>11</v>
      </c>
      <c r="B1043" s="4">
        <v>203262</v>
      </c>
      <c r="C1043" s="3" t="s">
        <v>9</v>
      </c>
      <c r="D1043" s="18">
        <v>0.11</v>
      </c>
      <c r="E1043" s="21">
        <f t="shared" si="120"/>
        <v>8.7345938235519061E-3</v>
      </c>
      <c r="F1043" s="5">
        <v>38099</v>
      </c>
      <c r="G1043" s="5">
        <v>38464</v>
      </c>
      <c r="H1043" s="16">
        <f t="shared" si="118"/>
        <v>365</v>
      </c>
      <c r="I1043" s="5">
        <v>38464</v>
      </c>
      <c r="J1043" s="5">
        <v>41249</v>
      </c>
      <c r="K1043" s="16">
        <f t="shared" si="119"/>
        <v>3150</v>
      </c>
      <c r="L1043" s="13">
        <v>1000</v>
      </c>
      <c r="M1043" s="15">
        <f t="shared" si="117"/>
        <v>86.994515879086876</v>
      </c>
      <c r="N1043" s="13">
        <v>1000</v>
      </c>
      <c r="O1043" s="13">
        <v>0</v>
      </c>
      <c r="P1043" s="11">
        <f t="shared" si="121"/>
        <v>0</v>
      </c>
    </row>
    <row r="1044" spans="1:16" ht="18.75" customHeight="1" thickBot="1" x14ac:dyDescent="0.3">
      <c r="A1044" s="3" t="s">
        <v>11</v>
      </c>
      <c r="B1044" s="4">
        <v>641110</v>
      </c>
      <c r="C1044" s="3" t="s">
        <v>9</v>
      </c>
      <c r="D1044" s="18">
        <v>0.1</v>
      </c>
      <c r="E1044" s="21">
        <f t="shared" si="120"/>
        <v>7.9741404289037643E-3</v>
      </c>
      <c r="F1044" s="5">
        <v>38100</v>
      </c>
      <c r="G1044" s="5">
        <v>38465</v>
      </c>
      <c r="H1044" s="16">
        <f t="shared" si="118"/>
        <v>365</v>
      </c>
      <c r="I1044" s="5">
        <v>38465</v>
      </c>
      <c r="J1044" s="5">
        <v>38184</v>
      </c>
      <c r="K1044" s="16">
        <f t="shared" si="119"/>
        <v>84</v>
      </c>
      <c r="L1044" s="13">
        <v>1489.45</v>
      </c>
      <c r="M1044" s="15">
        <f t="shared" si="117"/>
        <v>128.94217209876581</v>
      </c>
      <c r="N1044" s="13">
        <v>1489.45</v>
      </c>
      <c r="O1044" s="13">
        <v>0</v>
      </c>
      <c r="P1044" s="11">
        <f t="shared" si="121"/>
        <v>0</v>
      </c>
    </row>
    <row r="1045" spans="1:16" ht="18.75" customHeight="1" thickBot="1" x14ac:dyDescent="0.3">
      <c r="A1045" s="3" t="s">
        <v>11</v>
      </c>
      <c r="B1045" s="4">
        <v>669418</v>
      </c>
      <c r="C1045" s="3" t="s">
        <v>9</v>
      </c>
      <c r="D1045" s="18">
        <v>9.5000000000000001E-2</v>
      </c>
      <c r="E1045" s="21">
        <f t="shared" si="120"/>
        <v>7.5915342905825689E-3</v>
      </c>
      <c r="F1045" s="5">
        <v>38106</v>
      </c>
      <c r="G1045" s="5">
        <v>39934</v>
      </c>
      <c r="H1045" s="16">
        <f t="shared" si="118"/>
        <v>1828</v>
      </c>
      <c r="I1045" s="5">
        <v>39934</v>
      </c>
      <c r="J1045" s="5">
        <v>38596</v>
      </c>
      <c r="K1045" s="16">
        <f t="shared" si="119"/>
        <v>490</v>
      </c>
      <c r="L1045" s="13">
        <v>15000</v>
      </c>
      <c r="M1045" s="15">
        <f t="shared" si="117"/>
        <v>308.3980273180951</v>
      </c>
      <c r="N1045" s="13">
        <v>15000</v>
      </c>
      <c r="O1045" s="13">
        <v>0</v>
      </c>
      <c r="P1045" s="11">
        <f t="shared" si="121"/>
        <v>0</v>
      </c>
    </row>
    <row r="1046" spans="1:16" ht="18.75" customHeight="1" thickBot="1" x14ac:dyDescent="0.3">
      <c r="A1046" s="3" t="s">
        <v>11</v>
      </c>
      <c r="B1046" s="4">
        <v>618421</v>
      </c>
      <c r="C1046" s="3" t="s">
        <v>9</v>
      </c>
      <c r="D1046" s="18">
        <v>9.5000000000000001E-2</v>
      </c>
      <c r="E1046" s="21">
        <f t="shared" si="120"/>
        <v>7.5915342905825689E-3</v>
      </c>
      <c r="F1046" s="5">
        <v>38113</v>
      </c>
      <c r="G1046" s="5">
        <v>38306</v>
      </c>
      <c r="H1046" s="16">
        <f t="shared" si="118"/>
        <v>193</v>
      </c>
      <c r="I1046" s="5">
        <v>38306</v>
      </c>
      <c r="J1046" s="5">
        <v>38498</v>
      </c>
      <c r="K1046" s="16">
        <f t="shared" si="119"/>
        <v>385</v>
      </c>
      <c r="L1046" s="13">
        <v>5000</v>
      </c>
      <c r="M1046" s="15">
        <f t="shared" si="117"/>
        <v>799.28116249842151</v>
      </c>
      <c r="N1046" s="13">
        <v>5000</v>
      </c>
      <c r="O1046" s="13">
        <v>0</v>
      </c>
      <c r="P1046" s="11">
        <f t="shared" si="121"/>
        <v>0</v>
      </c>
    </row>
    <row r="1047" spans="1:16" ht="18.75" customHeight="1" thickBot="1" x14ac:dyDescent="0.3">
      <c r="A1047" s="3" t="s">
        <v>11</v>
      </c>
      <c r="B1047" s="4">
        <v>292874</v>
      </c>
      <c r="C1047" s="3" t="s">
        <v>9</v>
      </c>
      <c r="D1047" s="18">
        <v>0.1</v>
      </c>
      <c r="E1047" s="21">
        <f t="shared" si="120"/>
        <v>7.9741404289037643E-3</v>
      </c>
      <c r="F1047" s="5">
        <v>38113</v>
      </c>
      <c r="G1047" s="5">
        <v>39208</v>
      </c>
      <c r="H1047" s="16">
        <f t="shared" si="118"/>
        <v>1095</v>
      </c>
      <c r="I1047" s="5">
        <v>39208</v>
      </c>
      <c r="J1047" s="5">
        <v>38420</v>
      </c>
      <c r="K1047" s="16">
        <f t="shared" si="119"/>
        <v>307</v>
      </c>
      <c r="L1047" s="13">
        <v>3633.02</v>
      </c>
      <c r="M1047" s="15">
        <f t="shared" si="117"/>
        <v>115.11512522858814</v>
      </c>
      <c r="N1047" s="13">
        <v>3633.02</v>
      </c>
      <c r="O1047" s="13">
        <v>0</v>
      </c>
      <c r="P1047" s="11">
        <f t="shared" si="121"/>
        <v>0</v>
      </c>
    </row>
    <row r="1048" spans="1:16" ht="18.75" hidden="1" customHeight="1" thickBot="1" x14ac:dyDescent="0.3">
      <c r="A1048" s="3" t="s">
        <v>11</v>
      </c>
      <c r="B1048" s="4">
        <v>535199</v>
      </c>
      <c r="C1048" s="3" t="s">
        <v>9</v>
      </c>
      <c r="D1048" s="18">
        <v>0.12</v>
      </c>
      <c r="E1048" s="21">
        <f t="shared" si="120"/>
        <v>9.4887929345830457E-3</v>
      </c>
      <c r="F1048" s="5">
        <v>38117</v>
      </c>
      <c r="G1048" s="5">
        <v>38301</v>
      </c>
      <c r="H1048" s="16">
        <f t="shared" si="118"/>
        <v>184</v>
      </c>
      <c r="I1048" s="5">
        <v>38301</v>
      </c>
      <c r="J1048" s="2"/>
      <c r="K1048" s="16">
        <f t="shared" si="119"/>
        <v>-38117</v>
      </c>
      <c r="L1048" s="13">
        <v>475</v>
      </c>
      <c r="M1048" s="15">
        <f t="shared" si="117"/>
        <v>80.087849788736605</v>
      </c>
      <c r="N1048" s="13">
        <v>475</v>
      </c>
      <c r="O1048" s="13">
        <v>170</v>
      </c>
      <c r="P1048" s="11">
        <f t="shared" si="121"/>
        <v>0</v>
      </c>
    </row>
    <row r="1049" spans="1:16" ht="18.75" customHeight="1" thickBot="1" x14ac:dyDescent="0.3">
      <c r="A1049" s="3" t="s">
        <v>11</v>
      </c>
      <c r="B1049" s="4">
        <v>810416</v>
      </c>
      <c r="C1049" s="3" t="s">
        <v>9</v>
      </c>
      <c r="D1049" s="18">
        <v>0.11</v>
      </c>
      <c r="E1049" s="21">
        <f t="shared" si="120"/>
        <v>8.7345938235519061E-3</v>
      </c>
      <c r="F1049" s="5">
        <v>38117</v>
      </c>
      <c r="G1049" s="5">
        <v>38421</v>
      </c>
      <c r="H1049" s="16">
        <f t="shared" si="118"/>
        <v>304</v>
      </c>
      <c r="I1049" s="5">
        <v>38421</v>
      </c>
      <c r="J1049" s="5">
        <v>38363</v>
      </c>
      <c r="K1049" s="16">
        <f t="shared" si="119"/>
        <v>246</v>
      </c>
      <c r="L1049" s="13">
        <v>482.91</v>
      </c>
      <c r="M1049" s="15">
        <f t="shared" si="117"/>
        <v>50.003400439860094</v>
      </c>
      <c r="N1049" s="13">
        <v>482.91</v>
      </c>
      <c r="O1049" s="13">
        <v>0</v>
      </c>
      <c r="P1049" s="11">
        <f t="shared" si="121"/>
        <v>0</v>
      </c>
    </row>
    <row r="1050" spans="1:16" ht="18.75" customHeight="1" thickBot="1" x14ac:dyDescent="0.3">
      <c r="A1050" s="3" t="s">
        <v>11</v>
      </c>
      <c r="B1050" s="4">
        <v>588599</v>
      </c>
      <c r="C1050" s="3" t="s">
        <v>9</v>
      </c>
      <c r="D1050" s="18">
        <v>0.1075</v>
      </c>
      <c r="E1050" s="21">
        <f t="shared" si="120"/>
        <v>8.5450710394860963E-3</v>
      </c>
      <c r="F1050" s="5">
        <v>38114</v>
      </c>
      <c r="G1050" s="5">
        <v>40063</v>
      </c>
      <c r="H1050" s="16">
        <f t="shared" si="118"/>
        <v>1949</v>
      </c>
      <c r="I1050" s="5">
        <v>40063</v>
      </c>
      <c r="J1050" s="5">
        <v>38421</v>
      </c>
      <c r="K1050" s="16">
        <f t="shared" si="119"/>
        <v>307</v>
      </c>
      <c r="L1050" s="13">
        <v>44.51</v>
      </c>
      <c r="M1050" s="15">
        <f t="shared" si="117"/>
        <v>0.8956462094141262</v>
      </c>
      <c r="N1050" s="13">
        <v>44.51</v>
      </c>
      <c r="O1050" s="13">
        <v>0</v>
      </c>
      <c r="P1050" s="11">
        <f t="shared" si="121"/>
        <v>0</v>
      </c>
    </row>
    <row r="1051" spans="1:16" ht="18.75" customHeight="1" thickBot="1" x14ac:dyDescent="0.3">
      <c r="A1051" s="3" t="s">
        <v>11</v>
      </c>
      <c r="B1051" s="4">
        <v>51869</v>
      </c>
      <c r="C1051" s="3" t="s">
        <v>9</v>
      </c>
      <c r="D1051" s="18">
        <v>0.1</v>
      </c>
      <c r="E1051" s="21">
        <f t="shared" si="120"/>
        <v>7.9741404289037643E-3</v>
      </c>
      <c r="F1051" s="5">
        <v>38127</v>
      </c>
      <c r="G1051" s="5">
        <v>38513</v>
      </c>
      <c r="H1051" s="16">
        <f t="shared" si="118"/>
        <v>386</v>
      </c>
      <c r="I1051" s="5">
        <v>38513</v>
      </c>
      <c r="J1051" s="5">
        <v>38498</v>
      </c>
      <c r="K1051" s="16">
        <f t="shared" si="119"/>
        <v>371</v>
      </c>
      <c r="L1051" s="13">
        <v>2109.63</v>
      </c>
      <c r="M1051" s="15">
        <f t="shared" si="117"/>
        <v>173.16821967534406</v>
      </c>
      <c r="N1051" s="13">
        <v>2109.63</v>
      </c>
      <c r="O1051" s="13">
        <v>0</v>
      </c>
      <c r="P1051" s="11">
        <f t="shared" si="121"/>
        <v>0</v>
      </c>
    </row>
    <row r="1052" spans="1:16" ht="18.75" customHeight="1" thickBot="1" x14ac:dyDescent="0.3">
      <c r="A1052" s="3" t="s">
        <v>11</v>
      </c>
      <c r="B1052" s="4">
        <v>938106</v>
      </c>
      <c r="C1052" s="3" t="s">
        <v>9</v>
      </c>
      <c r="D1052" s="18">
        <v>0.11</v>
      </c>
      <c r="E1052" s="21">
        <f t="shared" si="120"/>
        <v>8.7345938235519061E-3</v>
      </c>
      <c r="F1052" s="5">
        <v>38134</v>
      </c>
      <c r="G1052" s="5">
        <v>39048</v>
      </c>
      <c r="H1052" s="16">
        <f t="shared" si="118"/>
        <v>914</v>
      </c>
      <c r="I1052" s="5">
        <v>39048</v>
      </c>
      <c r="J1052" s="5">
        <v>38498</v>
      </c>
      <c r="K1052" s="16">
        <f t="shared" si="119"/>
        <v>364</v>
      </c>
      <c r="L1052" s="13">
        <v>3360.96</v>
      </c>
      <c r="M1052" s="15">
        <f t="shared" si="117"/>
        <v>126.12280158510873</v>
      </c>
      <c r="N1052" s="13">
        <v>3360.96</v>
      </c>
      <c r="O1052" s="13">
        <v>0</v>
      </c>
      <c r="P1052" s="11">
        <f t="shared" si="121"/>
        <v>0</v>
      </c>
    </row>
    <row r="1053" spans="1:16" ht="18.75" customHeight="1" thickBot="1" x14ac:dyDescent="0.3">
      <c r="A1053" s="3" t="s">
        <v>11</v>
      </c>
      <c r="B1053" s="4">
        <v>793988</v>
      </c>
      <c r="C1053" s="3" t="s">
        <v>9</v>
      </c>
      <c r="D1053" s="18">
        <v>0.105</v>
      </c>
      <c r="E1053" s="21">
        <f t="shared" si="120"/>
        <v>8.355155683635207E-3</v>
      </c>
      <c r="F1053" s="5">
        <v>38135</v>
      </c>
      <c r="G1053" s="5">
        <v>39230</v>
      </c>
      <c r="H1053" s="16">
        <f t="shared" si="118"/>
        <v>1095</v>
      </c>
      <c r="I1053" s="5">
        <v>39230</v>
      </c>
      <c r="J1053" s="5">
        <v>38861</v>
      </c>
      <c r="K1053" s="16">
        <f t="shared" si="119"/>
        <v>726</v>
      </c>
      <c r="L1053" s="13">
        <v>1387.81</v>
      </c>
      <c r="M1053" s="15">
        <f t="shared" si="117"/>
        <v>44.271502180084688</v>
      </c>
      <c r="N1053" s="13">
        <v>1387.81</v>
      </c>
      <c r="O1053" s="13">
        <v>0</v>
      </c>
      <c r="P1053" s="11">
        <f t="shared" si="121"/>
        <v>0</v>
      </c>
    </row>
    <row r="1054" spans="1:16" ht="18.75" hidden="1" customHeight="1" thickBot="1" x14ac:dyDescent="0.3">
      <c r="A1054" s="3" t="s">
        <v>11</v>
      </c>
      <c r="B1054" s="4">
        <v>529378</v>
      </c>
      <c r="C1054" s="3" t="s">
        <v>9</v>
      </c>
      <c r="D1054" s="18">
        <v>0.1</v>
      </c>
      <c r="E1054" s="21">
        <f t="shared" si="120"/>
        <v>7.9741404289037643E-3</v>
      </c>
      <c r="F1054" s="5">
        <v>38149</v>
      </c>
      <c r="G1054" s="5">
        <v>38514</v>
      </c>
      <c r="H1054" s="16">
        <f t="shared" si="118"/>
        <v>365</v>
      </c>
      <c r="I1054" s="5">
        <v>38514</v>
      </c>
      <c r="J1054" s="2"/>
      <c r="K1054" s="16">
        <f t="shared" si="119"/>
        <v>-38149</v>
      </c>
      <c r="L1054" s="13">
        <v>2000</v>
      </c>
      <c r="M1054" s="15">
        <f t="shared" si="117"/>
        <v>173.14065205111393</v>
      </c>
      <c r="N1054" s="13">
        <v>2000</v>
      </c>
      <c r="O1054" s="13">
        <v>0</v>
      </c>
      <c r="P1054" s="11">
        <f t="shared" si="121"/>
        <v>0</v>
      </c>
    </row>
    <row r="1055" spans="1:16" ht="18.75" customHeight="1" thickBot="1" x14ac:dyDescent="0.3">
      <c r="A1055" s="3" t="s">
        <v>11</v>
      </c>
      <c r="B1055" s="4">
        <v>656343</v>
      </c>
      <c r="C1055" s="3" t="s">
        <v>9</v>
      </c>
      <c r="D1055" s="18">
        <v>0.1</v>
      </c>
      <c r="E1055" s="21">
        <f t="shared" si="120"/>
        <v>7.9741404289037643E-3</v>
      </c>
      <c r="F1055" s="5">
        <v>38159</v>
      </c>
      <c r="G1055" s="5">
        <v>40168</v>
      </c>
      <c r="H1055" s="16">
        <f t="shared" si="118"/>
        <v>2009</v>
      </c>
      <c r="I1055" s="5">
        <v>40168</v>
      </c>
      <c r="J1055" s="5">
        <v>38657</v>
      </c>
      <c r="K1055" s="16">
        <f t="shared" si="119"/>
        <v>498</v>
      </c>
      <c r="L1055" s="13">
        <v>19097.599999999999</v>
      </c>
      <c r="M1055" s="15">
        <f t="shared" si="117"/>
        <v>369.17798892252529</v>
      </c>
      <c r="N1055" s="13">
        <v>19097.599999999999</v>
      </c>
      <c r="O1055" s="13">
        <v>0</v>
      </c>
      <c r="P1055" s="11">
        <f t="shared" si="121"/>
        <v>0</v>
      </c>
    </row>
    <row r="1056" spans="1:16" ht="18.75" customHeight="1" thickBot="1" x14ac:dyDescent="0.3">
      <c r="A1056" s="3" t="s">
        <v>11</v>
      </c>
      <c r="B1056" s="4">
        <v>848075</v>
      </c>
      <c r="C1056" s="3" t="s">
        <v>9</v>
      </c>
      <c r="D1056" s="18">
        <v>0.12</v>
      </c>
      <c r="E1056" s="21">
        <f t="shared" si="120"/>
        <v>9.4887929345830457E-3</v>
      </c>
      <c r="F1056" s="5">
        <v>38170</v>
      </c>
      <c r="G1056" s="5">
        <v>39204</v>
      </c>
      <c r="H1056" s="16">
        <f t="shared" si="118"/>
        <v>1034</v>
      </c>
      <c r="I1056" s="5">
        <v>39204</v>
      </c>
      <c r="J1056" s="5">
        <v>38708</v>
      </c>
      <c r="K1056" s="16">
        <f t="shared" si="119"/>
        <v>538</v>
      </c>
      <c r="L1056" s="13">
        <v>4280.4799999999996</v>
      </c>
      <c r="M1056" s="15">
        <f t="shared" si="117"/>
        <v>146.18826025695617</v>
      </c>
      <c r="N1056" s="13">
        <v>4280.4799999999996</v>
      </c>
      <c r="O1056" s="13">
        <v>0</v>
      </c>
      <c r="P1056" s="11">
        <f t="shared" si="121"/>
        <v>0</v>
      </c>
    </row>
    <row r="1057" spans="1:16" ht="18.75" customHeight="1" thickBot="1" x14ac:dyDescent="0.3">
      <c r="A1057" s="3" t="s">
        <v>11</v>
      </c>
      <c r="B1057" s="4">
        <v>977188</v>
      </c>
      <c r="C1057" s="3" t="s">
        <v>9</v>
      </c>
      <c r="D1057" s="18">
        <v>0.11</v>
      </c>
      <c r="E1057" s="21">
        <f t="shared" si="120"/>
        <v>8.7345938235519061E-3</v>
      </c>
      <c r="F1057" s="5">
        <v>38188</v>
      </c>
      <c r="G1057" s="5">
        <v>39283</v>
      </c>
      <c r="H1057" s="16">
        <f t="shared" si="118"/>
        <v>1095</v>
      </c>
      <c r="I1057" s="5">
        <v>39283</v>
      </c>
      <c r="J1057" s="5">
        <v>38419</v>
      </c>
      <c r="K1057" s="16">
        <f t="shared" si="119"/>
        <v>231</v>
      </c>
      <c r="L1057" s="13">
        <v>12677.12</v>
      </c>
      <c r="M1057" s="15">
        <f t="shared" si="117"/>
        <v>407.12189686116</v>
      </c>
      <c r="N1057" s="13">
        <v>12677.12</v>
      </c>
      <c r="O1057" s="13">
        <v>0</v>
      </c>
      <c r="P1057" s="11">
        <f t="shared" si="121"/>
        <v>0</v>
      </c>
    </row>
    <row r="1058" spans="1:16" ht="18.75" customHeight="1" thickBot="1" x14ac:dyDescent="0.3">
      <c r="A1058" s="3" t="s">
        <v>11</v>
      </c>
      <c r="B1058" s="4">
        <v>850422</v>
      </c>
      <c r="C1058" s="3" t="s">
        <v>9</v>
      </c>
      <c r="D1058" s="18">
        <v>0.1</v>
      </c>
      <c r="E1058" s="21">
        <f t="shared" si="120"/>
        <v>7.9741404289037643E-3</v>
      </c>
      <c r="F1058" s="5">
        <v>38201</v>
      </c>
      <c r="G1058" s="5">
        <v>40030</v>
      </c>
      <c r="H1058" s="16">
        <f t="shared" si="118"/>
        <v>1829</v>
      </c>
      <c r="I1058" s="5">
        <v>40030</v>
      </c>
      <c r="J1058" s="5">
        <v>40897</v>
      </c>
      <c r="K1058" s="16">
        <f t="shared" si="119"/>
        <v>2696</v>
      </c>
      <c r="L1058" s="13">
        <v>5193.8900000000003</v>
      </c>
      <c r="M1058" s="15">
        <f t="shared" si="117"/>
        <v>107.90468514745075</v>
      </c>
      <c r="N1058" s="13">
        <v>5193.8900000000003</v>
      </c>
      <c r="O1058" s="13">
        <v>0</v>
      </c>
      <c r="P1058" s="11">
        <f t="shared" si="121"/>
        <v>0</v>
      </c>
    </row>
    <row r="1059" spans="1:16" ht="18.75" customHeight="1" thickBot="1" x14ac:dyDescent="0.3">
      <c r="A1059" s="3" t="s">
        <v>11</v>
      </c>
      <c r="B1059" s="4">
        <v>738495</v>
      </c>
      <c r="C1059" s="3" t="s">
        <v>9</v>
      </c>
      <c r="D1059" s="18">
        <v>0.1</v>
      </c>
      <c r="E1059" s="21">
        <f t="shared" si="120"/>
        <v>7.9741404289037643E-3</v>
      </c>
      <c r="F1059" s="5">
        <v>38205</v>
      </c>
      <c r="G1059" s="5">
        <v>38662</v>
      </c>
      <c r="H1059" s="16">
        <f t="shared" si="118"/>
        <v>457</v>
      </c>
      <c r="I1059" s="5">
        <v>38662</v>
      </c>
      <c r="J1059" s="5">
        <v>38356</v>
      </c>
      <c r="K1059" s="16">
        <f t="shared" si="119"/>
        <v>151</v>
      </c>
      <c r="L1059" s="13">
        <v>2350.08</v>
      </c>
      <c r="M1059" s="15">
        <f t="shared" si="117"/>
        <v>164.44532410044783</v>
      </c>
      <c r="N1059" s="13">
        <v>2350.08</v>
      </c>
      <c r="O1059" s="13">
        <v>0</v>
      </c>
      <c r="P1059" s="11">
        <f t="shared" si="121"/>
        <v>0</v>
      </c>
    </row>
    <row r="1060" spans="1:16" ht="18.75" customHeight="1" thickBot="1" x14ac:dyDescent="0.3">
      <c r="A1060" s="3" t="s">
        <v>11</v>
      </c>
      <c r="B1060" s="4">
        <v>75932</v>
      </c>
      <c r="C1060" s="3" t="s">
        <v>9</v>
      </c>
      <c r="D1060" s="18">
        <v>0.1</v>
      </c>
      <c r="E1060" s="21">
        <f t="shared" si="120"/>
        <v>7.9741404289037643E-3</v>
      </c>
      <c r="F1060" s="5">
        <v>38232</v>
      </c>
      <c r="G1060" s="5">
        <v>39887</v>
      </c>
      <c r="H1060" s="16">
        <f t="shared" si="118"/>
        <v>1655</v>
      </c>
      <c r="I1060" s="5">
        <v>39887</v>
      </c>
      <c r="J1060" s="5">
        <v>42248</v>
      </c>
      <c r="K1060" s="16">
        <f t="shared" si="119"/>
        <v>4016</v>
      </c>
      <c r="L1060" s="13">
        <v>691</v>
      </c>
      <c r="M1060" s="15">
        <f t="shared" si="117"/>
        <v>15.531173290972614</v>
      </c>
      <c r="N1060" s="13">
        <v>691</v>
      </c>
      <c r="O1060" s="13">
        <v>0</v>
      </c>
      <c r="P1060" s="11">
        <f t="shared" si="121"/>
        <v>0</v>
      </c>
    </row>
    <row r="1061" spans="1:16" ht="18.75" customHeight="1" thickBot="1" x14ac:dyDescent="0.3">
      <c r="A1061" s="3" t="s">
        <v>11</v>
      </c>
      <c r="B1061" s="4">
        <v>19677</v>
      </c>
      <c r="C1061" s="3" t="s">
        <v>9</v>
      </c>
      <c r="D1061" s="18">
        <v>0.11</v>
      </c>
      <c r="E1061" s="21">
        <f t="shared" si="120"/>
        <v>8.7345938235519061E-3</v>
      </c>
      <c r="F1061" s="5">
        <v>38273</v>
      </c>
      <c r="G1061" s="5">
        <v>39551</v>
      </c>
      <c r="H1061" s="16">
        <f t="shared" si="118"/>
        <v>1278</v>
      </c>
      <c r="I1061" s="5">
        <v>39551</v>
      </c>
      <c r="J1061" s="5">
        <v>38594</v>
      </c>
      <c r="K1061" s="16">
        <f t="shared" si="119"/>
        <v>321</v>
      </c>
      <c r="L1061" s="13">
        <v>5952.21</v>
      </c>
      <c r="M1061" s="15">
        <f t="shared" si="117"/>
        <v>167.92907676671433</v>
      </c>
      <c r="N1061" s="13">
        <v>5952.21</v>
      </c>
      <c r="O1061" s="13">
        <v>0</v>
      </c>
      <c r="P1061" s="11">
        <f t="shared" si="121"/>
        <v>0</v>
      </c>
    </row>
    <row r="1062" spans="1:16" ht="18.75" customHeight="1" thickBot="1" x14ac:dyDescent="0.3">
      <c r="A1062" s="3" t="s">
        <v>11</v>
      </c>
      <c r="B1062" s="4">
        <v>493993</v>
      </c>
      <c r="C1062" s="3" t="s">
        <v>9</v>
      </c>
      <c r="D1062" s="18">
        <v>0.1</v>
      </c>
      <c r="E1062" s="21">
        <f t="shared" si="120"/>
        <v>7.9741404289037643E-3</v>
      </c>
      <c r="F1062" s="5">
        <v>38274</v>
      </c>
      <c r="G1062" s="5">
        <v>38731</v>
      </c>
      <c r="H1062" s="16">
        <f t="shared" si="118"/>
        <v>457</v>
      </c>
      <c r="I1062" s="5">
        <v>38731</v>
      </c>
      <c r="J1062" s="5">
        <v>38576</v>
      </c>
      <c r="K1062" s="16">
        <f t="shared" si="119"/>
        <v>302</v>
      </c>
      <c r="L1062" s="13">
        <v>843.45</v>
      </c>
      <c r="M1062" s="15">
        <f t="shared" si="117"/>
        <v>59.019866818373302</v>
      </c>
      <c r="N1062" s="13">
        <v>843.45</v>
      </c>
      <c r="O1062" s="13">
        <v>0</v>
      </c>
      <c r="P1062" s="11">
        <f t="shared" si="121"/>
        <v>0</v>
      </c>
    </row>
    <row r="1063" spans="1:16" ht="18.75" customHeight="1" thickBot="1" x14ac:dyDescent="0.3">
      <c r="A1063" s="3" t="s">
        <v>11</v>
      </c>
      <c r="B1063" s="4">
        <v>344264</v>
      </c>
      <c r="C1063" s="3" t="s">
        <v>9</v>
      </c>
      <c r="D1063" s="18">
        <v>9.7500000000000003E-2</v>
      </c>
      <c r="E1063" s="21">
        <f t="shared" si="120"/>
        <v>7.7830370878799737E-3</v>
      </c>
      <c r="F1063" s="5">
        <v>38275</v>
      </c>
      <c r="G1063" s="5">
        <v>40066</v>
      </c>
      <c r="H1063" s="16">
        <f t="shared" si="118"/>
        <v>1791</v>
      </c>
      <c r="I1063" s="5">
        <v>40066</v>
      </c>
      <c r="J1063" s="5">
        <v>41968</v>
      </c>
      <c r="K1063" s="16">
        <f t="shared" si="119"/>
        <v>3693</v>
      </c>
      <c r="L1063" s="13">
        <v>123897</v>
      </c>
      <c r="M1063" s="15">
        <f t="shared" si="117"/>
        <v>2602.6012534570918</v>
      </c>
      <c r="N1063" s="13">
        <v>123897</v>
      </c>
      <c r="O1063" s="13">
        <v>80000</v>
      </c>
      <c r="P1063" s="11">
        <f t="shared" si="121"/>
        <v>0</v>
      </c>
    </row>
    <row r="1064" spans="1:16" ht="18.75" customHeight="1" thickBot="1" x14ac:dyDescent="0.3">
      <c r="A1064" s="3" t="s">
        <v>11</v>
      </c>
      <c r="B1064" s="4">
        <v>355274</v>
      </c>
      <c r="C1064" s="3" t="s">
        <v>9</v>
      </c>
      <c r="D1064" s="18">
        <v>0.1</v>
      </c>
      <c r="E1064" s="21">
        <f t="shared" si="120"/>
        <v>7.9741404289037643E-3</v>
      </c>
      <c r="F1064" s="5">
        <v>38279</v>
      </c>
      <c r="G1064" s="5">
        <v>39557</v>
      </c>
      <c r="H1064" s="16">
        <f t="shared" si="118"/>
        <v>1278</v>
      </c>
      <c r="I1064" s="5">
        <v>39557</v>
      </c>
      <c r="J1064" s="5">
        <v>39171</v>
      </c>
      <c r="K1064" s="16">
        <f t="shared" si="119"/>
        <v>892</v>
      </c>
      <c r="L1064" s="13">
        <v>3582.01</v>
      </c>
      <c r="M1064" s="15">
        <f t="shared" si="117"/>
        <v>99.505115653842495</v>
      </c>
      <c r="N1064" s="13">
        <v>3582.01</v>
      </c>
      <c r="O1064" s="13">
        <v>0</v>
      </c>
      <c r="P1064" s="11">
        <f t="shared" si="121"/>
        <v>0</v>
      </c>
    </row>
    <row r="1065" spans="1:16" ht="18.75" customHeight="1" thickBot="1" x14ac:dyDescent="0.3">
      <c r="A1065" s="3" t="s">
        <v>11</v>
      </c>
      <c r="B1065" s="4">
        <v>798444</v>
      </c>
      <c r="C1065" s="3" t="s">
        <v>9</v>
      </c>
      <c r="D1065" s="18">
        <v>0.12</v>
      </c>
      <c r="E1065" s="21">
        <f t="shared" si="120"/>
        <v>9.4887929345830457E-3</v>
      </c>
      <c r="F1065" s="5">
        <v>38286</v>
      </c>
      <c r="G1065" s="5">
        <v>39228</v>
      </c>
      <c r="H1065" s="16">
        <f t="shared" si="118"/>
        <v>942</v>
      </c>
      <c r="I1065" s="5">
        <v>39228</v>
      </c>
      <c r="J1065" s="5">
        <v>38554</v>
      </c>
      <c r="K1065" s="16">
        <f t="shared" si="119"/>
        <v>268</v>
      </c>
      <c r="L1065" s="13">
        <v>6332.55</v>
      </c>
      <c r="M1065" s="15">
        <f t="shared" si="117"/>
        <v>234.15573421325237</v>
      </c>
      <c r="N1065" s="13">
        <v>6332.55</v>
      </c>
      <c r="O1065" s="13">
        <v>0</v>
      </c>
      <c r="P1065" s="11">
        <f t="shared" si="121"/>
        <v>0</v>
      </c>
    </row>
    <row r="1066" spans="1:16" ht="18.75" customHeight="1" thickBot="1" x14ac:dyDescent="0.3">
      <c r="A1066" s="3" t="s">
        <v>11</v>
      </c>
      <c r="B1066" s="4">
        <v>952954</v>
      </c>
      <c r="C1066" s="3" t="s">
        <v>9</v>
      </c>
      <c r="D1066" s="18">
        <v>0.1</v>
      </c>
      <c r="E1066" s="21">
        <f t="shared" si="120"/>
        <v>7.9741404289037643E-3</v>
      </c>
      <c r="F1066" s="5">
        <v>38293</v>
      </c>
      <c r="G1066" s="5">
        <v>40149</v>
      </c>
      <c r="H1066" s="16">
        <f t="shared" si="118"/>
        <v>1856</v>
      </c>
      <c r="I1066" s="5">
        <v>40149</v>
      </c>
      <c r="J1066" s="5">
        <v>40045</v>
      </c>
      <c r="K1066" s="16">
        <f t="shared" si="119"/>
        <v>1752</v>
      </c>
      <c r="L1066" s="13">
        <v>11143.82</v>
      </c>
      <c r="M1066" s="15">
        <f t="shared" si="117"/>
        <v>228.89900409542039</v>
      </c>
      <c r="N1066" s="13">
        <v>11143.82</v>
      </c>
      <c r="O1066" s="13">
        <v>0</v>
      </c>
      <c r="P1066" s="11">
        <f t="shared" si="121"/>
        <v>0</v>
      </c>
    </row>
    <row r="1067" spans="1:16" ht="18.75" customHeight="1" thickBot="1" x14ac:dyDescent="0.3">
      <c r="A1067" s="3" t="s">
        <v>11</v>
      </c>
      <c r="B1067" s="4">
        <v>148735</v>
      </c>
      <c r="C1067" s="3" t="s">
        <v>9</v>
      </c>
      <c r="D1067" s="18">
        <v>0.11</v>
      </c>
      <c r="E1067" s="21">
        <f t="shared" si="120"/>
        <v>8.7345938235519061E-3</v>
      </c>
      <c r="F1067" s="5">
        <v>38314</v>
      </c>
      <c r="G1067" s="5">
        <v>39044</v>
      </c>
      <c r="H1067" s="16">
        <f t="shared" si="118"/>
        <v>730</v>
      </c>
      <c r="I1067" s="5">
        <v>39044</v>
      </c>
      <c r="J1067" s="5">
        <v>38833</v>
      </c>
      <c r="K1067" s="16">
        <f t="shared" si="119"/>
        <v>519</v>
      </c>
      <c r="L1067" s="13">
        <v>16168.7</v>
      </c>
      <c r="M1067" s="15">
        <f t="shared" si="117"/>
        <v>740.4670249296596</v>
      </c>
      <c r="N1067" s="13">
        <v>16168.7</v>
      </c>
      <c r="O1067" s="13">
        <v>0</v>
      </c>
      <c r="P1067" s="11">
        <f t="shared" si="121"/>
        <v>0</v>
      </c>
    </row>
    <row r="1068" spans="1:16" ht="18.75" customHeight="1" thickBot="1" x14ac:dyDescent="0.3">
      <c r="A1068" s="3" t="s">
        <v>11</v>
      </c>
      <c r="B1068" s="4">
        <v>293541</v>
      </c>
      <c r="C1068" s="3" t="s">
        <v>9</v>
      </c>
      <c r="D1068" s="18">
        <v>0.1</v>
      </c>
      <c r="E1068" s="21">
        <f t="shared" si="120"/>
        <v>7.9741404289037643E-3</v>
      </c>
      <c r="F1068" s="5">
        <v>38323</v>
      </c>
      <c r="G1068" s="5">
        <v>39053</v>
      </c>
      <c r="H1068" s="16">
        <f t="shared" si="118"/>
        <v>730</v>
      </c>
      <c r="I1068" s="5">
        <v>39053</v>
      </c>
      <c r="J1068" s="5">
        <v>41526</v>
      </c>
      <c r="K1068" s="16">
        <f t="shared" si="119"/>
        <v>3203</v>
      </c>
      <c r="L1068" s="13">
        <v>3224.51</v>
      </c>
      <c r="M1068" s="15">
        <f t="shared" si="117"/>
        <v>146.31196326690468</v>
      </c>
      <c r="N1068" s="13">
        <v>3224.51</v>
      </c>
      <c r="O1068" s="13">
        <v>0</v>
      </c>
      <c r="P1068" s="11">
        <f t="shared" si="121"/>
        <v>0</v>
      </c>
    </row>
    <row r="1069" spans="1:16" ht="18.75" customHeight="1" thickBot="1" x14ac:dyDescent="0.3">
      <c r="A1069" s="3" t="s">
        <v>11</v>
      </c>
      <c r="B1069" s="4">
        <v>846135</v>
      </c>
      <c r="C1069" s="3" t="s">
        <v>9</v>
      </c>
      <c r="D1069" s="18">
        <v>0.1</v>
      </c>
      <c r="E1069" s="21">
        <f t="shared" si="120"/>
        <v>7.9741404289037643E-3</v>
      </c>
      <c r="F1069" s="5">
        <v>38324</v>
      </c>
      <c r="G1069" s="5">
        <v>40150</v>
      </c>
      <c r="H1069" s="16">
        <f t="shared" si="118"/>
        <v>1826</v>
      </c>
      <c r="I1069" s="5">
        <v>40150</v>
      </c>
      <c r="J1069" s="5">
        <v>39750</v>
      </c>
      <c r="K1069" s="16">
        <f t="shared" si="119"/>
        <v>1426</v>
      </c>
      <c r="L1069" s="13">
        <v>8395.93</v>
      </c>
      <c r="M1069" s="15">
        <f t="shared" si="117"/>
        <v>174.65084042694602</v>
      </c>
      <c r="N1069" s="13">
        <v>8395.93</v>
      </c>
      <c r="O1069" s="13">
        <v>0</v>
      </c>
      <c r="P1069" s="11">
        <f t="shared" si="121"/>
        <v>0</v>
      </c>
    </row>
    <row r="1070" spans="1:16" ht="18.75" customHeight="1" thickBot="1" x14ac:dyDescent="0.3">
      <c r="A1070" s="3" t="s">
        <v>11</v>
      </c>
      <c r="B1070" s="4">
        <v>763789</v>
      </c>
      <c r="C1070" s="3" t="s">
        <v>9</v>
      </c>
      <c r="D1070" s="18">
        <v>0.1</v>
      </c>
      <c r="E1070" s="21">
        <f t="shared" si="120"/>
        <v>7.9741404289037643E-3</v>
      </c>
      <c r="F1070" s="5">
        <v>38348</v>
      </c>
      <c r="G1070" s="5">
        <v>38895</v>
      </c>
      <c r="H1070" s="16">
        <f t="shared" si="118"/>
        <v>547</v>
      </c>
      <c r="I1070" s="5">
        <v>38895</v>
      </c>
      <c r="J1070" s="5">
        <v>40298</v>
      </c>
      <c r="K1070" s="16">
        <f t="shared" si="119"/>
        <v>1950</v>
      </c>
      <c r="L1070" s="13">
        <v>810.25</v>
      </c>
      <c r="M1070" s="15">
        <f t="shared" si="117"/>
        <v>47.923254717373645</v>
      </c>
      <c r="N1070" s="13">
        <v>810.25</v>
      </c>
      <c r="O1070" s="13">
        <v>0</v>
      </c>
      <c r="P1070" s="11">
        <f t="shared" si="121"/>
        <v>0</v>
      </c>
    </row>
    <row r="1071" spans="1:16" ht="18.75" customHeight="1" thickBot="1" x14ac:dyDescent="0.3">
      <c r="A1071" s="3" t="s">
        <v>11</v>
      </c>
      <c r="B1071" s="4">
        <v>270291</v>
      </c>
      <c r="C1071" s="3" t="s">
        <v>9</v>
      </c>
      <c r="D1071" s="18">
        <v>0.1</v>
      </c>
      <c r="E1071" s="21">
        <f t="shared" si="120"/>
        <v>7.9741404289037643E-3</v>
      </c>
      <c r="F1071" s="5">
        <v>38351</v>
      </c>
      <c r="G1071" s="5">
        <v>38716</v>
      </c>
      <c r="H1071" s="16">
        <f t="shared" si="118"/>
        <v>365</v>
      </c>
      <c r="I1071" s="5">
        <v>38716</v>
      </c>
      <c r="J1071" s="5">
        <v>38362</v>
      </c>
      <c r="K1071" s="16">
        <f t="shared" si="119"/>
        <v>11</v>
      </c>
      <c r="L1071" s="13">
        <v>21000</v>
      </c>
      <c r="M1071" s="15">
        <f t="shared" si="117"/>
        <v>1817.976846536696</v>
      </c>
      <c r="N1071" s="13">
        <v>21000</v>
      </c>
      <c r="O1071" s="13">
        <v>0</v>
      </c>
      <c r="P1071" s="11">
        <f t="shared" si="121"/>
        <v>0</v>
      </c>
    </row>
    <row r="1072" spans="1:16" ht="18.75" hidden="1" customHeight="1" thickBot="1" x14ac:dyDescent="0.3">
      <c r="A1072" s="3" t="s">
        <v>11</v>
      </c>
      <c r="B1072" s="4">
        <v>589975</v>
      </c>
      <c r="C1072" s="3" t="s">
        <v>9</v>
      </c>
      <c r="D1072" s="18">
        <v>0.1</v>
      </c>
      <c r="E1072" s="21">
        <f t="shared" si="120"/>
        <v>7.9741404289037643E-3</v>
      </c>
      <c r="F1072" s="5">
        <v>38355</v>
      </c>
      <c r="G1072" s="5">
        <v>38536</v>
      </c>
      <c r="H1072" s="16">
        <f t="shared" si="118"/>
        <v>181</v>
      </c>
      <c r="I1072" s="5">
        <v>38536</v>
      </c>
      <c r="J1072" s="2"/>
      <c r="K1072" s="16">
        <f t="shared" si="119"/>
        <v>-38355</v>
      </c>
      <c r="L1072" s="13">
        <v>2000</v>
      </c>
      <c r="M1072" s="15">
        <f t="shared" si="117"/>
        <v>340.8494684460041</v>
      </c>
      <c r="N1072" s="13">
        <v>2000</v>
      </c>
      <c r="O1072" s="13">
        <v>0</v>
      </c>
      <c r="P1072" s="11">
        <f t="shared" si="121"/>
        <v>0</v>
      </c>
    </row>
    <row r="1073" spans="1:16" ht="18.75" customHeight="1" thickBot="1" x14ac:dyDescent="0.3">
      <c r="A1073" s="3" t="s">
        <v>11</v>
      </c>
      <c r="B1073" s="4">
        <v>396699</v>
      </c>
      <c r="C1073" s="3" t="s">
        <v>9</v>
      </c>
      <c r="D1073" s="18">
        <v>0.105</v>
      </c>
      <c r="E1073" s="21">
        <f t="shared" si="120"/>
        <v>8.355155683635207E-3</v>
      </c>
      <c r="F1073" s="5">
        <v>38358</v>
      </c>
      <c r="G1073" s="5">
        <v>39819</v>
      </c>
      <c r="H1073" s="16">
        <f t="shared" si="118"/>
        <v>1461</v>
      </c>
      <c r="I1073" s="5">
        <v>39819</v>
      </c>
      <c r="J1073" s="5">
        <v>39216</v>
      </c>
      <c r="K1073" s="16">
        <f t="shared" si="119"/>
        <v>858</v>
      </c>
      <c r="L1073" s="13">
        <v>8167.35</v>
      </c>
      <c r="M1073" s="15">
        <f t="shared" si="117"/>
        <v>204.8247425435508</v>
      </c>
      <c r="N1073" s="13">
        <v>8167.35</v>
      </c>
      <c r="O1073" s="13">
        <v>0</v>
      </c>
      <c r="P1073" s="11">
        <f t="shared" si="121"/>
        <v>0</v>
      </c>
    </row>
    <row r="1074" spans="1:16" ht="18.75" customHeight="1" thickBot="1" x14ac:dyDescent="0.3">
      <c r="A1074" s="3" t="s">
        <v>11</v>
      </c>
      <c r="B1074" s="4">
        <v>986910</v>
      </c>
      <c r="C1074" s="3" t="s">
        <v>9</v>
      </c>
      <c r="D1074" s="18">
        <v>0.1</v>
      </c>
      <c r="E1074" s="21">
        <f t="shared" si="120"/>
        <v>7.9741404289037643E-3</v>
      </c>
      <c r="F1074" s="5">
        <v>38362</v>
      </c>
      <c r="G1074" s="5">
        <v>40188</v>
      </c>
      <c r="H1074" s="16">
        <f t="shared" si="118"/>
        <v>1826</v>
      </c>
      <c r="I1074" s="5">
        <v>40188</v>
      </c>
      <c r="J1074" s="5">
        <v>39430</v>
      </c>
      <c r="K1074" s="16">
        <f t="shared" si="119"/>
        <v>1068</v>
      </c>
      <c r="L1074" s="13">
        <v>7360.75</v>
      </c>
      <c r="M1074" s="15">
        <f t="shared" si="117"/>
        <v>153.11718578795234</v>
      </c>
      <c r="N1074" s="13">
        <v>7360.75</v>
      </c>
      <c r="O1074" s="13">
        <v>0</v>
      </c>
      <c r="P1074" s="11">
        <f t="shared" si="121"/>
        <v>0</v>
      </c>
    </row>
    <row r="1075" spans="1:16" ht="18.75" customHeight="1" thickBot="1" x14ac:dyDescent="0.3">
      <c r="A1075" s="3" t="s">
        <v>11</v>
      </c>
      <c r="B1075" s="4">
        <v>985218</v>
      </c>
      <c r="C1075" s="3" t="s">
        <v>9</v>
      </c>
      <c r="D1075" s="18">
        <v>9.5000000000000001E-2</v>
      </c>
      <c r="E1075" s="21">
        <f t="shared" si="120"/>
        <v>7.5915342905825689E-3</v>
      </c>
      <c r="F1075" s="5">
        <v>38376</v>
      </c>
      <c r="G1075" s="5">
        <v>40353</v>
      </c>
      <c r="H1075" s="16">
        <f t="shared" si="118"/>
        <v>1977</v>
      </c>
      <c r="I1075" s="5">
        <v>40353</v>
      </c>
      <c r="J1075" s="5">
        <v>40394</v>
      </c>
      <c r="K1075" s="16">
        <f t="shared" si="119"/>
        <v>2018</v>
      </c>
      <c r="L1075" s="13">
        <v>46894.59</v>
      </c>
      <c r="M1075" s="15">
        <f t="shared" si="117"/>
        <v>907.02576897244046</v>
      </c>
      <c r="N1075" s="13">
        <v>46894.59</v>
      </c>
      <c r="O1075" s="13">
        <v>0</v>
      </c>
      <c r="P1075" s="11">
        <f t="shared" si="121"/>
        <v>0</v>
      </c>
    </row>
    <row r="1076" spans="1:16" ht="18.75" customHeight="1" thickBot="1" x14ac:dyDescent="0.3">
      <c r="A1076" s="3" t="s">
        <v>11</v>
      </c>
      <c r="B1076" s="4">
        <v>225770</v>
      </c>
      <c r="C1076" s="3" t="s">
        <v>9</v>
      </c>
      <c r="D1076" s="18">
        <v>0.12</v>
      </c>
      <c r="E1076" s="21">
        <f t="shared" si="120"/>
        <v>9.4887929345830457E-3</v>
      </c>
      <c r="F1076" s="5">
        <v>38380</v>
      </c>
      <c r="G1076" s="5">
        <v>39627</v>
      </c>
      <c r="H1076" s="16">
        <f t="shared" si="118"/>
        <v>1247</v>
      </c>
      <c r="I1076" s="5">
        <v>39627</v>
      </c>
      <c r="J1076" s="5">
        <v>39304</v>
      </c>
      <c r="K1076" s="16">
        <f t="shared" si="119"/>
        <v>924</v>
      </c>
      <c r="L1076" s="13">
        <v>2473.0700000000002</v>
      </c>
      <c r="M1076" s="15">
        <f t="shared" si="117"/>
        <v>72.277224032820769</v>
      </c>
      <c r="N1076" s="13">
        <v>2473.0700000000002</v>
      </c>
      <c r="O1076" s="13">
        <v>0</v>
      </c>
      <c r="P1076" s="11">
        <f t="shared" si="121"/>
        <v>0</v>
      </c>
    </row>
    <row r="1077" spans="1:16" ht="18.75" customHeight="1" thickBot="1" x14ac:dyDescent="0.3">
      <c r="A1077" s="3" t="s">
        <v>11</v>
      </c>
      <c r="B1077" s="4">
        <v>191032</v>
      </c>
      <c r="C1077" s="3" t="s">
        <v>9</v>
      </c>
      <c r="D1077" s="18">
        <v>0.105</v>
      </c>
      <c r="E1077" s="21">
        <f t="shared" si="120"/>
        <v>8.355155683635207E-3</v>
      </c>
      <c r="F1077" s="5">
        <v>38394</v>
      </c>
      <c r="G1077" s="5">
        <v>40220</v>
      </c>
      <c r="H1077" s="16">
        <f t="shared" si="118"/>
        <v>1826</v>
      </c>
      <c r="I1077" s="5">
        <v>40220</v>
      </c>
      <c r="J1077" s="5">
        <v>38666</v>
      </c>
      <c r="K1077" s="16">
        <f t="shared" si="119"/>
        <v>272</v>
      </c>
      <c r="L1077" s="13">
        <v>3293.94</v>
      </c>
      <c r="M1077" s="15">
        <f t="shared" si="117"/>
        <v>69.260316074911842</v>
      </c>
      <c r="N1077" s="13">
        <v>3293.94</v>
      </c>
      <c r="O1077" s="13">
        <v>0</v>
      </c>
      <c r="P1077" s="11">
        <f t="shared" si="121"/>
        <v>0</v>
      </c>
    </row>
    <row r="1078" spans="1:16" ht="18.75" customHeight="1" thickBot="1" x14ac:dyDescent="0.3">
      <c r="A1078" s="3" t="s">
        <v>11</v>
      </c>
      <c r="B1078" s="4">
        <v>879442</v>
      </c>
      <c r="C1078" s="3" t="s">
        <v>9</v>
      </c>
      <c r="D1078" s="18">
        <v>0.11</v>
      </c>
      <c r="E1078" s="21">
        <f t="shared" si="120"/>
        <v>8.7345938235519061E-3</v>
      </c>
      <c r="F1078" s="5">
        <v>38401</v>
      </c>
      <c r="G1078" s="5">
        <v>40620</v>
      </c>
      <c r="H1078" s="16">
        <f t="shared" si="118"/>
        <v>2219</v>
      </c>
      <c r="I1078" s="5">
        <v>40620</v>
      </c>
      <c r="J1078" s="5">
        <v>39141</v>
      </c>
      <c r="K1078" s="16">
        <f t="shared" si="119"/>
        <v>740</v>
      </c>
      <c r="L1078" s="13">
        <v>13636.4</v>
      </c>
      <c r="M1078" s="15">
        <f t="shared" si="117"/>
        <v>251.05814825540688</v>
      </c>
      <c r="N1078" s="13">
        <v>13636.4</v>
      </c>
      <c r="O1078" s="13">
        <v>0</v>
      </c>
      <c r="P1078" s="11">
        <f t="shared" si="121"/>
        <v>0</v>
      </c>
    </row>
    <row r="1079" spans="1:16" ht="18.75" customHeight="1" thickBot="1" x14ac:dyDescent="0.3">
      <c r="A1079" s="3" t="s">
        <v>11</v>
      </c>
      <c r="B1079" s="4">
        <v>530301</v>
      </c>
      <c r="C1079" s="3" t="s">
        <v>9</v>
      </c>
      <c r="D1079" s="18">
        <v>0.1</v>
      </c>
      <c r="E1079" s="21">
        <f t="shared" si="120"/>
        <v>7.9741404289037643E-3</v>
      </c>
      <c r="F1079" s="5">
        <v>38433</v>
      </c>
      <c r="G1079" s="5">
        <v>39894</v>
      </c>
      <c r="H1079" s="16">
        <f t="shared" si="118"/>
        <v>1461</v>
      </c>
      <c r="I1079" s="5">
        <v>39894</v>
      </c>
      <c r="J1079" s="5">
        <v>38583</v>
      </c>
      <c r="K1079" s="16">
        <f t="shared" si="119"/>
        <v>150</v>
      </c>
      <c r="L1079" s="13">
        <v>2095.9699999999998</v>
      </c>
      <c r="M1079" s="15">
        <f t="shared" si="117"/>
        <v>52.10394366124212</v>
      </c>
      <c r="N1079" s="13">
        <v>2095.9699999999998</v>
      </c>
      <c r="O1079" s="13">
        <v>0</v>
      </c>
      <c r="P1079" s="11">
        <f t="shared" si="121"/>
        <v>0</v>
      </c>
    </row>
    <row r="1080" spans="1:16" ht="18.75" customHeight="1" thickBot="1" x14ac:dyDescent="0.3">
      <c r="A1080" s="3" t="s">
        <v>11</v>
      </c>
      <c r="B1080" s="4">
        <v>706102</v>
      </c>
      <c r="C1080" s="3" t="s">
        <v>9</v>
      </c>
      <c r="D1080" s="18">
        <v>0.1</v>
      </c>
      <c r="E1080" s="21">
        <f t="shared" si="120"/>
        <v>7.9741404289037643E-3</v>
      </c>
      <c r="F1080" s="5">
        <v>38435</v>
      </c>
      <c r="G1080" s="5">
        <v>40018</v>
      </c>
      <c r="H1080" s="16">
        <f t="shared" si="118"/>
        <v>1583</v>
      </c>
      <c r="I1080" s="5">
        <v>40018</v>
      </c>
      <c r="J1080" s="5">
        <v>38932</v>
      </c>
      <c r="K1080" s="16">
        <f t="shared" si="119"/>
        <v>497</v>
      </c>
      <c r="L1080" s="13">
        <v>17477.330000000002</v>
      </c>
      <c r="M1080" s="15">
        <f t="shared" si="117"/>
        <v>407.07452096407496</v>
      </c>
      <c r="N1080" s="13">
        <v>17477.330000000002</v>
      </c>
      <c r="O1080" s="13">
        <v>0</v>
      </c>
      <c r="P1080" s="11">
        <f t="shared" si="121"/>
        <v>0</v>
      </c>
    </row>
    <row r="1081" spans="1:16" ht="18.75" customHeight="1" thickBot="1" x14ac:dyDescent="0.3">
      <c r="A1081" s="3" t="s">
        <v>11</v>
      </c>
      <c r="B1081" s="4">
        <v>190465</v>
      </c>
      <c r="C1081" s="3" t="s">
        <v>9</v>
      </c>
      <c r="D1081" s="18">
        <v>0.11</v>
      </c>
      <c r="E1081" s="21">
        <f t="shared" si="120"/>
        <v>8.7345938235519061E-3</v>
      </c>
      <c r="F1081" s="5">
        <v>38441</v>
      </c>
      <c r="G1081" s="5">
        <v>38806</v>
      </c>
      <c r="H1081" s="16">
        <f t="shared" si="118"/>
        <v>365</v>
      </c>
      <c r="I1081" s="5">
        <v>38806</v>
      </c>
      <c r="J1081" s="5">
        <v>38833</v>
      </c>
      <c r="K1081" s="16">
        <f t="shared" si="119"/>
        <v>392</v>
      </c>
      <c r="L1081" s="13">
        <v>10000</v>
      </c>
      <c r="M1081" s="15">
        <f t="shared" si="117"/>
        <v>869.94515879086873</v>
      </c>
      <c r="N1081" s="13">
        <v>10000</v>
      </c>
      <c r="O1081" s="13">
        <v>0</v>
      </c>
      <c r="P1081" s="11">
        <f t="shared" si="121"/>
        <v>0</v>
      </c>
    </row>
    <row r="1082" spans="1:16" ht="18.75" hidden="1" customHeight="1" thickBot="1" x14ac:dyDescent="0.3">
      <c r="A1082" s="3" t="s">
        <v>11</v>
      </c>
      <c r="B1082" s="4">
        <v>30810</v>
      </c>
      <c r="C1082" s="3" t="s">
        <v>9</v>
      </c>
      <c r="D1082" s="18">
        <v>0.1</v>
      </c>
      <c r="E1082" s="21">
        <f t="shared" si="120"/>
        <v>7.9741404289037643E-3</v>
      </c>
      <c r="F1082" s="5">
        <v>38447</v>
      </c>
      <c r="G1082" s="5">
        <v>38569</v>
      </c>
      <c r="H1082" s="16">
        <f t="shared" si="118"/>
        <v>122</v>
      </c>
      <c r="I1082" s="5">
        <v>38569</v>
      </c>
      <c r="J1082" s="2"/>
      <c r="K1082" s="16">
        <f t="shared" si="119"/>
        <v>-38447</v>
      </c>
      <c r="L1082" s="13">
        <v>750</v>
      </c>
      <c r="M1082" s="15">
        <f t="shared" si="117"/>
        <v>188.16697641165098</v>
      </c>
      <c r="N1082" s="13">
        <v>750</v>
      </c>
      <c r="O1082" s="13">
        <v>0</v>
      </c>
      <c r="P1082" s="11">
        <f t="shared" si="121"/>
        <v>0</v>
      </c>
    </row>
    <row r="1083" spans="1:16" ht="18.75" customHeight="1" thickBot="1" x14ac:dyDescent="0.3">
      <c r="A1083" s="3" t="s">
        <v>11</v>
      </c>
      <c r="B1083" s="4">
        <v>690259</v>
      </c>
      <c r="C1083" s="3" t="s">
        <v>9</v>
      </c>
      <c r="D1083" s="18">
        <v>0.1</v>
      </c>
      <c r="E1083" s="21">
        <f t="shared" si="120"/>
        <v>7.9741404289037643E-3</v>
      </c>
      <c r="F1083" s="5">
        <v>38460</v>
      </c>
      <c r="G1083" s="5">
        <v>39556</v>
      </c>
      <c r="H1083" s="16">
        <f t="shared" si="118"/>
        <v>1096</v>
      </c>
      <c r="I1083" s="5">
        <v>39556</v>
      </c>
      <c r="J1083" s="5">
        <v>38582</v>
      </c>
      <c r="K1083" s="16">
        <f t="shared" si="119"/>
        <v>122</v>
      </c>
      <c r="L1083" s="13">
        <v>1806.29</v>
      </c>
      <c r="M1083" s="15">
        <f t="shared" si="117"/>
        <v>57.188717718815163</v>
      </c>
      <c r="N1083" s="13">
        <v>1806.29</v>
      </c>
      <c r="O1083" s="13">
        <v>0</v>
      </c>
      <c r="P1083" s="11">
        <f t="shared" si="121"/>
        <v>0</v>
      </c>
    </row>
    <row r="1084" spans="1:16" ht="18.75" customHeight="1" thickBot="1" x14ac:dyDescent="0.3">
      <c r="A1084" s="3" t="s">
        <v>11</v>
      </c>
      <c r="B1084" s="4">
        <v>23474</v>
      </c>
      <c r="C1084" s="3" t="s">
        <v>9</v>
      </c>
      <c r="D1084" s="18">
        <v>0.1</v>
      </c>
      <c r="E1084" s="21">
        <f t="shared" si="120"/>
        <v>7.9741404289037643E-3</v>
      </c>
      <c r="F1084" s="5">
        <v>38461</v>
      </c>
      <c r="G1084" s="5">
        <v>40682</v>
      </c>
      <c r="H1084" s="16">
        <f t="shared" si="118"/>
        <v>2221</v>
      </c>
      <c r="I1084" s="5">
        <v>40682</v>
      </c>
      <c r="J1084" s="5">
        <v>40889</v>
      </c>
      <c r="K1084" s="16">
        <f t="shared" si="119"/>
        <v>2428</v>
      </c>
      <c r="L1084" s="13">
        <v>412.97</v>
      </c>
      <c r="M1084" s="15">
        <f t="shared" si="117"/>
        <v>7.4073561121479221</v>
      </c>
      <c r="N1084" s="13">
        <v>412.97</v>
      </c>
      <c r="O1084" s="13">
        <v>0</v>
      </c>
      <c r="P1084" s="11">
        <f t="shared" si="121"/>
        <v>0</v>
      </c>
    </row>
    <row r="1085" spans="1:16" ht="18.75" customHeight="1" thickBot="1" x14ac:dyDescent="0.3">
      <c r="A1085" s="3" t="s">
        <v>11</v>
      </c>
      <c r="B1085" s="4">
        <v>30300</v>
      </c>
      <c r="C1085" s="3" t="s">
        <v>9</v>
      </c>
      <c r="D1085" s="18">
        <v>0.1</v>
      </c>
      <c r="E1085" s="21">
        <f t="shared" si="120"/>
        <v>7.9741404289037643E-3</v>
      </c>
      <c r="F1085" s="5">
        <v>38468</v>
      </c>
      <c r="G1085" s="5">
        <v>40659</v>
      </c>
      <c r="H1085" s="16">
        <f t="shared" si="118"/>
        <v>2191</v>
      </c>
      <c r="I1085" s="5">
        <v>40659</v>
      </c>
      <c r="J1085" s="5">
        <v>39195</v>
      </c>
      <c r="K1085" s="16">
        <f t="shared" si="119"/>
        <v>727</v>
      </c>
      <c r="L1085" s="13">
        <v>325.37</v>
      </c>
      <c r="M1085" s="15">
        <f t="shared" si="117"/>
        <v>5.8948213583391338</v>
      </c>
      <c r="N1085" s="13">
        <v>325.37</v>
      </c>
      <c r="O1085" s="13">
        <v>0</v>
      </c>
      <c r="P1085" s="11">
        <f t="shared" si="121"/>
        <v>0</v>
      </c>
    </row>
    <row r="1086" spans="1:16" ht="18.75" customHeight="1" thickBot="1" x14ac:dyDescent="0.3">
      <c r="A1086" s="3" t="s">
        <v>11</v>
      </c>
      <c r="B1086" s="4">
        <v>105083</v>
      </c>
      <c r="C1086" s="3" t="s">
        <v>9</v>
      </c>
      <c r="D1086" s="18">
        <v>0.11</v>
      </c>
      <c r="E1086" s="21">
        <f t="shared" si="120"/>
        <v>8.7345938235519061E-3</v>
      </c>
      <c r="F1086" s="5">
        <v>38469</v>
      </c>
      <c r="G1086" s="5">
        <v>39199</v>
      </c>
      <c r="H1086" s="16">
        <f t="shared" si="118"/>
        <v>730</v>
      </c>
      <c r="I1086" s="5">
        <v>39199</v>
      </c>
      <c r="J1086" s="5">
        <v>38821</v>
      </c>
      <c r="K1086" s="16">
        <f t="shared" si="119"/>
        <v>352</v>
      </c>
      <c r="L1086" s="13">
        <v>2419.37</v>
      </c>
      <c r="M1086" s="15">
        <f t="shared" si="117"/>
        <v>110.79825255611584</v>
      </c>
      <c r="N1086" s="13">
        <v>2419.37</v>
      </c>
      <c r="O1086" s="13">
        <v>0</v>
      </c>
      <c r="P1086" s="11">
        <f t="shared" si="121"/>
        <v>0</v>
      </c>
    </row>
    <row r="1087" spans="1:16" ht="18.75" customHeight="1" thickBot="1" x14ac:dyDescent="0.3">
      <c r="A1087" s="3" t="s">
        <v>11</v>
      </c>
      <c r="B1087" s="4">
        <v>108096</v>
      </c>
      <c r="C1087" s="3" t="s">
        <v>9</v>
      </c>
      <c r="D1087" s="18">
        <v>0.1</v>
      </c>
      <c r="E1087" s="21">
        <f t="shared" si="120"/>
        <v>7.9741404289037643E-3</v>
      </c>
      <c r="F1087" s="5">
        <v>38478</v>
      </c>
      <c r="G1087" s="5">
        <v>41400</v>
      </c>
      <c r="H1087" s="16">
        <f t="shared" si="118"/>
        <v>2922</v>
      </c>
      <c r="I1087" s="5">
        <v>41400</v>
      </c>
      <c r="J1087" s="5">
        <v>41864</v>
      </c>
      <c r="K1087" s="16">
        <f t="shared" si="119"/>
        <v>3386</v>
      </c>
      <c r="L1087" s="13">
        <v>1369.48</v>
      </c>
      <c r="M1087" s="15">
        <f t="shared" si="117"/>
        <v>20.273648949855733</v>
      </c>
      <c r="N1087" s="13">
        <v>1369.48</v>
      </c>
      <c r="O1087" s="13">
        <v>0</v>
      </c>
      <c r="P1087" s="11">
        <f t="shared" si="121"/>
        <v>0</v>
      </c>
    </row>
    <row r="1088" spans="1:16" ht="18.75" customHeight="1" thickBot="1" x14ac:dyDescent="0.3">
      <c r="A1088" s="3" t="s">
        <v>11</v>
      </c>
      <c r="B1088" s="4">
        <v>47491</v>
      </c>
      <c r="C1088" s="3" t="s">
        <v>9</v>
      </c>
      <c r="D1088" s="18">
        <v>0.13</v>
      </c>
      <c r="E1088" s="21">
        <f t="shared" si="120"/>
        <v>1.02368443581764E-2</v>
      </c>
      <c r="F1088" s="5">
        <v>38491</v>
      </c>
      <c r="G1088" s="5">
        <v>38856</v>
      </c>
      <c r="H1088" s="16">
        <f t="shared" si="118"/>
        <v>365</v>
      </c>
      <c r="I1088" s="5">
        <v>38856</v>
      </c>
      <c r="J1088" s="5">
        <v>38793</v>
      </c>
      <c r="K1088" s="16">
        <f t="shared" si="119"/>
        <v>302</v>
      </c>
      <c r="L1088" s="13">
        <v>171.81</v>
      </c>
      <c r="M1088" s="15">
        <f t="shared" si="117"/>
        <v>15.091079515780518</v>
      </c>
      <c r="N1088" s="13">
        <v>171.81</v>
      </c>
      <c r="O1088" s="13">
        <v>0</v>
      </c>
      <c r="P1088" s="11">
        <f t="shared" si="121"/>
        <v>0</v>
      </c>
    </row>
    <row r="1089" spans="1:16" ht="18.75" customHeight="1" thickBot="1" x14ac:dyDescent="0.3">
      <c r="A1089" s="3" t="s">
        <v>11</v>
      </c>
      <c r="B1089" s="4">
        <v>291772</v>
      </c>
      <c r="C1089" s="3" t="s">
        <v>9</v>
      </c>
      <c r="D1089" s="18">
        <v>0.11</v>
      </c>
      <c r="E1089" s="21">
        <f t="shared" si="120"/>
        <v>8.7345938235519061E-3</v>
      </c>
      <c r="F1089" s="5">
        <v>38496</v>
      </c>
      <c r="G1089" s="5">
        <v>38680</v>
      </c>
      <c r="H1089" s="16">
        <f t="shared" si="118"/>
        <v>184</v>
      </c>
      <c r="I1089" s="5">
        <v>38680</v>
      </c>
      <c r="J1089" s="5">
        <v>39867</v>
      </c>
      <c r="K1089" s="16">
        <f t="shared" si="119"/>
        <v>1371</v>
      </c>
      <c r="L1089" s="13">
        <v>5016.9799999999996</v>
      </c>
      <c r="M1089" s="15">
        <f t="shared" si="117"/>
        <v>843.65849478738903</v>
      </c>
      <c r="N1089" s="13">
        <v>5016.9799999999996</v>
      </c>
      <c r="O1089" s="13">
        <v>0</v>
      </c>
      <c r="P1089" s="11">
        <f t="shared" si="121"/>
        <v>0</v>
      </c>
    </row>
    <row r="1090" spans="1:16" ht="18.75" customHeight="1" thickBot="1" x14ac:dyDescent="0.3">
      <c r="A1090" s="3" t="s">
        <v>11</v>
      </c>
      <c r="B1090" s="4">
        <v>906545</v>
      </c>
      <c r="C1090" s="3" t="s">
        <v>9</v>
      </c>
      <c r="D1090" s="18">
        <v>0.12</v>
      </c>
      <c r="E1090" s="21">
        <f t="shared" si="120"/>
        <v>9.4887929345830457E-3</v>
      </c>
      <c r="F1090" s="5">
        <v>38497</v>
      </c>
      <c r="G1090" s="5">
        <v>39227</v>
      </c>
      <c r="H1090" s="16">
        <f t="shared" si="118"/>
        <v>730</v>
      </c>
      <c r="I1090" s="5">
        <v>39227</v>
      </c>
      <c r="J1090" s="5">
        <v>40350</v>
      </c>
      <c r="K1090" s="16">
        <f t="shared" si="119"/>
        <v>1853</v>
      </c>
      <c r="L1090" s="13">
        <v>2184.7800000000002</v>
      </c>
      <c r="M1090" s="15">
        <f t="shared" ref="M1090:M1153" si="122">-PMT(E1090,(H1090/30),L1090)</f>
        <v>100.97290691388174</v>
      </c>
      <c r="N1090" s="13">
        <v>2184.7800000000002</v>
      </c>
      <c r="O1090" s="13">
        <v>0</v>
      </c>
      <c r="P1090" s="11">
        <f t="shared" si="121"/>
        <v>0</v>
      </c>
    </row>
    <row r="1091" spans="1:16" ht="18.75" customHeight="1" thickBot="1" x14ac:dyDescent="0.3">
      <c r="A1091" s="3" t="s">
        <v>11</v>
      </c>
      <c r="B1091" s="4">
        <v>469019</v>
      </c>
      <c r="C1091" s="3" t="s">
        <v>9</v>
      </c>
      <c r="D1091" s="18">
        <v>0.1</v>
      </c>
      <c r="E1091" s="21">
        <f t="shared" si="120"/>
        <v>7.9741404289037643E-3</v>
      </c>
      <c r="F1091" s="5">
        <v>38506</v>
      </c>
      <c r="G1091" s="5">
        <v>38901</v>
      </c>
      <c r="H1091" s="16">
        <f t="shared" ref="H1091:H1154" si="123">G1091-F1091</f>
        <v>395</v>
      </c>
      <c r="I1091" s="5">
        <v>38901</v>
      </c>
      <c r="J1091" s="5">
        <v>38540</v>
      </c>
      <c r="K1091" s="16">
        <f t="shared" ref="K1091:K1154" si="124">J1091-F1091</f>
        <v>34</v>
      </c>
      <c r="L1091" s="13">
        <v>3316.51</v>
      </c>
      <c r="M1091" s="15">
        <f t="shared" si="122"/>
        <v>266.34338456941299</v>
      </c>
      <c r="N1091" s="13">
        <v>3316.51</v>
      </c>
      <c r="O1091" s="13">
        <v>0</v>
      </c>
      <c r="P1091" s="11">
        <f t="shared" si="121"/>
        <v>0</v>
      </c>
    </row>
    <row r="1092" spans="1:16" ht="18.75" customHeight="1" thickBot="1" x14ac:dyDescent="0.3">
      <c r="A1092" s="3" t="s">
        <v>11</v>
      </c>
      <c r="B1092" s="4">
        <v>308747</v>
      </c>
      <c r="C1092" s="3" t="s">
        <v>9</v>
      </c>
      <c r="D1092" s="18">
        <v>9.7500000000000003E-2</v>
      </c>
      <c r="E1092" s="21">
        <f t="shared" si="120"/>
        <v>7.7830370878799737E-3</v>
      </c>
      <c r="F1092" s="5">
        <v>38517</v>
      </c>
      <c r="G1092" s="5">
        <v>38790</v>
      </c>
      <c r="H1092" s="16">
        <f t="shared" si="123"/>
        <v>273</v>
      </c>
      <c r="I1092" s="5">
        <v>38790</v>
      </c>
      <c r="J1092" s="5">
        <v>40350</v>
      </c>
      <c r="K1092" s="16">
        <f t="shared" si="124"/>
        <v>1833</v>
      </c>
      <c r="L1092" s="13">
        <v>167460</v>
      </c>
      <c r="M1092" s="15">
        <f t="shared" si="122"/>
        <v>19133.053574829981</v>
      </c>
      <c r="N1092" s="13">
        <v>167460</v>
      </c>
      <c r="O1092" s="13">
        <v>0</v>
      </c>
      <c r="P1092" s="11">
        <f t="shared" si="121"/>
        <v>0</v>
      </c>
    </row>
    <row r="1093" spans="1:16" ht="18.75" customHeight="1" thickBot="1" x14ac:dyDescent="0.3">
      <c r="A1093" s="3" t="s">
        <v>11</v>
      </c>
      <c r="B1093" s="4">
        <v>81971</v>
      </c>
      <c r="C1093" s="3" t="s">
        <v>2</v>
      </c>
      <c r="D1093" s="18">
        <v>0.06</v>
      </c>
      <c r="E1093" s="21">
        <f t="shared" si="120"/>
        <v>4.8675505653430484E-3</v>
      </c>
      <c r="F1093" s="5">
        <v>38518</v>
      </c>
      <c r="G1093" s="5">
        <v>39979</v>
      </c>
      <c r="H1093" s="16">
        <f t="shared" si="123"/>
        <v>1461</v>
      </c>
      <c r="I1093" s="5">
        <v>43449</v>
      </c>
      <c r="J1093" s="5">
        <v>43734</v>
      </c>
      <c r="K1093" s="16">
        <f t="shared" si="124"/>
        <v>5216</v>
      </c>
      <c r="L1093" s="13">
        <v>38000</v>
      </c>
      <c r="M1093" s="15">
        <f t="shared" si="122"/>
        <v>878.3100489611727</v>
      </c>
      <c r="N1093" s="13">
        <v>2500</v>
      </c>
      <c r="O1093" s="13">
        <v>0</v>
      </c>
      <c r="P1093" s="11">
        <f t="shared" si="121"/>
        <v>0</v>
      </c>
    </row>
    <row r="1094" spans="1:16" ht="18.75" customHeight="1" thickBot="1" x14ac:dyDescent="0.3">
      <c r="A1094" s="3" t="s">
        <v>11</v>
      </c>
      <c r="B1094" s="4">
        <v>519675</v>
      </c>
      <c r="C1094" s="3" t="s">
        <v>9</v>
      </c>
      <c r="D1094" s="18">
        <v>0.1</v>
      </c>
      <c r="E1094" s="21">
        <f t="shared" si="120"/>
        <v>7.9741404289037643E-3</v>
      </c>
      <c r="F1094" s="5">
        <v>38525</v>
      </c>
      <c r="G1094" s="5">
        <v>38890</v>
      </c>
      <c r="H1094" s="16">
        <f t="shared" si="123"/>
        <v>365</v>
      </c>
      <c r="I1094" s="5">
        <v>38890</v>
      </c>
      <c r="J1094" s="5">
        <v>38705</v>
      </c>
      <c r="K1094" s="16">
        <f t="shared" si="124"/>
        <v>180</v>
      </c>
      <c r="L1094" s="13">
        <v>1083.67</v>
      </c>
      <c r="M1094" s="15">
        <f t="shared" si="122"/>
        <v>93.81366520411531</v>
      </c>
      <c r="N1094" s="13">
        <v>1083.67</v>
      </c>
      <c r="O1094" s="13">
        <v>0</v>
      </c>
      <c r="P1094" s="11">
        <f t="shared" si="121"/>
        <v>0</v>
      </c>
    </row>
    <row r="1095" spans="1:16" ht="18.75" customHeight="1" thickBot="1" x14ac:dyDescent="0.3">
      <c r="A1095" s="3" t="s">
        <v>11</v>
      </c>
      <c r="B1095" s="4">
        <v>481966</v>
      </c>
      <c r="C1095" s="3" t="s">
        <v>9</v>
      </c>
      <c r="D1095" s="18">
        <v>0.12</v>
      </c>
      <c r="E1095" s="21">
        <f t="shared" si="120"/>
        <v>9.4887929345830457E-3</v>
      </c>
      <c r="F1095" s="5">
        <v>38525</v>
      </c>
      <c r="G1095" s="5">
        <v>40320</v>
      </c>
      <c r="H1095" s="16">
        <f t="shared" si="123"/>
        <v>1795</v>
      </c>
      <c r="I1095" s="5">
        <v>40320</v>
      </c>
      <c r="J1095" s="5">
        <v>40704</v>
      </c>
      <c r="K1095" s="16">
        <f t="shared" si="124"/>
        <v>2179</v>
      </c>
      <c r="L1095" s="13">
        <v>4.5999999999999996</v>
      </c>
      <c r="M1095" s="15">
        <f t="shared" si="122"/>
        <v>0.10111313402980794</v>
      </c>
      <c r="N1095" s="13">
        <v>4.5999999999999996</v>
      </c>
      <c r="O1095" s="13">
        <v>4.5999999999999996</v>
      </c>
      <c r="P1095" s="11">
        <f t="shared" si="121"/>
        <v>0</v>
      </c>
    </row>
    <row r="1096" spans="1:16" ht="18.75" customHeight="1" thickBot="1" x14ac:dyDescent="0.3">
      <c r="A1096" s="3" t="s">
        <v>11</v>
      </c>
      <c r="B1096" s="4">
        <v>590007</v>
      </c>
      <c r="C1096" s="3" t="s">
        <v>9</v>
      </c>
      <c r="D1096" s="18">
        <v>0.1</v>
      </c>
      <c r="E1096" s="21">
        <f t="shared" si="120"/>
        <v>7.9741404289037643E-3</v>
      </c>
      <c r="F1096" s="5">
        <v>38527</v>
      </c>
      <c r="G1096" s="5">
        <v>38984</v>
      </c>
      <c r="H1096" s="16">
        <f t="shared" si="123"/>
        <v>457</v>
      </c>
      <c r="I1096" s="5">
        <v>38984</v>
      </c>
      <c r="J1096" s="5">
        <v>39203</v>
      </c>
      <c r="K1096" s="16">
        <f t="shared" si="124"/>
        <v>676</v>
      </c>
      <c r="L1096" s="13">
        <v>2278.2800000000002</v>
      </c>
      <c r="M1096" s="15">
        <f t="shared" si="122"/>
        <v>159.42116565885772</v>
      </c>
      <c r="N1096" s="13">
        <v>2278.2800000000002</v>
      </c>
      <c r="O1096" s="13">
        <v>0</v>
      </c>
      <c r="P1096" s="11">
        <f t="shared" si="121"/>
        <v>0</v>
      </c>
    </row>
    <row r="1097" spans="1:16" ht="18.75" customHeight="1" thickBot="1" x14ac:dyDescent="0.3">
      <c r="A1097" s="3" t="s">
        <v>11</v>
      </c>
      <c r="B1097" s="4">
        <v>121960</v>
      </c>
      <c r="C1097" s="3" t="s">
        <v>9</v>
      </c>
      <c r="D1097" s="18">
        <v>0.12</v>
      </c>
      <c r="E1097" s="21">
        <f t="shared" si="120"/>
        <v>9.4887929345830457E-3</v>
      </c>
      <c r="F1097" s="5">
        <v>38539</v>
      </c>
      <c r="G1097" s="5">
        <v>38723</v>
      </c>
      <c r="H1097" s="16">
        <f t="shared" si="123"/>
        <v>184</v>
      </c>
      <c r="I1097" s="5">
        <v>38723</v>
      </c>
      <c r="J1097" s="5">
        <v>38581</v>
      </c>
      <c r="K1097" s="16">
        <f t="shared" si="124"/>
        <v>42</v>
      </c>
      <c r="L1097" s="13">
        <v>420.59</v>
      </c>
      <c r="M1097" s="15">
        <f t="shared" si="122"/>
        <v>70.913997352936278</v>
      </c>
      <c r="N1097" s="13">
        <v>420.59</v>
      </c>
      <c r="O1097" s="13">
        <v>0</v>
      </c>
      <c r="P1097" s="11">
        <f t="shared" si="121"/>
        <v>0</v>
      </c>
    </row>
    <row r="1098" spans="1:16" ht="18.75" customHeight="1" thickBot="1" x14ac:dyDescent="0.3">
      <c r="A1098" s="3" t="s">
        <v>11</v>
      </c>
      <c r="B1098" s="4">
        <v>590077</v>
      </c>
      <c r="C1098" s="3" t="s">
        <v>9</v>
      </c>
      <c r="D1098" s="18">
        <v>0.1</v>
      </c>
      <c r="E1098" s="21">
        <f t="shared" si="120"/>
        <v>7.9741404289037643E-3</v>
      </c>
      <c r="F1098" s="5">
        <v>38545</v>
      </c>
      <c r="G1098" s="5">
        <v>38910</v>
      </c>
      <c r="H1098" s="16">
        <f t="shared" si="123"/>
        <v>365</v>
      </c>
      <c r="I1098" s="5">
        <v>38910</v>
      </c>
      <c r="J1098" s="5">
        <v>38705</v>
      </c>
      <c r="K1098" s="16">
        <f t="shared" si="124"/>
        <v>160</v>
      </c>
      <c r="L1098" s="13">
        <v>1138.97</v>
      </c>
      <c r="M1098" s="15">
        <f t="shared" si="122"/>
        <v>98.601004233328595</v>
      </c>
      <c r="N1098" s="13">
        <v>1138.97</v>
      </c>
      <c r="O1098" s="13">
        <v>0</v>
      </c>
      <c r="P1098" s="11">
        <f t="shared" si="121"/>
        <v>0</v>
      </c>
    </row>
    <row r="1099" spans="1:16" ht="18.75" customHeight="1" thickBot="1" x14ac:dyDescent="0.3">
      <c r="A1099" s="3" t="s">
        <v>11</v>
      </c>
      <c r="B1099" s="4">
        <v>34266</v>
      </c>
      <c r="C1099" s="3" t="s">
        <v>9</v>
      </c>
      <c r="D1099" s="18">
        <v>0.1</v>
      </c>
      <c r="E1099" s="21">
        <f t="shared" si="120"/>
        <v>7.9741404289037643E-3</v>
      </c>
      <c r="F1099" s="5">
        <v>38551</v>
      </c>
      <c r="G1099" s="5">
        <v>40742</v>
      </c>
      <c r="H1099" s="16">
        <f t="shared" si="123"/>
        <v>2191</v>
      </c>
      <c r="I1099" s="5">
        <v>40742</v>
      </c>
      <c r="J1099" s="5">
        <v>40522</v>
      </c>
      <c r="K1099" s="16">
        <f t="shared" si="124"/>
        <v>1971</v>
      </c>
      <c r="L1099" s="13">
        <v>16330.39</v>
      </c>
      <c r="M1099" s="15">
        <f t="shared" si="122"/>
        <v>295.86234674987799</v>
      </c>
      <c r="N1099" s="13">
        <v>16330.39</v>
      </c>
      <c r="O1099" s="13">
        <v>0</v>
      </c>
      <c r="P1099" s="11">
        <f t="shared" si="121"/>
        <v>0</v>
      </c>
    </row>
    <row r="1100" spans="1:16" ht="18.75" customHeight="1" thickBot="1" x14ac:dyDescent="0.3">
      <c r="A1100" s="3" t="s">
        <v>11</v>
      </c>
      <c r="B1100" s="4">
        <v>825427</v>
      </c>
      <c r="C1100" s="3" t="s">
        <v>9</v>
      </c>
      <c r="D1100" s="18">
        <v>0.1</v>
      </c>
      <c r="E1100" s="21">
        <f t="shared" si="120"/>
        <v>7.9741404289037643E-3</v>
      </c>
      <c r="F1100" s="5">
        <v>38583</v>
      </c>
      <c r="G1100" s="5">
        <v>40517</v>
      </c>
      <c r="H1100" s="16">
        <f t="shared" si="123"/>
        <v>1934</v>
      </c>
      <c r="I1100" s="5">
        <v>40517</v>
      </c>
      <c r="J1100" s="5">
        <v>40680</v>
      </c>
      <c r="K1100" s="16">
        <f t="shared" si="124"/>
        <v>2097</v>
      </c>
      <c r="L1100" s="13">
        <v>9023.74</v>
      </c>
      <c r="M1100" s="15">
        <f t="shared" si="122"/>
        <v>179.56790091910457</v>
      </c>
      <c r="N1100" s="13">
        <v>9023.74</v>
      </c>
      <c r="O1100" s="13">
        <v>0</v>
      </c>
      <c r="P1100" s="11">
        <f t="shared" si="121"/>
        <v>0</v>
      </c>
    </row>
    <row r="1101" spans="1:16" ht="18.75" customHeight="1" thickBot="1" x14ac:dyDescent="0.3">
      <c r="A1101" s="3" t="s">
        <v>11</v>
      </c>
      <c r="B1101" s="4">
        <v>520794</v>
      </c>
      <c r="C1101" s="3" t="s">
        <v>9</v>
      </c>
      <c r="D1101" s="18">
        <v>0.1</v>
      </c>
      <c r="E1101" s="21">
        <f t="shared" si="120"/>
        <v>7.9741404289037643E-3</v>
      </c>
      <c r="F1101" s="5">
        <v>38589</v>
      </c>
      <c r="G1101" s="5">
        <v>40293</v>
      </c>
      <c r="H1101" s="16">
        <f t="shared" si="123"/>
        <v>1704</v>
      </c>
      <c r="I1101" s="5">
        <v>40293</v>
      </c>
      <c r="J1101" s="5">
        <v>40641</v>
      </c>
      <c r="K1101" s="16">
        <f t="shared" si="124"/>
        <v>2052</v>
      </c>
      <c r="L1101" s="13">
        <v>3613.12</v>
      </c>
      <c r="M1101" s="15">
        <f t="shared" si="122"/>
        <v>79.349818161166112</v>
      </c>
      <c r="N1101" s="13">
        <v>3613.12</v>
      </c>
      <c r="O1101" s="13">
        <v>0</v>
      </c>
      <c r="P1101" s="11">
        <f t="shared" si="121"/>
        <v>0</v>
      </c>
    </row>
    <row r="1102" spans="1:16" ht="18.75" customHeight="1" thickBot="1" x14ac:dyDescent="0.3">
      <c r="A1102" s="3" t="s">
        <v>11</v>
      </c>
      <c r="B1102" s="4">
        <v>841228</v>
      </c>
      <c r="C1102" s="3" t="s">
        <v>9</v>
      </c>
      <c r="D1102" s="18">
        <v>0.13</v>
      </c>
      <c r="E1102" s="21">
        <f t="shared" si="120"/>
        <v>1.02368443581764E-2</v>
      </c>
      <c r="F1102" s="5">
        <v>38597</v>
      </c>
      <c r="G1102" s="5">
        <v>38870</v>
      </c>
      <c r="H1102" s="16">
        <f t="shared" si="123"/>
        <v>273</v>
      </c>
      <c r="I1102" s="5">
        <v>38870</v>
      </c>
      <c r="J1102" s="5">
        <v>38804</v>
      </c>
      <c r="K1102" s="16">
        <f t="shared" si="124"/>
        <v>207</v>
      </c>
      <c r="L1102" s="13">
        <v>225.17</v>
      </c>
      <c r="M1102" s="15">
        <f t="shared" si="122"/>
        <v>26.040706491740373</v>
      </c>
      <c r="N1102" s="13">
        <v>225.17</v>
      </c>
      <c r="O1102" s="13">
        <v>0</v>
      </c>
      <c r="P1102" s="11">
        <f t="shared" si="121"/>
        <v>0</v>
      </c>
    </row>
    <row r="1103" spans="1:16" ht="18.75" hidden="1" customHeight="1" thickBot="1" x14ac:dyDescent="0.3">
      <c r="A1103" s="3" t="s">
        <v>11</v>
      </c>
      <c r="B1103" s="4">
        <v>324159</v>
      </c>
      <c r="C1103" s="3" t="s">
        <v>9</v>
      </c>
      <c r="D1103" s="18">
        <v>0.1</v>
      </c>
      <c r="E1103" s="21">
        <f t="shared" si="120"/>
        <v>7.9741404289037643E-3</v>
      </c>
      <c r="F1103" s="5">
        <v>38604</v>
      </c>
      <c r="G1103" s="5">
        <v>39060</v>
      </c>
      <c r="H1103" s="16">
        <f t="shared" si="123"/>
        <v>456</v>
      </c>
      <c r="I1103" s="5">
        <v>39060</v>
      </c>
      <c r="J1103" s="2"/>
      <c r="K1103" s="16">
        <f t="shared" si="124"/>
        <v>-38604</v>
      </c>
      <c r="L1103" s="13">
        <v>4102.96</v>
      </c>
      <c r="M1103" s="15">
        <f t="shared" si="122"/>
        <v>287.69425594193126</v>
      </c>
      <c r="N1103" s="13">
        <v>4102.96</v>
      </c>
      <c r="O1103" s="13">
        <v>0</v>
      </c>
      <c r="P1103" s="11">
        <f t="shared" si="121"/>
        <v>0</v>
      </c>
    </row>
    <row r="1104" spans="1:16" ht="18.75" customHeight="1" thickBot="1" x14ac:dyDescent="0.3">
      <c r="A1104" s="3" t="s">
        <v>11</v>
      </c>
      <c r="B1104" s="4">
        <v>903512</v>
      </c>
      <c r="C1104" s="3" t="s">
        <v>9</v>
      </c>
      <c r="D1104" s="18">
        <v>0.1</v>
      </c>
      <c r="E1104" s="21">
        <f t="shared" si="120"/>
        <v>7.9741404289037643E-3</v>
      </c>
      <c r="F1104" s="5">
        <v>38608</v>
      </c>
      <c r="G1104" s="5">
        <v>40799</v>
      </c>
      <c r="H1104" s="16">
        <f t="shared" si="123"/>
        <v>2191</v>
      </c>
      <c r="I1104" s="5">
        <v>40799</v>
      </c>
      <c r="J1104" s="5">
        <v>39309</v>
      </c>
      <c r="K1104" s="16">
        <f t="shared" si="124"/>
        <v>701</v>
      </c>
      <c r="L1104" s="13">
        <v>7300</v>
      </c>
      <c r="M1104" s="15">
        <f t="shared" si="122"/>
        <v>132.25618808087924</v>
      </c>
      <c r="N1104" s="13">
        <v>7300</v>
      </c>
      <c r="O1104" s="13">
        <v>0</v>
      </c>
      <c r="P1104" s="11">
        <f t="shared" si="121"/>
        <v>0</v>
      </c>
    </row>
    <row r="1105" spans="1:16" ht="18.75" customHeight="1" thickBot="1" x14ac:dyDescent="0.3">
      <c r="A1105" s="3" t="s">
        <v>11</v>
      </c>
      <c r="B1105" s="4">
        <v>208392</v>
      </c>
      <c r="C1105" s="3" t="s">
        <v>9</v>
      </c>
      <c r="D1105" s="18">
        <v>0.1</v>
      </c>
      <c r="E1105" s="21">
        <f t="shared" si="120"/>
        <v>7.9741404289037643E-3</v>
      </c>
      <c r="F1105" s="5">
        <v>38614</v>
      </c>
      <c r="G1105" s="5">
        <v>39070</v>
      </c>
      <c r="H1105" s="16">
        <f t="shared" si="123"/>
        <v>456</v>
      </c>
      <c r="I1105" s="5">
        <v>39070</v>
      </c>
      <c r="J1105" s="5">
        <v>38812</v>
      </c>
      <c r="K1105" s="16">
        <f t="shared" si="124"/>
        <v>198</v>
      </c>
      <c r="L1105" s="13">
        <v>15000</v>
      </c>
      <c r="M1105" s="15">
        <f t="shared" si="122"/>
        <v>1051.780626457233</v>
      </c>
      <c r="N1105" s="13">
        <v>15000</v>
      </c>
      <c r="O1105" s="13">
        <v>0</v>
      </c>
      <c r="P1105" s="11">
        <f t="shared" si="121"/>
        <v>0</v>
      </c>
    </row>
    <row r="1106" spans="1:16" ht="18.75" customHeight="1" thickBot="1" x14ac:dyDescent="0.3">
      <c r="A1106" s="3" t="s">
        <v>11</v>
      </c>
      <c r="B1106" s="4">
        <v>982433</v>
      </c>
      <c r="C1106" s="3" t="s">
        <v>9</v>
      </c>
      <c r="D1106" s="18">
        <v>0.11</v>
      </c>
      <c r="E1106" s="21">
        <f t="shared" ref="E1106:E1149" si="125">(1+D1106)^(1/12)-1</f>
        <v>8.7345938235519061E-3</v>
      </c>
      <c r="F1106" s="5">
        <v>38614</v>
      </c>
      <c r="G1106" s="5">
        <v>39101</v>
      </c>
      <c r="H1106" s="16">
        <f t="shared" si="123"/>
        <v>487</v>
      </c>
      <c r="I1106" s="5">
        <v>39101</v>
      </c>
      <c r="J1106" s="5">
        <v>38803</v>
      </c>
      <c r="K1106" s="16">
        <f t="shared" si="124"/>
        <v>189</v>
      </c>
      <c r="L1106" s="13">
        <v>3308.58</v>
      </c>
      <c r="M1106" s="15">
        <f t="shared" si="122"/>
        <v>219.49221538101847</v>
      </c>
      <c r="N1106" s="13">
        <v>3308.58</v>
      </c>
      <c r="O1106" s="13">
        <v>0</v>
      </c>
      <c r="P1106" s="11">
        <f t="shared" ref="P1106:P1149" si="126">IF((G1106)&gt;(ConstantDateCutoff),1,0)</f>
        <v>0</v>
      </c>
    </row>
    <row r="1107" spans="1:16" ht="18.75" customHeight="1" thickBot="1" x14ac:dyDescent="0.3">
      <c r="A1107" s="3" t="s">
        <v>11</v>
      </c>
      <c r="B1107" s="4">
        <v>93968</v>
      </c>
      <c r="C1107" s="3" t="s">
        <v>9</v>
      </c>
      <c r="D1107" s="18">
        <v>0.1</v>
      </c>
      <c r="E1107" s="21">
        <f t="shared" si="125"/>
        <v>7.9741404289037643E-3</v>
      </c>
      <c r="F1107" s="5">
        <v>38622</v>
      </c>
      <c r="G1107" s="5">
        <v>39718</v>
      </c>
      <c r="H1107" s="16">
        <f t="shared" si="123"/>
        <v>1096</v>
      </c>
      <c r="I1107" s="5">
        <v>39718</v>
      </c>
      <c r="J1107" s="5">
        <v>40024</v>
      </c>
      <c r="K1107" s="16">
        <f t="shared" si="124"/>
        <v>1402</v>
      </c>
      <c r="L1107" s="13">
        <v>1953.71</v>
      </c>
      <c r="M1107" s="15">
        <f t="shared" si="122"/>
        <v>61.856163569762536</v>
      </c>
      <c r="N1107" s="13">
        <v>1953.71</v>
      </c>
      <c r="O1107" s="13">
        <v>0</v>
      </c>
      <c r="P1107" s="11">
        <f t="shared" si="126"/>
        <v>0</v>
      </c>
    </row>
    <row r="1108" spans="1:16" ht="18.75" customHeight="1" thickBot="1" x14ac:dyDescent="0.3">
      <c r="A1108" s="3" t="s">
        <v>11</v>
      </c>
      <c r="B1108" s="4">
        <v>524364</v>
      </c>
      <c r="C1108" s="3" t="s">
        <v>9</v>
      </c>
      <c r="D1108" s="18">
        <v>0.1</v>
      </c>
      <c r="E1108" s="21">
        <f t="shared" si="125"/>
        <v>7.9741404289037643E-3</v>
      </c>
      <c r="F1108" s="5">
        <v>38625</v>
      </c>
      <c r="G1108" s="5">
        <v>39416</v>
      </c>
      <c r="H1108" s="16">
        <f t="shared" si="123"/>
        <v>791</v>
      </c>
      <c r="I1108" s="5">
        <v>39416</v>
      </c>
      <c r="J1108" s="5">
        <v>39009</v>
      </c>
      <c r="K1108" s="16">
        <f t="shared" si="124"/>
        <v>384</v>
      </c>
      <c r="L1108" s="13">
        <v>2632.73</v>
      </c>
      <c r="M1108" s="15">
        <f t="shared" si="122"/>
        <v>111.11126386736035</v>
      </c>
      <c r="N1108" s="13">
        <v>2632.73</v>
      </c>
      <c r="O1108" s="13">
        <v>0</v>
      </c>
      <c r="P1108" s="11">
        <f t="shared" si="126"/>
        <v>0</v>
      </c>
    </row>
    <row r="1109" spans="1:16" ht="18.75" customHeight="1" thickBot="1" x14ac:dyDescent="0.3">
      <c r="A1109" s="3" t="s">
        <v>11</v>
      </c>
      <c r="B1109" s="4">
        <v>127994</v>
      </c>
      <c r="C1109" s="3" t="s">
        <v>9</v>
      </c>
      <c r="D1109" s="18">
        <v>0.1</v>
      </c>
      <c r="E1109" s="21">
        <f t="shared" si="125"/>
        <v>7.9741404289037643E-3</v>
      </c>
      <c r="F1109" s="5">
        <v>38625</v>
      </c>
      <c r="G1109" s="5">
        <v>39169</v>
      </c>
      <c r="H1109" s="16">
        <f t="shared" si="123"/>
        <v>544</v>
      </c>
      <c r="I1109" s="5">
        <v>39169</v>
      </c>
      <c r="J1109" s="5">
        <v>42447</v>
      </c>
      <c r="K1109" s="16">
        <f t="shared" si="124"/>
        <v>3822</v>
      </c>
      <c r="L1109" s="13">
        <v>11008.57</v>
      </c>
      <c r="M1109" s="15">
        <f t="shared" si="122"/>
        <v>654.45272632242097</v>
      </c>
      <c r="N1109" s="13">
        <v>11008.57</v>
      </c>
      <c r="O1109" s="13">
        <v>0</v>
      </c>
      <c r="P1109" s="11">
        <f t="shared" si="126"/>
        <v>0</v>
      </c>
    </row>
    <row r="1110" spans="1:16" ht="18.75" customHeight="1" thickBot="1" x14ac:dyDescent="0.3">
      <c r="A1110" s="3" t="s">
        <v>11</v>
      </c>
      <c r="B1110" s="4">
        <v>973042</v>
      </c>
      <c r="C1110" s="3" t="s">
        <v>9</v>
      </c>
      <c r="D1110" s="18">
        <v>0.11</v>
      </c>
      <c r="E1110" s="21">
        <f t="shared" si="125"/>
        <v>8.7345938235519061E-3</v>
      </c>
      <c r="F1110" s="5">
        <v>38642</v>
      </c>
      <c r="G1110" s="5">
        <v>39433</v>
      </c>
      <c r="H1110" s="16">
        <f t="shared" si="123"/>
        <v>791</v>
      </c>
      <c r="I1110" s="5">
        <v>39433</v>
      </c>
      <c r="J1110" s="5">
        <v>39500</v>
      </c>
      <c r="K1110" s="16">
        <f t="shared" si="124"/>
        <v>858</v>
      </c>
      <c r="L1110" s="13">
        <v>2137.89</v>
      </c>
      <c r="M1110" s="15">
        <f t="shared" si="122"/>
        <v>91.129972763128109</v>
      </c>
      <c r="N1110" s="13">
        <v>2137.89</v>
      </c>
      <c r="O1110" s="13">
        <v>0</v>
      </c>
      <c r="P1110" s="11">
        <f t="shared" si="126"/>
        <v>0</v>
      </c>
    </row>
    <row r="1111" spans="1:16" ht="18.75" customHeight="1" thickBot="1" x14ac:dyDescent="0.3">
      <c r="A1111" s="3" t="s">
        <v>11</v>
      </c>
      <c r="B1111" s="4">
        <v>859708</v>
      </c>
      <c r="C1111" s="3" t="s">
        <v>9</v>
      </c>
      <c r="D1111" s="18">
        <v>0.1</v>
      </c>
      <c r="E1111" s="21">
        <f t="shared" si="125"/>
        <v>7.9741404289037643E-3</v>
      </c>
      <c r="F1111" s="5">
        <v>38658</v>
      </c>
      <c r="G1111" s="5">
        <v>40946</v>
      </c>
      <c r="H1111" s="16">
        <f t="shared" si="123"/>
        <v>2288</v>
      </c>
      <c r="I1111" s="5">
        <v>40946</v>
      </c>
      <c r="J1111" s="5">
        <v>39680</v>
      </c>
      <c r="K1111" s="16">
        <f t="shared" si="124"/>
        <v>1022</v>
      </c>
      <c r="L1111" s="13">
        <v>17144.84</v>
      </c>
      <c r="M1111" s="15">
        <f t="shared" si="122"/>
        <v>300.91344466191993</v>
      </c>
      <c r="N1111" s="13">
        <v>17144.84</v>
      </c>
      <c r="O1111" s="13">
        <v>0</v>
      </c>
      <c r="P1111" s="11">
        <f t="shared" si="126"/>
        <v>0</v>
      </c>
    </row>
    <row r="1112" spans="1:16" ht="18.75" customHeight="1" thickBot="1" x14ac:dyDescent="0.3">
      <c r="A1112" s="3" t="s">
        <v>11</v>
      </c>
      <c r="B1112" s="4">
        <v>860040</v>
      </c>
      <c r="C1112" s="3" t="s">
        <v>9</v>
      </c>
      <c r="D1112" s="18">
        <v>0.12</v>
      </c>
      <c r="E1112" s="21">
        <f t="shared" si="125"/>
        <v>9.4887929345830457E-3</v>
      </c>
      <c r="F1112" s="5">
        <v>38699</v>
      </c>
      <c r="G1112" s="5">
        <v>39064</v>
      </c>
      <c r="H1112" s="16">
        <f t="shared" si="123"/>
        <v>365</v>
      </c>
      <c r="I1112" s="5">
        <v>39064</v>
      </c>
      <c r="J1112" s="5">
        <v>38911</v>
      </c>
      <c r="K1112" s="16">
        <f t="shared" si="124"/>
        <v>212</v>
      </c>
      <c r="L1112" s="13">
        <v>563.61</v>
      </c>
      <c r="M1112" s="15">
        <f t="shared" si="122"/>
        <v>49.268729720114109</v>
      </c>
      <c r="N1112" s="13">
        <v>563.61</v>
      </c>
      <c r="O1112" s="13">
        <v>0</v>
      </c>
      <c r="P1112" s="11">
        <f t="shared" si="126"/>
        <v>0</v>
      </c>
    </row>
    <row r="1113" spans="1:16" ht="18.75" customHeight="1" thickBot="1" x14ac:dyDescent="0.3">
      <c r="A1113" s="3" t="s">
        <v>11</v>
      </c>
      <c r="B1113" s="4">
        <v>751479</v>
      </c>
      <c r="C1113" s="3" t="s">
        <v>9</v>
      </c>
      <c r="D1113" s="18">
        <v>0.115</v>
      </c>
      <c r="E1113" s="21">
        <f t="shared" si="125"/>
        <v>9.1124684369046083E-3</v>
      </c>
      <c r="F1113" s="5">
        <v>38716</v>
      </c>
      <c r="G1113" s="5">
        <v>39537</v>
      </c>
      <c r="H1113" s="16">
        <f t="shared" si="123"/>
        <v>821</v>
      </c>
      <c r="I1113" s="5">
        <v>39537</v>
      </c>
      <c r="J1113" s="5">
        <v>39212</v>
      </c>
      <c r="K1113" s="16">
        <f t="shared" si="124"/>
        <v>496</v>
      </c>
      <c r="L1113" s="13">
        <v>4691.28</v>
      </c>
      <c r="M1113" s="15">
        <f t="shared" si="122"/>
        <v>194.46103667868763</v>
      </c>
      <c r="N1113" s="13">
        <v>4691.28</v>
      </c>
      <c r="O1113" s="13">
        <v>0</v>
      </c>
      <c r="P1113" s="11">
        <f t="shared" si="126"/>
        <v>0</v>
      </c>
    </row>
    <row r="1114" spans="1:16" ht="18.75" customHeight="1" thickBot="1" x14ac:dyDescent="0.3">
      <c r="A1114" s="3" t="s">
        <v>11</v>
      </c>
      <c r="B1114" s="4">
        <v>639828</v>
      </c>
      <c r="C1114" s="3" t="s">
        <v>9</v>
      </c>
      <c r="D1114" s="18">
        <v>0.1</v>
      </c>
      <c r="E1114" s="21">
        <f t="shared" si="125"/>
        <v>7.9741404289037643E-3</v>
      </c>
      <c r="F1114" s="5">
        <v>38716</v>
      </c>
      <c r="G1114" s="5">
        <v>39061</v>
      </c>
      <c r="H1114" s="16">
        <f t="shared" si="123"/>
        <v>345</v>
      </c>
      <c r="I1114" s="5">
        <v>39061</v>
      </c>
      <c r="J1114" s="5">
        <v>38812</v>
      </c>
      <c r="K1114" s="16">
        <f t="shared" si="124"/>
        <v>96</v>
      </c>
      <c r="L1114" s="13">
        <v>13500</v>
      </c>
      <c r="M1114" s="15">
        <f t="shared" si="122"/>
        <v>1233.2320484771526</v>
      </c>
      <c r="N1114" s="13">
        <v>13500</v>
      </c>
      <c r="O1114" s="13">
        <v>0</v>
      </c>
      <c r="P1114" s="11">
        <f t="shared" si="126"/>
        <v>0</v>
      </c>
    </row>
    <row r="1115" spans="1:16" ht="18.75" customHeight="1" thickBot="1" x14ac:dyDescent="0.3">
      <c r="A1115" s="3" t="s">
        <v>11</v>
      </c>
      <c r="B1115" s="4">
        <v>593339</v>
      </c>
      <c r="C1115" s="3" t="s">
        <v>9</v>
      </c>
      <c r="D1115" s="18">
        <v>0.09</v>
      </c>
      <c r="E1115" s="21">
        <f t="shared" si="125"/>
        <v>7.2073233161367156E-3</v>
      </c>
      <c r="F1115" s="5">
        <v>38716</v>
      </c>
      <c r="G1115" s="5">
        <v>39081</v>
      </c>
      <c r="H1115" s="16">
        <f t="shared" si="123"/>
        <v>365</v>
      </c>
      <c r="I1115" s="5">
        <v>39081</v>
      </c>
      <c r="J1115" s="5">
        <v>39443</v>
      </c>
      <c r="K1115" s="16">
        <f t="shared" si="124"/>
        <v>727</v>
      </c>
      <c r="L1115" s="13">
        <v>42603.11</v>
      </c>
      <c r="M1115" s="15">
        <f t="shared" si="122"/>
        <v>3669.9916888508214</v>
      </c>
      <c r="N1115" s="13">
        <v>42603.11</v>
      </c>
      <c r="O1115" s="13">
        <v>0</v>
      </c>
      <c r="P1115" s="11">
        <f t="shared" si="126"/>
        <v>0</v>
      </c>
    </row>
    <row r="1116" spans="1:16" ht="18.75" customHeight="1" thickBot="1" x14ac:dyDescent="0.3">
      <c r="A1116" s="3" t="s">
        <v>11</v>
      </c>
      <c r="B1116" s="4">
        <v>692760</v>
      </c>
      <c r="C1116" s="3" t="s">
        <v>9</v>
      </c>
      <c r="D1116" s="18">
        <v>9.5000000000000001E-2</v>
      </c>
      <c r="E1116" s="21">
        <f t="shared" si="125"/>
        <v>7.5915342905825689E-3</v>
      </c>
      <c r="F1116" s="5">
        <v>38734</v>
      </c>
      <c r="G1116" s="5">
        <v>39524</v>
      </c>
      <c r="H1116" s="16">
        <f t="shared" si="123"/>
        <v>790</v>
      </c>
      <c r="I1116" s="5">
        <v>39524</v>
      </c>
      <c r="J1116" s="5">
        <v>39395</v>
      </c>
      <c r="K1116" s="16">
        <f t="shared" si="124"/>
        <v>661</v>
      </c>
      <c r="L1116" s="13">
        <v>5406.4</v>
      </c>
      <c r="M1116" s="15">
        <f t="shared" si="122"/>
        <v>227.28678663430011</v>
      </c>
      <c r="N1116" s="13">
        <v>5406.4</v>
      </c>
      <c r="O1116" s="13">
        <v>0</v>
      </c>
      <c r="P1116" s="11">
        <f t="shared" si="126"/>
        <v>0</v>
      </c>
    </row>
    <row r="1117" spans="1:16" ht="18.75" customHeight="1" thickBot="1" x14ac:dyDescent="0.3">
      <c r="A1117" s="3" t="s">
        <v>11</v>
      </c>
      <c r="B1117" s="4">
        <v>450280</v>
      </c>
      <c r="C1117" s="3" t="s">
        <v>9</v>
      </c>
      <c r="D1117" s="18">
        <v>0.12</v>
      </c>
      <c r="E1117" s="21">
        <f t="shared" si="125"/>
        <v>9.4887929345830457E-3</v>
      </c>
      <c r="F1117" s="5">
        <v>38734</v>
      </c>
      <c r="G1117" s="5">
        <v>39130</v>
      </c>
      <c r="H1117" s="16">
        <f t="shared" si="123"/>
        <v>396</v>
      </c>
      <c r="I1117" s="5">
        <v>39130</v>
      </c>
      <c r="J1117" s="5">
        <v>38838</v>
      </c>
      <c r="K1117" s="16">
        <f t="shared" si="124"/>
        <v>104</v>
      </c>
      <c r="L1117" s="13">
        <v>2007.31</v>
      </c>
      <c r="M1117" s="15">
        <f t="shared" si="122"/>
        <v>162.5105708884825</v>
      </c>
      <c r="N1117" s="13">
        <v>2007.31</v>
      </c>
      <c r="O1117" s="13">
        <v>0</v>
      </c>
      <c r="P1117" s="11">
        <f t="shared" si="126"/>
        <v>0</v>
      </c>
    </row>
    <row r="1118" spans="1:16" ht="18.75" customHeight="1" thickBot="1" x14ac:dyDescent="0.3">
      <c r="A1118" s="3" t="s">
        <v>11</v>
      </c>
      <c r="B1118" s="4">
        <v>797076</v>
      </c>
      <c r="C1118" s="3" t="s">
        <v>9</v>
      </c>
      <c r="D1118" s="18">
        <v>0.1</v>
      </c>
      <c r="E1118" s="21">
        <f t="shared" si="125"/>
        <v>7.9741404289037643E-3</v>
      </c>
      <c r="F1118" s="5">
        <v>40350</v>
      </c>
      <c r="G1118" s="5">
        <v>40533</v>
      </c>
      <c r="H1118" s="16">
        <f t="shared" si="123"/>
        <v>183</v>
      </c>
      <c r="I1118" s="5">
        <v>40533</v>
      </c>
      <c r="J1118" s="5">
        <v>40374</v>
      </c>
      <c r="K1118" s="16">
        <f t="shared" si="124"/>
        <v>24</v>
      </c>
      <c r="L1118" s="13">
        <v>500.95</v>
      </c>
      <c r="M1118" s="15">
        <f t="shared" si="122"/>
        <v>84.463397710579756</v>
      </c>
      <c r="N1118" s="13">
        <v>500.95</v>
      </c>
      <c r="O1118" s="13">
        <v>0</v>
      </c>
      <c r="P1118" s="11">
        <f t="shared" si="126"/>
        <v>0</v>
      </c>
    </row>
    <row r="1119" spans="1:16" ht="18.75" customHeight="1" thickBot="1" x14ac:dyDescent="0.3">
      <c r="A1119" s="3" t="s">
        <v>11</v>
      </c>
      <c r="B1119" s="4">
        <v>426134</v>
      </c>
      <c r="C1119" s="3" t="s">
        <v>9</v>
      </c>
      <c r="D1119" s="18">
        <v>9.5000000000000001E-2</v>
      </c>
      <c r="E1119" s="21">
        <f t="shared" si="125"/>
        <v>7.5915342905825689E-3</v>
      </c>
      <c r="F1119" s="5">
        <v>38764</v>
      </c>
      <c r="G1119" s="5">
        <v>40590</v>
      </c>
      <c r="H1119" s="16">
        <f t="shared" si="123"/>
        <v>1826</v>
      </c>
      <c r="I1119" s="5">
        <v>40590</v>
      </c>
      <c r="J1119" s="5">
        <v>40203</v>
      </c>
      <c r="K1119" s="16">
        <f t="shared" si="124"/>
        <v>1439</v>
      </c>
      <c r="L1119" s="13">
        <v>16007.99</v>
      </c>
      <c r="M1119" s="15">
        <f t="shared" si="122"/>
        <v>329.40595490192732</v>
      </c>
      <c r="N1119" s="13">
        <v>16007.99</v>
      </c>
      <c r="O1119" s="13">
        <v>0</v>
      </c>
      <c r="P1119" s="11">
        <f t="shared" si="126"/>
        <v>0</v>
      </c>
    </row>
    <row r="1120" spans="1:16" ht="18.75" customHeight="1" thickBot="1" x14ac:dyDescent="0.3">
      <c r="A1120" s="3" t="s">
        <v>11</v>
      </c>
      <c r="B1120" s="4">
        <v>508394</v>
      </c>
      <c r="C1120" s="3" t="s">
        <v>2</v>
      </c>
      <c r="D1120" s="18">
        <v>0.06</v>
      </c>
      <c r="E1120" s="21">
        <f t="shared" si="125"/>
        <v>4.8675505653430484E-3</v>
      </c>
      <c r="F1120" s="5">
        <v>38765</v>
      </c>
      <c r="G1120" s="5">
        <v>40226</v>
      </c>
      <c r="H1120" s="16">
        <f t="shared" si="123"/>
        <v>1461</v>
      </c>
      <c r="I1120" s="5">
        <v>43523</v>
      </c>
      <c r="J1120" s="5">
        <v>43734</v>
      </c>
      <c r="K1120" s="16">
        <f t="shared" si="124"/>
        <v>4969</v>
      </c>
      <c r="L1120" s="13">
        <v>225000</v>
      </c>
      <c r="M1120" s="15">
        <f t="shared" si="122"/>
        <v>5200.5200267437849</v>
      </c>
      <c r="N1120" s="13">
        <v>11956.89</v>
      </c>
      <c r="O1120" s="13">
        <v>0</v>
      </c>
      <c r="P1120" s="11">
        <f t="shared" si="126"/>
        <v>0</v>
      </c>
    </row>
    <row r="1121" spans="1:16" ht="18.75" customHeight="1" thickBot="1" x14ac:dyDescent="0.3">
      <c r="A1121" s="3" t="s">
        <v>11</v>
      </c>
      <c r="B1121" s="4">
        <v>801454</v>
      </c>
      <c r="C1121" s="3" t="s">
        <v>9</v>
      </c>
      <c r="D1121" s="18">
        <v>0.11</v>
      </c>
      <c r="E1121" s="21">
        <f t="shared" si="125"/>
        <v>8.7345938235519061E-3</v>
      </c>
      <c r="F1121" s="5">
        <v>38769</v>
      </c>
      <c r="G1121" s="5">
        <v>39103</v>
      </c>
      <c r="H1121" s="16">
        <f t="shared" si="123"/>
        <v>334</v>
      </c>
      <c r="I1121" s="5">
        <v>39103</v>
      </c>
      <c r="J1121" s="5">
        <v>38847</v>
      </c>
      <c r="K1121" s="16">
        <f t="shared" si="124"/>
        <v>78</v>
      </c>
      <c r="L1121" s="13">
        <v>1266.5899999999999</v>
      </c>
      <c r="M1121" s="15">
        <f t="shared" si="122"/>
        <v>119.88252123049067</v>
      </c>
      <c r="N1121" s="13">
        <v>1266.5899999999999</v>
      </c>
      <c r="O1121" s="13">
        <v>0</v>
      </c>
      <c r="P1121" s="11">
        <f t="shared" si="126"/>
        <v>0</v>
      </c>
    </row>
    <row r="1122" spans="1:16" ht="18.75" customHeight="1" thickBot="1" x14ac:dyDescent="0.3">
      <c r="A1122" s="3" t="s">
        <v>11</v>
      </c>
      <c r="B1122" s="4">
        <v>130443</v>
      </c>
      <c r="C1122" s="3" t="s">
        <v>9</v>
      </c>
      <c r="D1122" s="18">
        <v>9.7500000000000003E-2</v>
      </c>
      <c r="E1122" s="21">
        <f t="shared" si="125"/>
        <v>7.7830370878799737E-3</v>
      </c>
      <c r="F1122" s="5">
        <v>38770</v>
      </c>
      <c r="G1122" s="5">
        <v>39073</v>
      </c>
      <c r="H1122" s="16">
        <f t="shared" si="123"/>
        <v>303</v>
      </c>
      <c r="I1122" s="5">
        <v>39073</v>
      </c>
      <c r="J1122" s="5">
        <v>40486</v>
      </c>
      <c r="K1122" s="16">
        <f t="shared" si="124"/>
        <v>1716</v>
      </c>
      <c r="L1122" s="13">
        <v>36718</v>
      </c>
      <c r="M1122" s="15">
        <f t="shared" si="122"/>
        <v>3794.3280571382302</v>
      </c>
      <c r="N1122" s="13">
        <v>36718</v>
      </c>
      <c r="O1122" s="13">
        <v>0</v>
      </c>
      <c r="P1122" s="11">
        <f t="shared" si="126"/>
        <v>0</v>
      </c>
    </row>
    <row r="1123" spans="1:16" ht="18.75" customHeight="1" thickBot="1" x14ac:dyDescent="0.3">
      <c r="A1123" s="3" t="s">
        <v>11</v>
      </c>
      <c r="B1123" s="4">
        <v>798580</v>
      </c>
      <c r="C1123" s="3" t="s">
        <v>9</v>
      </c>
      <c r="D1123" s="18">
        <v>0.12</v>
      </c>
      <c r="E1123" s="21">
        <f t="shared" si="125"/>
        <v>9.4887929345830457E-3</v>
      </c>
      <c r="F1123" s="5">
        <v>38772</v>
      </c>
      <c r="G1123" s="5">
        <v>39014</v>
      </c>
      <c r="H1123" s="16">
        <f t="shared" si="123"/>
        <v>242</v>
      </c>
      <c r="I1123" s="5">
        <v>39014</v>
      </c>
      <c r="J1123" s="5">
        <v>38810</v>
      </c>
      <c r="K1123" s="16">
        <f t="shared" si="124"/>
        <v>38</v>
      </c>
      <c r="L1123" s="13">
        <v>1347.88</v>
      </c>
      <c r="M1123" s="15">
        <f t="shared" si="122"/>
        <v>174.36013262159068</v>
      </c>
      <c r="N1123" s="13">
        <v>1347.88</v>
      </c>
      <c r="O1123" s="13">
        <v>0</v>
      </c>
      <c r="P1123" s="11">
        <f t="shared" si="126"/>
        <v>0</v>
      </c>
    </row>
    <row r="1124" spans="1:16" ht="18.75" customHeight="1" thickBot="1" x14ac:dyDescent="0.3">
      <c r="A1124" s="3" t="s">
        <v>11</v>
      </c>
      <c r="B1124" s="4">
        <v>111130</v>
      </c>
      <c r="C1124" s="3" t="s">
        <v>9</v>
      </c>
      <c r="D1124" s="18">
        <v>0.1</v>
      </c>
      <c r="E1124" s="21">
        <f t="shared" si="125"/>
        <v>7.9741404289037643E-3</v>
      </c>
      <c r="F1124" s="5">
        <v>38772</v>
      </c>
      <c r="G1124" s="5">
        <v>39562</v>
      </c>
      <c r="H1124" s="16">
        <f t="shared" si="123"/>
        <v>790</v>
      </c>
      <c r="I1124" s="5">
        <v>39562</v>
      </c>
      <c r="J1124" s="5">
        <v>39562</v>
      </c>
      <c r="K1124" s="16">
        <f t="shared" si="124"/>
        <v>790</v>
      </c>
      <c r="L1124" s="13">
        <v>8991.75</v>
      </c>
      <c r="M1124" s="15">
        <f t="shared" si="122"/>
        <v>379.91802172695452</v>
      </c>
      <c r="N1124" s="13">
        <v>8991.75</v>
      </c>
      <c r="O1124" s="13">
        <v>0</v>
      </c>
      <c r="P1124" s="11">
        <f t="shared" si="126"/>
        <v>0</v>
      </c>
    </row>
    <row r="1125" spans="1:16" ht="18.75" customHeight="1" thickBot="1" x14ac:dyDescent="0.3">
      <c r="A1125" s="3" t="s">
        <v>11</v>
      </c>
      <c r="B1125" s="4">
        <v>999310</v>
      </c>
      <c r="C1125" s="3" t="s">
        <v>9</v>
      </c>
      <c r="D1125" s="18">
        <v>0.1</v>
      </c>
      <c r="E1125" s="21">
        <f t="shared" si="125"/>
        <v>7.9741404289037643E-3</v>
      </c>
      <c r="F1125" s="5">
        <v>38791</v>
      </c>
      <c r="G1125" s="5">
        <v>40198</v>
      </c>
      <c r="H1125" s="16">
        <f t="shared" si="123"/>
        <v>1407</v>
      </c>
      <c r="I1125" s="5">
        <v>40198</v>
      </c>
      <c r="J1125" s="5">
        <v>40641</v>
      </c>
      <c r="K1125" s="16">
        <f t="shared" si="124"/>
        <v>1850</v>
      </c>
      <c r="L1125" s="13">
        <v>3214.82</v>
      </c>
      <c r="M1125" s="15">
        <f t="shared" si="122"/>
        <v>82.430859235061249</v>
      </c>
      <c r="N1125" s="13">
        <v>3214.82</v>
      </c>
      <c r="O1125" s="13">
        <v>0</v>
      </c>
      <c r="P1125" s="11">
        <f t="shared" si="126"/>
        <v>0</v>
      </c>
    </row>
    <row r="1126" spans="1:16" ht="18.75" customHeight="1" thickBot="1" x14ac:dyDescent="0.3">
      <c r="A1126" s="3" t="s">
        <v>11</v>
      </c>
      <c r="B1126" s="4">
        <v>859342</v>
      </c>
      <c r="C1126" s="3" t="s">
        <v>9</v>
      </c>
      <c r="D1126" s="18">
        <v>0.13</v>
      </c>
      <c r="E1126" s="21">
        <f t="shared" si="125"/>
        <v>1.02368443581764E-2</v>
      </c>
      <c r="F1126" s="5">
        <v>38797</v>
      </c>
      <c r="G1126" s="5">
        <v>39559</v>
      </c>
      <c r="H1126" s="16">
        <f t="shared" si="123"/>
        <v>762</v>
      </c>
      <c r="I1126" s="5">
        <v>39559</v>
      </c>
      <c r="J1126" s="5">
        <v>39038</v>
      </c>
      <c r="K1126" s="16">
        <f t="shared" si="124"/>
        <v>241</v>
      </c>
      <c r="L1126" s="13">
        <v>4589.8900000000003</v>
      </c>
      <c r="M1126" s="15">
        <f t="shared" si="122"/>
        <v>206.13246462229347</v>
      </c>
      <c r="N1126" s="13">
        <v>4589.8900000000003</v>
      </c>
      <c r="O1126" s="13">
        <v>0</v>
      </c>
      <c r="P1126" s="11">
        <f t="shared" si="126"/>
        <v>0</v>
      </c>
    </row>
    <row r="1127" spans="1:16" ht="18.75" customHeight="1" thickBot="1" x14ac:dyDescent="0.3">
      <c r="A1127" s="3" t="s">
        <v>11</v>
      </c>
      <c r="B1127" s="4">
        <v>424939</v>
      </c>
      <c r="C1127" s="3" t="s">
        <v>9</v>
      </c>
      <c r="D1127" s="18">
        <v>9.7500000000000003E-2</v>
      </c>
      <c r="E1127" s="21">
        <f t="shared" si="125"/>
        <v>7.7830370878799737E-3</v>
      </c>
      <c r="F1127" s="5">
        <v>38800</v>
      </c>
      <c r="G1127" s="5">
        <v>40066</v>
      </c>
      <c r="H1127" s="16">
        <f t="shared" si="123"/>
        <v>1266</v>
      </c>
      <c r="I1127" s="5">
        <v>40066</v>
      </c>
      <c r="J1127" s="5">
        <v>39721</v>
      </c>
      <c r="K1127" s="16">
        <f t="shared" si="124"/>
        <v>921</v>
      </c>
      <c r="L1127" s="13">
        <v>50456</v>
      </c>
      <c r="M1127" s="15">
        <f t="shared" si="122"/>
        <v>1407.3248085506268</v>
      </c>
      <c r="N1127" s="13">
        <v>217456</v>
      </c>
      <c r="O1127" s="13">
        <v>0</v>
      </c>
      <c r="P1127" s="11">
        <f t="shared" si="126"/>
        <v>0</v>
      </c>
    </row>
    <row r="1128" spans="1:16" ht="18.75" customHeight="1" thickBot="1" x14ac:dyDescent="0.3">
      <c r="A1128" s="3" t="s">
        <v>11</v>
      </c>
      <c r="B1128" s="4">
        <v>904454</v>
      </c>
      <c r="C1128" s="3" t="s">
        <v>9</v>
      </c>
      <c r="D1128" s="18">
        <v>9.7500000000000003E-2</v>
      </c>
      <c r="E1128" s="21">
        <f t="shared" si="125"/>
        <v>7.7830370878799737E-3</v>
      </c>
      <c r="F1128" s="5">
        <v>38800</v>
      </c>
      <c r="G1128" s="5">
        <v>40066</v>
      </c>
      <c r="H1128" s="16">
        <f t="shared" si="123"/>
        <v>1266</v>
      </c>
      <c r="I1128" s="5">
        <v>40066</v>
      </c>
      <c r="J1128" s="5">
        <v>43112</v>
      </c>
      <c r="K1128" s="16">
        <f t="shared" si="124"/>
        <v>4312</v>
      </c>
      <c r="L1128" s="13">
        <v>126452.06</v>
      </c>
      <c r="M1128" s="15">
        <f t="shared" si="122"/>
        <v>3527.0160363550895</v>
      </c>
      <c r="N1128" s="13">
        <v>126452.06</v>
      </c>
      <c r="O1128" s="13">
        <v>50000</v>
      </c>
      <c r="P1128" s="11">
        <f t="shared" si="126"/>
        <v>0</v>
      </c>
    </row>
    <row r="1129" spans="1:16" ht="18.75" customHeight="1" thickBot="1" x14ac:dyDescent="0.3">
      <c r="A1129" s="3" t="s">
        <v>11</v>
      </c>
      <c r="B1129" s="4">
        <v>840844</v>
      </c>
      <c r="C1129" s="3" t="s">
        <v>9</v>
      </c>
      <c r="D1129" s="18">
        <v>0.11</v>
      </c>
      <c r="E1129" s="21">
        <f t="shared" si="125"/>
        <v>8.7345938235519061E-3</v>
      </c>
      <c r="F1129" s="5">
        <v>38805</v>
      </c>
      <c r="G1129" s="5">
        <v>39536</v>
      </c>
      <c r="H1129" s="16">
        <f t="shared" si="123"/>
        <v>731</v>
      </c>
      <c r="I1129" s="5">
        <v>39536</v>
      </c>
      <c r="J1129" s="5">
        <v>39171</v>
      </c>
      <c r="K1129" s="16">
        <f t="shared" si="124"/>
        <v>366</v>
      </c>
      <c r="L1129" s="13">
        <v>2000</v>
      </c>
      <c r="M1129" s="15">
        <f t="shared" si="122"/>
        <v>91.480141405580341</v>
      </c>
      <c r="N1129" s="13">
        <v>2000</v>
      </c>
      <c r="O1129" s="13">
        <v>0</v>
      </c>
      <c r="P1129" s="11">
        <f t="shared" si="126"/>
        <v>0</v>
      </c>
    </row>
    <row r="1130" spans="1:16" ht="18.75" customHeight="1" thickBot="1" x14ac:dyDescent="0.3">
      <c r="A1130" s="3" t="s">
        <v>11</v>
      </c>
      <c r="B1130" s="4">
        <v>636185</v>
      </c>
      <c r="C1130" s="3" t="s">
        <v>9</v>
      </c>
      <c r="D1130" s="18">
        <v>0.1</v>
      </c>
      <c r="E1130" s="21">
        <f t="shared" si="125"/>
        <v>7.9741404289037643E-3</v>
      </c>
      <c r="F1130" s="5">
        <v>38806</v>
      </c>
      <c r="G1130" s="5">
        <v>38990</v>
      </c>
      <c r="H1130" s="16">
        <f t="shared" si="123"/>
        <v>184</v>
      </c>
      <c r="I1130" s="5">
        <v>38990</v>
      </c>
      <c r="J1130" s="5">
        <v>42915</v>
      </c>
      <c r="K1130" s="16">
        <f t="shared" si="124"/>
        <v>4109</v>
      </c>
      <c r="L1130" s="13">
        <v>235.8</v>
      </c>
      <c r="M1130" s="15">
        <f t="shared" si="122"/>
        <v>39.546518733029153</v>
      </c>
      <c r="N1130" s="13">
        <v>235.8</v>
      </c>
      <c r="O1130" s="13">
        <v>0</v>
      </c>
      <c r="P1130" s="11">
        <f t="shared" si="126"/>
        <v>0</v>
      </c>
    </row>
    <row r="1131" spans="1:16" ht="18.75" customHeight="1" thickBot="1" x14ac:dyDescent="0.3">
      <c r="A1131" s="3" t="s">
        <v>11</v>
      </c>
      <c r="B1131" s="4">
        <v>232163</v>
      </c>
      <c r="C1131" s="3" t="s">
        <v>9</v>
      </c>
      <c r="D1131" s="18">
        <v>0.105</v>
      </c>
      <c r="E1131" s="21">
        <f t="shared" si="125"/>
        <v>8.355155683635207E-3</v>
      </c>
      <c r="F1131" s="5">
        <v>38807</v>
      </c>
      <c r="G1131" s="5">
        <v>39903</v>
      </c>
      <c r="H1131" s="16">
        <f t="shared" si="123"/>
        <v>1096</v>
      </c>
      <c r="I1131" s="5">
        <v>39903</v>
      </c>
      <c r="J1131" s="5">
        <v>40147</v>
      </c>
      <c r="K1131" s="16">
        <f t="shared" si="124"/>
        <v>1340</v>
      </c>
      <c r="L1131" s="13">
        <v>10.33</v>
      </c>
      <c r="M1131" s="15">
        <f t="shared" si="122"/>
        <v>0.32927238747883014</v>
      </c>
      <c r="N1131" s="13">
        <v>10.33</v>
      </c>
      <c r="O1131" s="13">
        <v>0</v>
      </c>
      <c r="P1131" s="11">
        <f t="shared" si="126"/>
        <v>0</v>
      </c>
    </row>
    <row r="1132" spans="1:16" ht="18.75" hidden="1" customHeight="1" thickBot="1" x14ac:dyDescent="0.3">
      <c r="A1132" s="3" t="s">
        <v>11</v>
      </c>
      <c r="B1132" s="4">
        <v>423300</v>
      </c>
      <c r="C1132" s="3" t="s">
        <v>9</v>
      </c>
      <c r="D1132" s="18">
        <v>0.11</v>
      </c>
      <c r="E1132" s="21">
        <f t="shared" si="125"/>
        <v>8.7345938235519061E-3</v>
      </c>
      <c r="F1132" s="5">
        <v>38813</v>
      </c>
      <c r="G1132" s="5">
        <v>38874</v>
      </c>
      <c r="H1132" s="16">
        <f t="shared" si="123"/>
        <v>61</v>
      </c>
      <c r="I1132" s="5">
        <v>38874</v>
      </c>
      <c r="J1132" s="2"/>
      <c r="K1132" s="16">
        <f t="shared" si="124"/>
        <v>-38813</v>
      </c>
      <c r="L1132" s="13">
        <v>300</v>
      </c>
      <c r="M1132" s="15">
        <f t="shared" si="122"/>
        <v>149.49845538054487</v>
      </c>
      <c r="N1132" s="13">
        <v>300</v>
      </c>
      <c r="O1132" s="13">
        <v>0</v>
      </c>
      <c r="P1132" s="11">
        <f t="shared" si="126"/>
        <v>0</v>
      </c>
    </row>
    <row r="1133" spans="1:16" ht="18.75" customHeight="1" thickBot="1" x14ac:dyDescent="0.3">
      <c r="A1133" s="3" t="s">
        <v>11</v>
      </c>
      <c r="B1133" s="4">
        <v>294551</v>
      </c>
      <c r="C1133" s="3" t="s">
        <v>9</v>
      </c>
      <c r="D1133" s="18">
        <v>0.1</v>
      </c>
      <c r="E1133" s="21">
        <f t="shared" si="125"/>
        <v>7.9741404289037643E-3</v>
      </c>
      <c r="F1133" s="5">
        <v>38821</v>
      </c>
      <c r="G1133" s="5">
        <v>39766</v>
      </c>
      <c r="H1133" s="16">
        <f t="shared" si="123"/>
        <v>945</v>
      </c>
      <c r="I1133" s="5">
        <v>39766</v>
      </c>
      <c r="J1133" s="5">
        <v>41257</v>
      </c>
      <c r="K1133" s="16">
        <f t="shared" si="124"/>
        <v>2436</v>
      </c>
      <c r="L1133" s="13">
        <v>4.67</v>
      </c>
      <c r="M1133" s="15">
        <f t="shared" si="122"/>
        <v>0.16823949851365541</v>
      </c>
      <c r="N1133" s="13">
        <v>4.67</v>
      </c>
      <c r="O1133" s="13">
        <v>0</v>
      </c>
      <c r="P1133" s="11">
        <f t="shared" si="126"/>
        <v>0</v>
      </c>
    </row>
    <row r="1134" spans="1:16" ht="18.75" customHeight="1" thickBot="1" x14ac:dyDescent="0.3">
      <c r="A1134" s="3" t="s">
        <v>11</v>
      </c>
      <c r="B1134" s="4">
        <v>402226</v>
      </c>
      <c r="C1134" s="3" t="s">
        <v>9</v>
      </c>
      <c r="D1134" s="18">
        <v>0.1</v>
      </c>
      <c r="E1134" s="21">
        <f t="shared" si="125"/>
        <v>7.9741404289037643E-3</v>
      </c>
      <c r="F1134" s="5">
        <v>38856</v>
      </c>
      <c r="G1134" s="5">
        <v>40682</v>
      </c>
      <c r="H1134" s="16">
        <f t="shared" si="123"/>
        <v>1826</v>
      </c>
      <c r="I1134" s="5">
        <v>40682</v>
      </c>
      <c r="J1134" s="5">
        <v>41436</v>
      </c>
      <c r="K1134" s="16">
        <f t="shared" si="124"/>
        <v>2580</v>
      </c>
      <c r="L1134" s="13">
        <v>6001.45</v>
      </c>
      <c r="M1134" s="15">
        <f t="shared" si="122"/>
        <v>124.84123691839915</v>
      </c>
      <c r="N1134" s="13">
        <v>6001.45</v>
      </c>
      <c r="O1134" s="13">
        <v>0</v>
      </c>
      <c r="P1134" s="11">
        <f t="shared" si="126"/>
        <v>0</v>
      </c>
    </row>
    <row r="1135" spans="1:16" ht="18.75" customHeight="1" thickBot="1" x14ac:dyDescent="0.3">
      <c r="A1135" s="3" t="s">
        <v>11</v>
      </c>
      <c r="B1135" s="4">
        <v>74598</v>
      </c>
      <c r="C1135" s="3" t="s">
        <v>9</v>
      </c>
      <c r="D1135" s="18">
        <v>0.1</v>
      </c>
      <c r="E1135" s="21">
        <f t="shared" si="125"/>
        <v>7.9741404289037643E-3</v>
      </c>
      <c r="F1135" s="5">
        <v>38874</v>
      </c>
      <c r="G1135" s="5">
        <v>39222</v>
      </c>
      <c r="H1135" s="16">
        <f t="shared" si="123"/>
        <v>348</v>
      </c>
      <c r="I1135" s="5">
        <v>39222</v>
      </c>
      <c r="J1135" s="5">
        <v>39013</v>
      </c>
      <c r="K1135" s="16">
        <f t="shared" si="124"/>
        <v>139</v>
      </c>
      <c r="L1135" s="13">
        <v>1921.21</v>
      </c>
      <c r="M1135" s="15">
        <f t="shared" si="122"/>
        <v>174.05862821615617</v>
      </c>
      <c r="N1135" s="13">
        <v>1921.21</v>
      </c>
      <c r="O1135" s="13">
        <v>0</v>
      </c>
      <c r="P1135" s="11">
        <f t="shared" si="126"/>
        <v>0</v>
      </c>
    </row>
    <row r="1136" spans="1:16" ht="18.75" hidden="1" customHeight="1" thickBot="1" x14ac:dyDescent="0.3">
      <c r="A1136" s="3" t="s">
        <v>11</v>
      </c>
      <c r="B1136" s="4">
        <v>851689</v>
      </c>
      <c r="C1136" s="3" t="s">
        <v>9</v>
      </c>
      <c r="D1136" s="18">
        <v>0.1</v>
      </c>
      <c r="E1136" s="21">
        <f t="shared" si="125"/>
        <v>7.9741404289037643E-3</v>
      </c>
      <c r="F1136" s="5">
        <v>38874</v>
      </c>
      <c r="G1136" s="5">
        <v>39970</v>
      </c>
      <c r="H1136" s="16">
        <f t="shared" si="123"/>
        <v>1096</v>
      </c>
      <c r="I1136" s="5">
        <v>39970</v>
      </c>
      <c r="J1136" s="2"/>
      <c r="K1136" s="16">
        <f t="shared" si="124"/>
        <v>-38874</v>
      </c>
      <c r="L1136" s="13">
        <v>3172.51</v>
      </c>
      <c r="M1136" s="15">
        <f t="shared" si="122"/>
        <v>100.44443519596427</v>
      </c>
      <c r="N1136" s="13">
        <v>3172.51</v>
      </c>
      <c r="O1136" s="13">
        <v>0</v>
      </c>
      <c r="P1136" s="11">
        <f t="shared" si="126"/>
        <v>0</v>
      </c>
    </row>
    <row r="1137" spans="1:16" ht="18.75" customHeight="1" thickBot="1" x14ac:dyDescent="0.3">
      <c r="A1137" s="3" t="s">
        <v>11</v>
      </c>
      <c r="B1137" s="4">
        <v>824104</v>
      </c>
      <c r="C1137" s="3" t="s">
        <v>2</v>
      </c>
      <c r="D1137" s="18">
        <v>0.06</v>
      </c>
      <c r="E1137" s="21">
        <f t="shared" si="125"/>
        <v>4.8675505653430484E-3</v>
      </c>
      <c r="F1137" s="5">
        <v>38891</v>
      </c>
      <c r="G1137" s="5">
        <v>40352</v>
      </c>
      <c r="H1137" s="16">
        <f t="shared" si="123"/>
        <v>1461</v>
      </c>
      <c r="I1137" s="5">
        <v>43427</v>
      </c>
      <c r="J1137" s="5">
        <v>43734</v>
      </c>
      <c r="K1137" s="16">
        <f t="shared" si="124"/>
        <v>4843</v>
      </c>
      <c r="L1137" s="13">
        <v>150000</v>
      </c>
      <c r="M1137" s="15">
        <f t="shared" si="122"/>
        <v>3467.0133511625236</v>
      </c>
      <c r="N1137" s="13">
        <v>11700</v>
      </c>
      <c r="O1137" s="13">
        <v>0</v>
      </c>
      <c r="P1137" s="11">
        <f t="shared" si="126"/>
        <v>0</v>
      </c>
    </row>
    <row r="1138" spans="1:16" ht="18.75" customHeight="1" thickBot="1" x14ac:dyDescent="0.3">
      <c r="A1138" s="3" t="s">
        <v>11</v>
      </c>
      <c r="B1138" s="4">
        <v>790185</v>
      </c>
      <c r="C1138" s="3" t="s">
        <v>9</v>
      </c>
      <c r="D1138" s="18">
        <v>0.12</v>
      </c>
      <c r="E1138" s="21">
        <f t="shared" si="125"/>
        <v>9.4887929345830457E-3</v>
      </c>
      <c r="F1138" s="5">
        <v>38897</v>
      </c>
      <c r="G1138" s="5">
        <v>39993</v>
      </c>
      <c r="H1138" s="16">
        <f t="shared" si="123"/>
        <v>1096</v>
      </c>
      <c r="I1138" s="5">
        <v>39993</v>
      </c>
      <c r="J1138" s="5">
        <v>39806</v>
      </c>
      <c r="K1138" s="16">
        <f t="shared" si="124"/>
        <v>909</v>
      </c>
      <c r="L1138" s="13">
        <v>1138.4100000000001</v>
      </c>
      <c r="M1138" s="15">
        <f t="shared" si="122"/>
        <v>37.019500385465015</v>
      </c>
      <c r="N1138" s="13">
        <v>1138.4100000000001</v>
      </c>
      <c r="O1138" s="13">
        <v>0</v>
      </c>
      <c r="P1138" s="11">
        <f t="shared" si="126"/>
        <v>0</v>
      </c>
    </row>
    <row r="1139" spans="1:16" ht="18.75" customHeight="1" thickBot="1" x14ac:dyDescent="0.3">
      <c r="A1139" s="3" t="s">
        <v>11</v>
      </c>
      <c r="B1139" s="4">
        <v>219204</v>
      </c>
      <c r="C1139" s="3" t="s">
        <v>9</v>
      </c>
      <c r="D1139" s="18">
        <v>0.105</v>
      </c>
      <c r="E1139" s="21">
        <f t="shared" si="125"/>
        <v>8.355155683635207E-3</v>
      </c>
      <c r="F1139" s="5">
        <v>38904</v>
      </c>
      <c r="G1139" s="5">
        <v>39088</v>
      </c>
      <c r="H1139" s="16">
        <f t="shared" si="123"/>
        <v>184</v>
      </c>
      <c r="I1139" s="5">
        <v>39088</v>
      </c>
      <c r="J1139" s="5">
        <v>39098</v>
      </c>
      <c r="K1139" s="16">
        <f t="shared" si="124"/>
        <v>194</v>
      </c>
      <c r="L1139" s="13">
        <v>530.36</v>
      </c>
      <c r="M1139" s="15">
        <f t="shared" si="122"/>
        <v>89.066944579450293</v>
      </c>
      <c r="N1139" s="13">
        <v>530.36</v>
      </c>
      <c r="O1139" s="13">
        <v>0</v>
      </c>
      <c r="P1139" s="11">
        <f t="shared" si="126"/>
        <v>0</v>
      </c>
    </row>
    <row r="1140" spans="1:16" ht="18.75" customHeight="1" thickBot="1" x14ac:dyDescent="0.3">
      <c r="A1140" s="3" t="s">
        <v>11</v>
      </c>
      <c r="B1140" s="4">
        <v>726960</v>
      </c>
      <c r="C1140" s="3" t="s">
        <v>9</v>
      </c>
      <c r="D1140" s="18">
        <v>9.7500000000000003E-2</v>
      </c>
      <c r="E1140" s="21">
        <f t="shared" si="125"/>
        <v>7.7830370878799737E-3</v>
      </c>
      <c r="F1140" s="5">
        <v>38911</v>
      </c>
      <c r="G1140" s="5">
        <v>39520</v>
      </c>
      <c r="H1140" s="16">
        <f t="shared" si="123"/>
        <v>609</v>
      </c>
      <c r="I1140" s="5">
        <v>39520</v>
      </c>
      <c r="J1140" s="5">
        <v>39906</v>
      </c>
      <c r="K1140" s="16">
        <f t="shared" si="124"/>
        <v>995</v>
      </c>
      <c r="L1140" s="13">
        <v>279782.96000000002</v>
      </c>
      <c r="M1140" s="15">
        <f t="shared" si="122"/>
        <v>14953.305261000678</v>
      </c>
      <c r="N1140" s="13">
        <v>279782.96000000002</v>
      </c>
      <c r="O1140" s="13">
        <v>0</v>
      </c>
      <c r="P1140" s="11">
        <f t="shared" si="126"/>
        <v>0</v>
      </c>
    </row>
    <row r="1141" spans="1:16" ht="18.75" hidden="1" customHeight="1" thickBot="1" x14ac:dyDescent="0.3">
      <c r="A1141" s="3" t="s">
        <v>11</v>
      </c>
      <c r="B1141" s="4">
        <v>753792</v>
      </c>
      <c r="C1141" s="3" t="s">
        <v>9</v>
      </c>
      <c r="D1141" s="18">
        <v>9.7500000000000003E-2</v>
      </c>
      <c r="E1141" s="21">
        <f t="shared" si="125"/>
        <v>7.7830370878799737E-3</v>
      </c>
      <c r="F1141" s="5">
        <v>38912</v>
      </c>
      <c r="G1141" s="5">
        <v>39646</v>
      </c>
      <c r="H1141" s="16">
        <f t="shared" si="123"/>
        <v>734</v>
      </c>
      <c r="I1141" s="5">
        <v>39646</v>
      </c>
      <c r="J1141" s="2"/>
      <c r="K1141" s="16">
        <f t="shared" si="124"/>
        <v>-38912</v>
      </c>
      <c r="L1141" s="13">
        <v>405210</v>
      </c>
      <c r="M1141" s="15">
        <f t="shared" si="122"/>
        <v>18252.788469466781</v>
      </c>
      <c r="N1141" s="13">
        <v>405210</v>
      </c>
      <c r="O1141" s="13">
        <v>0</v>
      </c>
      <c r="P1141" s="11">
        <f t="shared" si="126"/>
        <v>0</v>
      </c>
    </row>
    <row r="1142" spans="1:16" ht="18.75" customHeight="1" thickBot="1" x14ac:dyDescent="0.3">
      <c r="A1142" s="3" t="s">
        <v>11</v>
      </c>
      <c r="B1142" s="4">
        <v>807476</v>
      </c>
      <c r="C1142" s="3" t="s">
        <v>9</v>
      </c>
      <c r="D1142" s="18">
        <v>0.105</v>
      </c>
      <c r="E1142" s="21">
        <f t="shared" si="125"/>
        <v>8.355155683635207E-3</v>
      </c>
      <c r="F1142" s="5">
        <v>38915</v>
      </c>
      <c r="G1142" s="5">
        <v>40956</v>
      </c>
      <c r="H1142" s="16">
        <f t="shared" si="123"/>
        <v>2041</v>
      </c>
      <c r="I1142" s="5">
        <v>40956</v>
      </c>
      <c r="J1142" s="5">
        <v>40584</v>
      </c>
      <c r="K1142" s="16">
        <f t="shared" si="124"/>
        <v>1669</v>
      </c>
      <c r="L1142" s="13">
        <v>4152.1899999999996</v>
      </c>
      <c r="M1142" s="15">
        <f t="shared" si="122"/>
        <v>80.260245009861393</v>
      </c>
      <c r="N1142" s="13">
        <v>4152.1899999999996</v>
      </c>
      <c r="O1142" s="13">
        <v>0</v>
      </c>
      <c r="P1142" s="11">
        <f t="shared" si="126"/>
        <v>0</v>
      </c>
    </row>
    <row r="1143" spans="1:16" ht="18.75" hidden="1" customHeight="1" thickBot="1" x14ac:dyDescent="0.3">
      <c r="A1143" s="3" t="s">
        <v>11</v>
      </c>
      <c r="B1143" s="4">
        <v>601068</v>
      </c>
      <c r="C1143" s="3" t="s">
        <v>9</v>
      </c>
      <c r="D1143" s="18">
        <v>0.12</v>
      </c>
      <c r="E1143" s="21">
        <f t="shared" si="125"/>
        <v>9.4887929345830457E-3</v>
      </c>
      <c r="F1143" s="5">
        <v>38925</v>
      </c>
      <c r="G1143" s="5">
        <v>39109</v>
      </c>
      <c r="H1143" s="16">
        <f t="shared" si="123"/>
        <v>184</v>
      </c>
      <c r="I1143" s="5">
        <v>39109</v>
      </c>
      <c r="J1143" s="2"/>
      <c r="K1143" s="16">
        <f t="shared" si="124"/>
        <v>-38925</v>
      </c>
      <c r="L1143" s="13">
        <v>500</v>
      </c>
      <c r="M1143" s="15">
        <f t="shared" si="122"/>
        <v>84.302999777617472</v>
      </c>
      <c r="N1143" s="13">
        <v>500</v>
      </c>
      <c r="O1143" s="13">
        <v>0</v>
      </c>
      <c r="P1143" s="11">
        <f t="shared" si="126"/>
        <v>0</v>
      </c>
    </row>
    <row r="1144" spans="1:16" ht="18.75" customHeight="1" thickBot="1" x14ac:dyDescent="0.3">
      <c r="A1144" s="3" t="s">
        <v>11</v>
      </c>
      <c r="B1144" s="4">
        <v>345734</v>
      </c>
      <c r="C1144" s="3" t="s">
        <v>9</v>
      </c>
      <c r="D1144" s="18">
        <v>0.1</v>
      </c>
      <c r="E1144" s="21">
        <f t="shared" si="125"/>
        <v>7.9741404289037643E-3</v>
      </c>
      <c r="F1144" s="5">
        <v>38926</v>
      </c>
      <c r="G1144" s="5">
        <v>40752</v>
      </c>
      <c r="H1144" s="16">
        <f t="shared" si="123"/>
        <v>1826</v>
      </c>
      <c r="I1144" s="5">
        <v>40752</v>
      </c>
      <c r="J1144" s="5">
        <v>40337</v>
      </c>
      <c r="K1144" s="16">
        <f t="shared" si="124"/>
        <v>1411</v>
      </c>
      <c r="L1144" s="13">
        <v>1139.31</v>
      </c>
      <c r="M1144" s="15">
        <f t="shared" si="122"/>
        <v>23.699750832465707</v>
      </c>
      <c r="N1144" s="13">
        <v>1139.31</v>
      </c>
      <c r="O1144" s="13">
        <v>0</v>
      </c>
      <c r="P1144" s="11">
        <f t="shared" si="126"/>
        <v>0</v>
      </c>
    </row>
    <row r="1145" spans="1:16" ht="18.75" customHeight="1" thickBot="1" x14ac:dyDescent="0.3">
      <c r="A1145" s="3" t="s">
        <v>11</v>
      </c>
      <c r="B1145" s="4">
        <v>7756</v>
      </c>
      <c r="C1145" s="3" t="s">
        <v>9</v>
      </c>
      <c r="D1145" s="18">
        <v>0.09</v>
      </c>
      <c r="E1145" s="21">
        <f t="shared" si="125"/>
        <v>7.2073233161367156E-3</v>
      </c>
      <c r="F1145" s="5">
        <v>38945</v>
      </c>
      <c r="G1145" s="5">
        <v>41045</v>
      </c>
      <c r="H1145" s="16">
        <f t="shared" si="123"/>
        <v>2100</v>
      </c>
      <c r="I1145" s="5">
        <v>41045</v>
      </c>
      <c r="J1145" s="5">
        <v>40046</v>
      </c>
      <c r="K1145" s="16">
        <f t="shared" si="124"/>
        <v>1101</v>
      </c>
      <c r="L1145" s="13">
        <v>6078.06</v>
      </c>
      <c r="M1145" s="15">
        <f t="shared" si="122"/>
        <v>110.8726875085552</v>
      </c>
      <c r="N1145" s="13">
        <v>6078.06</v>
      </c>
      <c r="O1145" s="13">
        <v>0</v>
      </c>
      <c r="P1145" s="11">
        <f t="shared" si="126"/>
        <v>0</v>
      </c>
    </row>
    <row r="1146" spans="1:16" ht="18.75" customHeight="1" thickBot="1" x14ac:dyDescent="0.3">
      <c r="A1146" s="3" t="s">
        <v>11</v>
      </c>
      <c r="B1146" s="4">
        <v>154953</v>
      </c>
      <c r="C1146" s="3" t="s">
        <v>9</v>
      </c>
      <c r="D1146" s="18">
        <v>9.7500000000000003E-2</v>
      </c>
      <c r="E1146" s="21">
        <f t="shared" si="125"/>
        <v>7.7830370878799737E-3</v>
      </c>
      <c r="F1146" s="5">
        <v>38959</v>
      </c>
      <c r="G1146" s="5">
        <v>40066</v>
      </c>
      <c r="H1146" s="16">
        <f t="shared" si="123"/>
        <v>1107</v>
      </c>
      <c r="I1146" s="5">
        <v>40066</v>
      </c>
      <c r="J1146" s="5">
        <v>39721</v>
      </c>
      <c r="K1146" s="16">
        <f t="shared" si="124"/>
        <v>762</v>
      </c>
      <c r="L1146" s="13">
        <v>50310</v>
      </c>
      <c r="M1146" s="15">
        <f t="shared" si="122"/>
        <v>1573.8180931571167</v>
      </c>
      <c r="N1146" s="13">
        <v>50310</v>
      </c>
      <c r="O1146" s="13">
        <v>0</v>
      </c>
      <c r="P1146" s="11">
        <f t="shared" si="126"/>
        <v>0</v>
      </c>
    </row>
    <row r="1147" spans="1:16" ht="18.75" customHeight="1" thickBot="1" x14ac:dyDescent="0.3">
      <c r="A1147" s="3" t="s">
        <v>11</v>
      </c>
      <c r="B1147" s="4">
        <v>303581</v>
      </c>
      <c r="C1147" s="3" t="s">
        <v>9</v>
      </c>
      <c r="D1147" s="18">
        <v>0.12</v>
      </c>
      <c r="E1147" s="21">
        <f t="shared" si="125"/>
        <v>9.4887929345830457E-3</v>
      </c>
      <c r="F1147" s="5">
        <v>38959</v>
      </c>
      <c r="G1147" s="5">
        <v>39294</v>
      </c>
      <c r="H1147" s="16">
        <f t="shared" si="123"/>
        <v>335</v>
      </c>
      <c r="I1147" s="5">
        <v>39294</v>
      </c>
      <c r="J1147" s="5">
        <v>39059</v>
      </c>
      <c r="K1147" s="16">
        <f t="shared" si="124"/>
        <v>100</v>
      </c>
      <c r="L1147" s="13">
        <v>1514.36</v>
      </c>
      <c r="M1147" s="15">
        <f t="shared" si="122"/>
        <v>143.56770647419432</v>
      </c>
      <c r="N1147" s="13">
        <v>1514.36</v>
      </c>
      <c r="O1147" s="13">
        <v>0</v>
      </c>
      <c r="P1147" s="11">
        <f t="shared" si="126"/>
        <v>0</v>
      </c>
    </row>
    <row r="1148" spans="1:16" ht="18.75" customHeight="1" thickBot="1" x14ac:dyDescent="0.3">
      <c r="A1148" s="3" t="s">
        <v>11</v>
      </c>
      <c r="B1148" s="4">
        <v>688941</v>
      </c>
      <c r="C1148" s="3" t="s">
        <v>9</v>
      </c>
      <c r="D1148" s="18">
        <v>0.11</v>
      </c>
      <c r="E1148" s="21">
        <f t="shared" si="125"/>
        <v>8.7345938235519061E-3</v>
      </c>
      <c r="F1148" s="5">
        <v>38966</v>
      </c>
      <c r="G1148" s="5">
        <v>40549</v>
      </c>
      <c r="H1148" s="16">
        <f t="shared" si="123"/>
        <v>1583</v>
      </c>
      <c r="I1148" s="5">
        <v>40549</v>
      </c>
      <c r="J1148" s="5">
        <v>39605</v>
      </c>
      <c r="K1148" s="16">
        <f t="shared" si="124"/>
        <v>639</v>
      </c>
      <c r="L1148" s="13">
        <v>156.83000000000001</v>
      </c>
      <c r="M1148" s="15">
        <f t="shared" si="122"/>
        <v>3.7222276927399389</v>
      </c>
      <c r="N1148" s="13">
        <v>156.83000000000001</v>
      </c>
      <c r="O1148" s="13">
        <v>0</v>
      </c>
      <c r="P1148" s="11">
        <f t="shared" si="126"/>
        <v>0</v>
      </c>
    </row>
    <row r="1149" spans="1:16" ht="18.75" customHeight="1" thickBot="1" x14ac:dyDescent="0.3">
      <c r="A1149" s="3" t="s">
        <v>11</v>
      </c>
      <c r="B1149" s="4">
        <v>654715</v>
      </c>
      <c r="C1149" s="3" t="s">
        <v>9</v>
      </c>
      <c r="D1149" s="18">
        <v>0.1</v>
      </c>
      <c r="E1149" s="21">
        <f t="shared" si="125"/>
        <v>7.9741404289037643E-3</v>
      </c>
      <c r="F1149" s="5">
        <v>38975</v>
      </c>
      <c r="G1149" s="5">
        <v>40344</v>
      </c>
      <c r="H1149" s="16">
        <f t="shared" si="123"/>
        <v>1369</v>
      </c>
      <c r="I1149" s="5">
        <v>40344</v>
      </c>
      <c r="J1149" s="5">
        <v>39262</v>
      </c>
      <c r="K1149" s="16">
        <f t="shared" si="124"/>
        <v>287</v>
      </c>
      <c r="L1149" s="13">
        <v>10617.36</v>
      </c>
      <c r="M1149" s="15">
        <f t="shared" si="122"/>
        <v>278.47694223802586</v>
      </c>
      <c r="N1149" s="13">
        <v>10617.36</v>
      </c>
      <c r="O1149" s="13">
        <v>0</v>
      </c>
      <c r="P1149" s="11">
        <f t="shared" si="126"/>
        <v>0</v>
      </c>
    </row>
    <row r="1150" spans="1:16" ht="18.75" hidden="1" customHeight="1" thickBot="1" x14ac:dyDescent="0.3">
      <c r="A1150" s="3" t="s">
        <v>11</v>
      </c>
      <c r="B1150" s="4">
        <v>269577</v>
      </c>
      <c r="C1150" s="3" t="s">
        <v>15</v>
      </c>
      <c r="D1150" s="7">
        <v>0.1515</v>
      </c>
      <c r="E1150" s="7">
        <f t="shared" ref="E1150" si="127">D1150/12</f>
        <v>1.2624999999999999E-2</v>
      </c>
      <c r="F1150" s="5">
        <v>34956</v>
      </c>
      <c r="G1150" s="5">
        <v>2958465</v>
      </c>
      <c r="H1150" s="8">
        <f t="shared" si="123"/>
        <v>2923509</v>
      </c>
      <c r="I1150" s="5">
        <v>2958465</v>
      </c>
      <c r="J1150" s="5">
        <v>45532</v>
      </c>
      <c r="K1150" s="8">
        <f t="shared" si="124"/>
        <v>10576</v>
      </c>
      <c r="L1150" s="6">
        <v>3000</v>
      </c>
      <c r="M1150" s="9">
        <f t="shared" si="122"/>
        <v>37.875</v>
      </c>
      <c r="N1150" s="6">
        <v>225.87</v>
      </c>
      <c r="O1150" s="6">
        <v>0</v>
      </c>
      <c r="P1150" s="6">
        <v>0</v>
      </c>
    </row>
    <row r="1151" spans="1:16" ht="18.75" customHeight="1" thickBot="1" x14ac:dyDescent="0.3">
      <c r="A1151" s="3" t="s">
        <v>11</v>
      </c>
      <c r="B1151" s="4">
        <v>979322</v>
      </c>
      <c r="C1151" s="3" t="s">
        <v>9</v>
      </c>
      <c r="D1151" s="18">
        <v>9.5000000000000001E-2</v>
      </c>
      <c r="E1151" s="21">
        <f t="shared" ref="E1151:E1162" si="128">(1+D1151)^(1/12)-1</f>
        <v>7.5915342905825689E-3</v>
      </c>
      <c r="F1151" s="5">
        <v>38985</v>
      </c>
      <c r="G1151" s="5">
        <v>40811</v>
      </c>
      <c r="H1151" s="16">
        <f t="shared" si="123"/>
        <v>1826</v>
      </c>
      <c r="I1151" s="5">
        <v>40811</v>
      </c>
      <c r="J1151" s="5">
        <v>41289</v>
      </c>
      <c r="K1151" s="16">
        <f t="shared" si="124"/>
        <v>2304</v>
      </c>
      <c r="L1151" s="13">
        <v>12382.54</v>
      </c>
      <c r="M1151" s="15">
        <f t="shared" si="122"/>
        <v>254.80290859822574</v>
      </c>
      <c r="N1151" s="13">
        <v>12382.54</v>
      </c>
      <c r="O1151" s="13">
        <v>500</v>
      </c>
      <c r="P1151" s="11">
        <f t="shared" ref="P1151:P1162" si="129">IF((G1151)&gt;(ConstantDateCutoff),1,0)</f>
        <v>0</v>
      </c>
    </row>
    <row r="1152" spans="1:16" ht="18.75" customHeight="1" thickBot="1" x14ac:dyDescent="0.3">
      <c r="A1152" s="3" t="s">
        <v>11</v>
      </c>
      <c r="B1152" s="4">
        <v>219288</v>
      </c>
      <c r="C1152" s="3" t="s">
        <v>9</v>
      </c>
      <c r="D1152" s="18">
        <v>0.1</v>
      </c>
      <c r="E1152" s="21">
        <f t="shared" si="128"/>
        <v>7.9741404289037643E-3</v>
      </c>
      <c r="F1152" s="5">
        <v>38987</v>
      </c>
      <c r="G1152" s="5">
        <v>40966</v>
      </c>
      <c r="H1152" s="16">
        <f t="shared" si="123"/>
        <v>1979</v>
      </c>
      <c r="I1152" s="5">
        <v>40966</v>
      </c>
      <c r="J1152" s="5">
        <v>40066</v>
      </c>
      <c r="K1152" s="16">
        <f t="shared" si="124"/>
        <v>1079</v>
      </c>
      <c r="L1152" s="13">
        <v>4546.1000000000004</v>
      </c>
      <c r="M1152" s="15">
        <f t="shared" si="122"/>
        <v>88.890732832713994</v>
      </c>
      <c r="N1152" s="13">
        <v>4546.1000000000004</v>
      </c>
      <c r="O1152" s="13">
        <v>0</v>
      </c>
      <c r="P1152" s="11">
        <f t="shared" si="129"/>
        <v>0</v>
      </c>
    </row>
    <row r="1153" spans="1:16" ht="18.75" customHeight="1" thickBot="1" x14ac:dyDescent="0.3">
      <c r="A1153" s="3" t="s">
        <v>11</v>
      </c>
      <c r="B1153" s="4">
        <v>965354</v>
      </c>
      <c r="C1153" s="3" t="s">
        <v>9</v>
      </c>
      <c r="D1153" s="18">
        <v>0.1</v>
      </c>
      <c r="E1153" s="21">
        <f t="shared" si="128"/>
        <v>7.9741404289037643E-3</v>
      </c>
      <c r="F1153" s="5">
        <v>38989</v>
      </c>
      <c r="G1153" s="5">
        <v>39720</v>
      </c>
      <c r="H1153" s="16">
        <f t="shared" si="123"/>
        <v>731</v>
      </c>
      <c r="I1153" s="5">
        <v>39720</v>
      </c>
      <c r="J1153" s="5">
        <v>39671</v>
      </c>
      <c r="K1153" s="16">
        <f t="shared" si="124"/>
        <v>682</v>
      </c>
      <c r="L1153" s="13">
        <v>1869.4</v>
      </c>
      <c r="M1153" s="15">
        <f t="shared" si="122"/>
        <v>84.718736325485381</v>
      </c>
      <c r="N1153" s="13">
        <v>1869.4</v>
      </c>
      <c r="O1153" s="13">
        <v>1600</v>
      </c>
      <c r="P1153" s="11">
        <f t="shared" si="129"/>
        <v>0</v>
      </c>
    </row>
    <row r="1154" spans="1:16" ht="18.75" customHeight="1" thickBot="1" x14ac:dyDescent="0.3">
      <c r="A1154" s="3" t="s">
        <v>11</v>
      </c>
      <c r="B1154" s="4">
        <v>56681</v>
      </c>
      <c r="C1154" s="3" t="s">
        <v>9</v>
      </c>
      <c r="D1154" s="18">
        <v>0.11</v>
      </c>
      <c r="E1154" s="21">
        <f t="shared" si="128"/>
        <v>8.7345938235519061E-3</v>
      </c>
      <c r="F1154" s="5">
        <v>38992</v>
      </c>
      <c r="G1154" s="5">
        <v>40879</v>
      </c>
      <c r="H1154" s="16">
        <f t="shared" si="123"/>
        <v>1887</v>
      </c>
      <c r="I1154" s="5">
        <v>40879</v>
      </c>
      <c r="J1154" s="5">
        <v>42474</v>
      </c>
      <c r="K1154" s="16">
        <f t="shared" si="124"/>
        <v>3482</v>
      </c>
      <c r="L1154" s="13">
        <v>6209.96</v>
      </c>
      <c r="M1154" s="15">
        <f t="shared" ref="M1154:M1217" si="130">-PMT(E1154,(H1154/30),L1154)</f>
        <v>128.73914600605906</v>
      </c>
      <c r="N1154" s="13">
        <v>6209.96</v>
      </c>
      <c r="O1154" s="13">
        <v>0</v>
      </c>
      <c r="P1154" s="11">
        <f t="shared" si="129"/>
        <v>0</v>
      </c>
    </row>
    <row r="1155" spans="1:16" ht="18.75" customHeight="1" thickBot="1" x14ac:dyDescent="0.3">
      <c r="A1155" s="3" t="s">
        <v>11</v>
      </c>
      <c r="B1155" s="4">
        <v>550794</v>
      </c>
      <c r="C1155" s="3" t="s">
        <v>9</v>
      </c>
      <c r="D1155" s="18">
        <v>0.12</v>
      </c>
      <c r="E1155" s="21">
        <f t="shared" si="128"/>
        <v>9.4887929345830457E-3</v>
      </c>
      <c r="F1155" s="5">
        <v>38995</v>
      </c>
      <c r="G1155" s="5">
        <v>39360</v>
      </c>
      <c r="H1155" s="16">
        <f t="shared" ref="H1155:H1218" si="131">G1155-F1155</f>
        <v>365</v>
      </c>
      <c r="I1155" s="5">
        <v>39360</v>
      </c>
      <c r="J1155" s="5">
        <v>39059</v>
      </c>
      <c r="K1155" s="16">
        <f t="shared" ref="K1155:K1218" si="132">J1155-F1155</f>
        <v>64</v>
      </c>
      <c r="L1155" s="13">
        <v>1724.08</v>
      </c>
      <c r="M1155" s="15">
        <f t="shared" si="130"/>
        <v>150.71278283893884</v>
      </c>
      <c r="N1155" s="13">
        <v>1724.08</v>
      </c>
      <c r="O1155" s="13">
        <v>0</v>
      </c>
      <c r="P1155" s="11">
        <f t="shared" si="129"/>
        <v>0</v>
      </c>
    </row>
    <row r="1156" spans="1:16" ht="18.75" customHeight="1" thickBot="1" x14ac:dyDescent="0.3">
      <c r="A1156" s="3" t="s">
        <v>11</v>
      </c>
      <c r="B1156" s="4">
        <v>554473</v>
      </c>
      <c r="C1156" s="3" t="s">
        <v>9</v>
      </c>
      <c r="D1156" s="18">
        <v>0.105</v>
      </c>
      <c r="E1156" s="21">
        <f t="shared" si="128"/>
        <v>8.355155683635207E-3</v>
      </c>
      <c r="F1156" s="5">
        <v>39013</v>
      </c>
      <c r="G1156" s="5">
        <v>40664</v>
      </c>
      <c r="H1156" s="16">
        <f t="shared" si="131"/>
        <v>1651</v>
      </c>
      <c r="I1156" s="5">
        <v>40664</v>
      </c>
      <c r="J1156" s="5">
        <v>40641</v>
      </c>
      <c r="K1156" s="16">
        <f t="shared" si="132"/>
        <v>1628</v>
      </c>
      <c r="L1156" s="13">
        <v>11878.3</v>
      </c>
      <c r="M1156" s="15">
        <f t="shared" si="130"/>
        <v>270.13510560690395</v>
      </c>
      <c r="N1156" s="13">
        <v>11878.3</v>
      </c>
      <c r="O1156" s="13">
        <v>0</v>
      </c>
      <c r="P1156" s="11">
        <f t="shared" si="129"/>
        <v>0</v>
      </c>
    </row>
    <row r="1157" spans="1:16" ht="18.75" customHeight="1" thickBot="1" x14ac:dyDescent="0.3">
      <c r="A1157" s="3" t="s">
        <v>11</v>
      </c>
      <c r="B1157" s="4">
        <v>191785</v>
      </c>
      <c r="C1157" s="3" t="s">
        <v>9</v>
      </c>
      <c r="D1157" s="18">
        <v>9.5000000000000001E-2</v>
      </c>
      <c r="E1157" s="21">
        <f t="shared" si="128"/>
        <v>7.5915342905825689E-3</v>
      </c>
      <c r="F1157" s="5">
        <v>39028</v>
      </c>
      <c r="G1157" s="5">
        <v>40397</v>
      </c>
      <c r="H1157" s="16">
        <f t="shared" si="131"/>
        <v>1369</v>
      </c>
      <c r="I1157" s="5">
        <v>40397</v>
      </c>
      <c r="J1157" s="5">
        <v>40318</v>
      </c>
      <c r="K1157" s="16">
        <f t="shared" si="132"/>
        <v>1290</v>
      </c>
      <c r="L1157" s="13">
        <v>4647.79</v>
      </c>
      <c r="M1157" s="15">
        <f t="shared" si="130"/>
        <v>120.89156117541012</v>
      </c>
      <c r="N1157" s="13">
        <v>4647.79</v>
      </c>
      <c r="O1157" s="13">
        <v>0</v>
      </c>
      <c r="P1157" s="11">
        <f t="shared" si="129"/>
        <v>0</v>
      </c>
    </row>
    <row r="1158" spans="1:16" ht="18.75" customHeight="1" thickBot="1" x14ac:dyDescent="0.3">
      <c r="A1158" s="3" t="s">
        <v>11</v>
      </c>
      <c r="B1158" s="4">
        <v>457715</v>
      </c>
      <c r="C1158" s="3" t="s">
        <v>9</v>
      </c>
      <c r="D1158" s="18">
        <v>0.09</v>
      </c>
      <c r="E1158" s="21">
        <f t="shared" si="128"/>
        <v>7.2073233161367156E-3</v>
      </c>
      <c r="F1158" s="5">
        <v>39029</v>
      </c>
      <c r="G1158" s="5">
        <v>43259</v>
      </c>
      <c r="H1158" s="16">
        <f t="shared" si="131"/>
        <v>4230</v>
      </c>
      <c r="I1158" s="5">
        <v>43259</v>
      </c>
      <c r="J1158" s="5">
        <v>43005</v>
      </c>
      <c r="K1158" s="16">
        <f t="shared" si="132"/>
        <v>3976</v>
      </c>
      <c r="L1158" s="13">
        <v>18300</v>
      </c>
      <c r="M1158" s="15">
        <f t="shared" si="130"/>
        <v>207.14525166943653</v>
      </c>
      <c r="N1158" s="13">
        <v>18300</v>
      </c>
      <c r="O1158" s="13">
        <v>0</v>
      </c>
      <c r="P1158" s="11">
        <f t="shared" si="129"/>
        <v>1</v>
      </c>
    </row>
    <row r="1159" spans="1:16" ht="18.75" customHeight="1" thickBot="1" x14ac:dyDescent="0.3">
      <c r="A1159" s="3" t="s">
        <v>11</v>
      </c>
      <c r="B1159" s="4">
        <v>249876</v>
      </c>
      <c r="C1159" s="3" t="s">
        <v>9</v>
      </c>
      <c r="D1159" s="18">
        <v>0.1</v>
      </c>
      <c r="E1159" s="21">
        <f t="shared" si="128"/>
        <v>7.9741404289037643E-3</v>
      </c>
      <c r="F1159" s="5">
        <v>39042</v>
      </c>
      <c r="G1159" s="5">
        <v>40518</v>
      </c>
      <c r="H1159" s="16">
        <f t="shared" si="131"/>
        <v>1476</v>
      </c>
      <c r="I1159" s="5">
        <v>40518</v>
      </c>
      <c r="J1159" s="5">
        <v>41754</v>
      </c>
      <c r="K1159" s="16">
        <f t="shared" si="132"/>
        <v>2712</v>
      </c>
      <c r="L1159" s="13">
        <v>2550.0100000000002</v>
      </c>
      <c r="M1159" s="15">
        <f t="shared" si="130"/>
        <v>62.863402711706691</v>
      </c>
      <c r="N1159" s="13">
        <v>2550.0100000000002</v>
      </c>
      <c r="O1159" s="13">
        <v>0</v>
      </c>
      <c r="P1159" s="11">
        <f t="shared" si="129"/>
        <v>0</v>
      </c>
    </row>
    <row r="1160" spans="1:16" ht="18.75" hidden="1" customHeight="1" thickBot="1" x14ac:dyDescent="0.3">
      <c r="A1160" s="3" t="s">
        <v>11</v>
      </c>
      <c r="B1160" s="4">
        <v>140964</v>
      </c>
      <c r="C1160" s="3" t="s">
        <v>9</v>
      </c>
      <c r="D1160" s="18">
        <v>0.12</v>
      </c>
      <c r="E1160" s="21">
        <f t="shared" si="128"/>
        <v>9.4887929345830457E-3</v>
      </c>
      <c r="F1160" s="5">
        <v>39050</v>
      </c>
      <c r="G1160" s="5">
        <v>39141</v>
      </c>
      <c r="H1160" s="16">
        <f t="shared" si="131"/>
        <v>91</v>
      </c>
      <c r="I1160" s="5">
        <v>39141</v>
      </c>
      <c r="J1160" s="2"/>
      <c r="K1160" s="16">
        <f t="shared" si="132"/>
        <v>-39050</v>
      </c>
      <c r="L1160" s="13">
        <v>900</v>
      </c>
      <c r="M1160" s="15">
        <f t="shared" si="130"/>
        <v>302.39910251213365</v>
      </c>
      <c r="N1160" s="13">
        <v>900</v>
      </c>
      <c r="O1160" s="13">
        <v>0</v>
      </c>
      <c r="P1160" s="11">
        <f t="shared" si="129"/>
        <v>0</v>
      </c>
    </row>
    <row r="1161" spans="1:16" ht="18.75" customHeight="1" thickBot="1" x14ac:dyDescent="0.3">
      <c r="A1161" s="3" t="s">
        <v>11</v>
      </c>
      <c r="B1161" s="4">
        <v>148592</v>
      </c>
      <c r="C1161" s="3" t="s">
        <v>9</v>
      </c>
      <c r="D1161" s="18">
        <v>0.11</v>
      </c>
      <c r="E1161" s="21">
        <f t="shared" si="128"/>
        <v>8.7345938235519061E-3</v>
      </c>
      <c r="F1161" s="5">
        <v>39052</v>
      </c>
      <c r="G1161" s="5">
        <v>39417</v>
      </c>
      <c r="H1161" s="16">
        <f t="shared" si="131"/>
        <v>365</v>
      </c>
      <c r="I1161" s="5">
        <v>39417</v>
      </c>
      <c r="J1161" s="5">
        <v>39332</v>
      </c>
      <c r="K1161" s="16">
        <f t="shared" si="132"/>
        <v>280</v>
      </c>
      <c r="L1161" s="13">
        <v>498.85</v>
      </c>
      <c r="M1161" s="15">
        <f t="shared" si="130"/>
        <v>43.397214246282495</v>
      </c>
      <c r="N1161" s="13">
        <v>498.85</v>
      </c>
      <c r="O1161" s="13">
        <v>0</v>
      </c>
      <c r="P1161" s="11">
        <f t="shared" si="129"/>
        <v>0</v>
      </c>
    </row>
    <row r="1162" spans="1:16" ht="18.75" hidden="1" customHeight="1" thickBot="1" x14ac:dyDescent="0.3">
      <c r="A1162" s="3" t="s">
        <v>11</v>
      </c>
      <c r="B1162" s="4">
        <v>982036</v>
      </c>
      <c r="C1162" s="3" t="s">
        <v>9</v>
      </c>
      <c r="D1162" s="18">
        <v>0.105</v>
      </c>
      <c r="E1162" s="21">
        <f t="shared" si="128"/>
        <v>8.355155683635207E-3</v>
      </c>
      <c r="F1162" s="5">
        <v>39071</v>
      </c>
      <c r="G1162" s="5">
        <v>39436</v>
      </c>
      <c r="H1162" s="16">
        <f t="shared" si="131"/>
        <v>365</v>
      </c>
      <c r="I1162" s="5">
        <v>39436</v>
      </c>
      <c r="J1162" s="2"/>
      <c r="K1162" s="16">
        <f t="shared" si="132"/>
        <v>-39071</v>
      </c>
      <c r="L1162" s="13">
        <v>40666.9</v>
      </c>
      <c r="M1162" s="15">
        <f t="shared" si="130"/>
        <v>3529.184081375367</v>
      </c>
      <c r="N1162" s="13">
        <v>40666.9</v>
      </c>
      <c r="O1162" s="13">
        <v>0</v>
      </c>
      <c r="P1162" s="11">
        <f t="shared" si="129"/>
        <v>0</v>
      </c>
    </row>
    <row r="1163" spans="1:16" ht="18.75" hidden="1" customHeight="1" thickBot="1" x14ac:dyDescent="0.3">
      <c r="A1163" s="3" t="s">
        <v>11</v>
      </c>
      <c r="B1163" s="4">
        <v>836140</v>
      </c>
      <c r="C1163" s="3" t="s">
        <v>15</v>
      </c>
      <c r="D1163" s="7">
        <v>0.13900000000000001</v>
      </c>
      <c r="E1163" s="7">
        <f t="shared" ref="E1163:E1190" si="133">D1163/12</f>
        <v>1.1583333333333334E-2</v>
      </c>
      <c r="F1163" s="5">
        <v>38180</v>
      </c>
      <c r="G1163" s="5">
        <v>2958465</v>
      </c>
      <c r="H1163" s="8">
        <f t="shared" si="131"/>
        <v>2920285</v>
      </c>
      <c r="I1163" s="5">
        <v>2958465</v>
      </c>
      <c r="J1163" s="5">
        <v>43577</v>
      </c>
      <c r="K1163" s="8">
        <f t="shared" si="132"/>
        <v>5397</v>
      </c>
      <c r="L1163" s="6">
        <v>400</v>
      </c>
      <c r="M1163" s="9">
        <f t="shared" si="130"/>
        <v>4.6333333333333337</v>
      </c>
      <c r="N1163" s="6">
        <v>400</v>
      </c>
      <c r="O1163" s="6">
        <v>400</v>
      </c>
      <c r="P1163" s="6">
        <v>0</v>
      </c>
    </row>
    <row r="1164" spans="1:16" ht="18.75" customHeight="1" thickBot="1" x14ac:dyDescent="0.3">
      <c r="A1164" s="3" t="s">
        <v>11</v>
      </c>
      <c r="B1164" s="4">
        <v>845247</v>
      </c>
      <c r="C1164" s="3" t="s">
        <v>9</v>
      </c>
      <c r="D1164" s="18">
        <v>9.5000000000000001E-2</v>
      </c>
      <c r="E1164" s="21">
        <f t="shared" ref="E1164:E1173" si="134">(1+D1164)^(1/12)-1</f>
        <v>7.5915342905825689E-3</v>
      </c>
      <c r="F1164" s="5">
        <v>39094</v>
      </c>
      <c r="G1164" s="5">
        <v>40190</v>
      </c>
      <c r="H1164" s="16">
        <f t="shared" si="131"/>
        <v>1096</v>
      </c>
      <c r="I1164" s="5">
        <v>40190</v>
      </c>
      <c r="J1164" s="5">
        <v>39790</v>
      </c>
      <c r="K1164" s="16">
        <f t="shared" si="132"/>
        <v>696</v>
      </c>
      <c r="L1164" s="13">
        <v>5114.8599999999997</v>
      </c>
      <c r="M1164" s="15">
        <f t="shared" si="130"/>
        <v>160.8437730962238</v>
      </c>
      <c r="N1164" s="13">
        <v>5114.8599999999997</v>
      </c>
      <c r="O1164" s="13">
        <v>0</v>
      </c>
      <c r="P1164" s="11">
        <f t="shared" ref="P1164:P1173" si="135">IF((G1164)&gt;(ConstantDateCutoff),1,0)</f>
        <v>0</v>
      </c>
    </row>
    <row r="1165" spans="1:16" ht="18.75" customHeight="1" thickBot="1" x14ac:dyDescent="0.3">
      <c r="A1165" s="3" t="s">
        <v>11</v>
      </c>
      <c r="B1165" s="4">
        <v>490783</v>
      </c>
      <c r="C1165" s="3" t="s">
        <v>3</v>
      </c>
      <c r="D1165" s="18">
        <v>0.06</v>
      </c>
      <c r="E1165" s="21">
        <f t="shared" si="134"/>
        <v>4.8675505653430484E-3</v>
      </c>
      <c r="F1165" s="5">
        <v>39115</v>
      </c>
      <c r="G1165" s="5">
        <v>40941</v>
      </c>
      <c r="H1165" s="16">
        <f t="shared" si="131"/>
        <v>1826</v>
      </c>
      <c r="I1165" s="5">
        <v>43314</v>
      </c>
      <c r="J1165" s="5">
        <v>43734</v>
      </c>
      <c r="K1165" s="16">
        <f t="shared" si="132"/>
        <v>4619</v>
      </c>
      <c r="L1165" s="13">
        <v>330180</v>
      </c>
      <c r="M1165" s="15">
        <f t="shared" si="130"/>
        <v>6280.9457115464256</v>
      </c>
      <c r="N1165" s="13">
        <v>196103.86</v>
      </c>
      <c r="O1165" s="13">
        <v>0</v>
      </c>
      <c r="P1165" s="11">
        <f t="shared" si="135"/>
        <v>0</v>
      </c>
    </row>
    <row r="1166" spans="1:16" ht="18.75" customHeight="1" thickBot="1" x14ac:dyDescent="0.3">
      <c r="A1166" s="3" t="s">
        <v>11</v>
      </c>
      <c r="B1166" s="4">
        <v>562721</v>
      </c>
      <c r="C1166" s="3" t="s">
        <v>9</v>
      </c>
      <c r="D1166" s="18">
        <v>0.1</v>
      </c>
      <c r="E1166" s="21">
        <f t="shared" si="134"/>
        <v>7.9741404289037643E-3</v>
      </c>
      <c r="F1166" s="5">
        <v>39129</v>
      </c>
      <c r="G1166" s="5">
        <v>41045</v>
      </c>
      <c r="H1166" s="16">
        <f t="shared" si="131"/>
        <v>1916</v>
      </c>
      <c r="I1166" s="5">
        <v>41045</v>
      </c>
      <c r="J1166" s="5">
        <v>39519</v>
      </c>
      <c r="K1166" s="16">
        <f t="shared" si="132"/>
        <v>390</v>
      </c>
      <c r="L1166" s="13">
        <v>12223.27</v>
      </c>
      <c r="M1166" s="15">
        <f t="shared" si="130"/>
        <v>244.98709348614364</v>
      </c>
      <c r="N1166" s="13">
        <v>12223.27</v>
      </c>
      <c r="O1166" s="13">
        <v>0</v>
      </c>
      <c r="P1166" s="11">
        <f t="shared" si="135"/>
        <v>0</v>
      </c>
    </row>
    <row r="1167" spans="1:16" ht="18.75" customHeight="1" thickBot="1" x14ac:dyDescent="0.3">
      <c r="A1167" s="3" t="s">
        <v>11</v>
      </c>
      <c r="B1167" s="4">
        <v>81469</v>
      </c>
      <c r="C1167" s="3" t="s">
        <v>9</v>
      </c>
      <c r="D1167" s="18">
        <v>9.7500000000000003E-2</v>
      </c>
      <c r="E1167" s="21">
        <f t="shared" si="134"/>
        <v>7.7830370878799737E-3</v>
      </c>
      <c r="F1167" s="5">
        <v>39140</v>
      </c>
      <c r="G1167" s="5">
        <v>39626</v>
      </c>
      <c r="H1167" s="16">
        <f t="shared" si="131"/>
        <v>486</v>
      </c>
      <c r="I1167" s="5">
        <v>39626</v>
      </c>
      <c r="J1167" s="5">
        <v>39405</v>
      </c>
      <c r="K1167" s="16">
        <f t="shared" si="132"/>
        <v>265</v>
      </c>
      <c r="L1167" s="13">
        <v>663350</v>
      </c>
      <c r="M1167" s="15">
        <f t="shared" si="130"/>
        <v>43742.134521350876</v>
      </c>
      <c r="N1167" s="13">
        <v>663350</v>
      </c>
      <c r="O1167" s="13">
        <v>0</v>
      </c>
      <c r="P1167" s="11">
        <f t="shared" si="135"/>
        <v>0</v>
      </c>
    </row>
    <row r="1168" spans="1:16" ht="18.75" customHeight="1" thickBot="1" x14ac:dyDescent="0.3">
      <c r="A1168" s="3" t="s">
        <v>11</v>
      </c>
      <c r="B1168" s="4">
        <v>3138</v>
      </c>
      <c r="C1168" s="3" t="s">
        <v>9</v>
      </c>
      <c r="D1168" s="18">
        <v>9.7500000000000003E-2</v>
      </c>
      <c r="E1168" s="21">
        <f t="shared" si="134"/>
        <v>7.7830370878799737E-3</v>
      </c>
      <c r="F1168" s="5">
        <v>39140</v>
      </c>
      <c r="G1168" s="5">
        <v>39626</v>
      </c>
      <c r="H1168" s="16">
        <f t="shared" si="131"/>
        <v>486</v>
      </c>
      <c r="I1168" s="5">
        <v>39626</v>
      </c>
      <c r="J1168" s="5">
        <v>39405</v>
      </c>
      <c r="K1168" s="16">
        <f t="shared" si="132"/>
        <v>265</v>
      </c>
      <c r="L1168" s="13">
        <v>449000</v>
      </c>
      <c r="M1168" s="15">
        <f t="shared" si="130"/>
        <v>29607.625537177271</v>
      </c>
      <c r="N1168" s="13">
        <v>449000</v>
      </c>
      <c r="O1168" s="13">
        <v>0</v>
      </c>
      <c r="P1168" s="11">
        <f t="shared" si="135"/>
        <v>0</v>
      </c>
    </row>
    <row r="1169" spans="1:16" ht="18.75" customHeight="1" thickBot="1" x14ac:dyDescent="0.3">
      <c r="A1169" s="3" t="s">
        <v>11</v>
      </c>
      <c r="B1169" s="4">
        <v>320870</v>
      </c>
      <c r="C1169" s="3" t="s">
        <v>9</v>
      </c>
      <c r="D1169" s="18">
        <v>0.1</v>
      </c>
      <c r="E1169" s="21">
        <f t="shared" si="134"/>
        <v>7.9741404289037643E-3</v>
      </c>
      <c r="F1169" s="5">
        <v>39141</v>
      </c>
      <c r="G1169" s="5">
        <v>40967</v>
      </c>
      <c r="H1169" s="16">
        <f t="shared" si="131"/>
        <v>1826</v>
      </c>
      <c r="I1169" s="5">
        <v>40967</v>
      </c>
      <c r="J1169" s="5">
        <v>40347</v>
      </c>
      <c r="K1169" s="16">
        <f t="shared" si="132"/>
        <v>1206</v>
      </c>
      <c r="L1169" s="13">
        <v>938.49</v>
      </c>
      <c r="M1169" s="15">
        <f t="shared" si="130"/>
        <v>19.522324177581822</v>
      </c>
      <c r="N1169" s="13">
        <v>938.49</v>
      </c>
      <c r="O1169" s="13">
        <v>0</v>
      </c>
      <c r="P1169" s="11">
        <f t="shared" si="135"/>
        <v>0</v>
      </c>
    </row>
    <row r="1170" spans="1:16" ht="18.75" customHeight="1" thickBot="1" x14ac:dyDescent="0.3">
      <c r="A1170" s="3" t="s">
        <v>11</v>
      </c>
      <c r="B1170" s="4">
        <v>549871</v>
      </c>
      <c r="C1170" s="3" t="s">
        <v>9</v>
      </c>
      <c r="D1170" s="18">
        <v>9.7500000000000003E-2</v>
      </c>
      <c r="E1170" s="21">
        <f t="shared" si="134"/>
        <v>7.7830370878799737E-3</v>
      </c>
      <c r="F1170" s="5">
        <v>39146</v>
      </c>
      <c r="G1170" s="5">
        <v>39421</v>
      </c>
      <c r="H1170" s="16">
        <f t="shared" si="131"/>
        <v>275</v>
      </c>
      <c r="I1170" s="5">
        <v>39421</v>
      </c>
      <c r="J1170" s="5">
        <v>39356</v>
      </c>
      <c r="K1170" s="16">
        <f t="shared" si="132"/>
        <v>210</v>
      </c>
      <c r="L1170" s="13">
        <v>9189.51</v>
      </c>
      <c r="M1170" s="15">
        <f t="shared" si="130"/>
        <v>1042.5728688506508</v>
      </c>
      <c r="N1170" s="13">
        <v>816.01</v>
      </c>
      <c r="O1170" s="13">
        <v>0</v>
      </c>
      <c r="P1170" s="11">
        <f t="shared" si="135"/>
        <v>0</v>
      </c>
    </row>
    <row r="1171" spans="1:16" ht="18.75" customHeight="1" thickBot="1" x14ac:dyDescent="0.3">
      <c r="A1171" s="3" t="s">
        <v>11</v>
      </c>
      <c r="B1171" s="4">
        <v>224352</v>
      </c>
      <c r="C1171" s="3" t="s">
        <v>9</v>
      </c>
      <c r="D1171" s="18">
        <v>0.12</v>
      </c>
      <c r="E1171" s="21">
        <f t="shared" si="134"/>
        <v>9.4887929345830457E-3</v>
      </c>
      <c r="F1171" s="5">
        <v>39153</v>
      </c>
      <c r="G1171" s="5">
        <v>39703</v>
      </c>
      <c r="H1171" s="16">
        <f t="shared" si="131"/>
        <v>550</v>
      </c>
      <c r="I1171" s="5">
        <v>39703</v>
      </c>
      <c r="J1171" s="5">
        <v>40641</v>
      </c>
      <c r="K1171" s="16">
        <f t="shared" si="132"/>
        <v>1488</v>
      </c>
      <c r="L1171" s="13">
        <v>2589.7800000000002</v>
      </c>
      <c r="M1171" s="15">
        <f t="shared" si="130"/>
        <v>154.57119769769244</v>
      </c>
      <c r="N1171" s="13">
        <v>2589.7800000000002</v>
      </c>
      <c r="O1171" s="13">
        <v>0</v>
      </c>
      <c r="P1171" s="11">
        <f t="shared" si="135"/>
        <v>0</v>
      </c>
    </row>
    <row r="1172" spans="1:16" ht="18.75" customHeight="1" thickBot="1" x14ac:dyDescent="0.3">
      <c r="A1172" s="3" t="s">
        <v>11</v>
      </c>
      <c r="B1172" s="4">
        <v>681053</v>
      </c>
      <c r="C1172" s="3" t="s">
        <v>9</v>
      </c>
      <c r="D1172" s="18">
        <v>0.105</v>
      </c>
      <c r="E1172" s="21">
        <f t="shared" si="134"/>
        <v>8.355155683635207E-3</v>
      </c>
      <c r="F1172" s="5">
        <v>39154</v>
      </c>
      <c r="G1172" s="5">
        <v>40372</v>
      </c>
      <c r="H1172" s="16">
        <f t="shared" si="131"/>
        <v>1218</v>
      </c>
      <c r="I1172" s="5">
        <v>40372</v>
      </c>
      <c r="J1172" s="5">
        <v>40298</v>
      </c>
      <c r="K1172" s="16">
        <f t="shared" si="132"/>
        <v>1144</v>
      </c>
      <c r="L1172" s="13">
        <v>4028.82</v>
      </c>
      <c r="M1172" s="15">
        <f t="shared" si="130"/>
        <v>117.42250321912705</v>
      </c>
      <c r="N1172" s="13">
        <v>4028.82</v>
      </c>
      <c r="O1172" s="13">
        <v>40</v>
      </c>
      <c r="P1172" s="11">
        <f t="shared" si="135"/>
        <v>0</v>
      </c>
    </row>
    <row r="1173" spans="1:16" ht="18.75" customHeight="1" thickBot="1" x14ac:dyDescent="0.3">
      <c r="A1173" s="3" t="s">
        <v>11</v>
      </c>
      <c r="B1173" s="4">
        <v>142155</v>
      </c>
      <c r="C1173" s="3" t="s">
        <v>9</v>
      </c>
      <c r="D1173" s="18">
        <v>0.1</v>
      </c>
      <c r="E1173" s="21">
        <f t="shared" si="134"/>
        <v>7.9741404289037643E-3</v>
      </c>
      <c r="F1173" s="5">
        <v>42048</v>
      </c>
      <c r="G1173" s="5">
        <v>44240</v>
      </c>
      <c r="H1173" s="16">
        <f t="shared" si="131"/>
        <v>2192</v>
      </c>
      <c r="I1173" s="5">
        <v>44240</v>
      </c>
      <c r="J1173" s="5">
        <v>43770</v>
      </c>
      <c r="K1173" s="16">
        <f t="shared" si="132"/>
        <v>1722</v>
      </c>
      <c r="L1173" s="13">
        <v>6915.78</v>
      </c>
      <c r="M1173" s="15">
        <f t="shared" si="130"/>
        <v>125.25298933347743</v>
      </c>
      <c r="N1173" s="13">
        <v>6915.78</v>
      </c>
      <c r="O1173" s="13">
        <v>6900</v>
      </c>
      <c r="P1173" s="11">
        <f t="shared" si="135"/>
        <v>1</v>
      </c>
    </row>
    <row r="1174" spans="1:16" ht="18.75" hidden="1" customHeight="1" thickBot="1" x14ac:dyDescent="0.3">
      <c r="A1174" s="3" t="s">
        <v>11</v>
      </c>
      <c r="B1174" s="4">
        <v>425479</v>
      </c>
      <c r="C1174" s="3" t="s">
        <v>15</v>
      </c>
      <c r="D1174" s="7">
        <v>0.13400000000000001</v>
      </c>
      <c r="E1174" s="7">
        <f t="shared" si="133"/>
        <v>1.1166666666666667E-2</v>
      </c>
      <c r="F1174" s="5">
        <v>39500</v>
      </c>
      <c r="G1174" s="5">
        <v>2958465</v>
      </c>
      <c r="H1174" s="8">
        <f t="shared" si="131"/>
        <v>2918965</v>
      </c>
      <c r="I1174" s="5">
        <v>2958465</v>
      </c>
      <c r="J1174" s="5">
        <v>42485</v>
      </c>
      <c r="K1174" s="8">
        <f t="shared" si="132"/>
        <v>2985</v>
      </c>
      <c r="L1174" s="6">
        <v>800</v>
      </c>
      <c r="M1174" s="9">
        <f t="shared" si="130"/>
        <v>8.9333333333333336</v>
      </c>
      <c r="N1174" s="6">
        <v>186.72</v>
      </c>
      <c r="O1174" s="6">
        <v>185.26</v>
      </c>
      <c r="P1174" s="6">
        <v>0</v>
      </c>
    </row>
    <row r="1175" spans="1:16" ht="18.75" customHeight="1" thickBot="1" x14ac:dyDescent="0.3">
      <c r="A1175" s="3" t="s">
        <v>11</v>
      </c>
      <c r="B1175" s="4">
        <v>649116</v>
      </c>
      <c r="C1175" s="3" t="s">
        <v>9</v>
      </c>
      <c r="D1175" s="18">
        <v>9.7500000000000003E-2</v>
      </c>
      <c r="E1175" s="21">
        <f t="shared" ref="E1175:E1180" si="136">(1+D1175)^(1/12)-1</f>
        <v>7.7830370878799737E-3</v>
      </c>
      <c r="F1175" s="5">
        <v>39161</v>
      </c>
      <c r="G1175" s="5">
        <v>39619</v>
      </c>
      <c r="H1175" s="16">
        <f t="shared" si="131"/>
        <v>458</v>
      </c>
      <c r="I1175" s="5">
        <v>39619</v>
      </c>
      <c r="J1175" s="5">
        <v>39580</v>
      </c>
      <c r="K1175" s="16">
        <f t="shared" si="132"/>
        <v>419</v>
      </c>
      <c r="L1175" s="13">
        <v>619860</v>
      </c>
      <c r="M1175" s="15">
        <f t="shared" si="130"/>
        <v>43219.753980125453</v>
      </c>
      <c r="N1175" s="13">
        <v>619860</v>
      </c>
      <c r="O1175" s="13">
        <v>0</v>
      </c>
      <c r="P1175" s="11">
        <f t="shared" ref="P1175:P1180" si="137">IF((G1175)&gt;(ConstantDateCutoff),1,0)</f>
        <v>0</v>
      </c>
    </row>
    <row r="1176" spans="1:16" ht="18.75" customHeight="1" thickBot="1" x14ac:dyDescent="0.3">
      <c r="A1176" s="3" t="s">
        <v>11</v>
      </c>
      <c r="B1176" s="4">
        <v>956355</v>
      </c>
      <c r="C1176" s="3" t="s">
        <v>9</v>
      </c>
      <c r="D1176" s="18">
        <v>0.1</v>
      </c>
      <c r="E1176" s="21">
        <f t="shared" si="136"/>
        <v>7.9741404289037643E-3</v>
      </c>
      <c r="F1176" s="5">
        <v>39162</v>
      </c>
      <c r="G1176" s="5">
        <v>40999</v>
      </c>
      <c r="H1176" s="16">
        <f t="shared" si="131"/>
        <v>1837</v>
      </c>
      <c r="I1176" s="5">
        <v>40999</v>
      </c>
      <c r="J1176" s="5">
        <v>39384</v>
      </c>
      <c r="K1176" s="16">
        <f t="shared" si="132"/>
        <v>222</v>
      </c>
      <c r="L1176" s="13">
        <v>2921.34</v>
      </c>
      <c r="M1176" s="15">
        <f t="shared" si="130"/>
        <v>60.48630761293353</v>
      </c>
      <c r="N1176" s="13">
        <v>2921.34</v>
      </c>
      <c r="O1176" s="13">
        <v>0</v>
      </c>
      <c r="P1176" s="11">
        <f t="shared" si="137"/>
        <v>0</v>
      </c>
    </row>
    <row r="1177" spans="1:16" ht="18.75" customHeight="1" thickBot="1" x14ac:dyDescent="0.3">
      <c r="A1177" s="3" t="s">
        <v>11</v>
      </c>
      <c r="B1177" s="4">
        <v>872088</v>
      </c>
      <c r="C1177" s="3" t="s">
        <v>9</v>
      </c>
      <c r="D1177" s="18">
        <v>0.11</v>
      </c>
      <c r="E1177" s="21">
        <f t="shared" si="136"/>
        <v>8.7345938235519061E-3</v>
      </c>
      <c r="F1177" s="5">
        <v>39171</v>
      </c>
      <c r="G1177" s="5">
        <v>40999</v>
      </c>
      <c r="H1177" s="16">
        <f t="shared" si="131"/>
        <v>1828</v>
      </c>
      <c r="I1177" s="5">
        <v>40999</v>
      </c>
      <c r="J1177" s="5">
        <v>39538</v>
      </c>
      <c r="K1177" s="16">
        <f t="shared" si="132"/>
        <v>367</v>
      </c>
      <c r="L1177" s="13">
        <v>3576.73</v>
      </c>
      <c r="M1177" s="15">
        <f t="shared" si="130"/>
        <v>75.948889824815794</v>
      </c>
      <c r="N1177" s="13">
        <v>3576.73</v>
      </c>
      <c r="O1177" s="13">
        <v>0</v>
      </c>
      <c r="P1177" s="11">
        <f t="shared" si="137"/>
        <v>0</v>
      </c>
    </row>
    <row r="1178" spans="1:16" ht="18.75" customHeight="1" thickBot="1" x14ac:dyDescent="0.3">
      <c r="A1178" s="3" t="s">
        <v>11</v>
      </c>
      <c r="B1178" s="4">
        <v>184085</v>
      </c>
      <c r="C1178" s="3" t="s">
        <v>9</v>
      </c>
      <c r="D1178" s="18">
        <v>0.12</v>
      </c>
      <c r="E1178" s="21">
        <f t="shared" si="136"/>
        <v>9.4887929345830457E-3</v>
      </c>
      <c r="F1178" s="5">
        <v>39175</v>
      </c>
      <c r="G1178" s="5">
        <v>39541</v>
      </c>
      <c r="H1178" s="16">
        <f t="shared" si="131"/>
        <v>366</v>
      </c>
      <c r="I1178" s="5">
        <v>39541</v>
      </c>
      <c r="J1178" s="5">
        <v>39367</v>
      </c>
      <c r="K1178" s="16">
        <f t="shared" si="132"/>
        <v>192</v>
      </c>
      <c r="L1178" s="13">
        <v>974.25</v>
      </c>
      <c r="M1178" s="15">
        <f t="shared" si="130"/>
        <v>84.945801087507434</v>
      </c>
      <c r="N1178" s="13">
        <v>974.25</v>
      </c>
      <c r="O1178" s="13">
        <v>0</v>
      </c>
      <c r="P1178" s="11">
        <f t="shared" si="137"/>
        <v>0</v>
      </c>
    </row>
    <row r="1179" spans="1:16" ht="18.75" customHeight="1" thickBot="1" x14ac:dyDescent="0.3">
      <c r="A1179" s="3" t="s">
        <v>11</v>
      </c>
      <c r="B1179" s="4">
        <v>216792</v>
      </c>
      <c r="C1179" s="3" t="s">
        <v>9</v>
      </c>
      <c r="D1179" s="18">
        <v>0.1</v>
      </c>
      <c r="E1179" s="21">
        <f t="shared" si="136"/>
        <v>7.9741404289037643E-3</v>
      </c>
      <c r="F1179" s="5">
        <v>39175</v>
      </c>
      <c r="G1179" s="5">
        <v>40819</v>
      </c>
      <c r="H1179" s="16">
        <f t="shared" si="131"/>
        <v>1644</v>
      </c>
      <c r="I1179" s="5">
        <v>40819</v>
      </c>
      <c r="J1179" s="5">
        <v>42474</v>
      </c>
      <c r="K1179" s="16">
        <f t="shared" si="132"/>
        <v>3299</v>
      </c>
      <c r="L1179" s="13">
        <v>10491.98</v>
      </c>
      <c r="M1179" s="15">
        <f t="shared" si="130"/>
        <v>237.07914431495337</v>
      </c>
      <c r="N1179" s="13">
        <v>10491.98</v>
      </c>
      <c r="O1179" s="13">
        <v>0</v>
      </c>
      <c r="P1179" s="11">
        <f t="shared" si="137"/>
        <v>0</v>
      </c>
    </row>
    <row r="1180" spans="1:16" ht="18.75" customHeight="1" thickBot="1" x14ac:dyDescent="0.3">
      <c r="A1180" s="3" t="s">
        <v>11</v>
      </c>
      <c r="B1180" s="4">
        <v>137701</v>
      </c>
      <c r="C1180" s="3" t="s">
        <v>9</v>
      </c>
      <c r="D1180" s="18">
        <v>0.1</v>
      </c>
      <c r="E1180" s="21">
        <f t="shared" si="136"/>
        <v>7.9741404289037643E-3</v>
      </c>
      <c r="F1180" s="5">
        <v>39177</v>
      </c>
      <c r="G1180" s="5">
        <v>39908</v>
      </c>
      <c r="H1180" s="16">
        <f t="shared" si="131"/>
        <v>731</v>
      </c>
      <c r="I1180" s="5">
        <v>39908</v>
      </c>
      <c r="J1180" s="5">
        <v>39254</v>
      </c>
      <c r="K1180" s="16">
        <f t="shared" si="132"/>
        <v>77</v>
      </c>
      <c r="L1180" s="13">
        <v>9273.75</v>
      </c>
      <c r="M1180" s="15">
        <f t="shared" si="130"/>
        <v>420.27408847676793</v>
      </c>
      <c r="N1180" s="13">
        <v>9273.75</v>
      </c>
      <c r="O1180" s="13">
        <v>0</v>
      </c>
      <c r="P1180" s="11">
        <f t="shared" si="137"/>
        <v>0</v>
      </c>
    </row>
    <row r="1181" spans="1:16" ht="18.75" hidden="1" customHeight="1" thickBot="1" x14ac:dyDescent="0.3">
      <c r="A1181" s="3" t="s">
        <v>11</v>
      </c>
      <c r="B1181" s="4">
        <v>8868</v>
      </c>
      <c r="C1181" s="3" t="s">
        <v>15</v>
      </c>
      <c r="D1181" s="7">
        <v>0.1515</v>
      </c>
      <c r="E1181" s="7">
        <f t="shared" si="133"/>
        <v>1.2624999999999999E-2</v>
      </c>
      <c r="F1181" s="5">
        <v>36257</v>
      </c>
      <c r="G1181" s="5">
        <v>2958465</v>
      </c>
      <c r="H1181" s="8">
        <f t="shared" si="131"/>
        <v>2922208</v>
      </c>
      <c r="I1181" s="5">
        <v>2958465</v>
      </c>
      <c r="J1181" s="5">
        <v>40627</v>
      </c>
      <c r="K1181" s="8">
        <f t="shared" si="132"/>
        <v>4370</v>
      </c>
      <c r="L1181" s="6">
        <v>300</v>
      </c>
      <c r="M1181" s="9">
        <f t="shared" si="130"/>
        <v>3.7874999999999996</v>
      </c>
      <c r="N1181" s="6">
        <v>300</v>
      </c>
      <c r="O1181" s="6">
        <v>300</v>
      </c>
      <c r="P1181" s="6">
        <v>0</v>
      </c>
    </row>
    <row r="1182" spans="1:16" ht="18.75" hidden="1" customHeight="1" thickBot="1" x14ac:dyDescent="0.3">
      <c r="A1182" s="3" t="s">
        <v>11</v>
      </c>
      <c r="B1182" s="4">
        <v>686747</v>
      </c>
      <c r="C1182" s="3" t="s">
        <v>15</v>
      </c>
      <c r="D1182" s="7">
        <v>0.16900000000000001</v>
      </c>
      <c r="E1182" s="7">
        <f t="shared" si="133"/>
        <v>1.4083333333333335E-2</v>
      </c>
      <c r="F1182" s="5">
        <v>38239</v>
      </c>
      <c r="G1182" s="5">
        <v>2958465</v>
      </c>
      <c r="H1182" s="8">
        <f t="shared" si="131"/>
        <v>2920226</v>
      </c>
      <c r="I1182" s="5">
        <v>2958465</v>
      </c>
      <c r="J1182" s="5">
        <v>44375</v>
      </c>
      <c r="K1182" s="8">
        <f t="shared" si="132"/>
        <v>6136</v>
      </c>
      <c r="L1182" s="6">
        <v>100</v>
      </c>
      <c r="M1182" s="9">
        <f t="shared" si="130"/>
        <v>1.4083333333333334</v>
      </c>
      <c r="N1182" s="6">
        <v>42.61</v>
      </c>
      <c r="O1182" s="6">
        <v>42.61</v>
      </c>
      <c r="P1182" s="6">
        <v>0</v>
      </c>
    </row>
    <row r="1183" spans="1:16" ht="18.75" hidden="1" customHeight="1" thickBot="1" x14ac:dyDescent="0.3">
      <c r="A1183" s="3" t="s">
        <v>11</v>
      </c>
      <c r="B1183" s="4">
        <v>149066</v>
      </c>
      <c r="C1183" s="3" t="s">
        <v>9</v>
      </c>
      <c r="D1183" s="18">
        <v>9.7500000000000003E-2</v>
      </c>
      <c r="E1183" s="21">
        <f t="shared" ref="E1183:E1184" si="138">(1+D1183)^(1/12)-1</f>
        <v>7.7830370878799737E-3</v>
      </c>
      <c r="F1183" s="5">
        <v>39190</v>
      </c>
      <c r="G1183" s="5">
        <v>39646</v>
      </c>
      <c r="H1183" s="16">
        <f t="shared" si="131"/>
        <v>456</v>
      </c>
      <c r="I1183" s="5">
        <v>39646</v>
      </c>
      <c r="J1183" s="2"/>
      <c r="K1183" s="16">
        <f t="shared" si="132"/>
        <v>-39190</v>
      </c>
      <c r="L1183" s="13">
        <v>136747</v>
      </c>
      <c r="M1183" s="15">
        <f t="shared" si="130"/>
        <v>9574.0809491426116</v>
      </c>
      <c r="N1183" s="13">
        <v>136747</v>
      </c>
      <c r="O1183" s="13">
        <v>0</v>
      </c>
      <c r="P1183" s="11">
        <f>IF((G1183)&gt;(ConstantDateCutoff),1,0)</f>
        <v>0</v>
      </c>
    </row>
    <row r="1184" spans="1:16" ht="18.75" customHeight="1" thickBot="1" x14ac:dyDescent="0.3">
      <c r="A1184" s="3" t="s">
        <v>11</v>
      </c>
      <c r="B1184" s="4">
        <v>169035</v>
      </c>
      <c r="C1184" s="3" t="s">
        <v>9</v>
      </c>
      <c r="D1184" s="18">
        <v>9.7500000000000003E-2</v>
      </c>
      <c r="E1184" s="21">
        <f t="shared" si="138"/>
        <v>7.7830370878799737E-3</v>
      </c>
      <c r="F1184" s="5">
        <v>39190</v>
      </c>
      <c r="G1184" s="5">
        <v>39995</v>
      </c>
      <c r="H1184" s="16">
        <f t="shared" si="131"/>
        <v>805</v>
      </c>
      <c r="I1184" s="5">
        <v>39995</v>
      </c>
      <c r="J1184" s="5">
        <v>40380</v>
      </c>
      <c r="K1184" s="16">
        <f t="shared" si="132"/>
        <v>1190</v>
      </c>
      <c r="L1184" s="13">
        <v>983600.5</v>
      </c>
      <c r="M1184" s="15">
        <f t="shared" si="130"/>
        <v>40758.702817395693</v>
      </c>
      <c r="N1184" s="13">
        <v>983600</v>
      </c>
      <c r="O1184" s="13">
        <v>0</v>
      </c>
      <c r="P1184" s="11">
        <f>IF((G1184)&gt;(ConstantDateCutoff),1,0)</f>
        <v>0</v>
      </c>
    </row>
    <row r="1185" spans="1:16" ht="18.75" hidden="1" customHeight="1" thickBot="1" x14ac:dyDescent="0.3">
      <c r="A1185" s="3" t="s">
        <v>11</v>
      </c>
      <c r="B1185" s="4">
        <v>795048</v>
      </c>
      <c r="C1185" s="3" t="s">
        <v>15</v>
      </c>
      <c r="D1185" s="7">
        <v>0.1515</v>
      </c>
      <c r="E1185" s="7">
        <f t="shared" si="133"/>
        <v>1.2624999999999999E-2</v>
      </c>
      <c r="F1185" s="5">
        <v>39759</v>
      </c>
      <c r="G1185" s="5">
        <v>2958465</v>
      </c>
      <c r="H1185" s="8">
        <f t="shared" si="131"/>
        <v>2918706</v>
      </c>
      <c r="I1185" s="5">
        <v>2958465</v>
      </c>
      <c r="J1185" s="5">
        <v>43913</v>
      </c>
      <c r="K1185" s="8">
        <f t="shared" si="132"/>
        <v>4154</v>
      </c>
      <c r="L1185" s="6">
        <v>500</v>
      </c>
      <c r="M1185" s="9">
        <f t="shared" si="130"/>
        <v>6.3124999999999991</v>
      </c>
      <c r="N1185" s="6">
        <v>500</v>
      </c>
      <c r="O1185" s="6">
        <v>500</v>
      </c>
      <c r="P1185" s="6">
        <v>0</v>
      </c>
    </row>
    <row r="1186" spans="1:16" ht="18.75" customHeight="1" thickBot="1" x14ac:dyDescent="0.3">
      <c r="A1186" s="3" t="s">
        <v>11</v>
      </c>
      <c r="B1186" s="4">
        <v>202047</v>
      </c>
      <c r="C1186" s="3" t="s">
        <v>9</v>
      </c>
      <c r="D1186" s="18">
        <v>9.7500000000000003E-2</v>
      </c>
      <c r="E1186" s="21">
        <f t="shared" ref="E1186:E1189" si="139">(1+D1186)^(1/12)-1</f>
        <v>7.7830370878799737E-3</v>
      </c>
      <c r="F1186" s="5">
        <v>39196</v>
      </c>
      <c r="G1186" s="5">
        <v>39623</v>
      </c>
      <c r="H1186" s="16">
        <f t="shared" si="131"/>
        <v>427</v>
      </c>
      <c r="I1186" s="5">
        <v>39623</v>
      </c>
      <c r="J1186" s="5">
        <v>41157</v>
      </c>
      <c r="K1186" s="16">
        <f t="shared" si="132"/>
        <v>1961</v>
      </c>
      <c r="L1186" s="13">
        <v>560302.71</v>
      </c>
      <c r="M1186" s="15">
        <f t="shared" si="130"/>
        <v>41739.045568556721</v>
      </c>
      <c r="N1186" s="13">
        <v>560302.71</v>
      </c>
      <c r="O1186" s="13">
        <v>0</v>
      </c>
      <c r="P1186" s="11">
        <f>IF((G1186)&gt;(ConstantDateCutoff),1,0)</f>
        <v>0</v>
      </c>
    </row>
    <row r="1187" spans="1:16" ht="18.75" customHeight="1" thickBot="1" x14ac:dyDescent="0.3">
      <c r="A1187" s="3" t="s">
        <v>11</v>
      </c>
      <c r="B1187" s="4">
        <v>239130</v>
      </c>
      <c r="C1187" s="3" t="s">
        <v>9</v>
      </c>
      <c r="D1187" s="18">
        <v>9.7500000000000003E-2</v>
      </c>
      <c r="E1187" s="21">
        <f t="shared" si="139"/>
        <v>7.7830370878799737E-3</v>
      </c>
      <c r="F1187" s="5">
        <v>39196</v>
      </c>
      <c r="G1187" s="5">
        <v>39531</v>
      </c>
      <c r="H1187" s="16">
        <f t="shared" si="131"/>
        <v>335</v>
      </c>
      <c r="I1187" s="5">
        <v>39531</v>
      </c>
      <c r="J1187" s="5">
        <v>43633</v>
      </c>
      <c r="K1187" s="16">
        <f t="shared" si="132"/>
        <v>4437</v>
      </c>
      <c r="L1187" s="13">
        <v>603660</v>
      </c>
      <c r="M1187" s="15">
        <f t="shared" si="130"/>
        <v>56652.250491710452</v>
      </c>
      <c r="N1187" s="13">
        <v>520043.85</v>
      </c>
      <c r="O1187" s="13">
        <v>0</v>
      </c>
      <c r="P1187" s="11">
        <f>IF((G1187)&gt;(ConstantDateCutoff),1,0)</f>
        <v>0</v>
      </c>
    </row>
    <row r="1188" spans="1:16" ht="18.75" customHeight="1" thickBot="1" x14ac:dyDescent="0.3">
      <c r="A1188" s="3" t="s">
        <v>11</v>
      </c>
      <c r="B1188" s="4">
        <v>677421</v>
      </c>
      <c r="C1188" s="3" t="s">
        <v>9</v>
      </c>
      <c r="D1188" s="18">
        <v>0.12</v>
      </c>
      <c r="E1188" s="21">
        <f t="shared" si="139"/>
        <v>9.4887929345830457E-3</v>
      </c>
      <c r="F1188" s="5">
        <v>39197</v>
      </c>
      <c r="G1188" s="5">
        <v>40568</v>
      </c>
      <c r="H1188" s="16">
        <f t="shared" si="131"/>
        <v>1371</v>
      </c>
      <c r="I1188" s="5">
        <v>40568</v>
      </c>
      <c r="J1188" s="5">
        <v>40032</v>
      </c>
      <c r="K1188" s="16">
        <f t="shared" si="132"/>
        <v>835</v>
      </c>
      <c r="L1188" s="13">
        <v>2189.0700000000002</v>
      </c>
      <c r="M1188" s="15">
        <f t="shared" si="130"/>
        <v>59.258360145464621</v>
      </c>
      <c r="N1188" s="13">
        <v>2189.0700000000002</v>
      </c>
      <c r="O1188" s="13">
        <v>0</v>
      </c>
      <c r="P1188" s="11">
        <f>IF((G1188)&gt;(ConstantDateCutoff),1,0)</f>
        <v>0</v>
      </c>
    </row>
    <row r="1189" spans="1:16" ht="18.75" customHeight="1" thickBot="1" x14ac:dyDescent="0.3">
      <c r="A1189" s="3" t="s">
        <v>11</v>
      </c>
      <c r="B1189" s="4">
        <v>420821</v>
      </c>
      <c r="C1189" s="3" t="s">
        <v>9</v>
      </c>
      <c r="D1189" s="18">
        <v>9.7500000000000003E-2</v>
      </c>
      <c r="E1189" s="21">
        <f t="shared" si="139"/>
        <v>7.7830370878799737E-3</v>
      </c>
      <c r="F1189" s="5">
        <v>39210</v>
      </c>
      <c r="G1189" s="5">
        <v>40155</v>
      </c>
      <c r="H1189" s="16">
        <f t="shared" si="131"/>
        <v>945</v>
      </c>
      <c r="I1189" s="5">
        <v>40155</v>
      </c>
      <c r="J1189" s="5">
        <v>39994</v>
      </c>
      <c r="K1189" s="16">
        <f t="shared" si="132"/>
        <v>784</v>
      </c>
      <c r="L1189" s="13">
        <v>254000</v>
      </c>
      <c r="M1189" s="15">
        <f t="shared" si="130"/>
        <v>9123.4689828249539</v>
      </c>
      <c r="N1189" s="13">
        <v>254000</v>
      </c>
      <c r="O1189" s="13">
        <v>0</v>
      </c>
      <c r="P1189" s="11">
        <f>IF((G1189)&gt;(ConstantDateCutoff),1,0)</f>
        <v>0</v>
      </c>
    </row>
    <row r="1190" spans="1:16" ht="18.75" hidden="1" customHeight="1" thickBot="1" x14ac:dyDescent="0.3">
      <c r="A1190" s="3" t="s">
        <v>11</v>
      </c>
      <c r="B1190" s="4">
        <v>126028</v>
      </c>
      <c r="C1190" s="3" t="s">
        <v>15</v>
      </c>
      <c r="D1190" s="7">
        <v>0.1515</v>
      </c>
      <c r="E1190" s="7">
        <f t="shared" si="133"/>
        <v>1.2624999999999999E-2</v>
      </c>
      <c r="F1190" s="5">
        <v>38412</v>
      </c>
      <c r="G1190" s="5">
        <v>2958465</v>
      </c>
      <c r="H1190" s="8">
        <f t="shared" si="131"/>
        <v>2920053</v>
      </c>
      <c r="I1190" s="5">
        <v>2958465</v>
      </c>
      <c r="J1190" s="5">
        <v>40970</v>
      </c>
      <c r="K1190" s="8">
        <f t="shared" si="132"/>
        <v>2558</v>
      </c>
      <c r="L1190" s="6">
        <v>300</v>
      </c>
      <c r="M1190" s="9">
        <f t="shared" si="130"/>
        <v>3.7874999999999996</v>
      </c>
      <c r="N1190" s="6">
        <v>300</v>
      </c>
      <c r="O1190" s="6">
        <v>50</v>
      </c>
      <c r="P1190" s="6">
        <v>0</v>
      </c>
    </row>
    <row r="1191" spans="1:16" ht="18.75" customHeight="1" thickBot="1" x14ac:dyDescent="0.3">
      <c r="A1191" s="3" t="s">
        <v>11</v>
      </c>
      <c r="B1191" s="4">
        <v>291927</v>
      </c>
      <c r="C1191" s="3" t="s">
        <v>9</v>
      </c>
      <c r="D1191" s="18">
        <v>9.7500000000000003E-2</v>
      </c>
      <c r="E1191" s="21">
        <f t="shared" ref="E1191:E1254" si="140">(1+D1191)^(1/12)-1</f>
        <v>7.7830370878799737E-3</v>
      </c>
      <c r="F1191" s="5">
        <v>39223</v>
      </c>
      <c r="G1191" s="5">
        <v>39712</v>
      </c>
      <c r="H1191" s="16">
        <f t="shared" si="131"/>
        <v>489</v>
      </c>
      <c r="I1191" s="5">
        <v>39712</v>
      </c>
      <c r="J1191" s="5">
        <v>39538</v>
      </c>
      <c r="K1191" s="16">
        <f t="shared" si="132"/>
        <v>315</v>
      </c>
      <c r="L1191" s="13">
        <v>134710</v>
      </c>
      <c r="M1191" s="15">
        <f t="shared" si="130"/>
        <v>8831.8015681582619</v>
      </c>
      <c r="N1191" s="13">
        <v>134710</v>
      </c>
      <c r="O1191" s="13">
        <v>0</v>
      </c>
      <c r="P1191" s="11">
        <f t="shared" ref="P1191:P1254" si="141">IF((G1191)&gt;(ConstantDateCutoff),1,0)</f>
        <v>0</v>
      </c>
    </row>
    <row r="1192" spans="1:16" ht="18.75" customHeight="1" thickBot="1" x14ac:dyDescent="0.3">
      <c r="A1192" s="3" t="s">
        <v>11</v>
      </c>
      <c r="B1192" s="4">
        <v>475269</v>
      </c>
      <c r="C1192" s="3" t="s">
        <v>9</v>
      </c>
      <c r="D1192" s="18">
        <v>0.1</v>
      </c>
      <c r="E1192" s="21">
        <f t="shared" si="140"/>
        <v>7.9741404289037643E-3</v>
      </c>
      <c r="F1192" s="5">
        <v>39231</v>
      </c>
      <c r="G1192" s="5">
        <v>40692</v>
      </c>
      <c r="H1192" s="16">
        <f t="shared" si="131"/>
        <v>1461</v>
      </c>
      <c r="I1192" s="5">
        <v>40692</v>
      </c>
      <c r="J1192" s="5">
        <v>39617</v>
      </c>
      <c r="K1192" s="16">
        <f t="shared" si="132"/>
        <v>386</v>
      </c>
      <c r="L1192" s="13">
        <v>9138</v>
      </c>
      <c r="M1192" s="15">
        <f t="shared" si="130"/>
        <v>227.16252483405322</v>
      </c>
      <c r="N1192" s="13">
        <v>9138</v>
      </c>
      <c r="O1192" s="13">
        <v>0</v>
      </c>
      <c r="P1192" s="11">
        <f t="shared" si="141"/>
        <v>0</v>
      </c>
    </row>
    <row r="1193" spans="1:16" ht="18.75" customHeight="1" thickBot="1" x14ac:dyDescent="0.3">
      <c r="A1193" s="3" t="s">
        <v>11</v>
      </c>
      <c r="B1193" s="4">
        <v>575928</v>
      </c>
      <c r="C1193" s="3" t="s">
        <v>9</v>
      </c>
      <c r="D1193" s="18">
        <v>0.12</v>
      </c>
      <c r="E1193" s="21">
        <f t="shared" si="140"/>
        <v>9.4887929345830457E-3</v>
      </c>
      <c r="F1193" s="5">
        <v>39233</v>
      </c>
      <c r="G1193" s="5">
        <v>39902</v>
      </c>
      <c r="H1193" s="16">
        <f t="shared" si="131"/>
        <v>669</v>
      </c>
      <c r="I1193" s="5">
        <v>39902</v>
      </c>
      <c r="J1193" s="5">
        <v>40555</v>
      </c>
      <c r="K1193" s="16">
        <f t="shared" si="132"/>
        <v>1322</v>
      </c>
      <c r="L1193" s="13">
        <v>442.61</v>
      </c>
      <c r="M1193" s="15">
        <f t="shared" si="130"/>
        <v>22.115571394568008</v>
      </c>
      <c r="N1193" s="13">
        <v>442.61</v>
      </c>
      <c r="O1193" s="13">
        <v>0</v>
      </c>
      <c r="P1193" s="11">
        <f t="shared" si="141"/>
        <v>0</v>
      </c>
    </row>
    <row r="1194" spans="1:16" ht="18.75" hidden="1" customHeight="1" thickBot="1" x14ac:dyDescent="0.3">
      <c r="A1194" s="3" t="s">
        <v>11</v>
      </c>
      <c r="B1194" s="4">
        <v>131817</v>
      </c>
      <c r="C1194" s="3" t="s">
        <v>9</v>
      </c>
      <c r="D1194" s="18">
        <v>9.7500000000000003E-2</v>
      </c>
      <c r="E1194" s="21">
        <f t="shared" si="140"/>
        <v>7.7830370878799737E-3</v>
      </c>
      <c r="F1194" s="5">
        <v>39241</v>
      </c>
      <c r="G1194" s="5">
        <v>39515</v>
      </c>
      <c r="H1194" s="16">
        <f t="shared" si="131"/>
        <v>274</v>
      </c>
      <c r="I1194" s="5">
        <v>39515</v>
      </c>
      <c r="J1194" s="2"/>
      <c r="K1194" s="16">
        <f t="shared" si="132"/>
        <v>-39241</v>
      </c>
      <c r="L1194" s="13">
        <v>252710</v>
      </c>
      <c r="M1194" s="15">
        <f t="shared" si="130"/>
        <v>28771.544034130256</v>
      </c>
      <c r="N1194" s="13">
        <v>252710</v>
      </c>
      <c r="O1194" s="13">
        <v>0</v>
      </c>
      <c r="P1194" s="11">
        <f t="shared" si="141"/>
        <v>0</v>
      </c>
    </row>
    <row r="1195" spans="1:16" ht="18.75" hidden="1" customHeight="1" thickBot="1" x14ac:dyDescent="0.3">
      <c r="A1195" s="3" t="s">
        <v>11</v>
      </c>
      <c r="B1195" s="4">
        <v>950291</v>
      </c>
      <c r="C1195" s="3" t="s">
        <v>9</v>
      </c>
      <c r="D1195" s="18">
        <v>0.11</v>
      </c>
      <c r="E1195" s="21">
        <f t="shared" si="140"/>
        <v>8.7345938235519061E-3</v>
      </c>
      <c r="F1195" s="5">
        <v>39246</v>
      </c>
      <c r="G1195" s="5">
        <v>39612</v>
      </c>
      <c r="H1195" s="16">
        <f t="shared" si="131"/>
        <v>366</v>
      </c>
      <c r="I1195" s="5">
        <v>39612</v>
      </c>
      <c r="J1195" s="2"/>
      <c r="K1195" s="16">
        <f t="shared" si="132"/>
        <v>-39246</v>
      </c>
      <c r="L1195" s="13">
        <v>3500</v>
      </c>
      <c r="M1195" s="15">
        <f t="shared" si="130"/>
        <v>303.69212904240095</v>
      </c>
      <c r="N1195" s="13">
        <v>3500</v>
      </c>
      <c r="O1195" s="13">
        <v>0</v>
      </c>
      <c r="P1195" s="11">
        <f t="shared" si="141"/>
        <v>0</v>
      </c>
    </row>
    <row r="1196" spans="1:16" ht="18.75" customHeight="1" thickBot="1" x14ac:dyDescent="0.3">
      <c r="A1196" s="3" t="s">
        <v>11</v>
      </c>
      <c r="B1196" s="4">
        <v>951288</v>
      </c>
      <c r="C1196" s="3" t="s">
        <v>9</v>
      </c>
      <c r="D1196" s="18">
        <v>9.7500000000000003E-2</v>
      </c>
      <c r="E1196" s="21">
        <f t="shared" si="140"/>
        <v>7.7830370878799737E-3</v>
      </c>
      <c r="F1196" s="5">
        <v>39258</v>
      </c>
      <c r="G1196" s="5">
        <v>40075</v>
      </c>
      <c r="H1196" s="16">
        <f t="shared" si="131"/>
        <v>817</v>
      </c>
      <c r="I1196" s="5">
        <v>40075</v>
      </c>
      <c r="J1196" s="5">
        <v>39708</v>
      </c>
      <c r="K1196" s="16">
        <f t="shared" si="132"/>
        <v>450</v>
      </c>
      <c r="L1196" s="13">
        <v>99290</v>
      </c>
      <c r="M1196" s="15">
        <f t="shared" si="130"/>
        <v>4060.0450313590222</v>
      </c>
      <c r="N1196" s="13">
        <v>99290</v>
      </c>
      <c r="O1196" s="13">
        <v>0</v>
      </c>
      <c r="P1196" s="11">
        <f t="shared" si="141"/>
        <v>0</v>
      </c>
    </row>
    <row r="1197" spans="1:16" ht="18.75" customHeight="1" thickBot="1" x14ac:dyDescent="0.3">
      <c r="A1197" s="3" t="s">
        <v>11</v>
      </c>
      <c r="B1197" s="4">
        <v>188636</v>
      </c>
      <c r="C1197" s="3" t="s">
        <v>9</v>
      </c>
      <c r="D1197" s="18">
        <v>9.7500000000000003E-2</v>
      </c>
      <c r="E1197" s="21">
        <f t="shared" si="140"/>
        <v>7.7830370878799737E-3</v>
      </c>
      <c r="F1197" s="5">
        <v>39258</v>
      </c>
      <c r="G1197" s="5">
        <v>39989</v>
      </c>
      <c r="H1197" s="16">
        <f t="shared" si="131"/>
        <v>731</v>
      </c>
      <c r="I1197" s="5">
        <v>39989</v>
      </c>
      <c r="J1197" s="5">
        <v>39815</v>
      </c>
      <c r="K1197" s="16">
        <f t="shared" si="132"/>
        <v>557</v>
      </c>
      <c r="L1197" s="13">
        <v>132085</v>
      </c>
      <c r="M1197" s="15">
        <f t="shared" si="130"/>
        <v>5971.9780919617051</v>
      </c>
      <c r="N1197" s="13">
        <v>132085</v>
      </c>
      <c r="O1197" s="13">
        <v>0</v>
      </c>
      <c r="P1197" s="11">
        <f t="shared" si="141"/>
        <v>0</v>
      </c>
    </row>
    <row r="1198" spans="1:16" ht="18.75" customHeight="1" thickBot="1" x14ac:dyDescent="0.3">
      <c r="A1198" s="3" t="s">
        <v>11</v>
      </c>
      <c r="B1198" s="4">
        <v>503838</v>
      </c>
      <c r="C1198" s="3" t="s">
        <v>9</v>
      </c>
      <c r="D1198" s="18">
        <v>0.12</v>
      </c>
      <c r="E1198" s="21">
        <f t="shared" si="140"/>
        <v>9.4887929345830457E-3</v>
      </c>
      <c r="F1198" s="5">
        <v>39259</v>
      </c>
      <c r="G1198" s="5">
        <v>39625</v>
      </c>
      <c r="H1198" s="16">
        <f t="shared" si="131"/>
        <v>366</v>
      </c>
      <c r="I1198" s="5">
        <v>39625</v>
      </c>
      <c r="J1198" s="5">
        <v>39437</v>
      </c>
      <c r="K1198" s="16">
        <f t="shared" si="132"/>
        <v>178</v>
      </c>
      <c r="L1198" s="13">
        <v>1034.1300000000001</v>
      </c>
      <c r="M1198" s="15">
        <f t="shared" si="130"/>
        <v>90.166796282908976</v>
      </c>
      <c r="N1198" s="13">
        <v>1034.1300000000001</v>
      </c>
      <c r="O1198" s="13">
        <v>0</v>
      </c>
      <c r="P1198" s="11">
        <f t="shared" si="141"/>
        <v>0</v>
      </c>
    </row>
    <row r="1199" spans="1:16" ht="18.75" customHeight="1" thickBot="1" x14ac:dyDescent="0.3">
      <c r="A1199" s="3" t="s">
        <v>11</v>
      </c>
      <c r="B1199" s="4">
        <v>399719</v>
      </c>
      <c r="C1199" s="3" t="s">
        <v>9</v>
      </c>
      <c r="D1199" s="18">
        <v>0.1</v>
      </c>
      <c r="E1199" s="21">
        <f t="shared" si="140"/>
        <v>7.9741404289037643E-3</v>
      </c>
      <c r="F1199" s="5">
        <v>39262</v>
      </c>
      <c r="G1199" s="5">
        <v>41333</v>
      </c>
      <c r="H1199" s="16">
        <f t="shared" si="131"/>
        <v>2071</v>
      </c>
      <c r="I1199" s="5">
        <v>41333</v>
      </c>
      <c r="J1199" s="5">
        <v>39365</v>
      </c>
      <c r="K1199" s="16">
        <f t="shared" si="132"/>
        <v>103</v>
      </c>
      <c r="L1199" s="13">
        <v>17446.59</v>
      </c>
      <c r="M1199" s="15">
        <f t="shared" si="130"/>
        <v>329.61917804107867</v>
      </c>
      <c r="N1199" s="13">
        <v>17446.59</v>
      </c>
      <c r="O1199" s="13">
        <v>0</v>
      </c>
      <c r="P1199" s="11">
        <f t="shared" si="141"/>
        <v>0</v>
      </c>
    </row>
    <row r="1200" spans="1:16" ht="18.75" customHeight="1" thickBot="1" x14ac:dyDescent="0.3">
      <c r="A1200" s="3" t="s">
        <v>11</v>
      </c>
      <c r="B1200" s="4">
        <v>182323</v>
      </c>
      <c r="C1200" s="3" t="s">
        <v>9</v>
      </c>
      <c r="D1200" s="18">
        <v>9.7500000000000003E-2</v>
      </c>
      <c r="E1200" s="21">
        <f t="shared" si="140"/>
        <v>7.7830370878799737E-3</v>
      </c>
      <c r="F1200" s="5">
        <v>39268</v>
      </c>
      <c r="G1200" s="5">
        <v>39646</v>
      </c>
      <c r="H1200" s="16">
        <f t="shared" si="131"/>
        <v>378</v>
      </c>
      <c r="I1200" s="5">
        <v>39646</v>
      </c>
      <c r="J1200" s="5">
        <v>41339</v>
      </c>
      <c r="K1200" s="16">
        <f t="shared" si="132"/>
        <v>2071</v>
      </c>
      <c r="L1200" s="13">
        <v>34914.01</v>
      </c>
      <c r="M1200" s="15">
        <f t="shared" si="130"/>
        <v>2919.802711483751</v>
      </c>
      <c r="N1200" s="13">
        <v>34914.01</v>
      </c>
      <c r="O1200" s="13">
        <v>0</v>
      </c>
      <c r="P1200" s="11">
        <f t="shared" si="141"/>
        <v>0</v>
      </c>
    </row>
    <row r="1201" spans="1:16" ht="18.75" customHeight="1" thickBot="1" x14ac:dyDescent="0.3">
      <c r="A1201" s="3" t="s">
        <v>11</v>
      </c>
      <c r="B1201" s="4">
        <v>195980</v>
      </c>
      <c r="C1201" s="3" t="s">
        <v>9</v>
      </c>
      <c r="D1201" s="18">
        <v>0.1</v>
      </c>
      <c r="E1201" s="21">
        <f t="shared" si="140"/>
        <v>7.9741404289037643E-3</v>
      </c>
      <c r="F1201" s="5">
        <v>39269</v>
      </c>
      <c r="G1201" s="5">
        <v>41096</v>
      </c>
      <c r="H1201" s="16">
        <f t="shared" si="131"/>
        <v>1827</v>
      </c>
      <c r="I1201" s="5">
        <v>41096</v>
      </c>
      <c r="J1201" s="5">
        <v>39931</v>
      </c>
      <c r="K1201" s="16">
        <f t="shared" si="132"/>
        <v>662</v>
      </c>
      <c r="L1201" s="13">
        <v>9784.2099999999991</v>
      </c>
      <c r="M1201" s="15">
        <f t="shared" si="130"/>
        <v>203.44299303185537</v>
      </c>
      <c r="N1201" s="13">
        <v>9784.2099999999991</v>
      </c>
      <c r="O1201" s="13">
        <v>0</v>
      </c>
      <c r="P1201" s="11">
        <f t="shared" si="141"/>
        <v>0</v>
      </c>
    </row>
    <row r="1202" spans="1:16" ht="18.75" customHeight="1" thickBot="1" x14ac:dyDescent="0.3">
      <c r="A1202" s="3" t="s">
        <v>11</v>
      </c>
      <c r="B1202" s="4">
        <v>957786</v>
      </c>
      <c r="C1202" s="3" t="s">
        <v>9</v>
      </c>
      <c r="D1202" s="18">
        <v>0.11</v>
      </c>
      <c r="E1202" s="21">
        <f t="shared" si="140"/>
        <v>8.7345938235519061E-3</v>
      </c>
      <c r="F1202" s="5">
        <v>39269</v>
      </c>
      <c r="G1202" s="5">
        <v>41553</v>
      </c>
      <c r="H1202" s="16">
        <f t="shared" si="131"/>
        <v>2284</v>
      </c>
      <c r="I1202" s="5">
        <v>41553</v>
      </c>
      <c r="J1202" s="5">
        <v>40360</v>
      </c>
      <c r="K1202" s="16">
        <f t="shared" si="132"/>
        <v>1091</v>
      </c>
      <c r="L1202" s="13">
        <v>1160.07</v>
      </c>
      <c r="M1202" s="15">
        <f t="shared" si="130"/>
        <v>20.925203041550091</v>
      </c>
      <c r="N1202" s="13">
        <v>1160.07</v>
      </c>
      <c r="O1202" s="13">
        <v>0</v>
      </c>
      <c r="P1202" s="11">
        <f t="shared" si="141"/>
        <v>0</v>
      </c>
    </row>
    <row r="1203" spans="1:16" ht="18.75" customHeight="1" thickBot="1" x14ac:dyDescent="0.3">
      <c r="A1203" s="3" t="s">
        <v>11</v>
      </c>
      <c r="B1203" s="4">
        <v>777824</v>
      </c>
      <c r="C1203" s="3" t="s">
        <v>9</v>
      </c>
      <c r="D1203" s="18">
        <v>0.1</v>
      </c>
      <c r="E1203" s="21">
        <f t="shared" si="140"/>
        <v>7.9741404289037643E-3</v>
      </c>
      <c r="F1203" s="5">
        <v>39272</v>
      </c>
      <c r="G1203" s="5">
        <v>40733</v>
      </c>
      <c r="H1203" s="16">
        <f t="shared" si="131"/>
        <v>1461</v>
      </c>
      <c r="I1203" s="5">
        <v>40733</v>
      </c>
      <c r="J1203" s="5">
        <v>40641</v>
      </c>
      <c r="K1203" s="16">
        <f t="shared" si="132"/>
        <v>1369</v>
      </c>
      <c r="L1203" s="13">
        <v>9019.81</v>
      </c>
      <c r="M1203" s="15">
        <f t="shared" si="130"/>
        <v>224.2244269121735</v>
      </c>
      <c r="N1203" s="13">
        <v>9019.81</v>
      </c>
      <c r="O1203" s="13">
        <v>0</v>
      </c>
      <c r="P1203" s="11">
        <f t="shared" si="141"/>
        <v>0</v>
      </c>
    </row>
    <row r="1204" spans="1:16" ht="18.75" hidden="1" customHeight="1" thickBot="1" x14ac:dyDescent="0.3">
      <c r="A1204" s="3" t="s">
        <v>11</v>
      </c>
      <c r="B1204" s="4">
        <v>225624</v>
      </c>
      <c r="C1204" s="3" t="s">
        <v>9</v>
      </c>
      <c r="D1204" s="18">
        <v>9.7500000000000003E-2</v>
      </c>
      <c r="E1204" s="21">
        <f t="shared" si="140"/>
        <v>7.7830370878799737E-3</v>
      </c>
      <c r="F1204" s="5">
        <v>39274</v>
      </c>
      <c r="G1204" s="5">
        <v>39515</v>
      </c>
      <c r="H1204" s="16">
        <f t="shared" si="131"/>
        <v>241</v>
      </c>
      <c r="I1204" s="5">
        <v>39515</v>
      </c>
      <c r="J1204" s="2"/>
      <c r="K1204" s="16">
        <f t="shared" si="132"/>
        <v>-39274</v>
      </c>
      <c r="L1204" s="13">
        <v>50685</v>
      </c>
      <c r="M1204" s="15">
        <f t="shared" si="130"/>
        <v>6533.1461800681382</v>
      </c>
      <c r="N1204" s="13">
        <v>50685</v>
      </c>
      <c r="O1204" s="13">
        <v>0</v>
      </c>
      <c r="P1204" s="11">
        <f t="shared" si="141"/>
        <v>0</v>
      </c>
    </row>
    <row r="1205" spans="1:16" ht="18.75" customHeight="1" thickBot="1" x14ac:dyDescent="0.3">
      <c r="A1205" s="3" t="s">
        <v>11</v>
      </c>
      <c r="B1205" s="4">
        <v>694842</v>
      </c>
      <c r="C1205" s="3" t="s">
        <v>9</v>
      </c>
      <c r="D1205" s="18">
        <v>0.12</v>
      </c>
      <c r="E1205" s="21">
        <f t="shared" si="140"/>
        <v>9.4887929345830457E-3</v>
      </c>
      <c r="F1205" s="5">
        <v>39297</v>
      </c>
      <c r="G1205" s="5">
        <v>40028</v>
      </c>
      <c r="H1205" s="16">
        <f t="shared" si="131"/>
        <v>731</v>
      </c>
      <c r="I1205" s="5">
        <v>40028</v>
      </c>
      <c r="J1205" s="5">
        <v>39605</v>
      </c>
      <c r="K1205" s="16">
        <f t="shared" si="132"/>
        <v>308</v>
      </c>
      <c r="L1205" s="13">
        <v>1849.13</v>
      </c>
      <c r="M1205" s="15">
        <f t="shared" si="130"/>
        <v>85.35634621284018</v>
      </c>
      <c r="N1205" s="13">
        <v>1849.13</v>
      </c>
      <c r="O1205" s="13">
        <v>0</v>
      </c>
      <c r="P1205" s="11">
        <f t="shared" si="141"/>
        <v>0</v>
      </c>
    </row>
    <row r="1206" spans="1:16" ht="18.75" customHeight="1" thickBot="1" x14ac:dyDescent="0.3">
      <c r="A1206" s="3" t="s">
        <v>11</v>
      </c>
      <c r="B1206" s="4">
        <v>582986</v>
      </c>
      <c r="C1206" s="3" t="s">
        <v>9</v>
      </c>
      <c r="D1206" s="18">
        <v>0.1</v>
      </c>
      <c r="E1206" s="21">
        <f t="shared" si="140"/>
        <v>7.9741404289037643E-3</v>
      </c>
      <c r="F1206" s="5">
        <v>39302</v>
      </c>
      <c r="G1206" s="5">
        <v>40763</v>
      </c>
      <c r="H1206" s="16">
        <f t="shared" si="131"/>
        <v>1461</v>
      </c>
      <c r="I1206" s="5">
        <v>40763</v>
      </c>
      <c r="J1206" s="5">
        <v>39595</v>
      </c>
      <c r="K1206" s="16">
        <f t="shared" si="132"/>
        <v>293</v>
      </c>
      <c r="L1206" s="13">
        <v>12187.11</v>
      </c>
      <c r="M1206" s="15">
        <f t="shared" si="130"/>
        <v>302.96067826989912</v>
      </c>
      <c r="N1206" s="13">
        <v>12187.11</v>
      </c>
      <c r="O1206" s="13">
        <v>0</v>
      </c>
      <c r="P1206" s="11">
        <f t="shared" si="141"/>
        <v>0</v>
      </c>
    </row>
    <row r="1207" spans="1:16" ht="18.75" customHeight="1" thickBot="1" x14ac:dyDescent="0.3">
      <c r="A1207" s="3" t="s">
        <v>11</v>
      </c>
      <c r="B1207" s="4">
        <v>224971</v>
      </c>
      <c r="C1207" s="3" t="s">
        <v>9</v>
      </c>
      <c r="D1207" s="18">
        <v>9.7500000000000003E-2</v>
      </c>
      <c r="E1207" s="21">
        <f t="shared" si="140"/>
        <v>7.7830370878799737E-3</v>
      </c>
      <c r="F1207" s="5">
        <v>39303</v>
      </c>
      <c r="G1207" s="5">
        <v>39730</v>
      </c>
      <c r="H1207" s="16">
        <f t="shared" si="131"/>
        <v>427</v>
      </c>
      <c r="I1207" s="5">
        <v>39730</v>
      </c>
      <c r="J1207" s="5">
        <v>39569</v>
      </c>
      <c r="K1207" s="16">
        <f t="shared" si="132"/>
        <v>266</v>
      </c>
      <c r="L1207" s="13">
        <v>240760</v>
      </c>
      <c r="M1207" s="15">
        <f t="shared" si="130"/>
        <v>17935.113344509289</v>
      </c>
      <c r="N1207" s="13">
        <v>240760</v>
      </c>
      <c r="O1207" s="13">
        <v>0</v>
      </c>
      <c r="P1207" s="11">
        <f t="shared" si="141"/>
        <v>0</v>
      </c>
    </row>
    <row r="1208" spans="1:16" ht="18.75" customHeight="1" thickBot="1" x14ac:dyDescent="0.3">
      <c r="A1208" s="3" t="s">
        <v>11</v>
      </c>
      <c r="B1208" s="4">
        <v>680170</v>
      </c>
      <c r="C1208" s="3" t="s">
        <v>9</v>
      </c>
      <c r="D1208" s="18">
        <v>0.12</v>
      </c>
      <c r="E1208" s="21">
        <f t="shared" si="140"/>
        <v>9.4887929345830457E-3</v>
      </c>
      <c r="F1208" s="5">
        <v>39308</v>
      </c>
      <c r="G1208" s="5">
        <v>41135</v>
      </c>
      <c r="H1208" s="16">
        <f t="shared" si="131"/>
        <v>1827</v>
      </c>
      <c r="I1208" s="5">
        <v>41135</v>
      </c>
      <c r="J1208" s="5">
        <v>39622</v>
      </c>
      <c r="K1208" s="16">
        <f t="shared" si="132"/>
        <v>314</v>
      </c>
      <c r="L1208" s="13">
        <v>6523.62</v>
      </c>
      <c r="M1208" s="15">
        <f t="shared" si="130"/>
        <v>141.52886959649368</v>
      </c>
      <c r="N1208" s="13">
        <v>6523.62</v>
      </c>
      <c r="O1208" s="13">
        <v>0</v>
      </c>
      <c r="P1208" s="11">
        <f t="shared" si="141"/>
        <v>0</v>
      </c>
    </row>
    <row r="1209" spans="1:16" ht="18.75" customHeight="1" thickBot="1" x14ac:dyDescent="0.3">
      <c r="A1209" s="3" t="s">
        <v>11</v>
      </c>
      <c r="B1209" s="4">
        <v>404368</v>
      </c>
      <c r="C1209" s="3" t="s">
        <v>9</v>
      </c>
      <c r="D1209" s="18">
        <v>0.1</v>
      </c>
      <c r="E1209" s="21">
        <f t="shared" si="140"/>
        <v>7.9741404289037643E-3</v>
      </c>
      <c r="F1209" s="5">
        <v>39317</v>
      </c>
      <c r="G1209" s="5">
        <v>40413</v>
      </c>
      <c r="H1209" s="16">
        <f t="shared" si="131"/>
        <v>1096</v>
      </c>
      <c r="I1209" s="5">
        <v>40413</v>
      </c>
      <c r="J1209" s="5">
        <v>39504</v>
      </c>
      <c r="K1209" s="16">
        <f t="shared" si="132"/>
        <v>187</v>
      </c>
      <c r="L1209" s="13">
        <v>3836.34</v>
      </c>
      <c r="M1209" s="15">
        <f t="shared" si="130"/>
        <v>121.46187230920802</v>
      </c>
      <c r="N1209" s="13">
        <v>3836.34</v>
      </c>
      <c r="O1209" s="13">
        <v>25</v>
      </c>
      <c r="P1209" s="11">
        <f t="shared" si="141"/>
        <v>0</v>
      </c>
    </row>
    <row r="1210" spans="1:16" ht="18.75" customHeight="1" thickBot="1" x14ac:dyDescent="0.3">
      <c r="A1210" s="3" t="s">
        <v>11</v>
      </c>
      <c r="B1210" s="4">
        <v>145825</v>
      </c>
      <c r="C1210" s="3" t="s">
        <v>9</v>
      </c>
      <c r="D1210" s="18">
        <v>0.11</v>
      </c>
      <c r="E1210" s="21">
        <f t="shared" si="140"/>
        <v>8.7345938235519061E-3</v>
      </c>
      <c r="F1210" s="5">
        <v>39335</v>
      </c>
      <c r="G1210" s="5">
        <v>40584</v>
      </c>
      <c r="H1210" s="16">
        <f t="shared" si="131"/>
        <v>1249</v>
      </c>
      <c r="I1210" s="5">
        <v>40584</v>
      </c>
      <c r="J1210" s="5">
        <v>39706</v>
      </c>
      <c r="K1210" s="16">
        <f t="shared" si="132"/>
        <v>371</v>
      </c>
      <c r="L1210" s="13">
        <v>6523.56</v>
      </c>
      <c r="M1210" s="15">
        <f t="shared" si="130"/>
        <v>187.57994928028518</v>
      </c>
      <c r="N1210" s="13">
        <v>6523.56</v>
      </c>
      <c r="O1210" s="13">
        <v>0</v>
      </c>
      <c r="P1210" s="11">
        <f t="shared" si="141"/>
        <v>0</v>
      </c>
    </row>
    <row r="1211" spans="1:16" ht="18.75" hidden="1" customHeight="1" thickBot="1" x14ac:dyDescent="0.3">
      <c r="A1211" s="3" t="s">
        <v>11</v>
      </c>
      <c r="B1211" s="4">
        <v>506644</v>
      </c>
      <c r="C1211" s="3" t="s">
        <v>9</v>
      </c>
      <c r="D1211" s="18">
        <v>9.7500000000000003E-2</v>
      </c>
      <c r="E1211" s="21">
        <f t="shared" si="140"/>
        <v>7.7830370878799737E-3</v>
      </c>
      <c r="F1211" s="5">
        <v>39345</v>
      </c>
      <c r="G1211" s="5">
        <v>39515</v>
      </c>
      <c r="H1211" s="16">
        <f t="shared" si="131"/>
        <v>170</v>
      </c>
      <c r="I1211" s="5">
        <v>39515</v>
      </c>
      <c r="J1211" s="2"/>
      <c r="K1211" s="16">
        <f t="shared" si="132"/>
        <v>-39345</v>
      </c>
      <c r="L1211" s="13">
        <v>20816.25</v>
      </c>
      <c r="M1211" s="15">
        <f t="shared" si="130"/>
        <v>3769.3326833843948</v>
      </c>
      <c r="N1211" s="13">
        <v>20816.25</v>
      </c>
      <c r="O1211" s="13">
        <v>0</v>
      </c>
      <c r="P1211" s="11">
        <f t="shared" si="141"/>
        <v>0</v>
      </c>
    </row>
    <row r="1212" spans="1:16" ht="18.75" hidden="1" customHeight="1" thickBot="1" x14ac:dyDescent="0.3">
      <c r="A1212" s="3" t="s">
        <v>11</v>
      </c>
      <c r="B1212" s="4">
        <v>524914</v>
      </c>
      <c r="C1212" s="3" t="s">
        <v>9</v>
      </c>
      <c r="D1212" s="18">
        <v>9.7500000000000003E-2</v>
      </c>
      <c r="E1212" s="21">
        <f t="shared" si="140"/>
        <v>7.7830370878799737E-3</v>
      </c>
      <c r="F1212" s="5">
        <v>39358</v>
      </c>
      <c r="G1212" s="5">
        <v>39724</v>
      </c>
      <c r="H1212" s="16">
        <f t="shared" si="131"/>
        <v>366</v>
      </c>
      <c r="I1212" s="5">
        <v>39724</v>
      </c>
      <c r="J1212" s="2"/>
      <c r="K1212" s="16">
        <f t="shared" si="132"/>
        <v>-39358</v>
      </c>
      <c r="L1212" s="13">
        <v>586447</v>
      </c>
      <c r="M1212" s="15">
        <f t="shared" si="130"/>
        <v>50574.388260369771</v>
      </c>
      <c r="N1212" s="13">
        <v>586447</v>
      </c>
      <c r="O1212" s="13">
        <v>0</v>
      </c>
      <c r="P1212" s="11">
        <f t="shared" si="141"/>
        <v>0</v>
      </c>
    </row>
    <row r="1213" spans="1:16" ht="18.75" customHeight="1" thickBot="1" x14ac:dyDescent="0.3">
      <c r="A1213" s="3" t="s">
        <v>11</v>
      </c>
      <c r="B1213" s="4">
        <v>413313</v>
      </c>
      <c r="C1213" s="3" t="s">
        <v>9</v>
      </c>
      <c r="D1213" s="18">
        <v>0.1</v>
      </c>
      <c r="E1213" s="21">
        <f t="shared" si="140"/>
        <v>7.9741404289037643E-3</v>
      </c>
      <c r="F1213" s="5">
        <v>39358</v>
      </c>
      <c r="G1213" s="5">
        <v>40911</v>
      </c>
      <c r="H1213" s="16">
        <f t="shared" si="131"/>
        <v>1553</v>
      </c>
      <c r="I1213" s="5">
        <v>40911</v>
      </c>
      <c r="J1213" s="5">
        <v>40508</v>
      </c>
      <c r="K1213" s="16">
        <f t="shared" si="132"/>
        <v>1150</v>
      </c>
      <c r="L1213" s="13">
        <v>5122.46</v>
      </c>
      <c r="M1213" s="15">
        <f t="shared" si="130"/>
        <v>121.16610875790484</v>
      </c>
      <c r="N1213" s="13">
        <v>5122.46</v>
      </c>
      <c r="O1213" s="13">
        <v>0</v>
      </c>
      <c r="P1213" s="11">
        <f t="shared" si="141"/>
        <v>0</v>
      </c>
    </row>
    <row r="1214" spans="1:16" ht="18.75" customHeight="1" thickBot="1" x14ac:dyDescent="0.3">
      <c r="A1214" s="3" t="s">
        <v>11</v>
      </c>
      <c r="B1214" s="4">
        <v>575470</v>
      </c>
      <c r="C1214" s="3" t="s">
        <v>9</v>
      </c>
      <c r="D1214" s="18">
        <v>9.7500000000000003E-2</v>
      </c>
      <c r="E1214" s="21">
        <f t="shared" si="140"/>
        <v>7.7830370878799737E-3</v>
      </c>
      <c r="F1214" s="5">
        <v>39359</v>
      </c>
      <c r="G1214" s="5">
        <v>39817</v>
      </c>
      <c r="H1214" s="16">
        <f t="shared" si="131"/>
        <v>458</v>
      </c>
      <c r="I1214" s="5">
        <v>39817</v>
      </c>
      <c r="J1214" s="5">
        <v>42563</v>
      </c>
      <c r="K1214" s="16">
        <f t="shared" si="132"/>
        <v>3204</v>
      </c>
      <c r="L1214" s="13">
        <v>440281.93</v>
      </c>
      <c r="M1214" s="15">
        <f t="shared" si="130"/>
        <v>30698.668564667529</v>
      </c>
      <c r="N1214" s="13">
        <v>440281.93</v>
      </c>
      <c r="O1214" s="13">
        <v>0</v>
      </c>
      <c r="P1214" s="11">
        <f t="shared" si="141"/>
        <v>0</v>
      </c>
    </row>
    <row r="1215" spans="1:16" ht="18.75" customHeight="1" thickBot="1" x14ac:dyDescent="0.3">
      <c r="A1215" s="3" t="s">
        <v>11</v>
      </c>
      <c r="B1215" s="4">
        <v>886733</v>
      </c>
      <c r="C1215" s="3" t="s">
        <v>9</v>
      </c>
      <c r="D1215" s="18">
        <v>9.7500000000000003E-2</v>
      </c>
      <c r="E1215" s="21">
        <f t="shared" si="140"/>
        <v>7.7830370878799737E-3</v>
      </c>
      <c r="F1215" s="5">
        <v>39359</v>
      </c>
      <c r="G1215" s="5">
        <v>39817</v>
      </c>
      <c r="H1215" s="16">
        <f t="shared" si="131"/>
        <v>458</v>
      </c>
      <c r="I1215" s="5">
        <v>39817</v>
      </c>
      <c r="J1215" s="5">
        <v>40469</v>
      </c>
      <c r="K1215" s="16">
        <f t="shared" si="132"/>
        <v>1110</v>
      </c>
      <c r="L1215" s="13">
        <v>473245.08</v>
      </c>
      <c r="M1215" s="15">
        <f t="shared" si="130"/>
        <v>32997.025021625515</v>
      </c>
      <c r="N1215" s="13">
        <v>473245.08</v>
      </c>
      <c r="O1215" s="13">
        <v>0</v>
      </c>
      <c r="P1215" s="11">
        <f t="shared" si="141"/>
        <v>0</v>
      </c>
    </row>
    <row r="1216" spans="1:16" ht="18.75" customHeight="1" thickBot="1" x14ac:dyDescent="0.3">
      <c r="A1216" s="3" t="s">
        <v>11</v>
      </c>
      <c r="B1216" s="4">
        <v>936355</v>
      </c>
      <c r="C1216" s="3" t="s">
        <v>9</v>
      </c>
      <c r="D1216" s="18">
        <v>0.11</v>
      </c>
      <c r="E1216" s="21">
        <f t="shared" si="140"/>
        <v>8.7345938235519061E-3</v>
      </c>
      <c r="F1216" s="5">
        <v>39365</v>
      </c>
      <c r="G1216" s="5">
        <v>39639</v>
      </c>
      <c r="H1216" s="16">
        <f t="shared" si="131"/>
        <v>274</v>
      </c>
      <c r="I1216" s="5">
        <v>39639</v>
      </c>
      <c r="J1216" s="5">
        <v>39489</v>
      </c>
      <c r="K1216" s="16">
        <f t="shared" si="132"/>
        <v>124</v>
      </c>
      <c r="L1216" s="13">
        <v>2875.94</v>
      </c>
      <c r="M1216" s="15">
        <f t="shared" si="130"/>
        <v>328.98348008027216</v>
      </c>
      <c r="N1216" s="13">
        <v>2875.94</v>
      </c>
      <c r="O1216" s="13">
        <v>0</v>
      </c>
      <c r="P1216" s="11">
        <f t="shared" si="141"/>
        <v>0</v>
      </c>
    </row>
    <row r="1217" spans="1:16" ht="18.75" customHeight="1" thickBot="1" x14ac:dyDescent="0.3">
      <c r="A1217" s="3" t="s">
        <v>11</v>
      </c>
      <c r="B1217" s="4">
        <v>920834</v>
      </c>
      <c r="C1217" s="3" t="s">
        <v>9</v>
      </c>
      <c r="D1217" s="18">
        <v>0.1</v>
      </c>
      <c r="E1217" s="21">
        <f t="shared" si="140"/>
        <v>7.9741404289037643E-3</v>
      </c>
      <c r="F1217" s="5">
        <v>39365</v>
      </c>
      <c r="G1217" s="5">
        <v>41557</v>
      </c>
      <c r="H1217" s="16">
        <f t="shared" si="131"/>
        <v>2192</v>
      </c>
      <c r="I1217" s="5">
        <v>41557</v>
      </c>
      <c r="J1217" s="5">
        <v>40030</v>
      </c>
      <c r="K1217" s="16">
        <f t="shared" si="132"/>
        <v>665</v>
      </c>
      <c r="L1217" s="13">
        <v>1955.57</v>
      </c>
      <c r="M1217" s="15">
        <f t="shared" si="130"/>
        <v>35.4176952347918</v>
      </c>
      <c r="N1217" s="13">
        <v>1955.57</v>
      </c>
      <c r="O1217" s="13">
        <v>0</v>
      </c>
      <c r="P1217" s="11">
        <f t="shared" si="141"/>
        <v>0</v>
      </c>
    </row>
    <row r="1218" spans="1:16" ht="18.75" customHeight="1" thickBot="1" x14ac:dyDescent="0.3">
      <c r="A1218" s="3" t="s">
        <v>11</v>
      </c>
      <c r="B1218" s="4">
        <v>889267</v>
      </c>
      <c r="C1218" s="3" t="s">
        <v>9</v>
      </c>
      <c r="D1218" s="18">
        <v>9.7500000000000003E-2</v>
      </c>
      <c r="E1218" s="21">
        <f t="shared" si="140"/>
        <v>7.7830370878799737E-3</v>
      </c>
      <c r="F1218" s="5">
        <v>39374</v>
      </c>
      <c r="G1218" s="5">
        <v>39922</v>
      </c>
      <c r="H1218" s="16">
        <f t="shared" si="131"/>
        <v>548</v>
      </c>
      <c r="I1218" s="5">
        <v>39922</v>
      </c>
      <c r="J1218" s="5">
        <v>39748</v>
      </c>
      <c r="K1218" s="16">
        <f t="shared" si="132"/>
        <v>374</v>
      </c>
      <c r="L1218" s="13">
        <v>693000</v>
      </c>
      <c r="M1218" s="15">
        <f t="shared" ref="M1218:M1281" si="142">-PMT(E1218,(H1218/30),L1218)</f>
        <v>40845.856660121237</v>
      </c>
      <c r="N1218" s="13">
        <v>693000</v>
      </c>
      <c r="O1218" s="13">
        <v>0</v>
      </c>
      <c r="P1218" s="11">
        <f t="shared" si="141"/>
        <v>0</v>
      </c>
    </row>
    <row r="1219" spans="1:16" ht="18.75" customHeight="1" thickBot="1" x14ac:dyDescent="0.3">
      <c r="A1219" s="3" t="s">
        <v>11</v>
      </c>
      <c r="B1219" s="4">
        <v>744639</v>
      </c>
      <c r="C1219" s="3" t="s">
        <v>9</v>
      </c>
      <c r="D1219" s="18">
        <v>0.1</v>
      </c>
      <c r="E1219" s="21">
        <f t="shared" si="140"/>
        <v>7.9741404289037643E-3</v>
      </c>
      <c r="F1219" s="5">
        <v>39379</v>
      </c>
      <c r="G1219" s="5">
        <v>41206</v>
      </c>
      <c r="H1219" s="16">
        <f t="shared" ref="H1219:H1282" si="143">G1219-F1219</f>
        <v>1827</v>
      </c>
      <c r="I1219" s="5">
        <v>41206</v>
      </c>
      <c r="J1219" s="5">
        <v>39735</v>
      </c>
      <c r="K1219" s="16">
        <f t="shared" ref="K1219:K1282" si="144">J1219-F1219</f>
        <v>356</v>
      </c>
      <c r="L1219" s="13">
        <v>8069.63</v>
      </c>
      <c r="M1219" s="15">
        <f t="shared" si="142"/>
        <v>167.7917460745069</v>
      </c>
      <c r="N1219" s="13">
        <v>8069.63</v>
      </c>
      <c r="O1219" s="13">
        <v>0</v>
      </c>
      <c r="P1219" s="11">
        <f t="shared" si="141"/>
        <v>0</v>
      </c>
    </row>
    <row r="1220" spans="1:16" ht="18.75" customHeight="1" thickBot="1" x14ac:dyDescent="0.3">
      <c r="A1220" s="3" t="s">
        <v>11</v>
      </c>
      <c r="B1220" s="4">
        <v>841162</v>
      </c>
      <c r="C1220" s="3" t="s">
        <v>9</v>
      </c>
      <c r="D1220" s="18">
        <v>0.1</v>
      </c>
      <c r="E1220" s="21">
        <f t="shared" si="140"/>
        <v>7.9741404289037643E-3</v>
      </c>
      <c r="F1220" s="5">
        <v>39385</v>
      </c>
      <c r="G1220" s="5">
        <v>40483</v>
      </c>
      <c r="H1220" s="16">
        <f t="shared" si="143"/>
        <v>1098</v>
      </c>
      <c r="I1220" s="5">
        <v>40483</v>
      </c>
      <c r="J1220" s="5">
        <v>39514</v>
      </c>
      <c r="K1220" s="16">
        <f t="shared" si="144"/>
        <v>129</v>
      </c>
      <c r="L1220" s="13">
        <v>3222.46</v>
      </c>
      <c r="M1220" s="15">
        <f t="shared" si="142"/>
        <v>101.86571842590544</v>
      </c>
      <c r="N1220" s="13">
        <v>3222.46</v>
      </c>
      <c r="O1220" s="13">
        <v>0</v>
      </c>
      <c r="P1220" s="11">
        <f t="shared" si="141"/>
        <v>0</v>
      </c>
    </row>
    <row r="1221" spans="1:16" ht="18.75" customHeight="1" thickBot="1" x14ac:dyDescent="0.3">
      <c r="A1221" s="3" t="s">
        <v>11</v>
      </c>
      <c r="B1221" s="4">
        <v>499656</v>
      </c>
      <c r="C1221" s="3" t="s">
        <v>9</v>
      </c>
      <c r="D1221" s="18">
        <v>9.7500000000000003E-2</v>
      </c>
      <c r="E1221" s="21">
        <f t="shared" si="140"/>
        <v>7.7830370878799737E-3</v>
      </c>
      <c r="F1221" s="5">
        <v>39401</v>
      </c>
      <c r="G1221" s="5">
        <v>39767</v>
      </c>
      <c r="H1221" s="16">
        <f t="shared" si="143"/>
        <v>366</v>
      </c>
      <c r="I1221" s="5">
        <v>39767</v>
      </c>
      <c r="J1221" s="5">
        <v>39721</v>
      </c>
      <c r="K1221" s="16">
        <f t="shared" si="144"/>
        <v>320</v>
      </c>
      <c r="L1221" s="13">
        <v>758700</v>
      </c>
      <c r="M1221" s="15">
        <f t="shared" si="142"/>
        <v>65429.251702442918</v>
      </c>
      <c r="N1221" s="13">
        <v>648356.9</v>
      </c>
      <c r="O1221" s="13">
        <v>0</v>
      </c>
      <c r="P1221" s="11">
        <f t="shared" si="141"/>
        <v>0</v>
      </c>
    </row>
    <row r="1222" spans="1:16" ht="18.75" customHeight="1" thickBot="1" x14ac:dyDescent="0.3">
      <c r="A1222" s="3" t="s">
        <v>11</v>
      </c>
      <c r="B1222" s="4">
        <v>834615</v>
      </c>
      <c r="C1222" s="3" t="s">
        <v>9</v>
      </c>
      <c r="D1222" s="18">
        <v>0.12</v>
      </c>
      <c r="E1222" s="21">
        <f t="shared" si="140"/>
        <v>9.4887929345830457E-3</v>
      </c>
      <c r="F1222" s="5">
        <v>39401</v>
      </c>
      <c r="G1222" s="5">
        <v>41228</v>
      </c>
      <c r="H1222" s="16">
        <f t="shared" si="143"/>
        <v>1827</v>
      </c>
      <c r="I1222" s="5">
        <v>41228</v>
      </c>
      <c r="J1222" s="5">
        <v>39701</v>
      </c>
      <c r="K1222" s="16">
        <f t="shared" si="144"/>
        <v>300</v>
      </c>
      <c r="L1222" s="13">
        <v>6493.18</v>
      </c>
      <c r="M1222" s="15">
        <f t="shared" si="142"/>
        <v>140.86847877199483</v>
      </c>
      <c r="N1222" s="13">
        <v>6493.18</v>
      </c>
      <c r="O1222" s="13">
        <v>0</v>
      </c>
      <c r="P1222" s="11">
        <f t="shared" si="141"/>
        <v>0</v>
      </c>
    </row>
    <row r="1223" spans="1:16" ht="18.75" customHeight="1" thickBot="1" x14ac:dyDescent="0.3">
      <c r="A1223" s="3" t="s">
        <v>11</v>
      </c>
      <c r="B1223" s="4">
        <v>387177</v>
      </c>
      <c r="C1223" s="3" t="s">
        <v>9</v>
      </c>
      <c r="D1223" s="18">
        <v>9.7500000000000003E-2</v>
      </c>
      <c r="E1223" s="21">
        <f t="shared" si="140"/>
        <v>7.7830370878799737E-3</v>
      </c>
      <c r="F1223" s="5">
        <v>39402</v>
      </c>
      <c r="G1223" s="5">
        <v>39615</v>
      </c>
      <c r="H1223" s="16">
        <f t="shared" si="143"/>
        <v>213</v>
      </c>
      <c r="I1223" s="5">
        <v>39615</v>
      </c>
      <c r="J1223" s="5">
        <v>39538</v>
      </c>
      <c r="K1223" s="16">
        <f t="shared" si="144"/>
        <v>136</v>
      </c>
      <c r="L1223" s="13">
        <v>19140</v>
      </c>
      <c r="M1223" s="15">
        <f t="shared" si="142"/>
        <v>2781.4187132110401</v>
      </c>
      <c r="N1223" s="13">
        <v>19140</v>
      </c>
      <c r="O1223" s="13">
        <v>0</v>
      </c>
      <c r="P1223" s="11">
        <f t="shared" si="141"/>
        <v>0</v>
      </c>
    </row>
    <row r="1224" spans="1:16" ht="18.75" customHeight="1" thickBot="1" x14ac:dyDescent="0.3">
      <c r="A1224" s="3" t="s">
        <v>11</v>
      </c>
      <c r="B1224" s="4">
        <v>772499</v>
      </c>
      <c r="C1224" s="3" t="s">
        <v>9</v>
      </c>
      <c r="D1224" s="18">
        <v>9.7500000000000003E-2</v>
      </c>
      <c r="E1224" s="21">
        <f t="shared" si="140"/>
        <v>7.7830370878799737E-3</v>
      </c>
      <c r="F1224" s="5">
        <v>39405</v>
      </c>
      <c r="G1224" s="5">
        <v>39710</v>
      </c>
      <c r="H1224" s="16">
        <f t="shared" si="143"/>
        <v>305</v>
      </c>
      <c r="I1224" s="5">
        <v>39710</v>
      </c>
      <c r="J1224" s="5">
        <v>40513</v>
      </c>
      <c r="K1224" s="16">
        <f t="shared" si="144"/>
        <v>1108</v>
      </c>
      <c r="L1224" s="13">
        <v>141224.78</v>
      </c>
      <c r="M1224" s="15">
        <f t="shared" si="142"/>
        <v>14501.74690103594</v>
      </c>
      <c r="N1224" s="13">
        <v>141224.78</v>
      </c>
      <c r="O1224" s="13">
        <v>0</v>
      </c>
      <c r="P1224" s="11">
        <f t="shared" si="141"/>
        <v>0</v>
      </c>
    </row>
    <row r="1225" spans="1:16" ht="18.75" hidden="1" customHeight="1" thickBot="1" x14ac:dyDescent="0.3">
      <c r="A1225" s="3" t="s">
        <v>11</v>
      </c>
      <c r="B1225" s="4">
        <v>842650</v>
      </c>
      <c r="C1225" s="3" t="s">
        <v>9</v>
      </c>
      <c r="D1225" s="18">
        <v>9.7500000000000003E-2</v>
      </c>
      <c r="E1225" s="21">
        <f t="shared" si="140"/>
        <v>7.7830370878799737E-3</v>
      </c>
      <c r="F1225" s="5">
        <v>39405</v>
      </c>
      <c r="G1225" s="5">
        <v>39710</v>
      </c>
      <c r="H1225" s="16">
        <f t="shared" si="143"/>
        <v>305</v>
      </c>
      <c r="I1225" s="5">
        <v>39710</v>
      </c>
      <c r="J1225" s="2"/>
      <c r="K1225" s="16">
        <f t="shared" si="144"/>
        <v>-39405</v>
      </c>
      <c r="L1225" s="13">
        <v>144420.97</v>
      </c>
      <c r="M1225" s="15">
        <f t="shared" si="142"/>
        <v>14829.949490040663</v>
      </c>
      <c r="N1225" s="13">
        <v>142200</v>
      </c>
      <c r="O1225" s="13">
        <v>0</v>
      </c>
      <c r="P1225" s="11">
        <f t="shared" si="141"/>
        <v>0</v>
      </c>
    </row>
    <row r="1226" spans="1:16" ht="18.75" customHeight="1" thickBot="1" x14ac:dyDescent="0.3">
      <c r="A1226" s="3" t="s">
        <v>11</v>
      </c>
      <c r="B1226" s="4">
        <v>523847</v>
      </c>
      <c r="C1226" s="3" t="s">
        <v>9</v>
      </c>
      <c r="D1226" s="18">
        <v>9.7500000000000003E-2</v>
      </c>
      <c r="E1226" s="21">
        <f t="shared" si="140"/>
        <v>7.7830370878799737E-3</v>
      </c>
      <c r="F1226" s="5">
        <v>39406</v>
      </c>
      <c r="G1226" s="5">
        <v>40086</v>
      </c>
      <c r="H1226" s="16">
        <f t="shared" si="143"/>
        <v>680</v>
      </c>
      <c r="I1226" s="5">
        <v>40086</v>
      </c>
      <c r="J1226" s="5">
        <v>40140</v>
      </c>
      <c r="K1226" s="16">
        <f t="shared" si="144"/>
        <v>734</v>
      </c>
      <c r="L1226" s="13">
        <v>10906.25</v>
      </c>
      <c r="M1226" s="15">
        <f t="shared" si="142"/>
        <v>526.71240878956337</v>
      </c>
      <c r="N1226" s="13">
        <v>10906.25</v>
      </c>
      <c r="O1226" s="13">
        <v>0</v>
      </c>
      <c r="P1226" s="11">
        <f t="shared" si="141"/>
        <v>0</v>
      </c>
    </row>
    <row r="1227" spans="1:16" ht="18.75" hidden="1" customHeight="1" thickBot="1" x14ac:dyDescent="0.3">
      <c r="A1227" s="3" t="s">
        <v>11</v>
      </c>
      <c r="B1227" s="4">
        <v>198626</v>
      </c>
      <c r="C1227" s="3" t="s">
        <v>9</v>
      </c>
      <c r="D1227" s="18">
        <v>0.1</v>
      </c>
      <c r="E1227" s="21">
        <f t="shared" si="140"/>
        <v>7.9741404289037643E-3</v>
      </c>
      <c r="F1227" s="5">
        <v>39407</v>
      </c>
      <c r="G1227" s="5">
        <v>39528</v>
      </c>
      <c r="H1227" s="16">
        <f t="shared" si="143"/>
        <v>121</v>
      </c>
      <c r="I1227" s="5">
        <v>39528</v>
      </c>
      <c r="J1227" s="2"/>
      <c r="K1227" s="16">
        <f t="shared" si="144"/>
        <v>-39407</v>
      </c>
      <c r="L1227" s="13">
        <v>1200</v>
      </c>
      <c r="M1227" s="15">
        <f t="shared" si="142"/>
        <v>303.5153554705384</v>
      </c>
      <c r="N1227" s="13">
        <v>1200</v>
      </c>
      <c r="O1227" s="13">
        <v>0</v>
      </c>
      <c r="P1227" s="11">
        <f t="shared" si="141"/>
        <v>0</v>
      </c>
    </row>
    <row r="1228" spans="1:16" ht="18.75" customHeight="1" thickBot="1" x14ac:dyDescent="0.3">
      <c r="A1228" s="3" t="s">
        <v>11</v>
      </c>
      <c r="B1228" s="4">
        <v>38140</v>
      </c>
      <c r="C1228" s="3" t="s">
        <v>9</v>
      </c>
      <c r="D1228" s="18">
        <v>0.1</v>
      </c>
      <c r="E1228" s="21">
        <f t="shared" si="140"/>
        <v>7.9741404289037643E-3</v>
      </c>
      <c r="F1228" s="5">
        <v>39412</v>
      </c>
      <c r="G1228" s="5">
        <v>41269</v>
      </c>
      <c r="H1228" s="16">
        <f t="shared" si="143"/>
        <v>1857</v>
      </c>
      <c r="I1228" s="5">
        <v>41269</v>
      </c>
      <c r="J1228" s="5">
        <v>40249</v>
      </c>
      <c r="K1228" s="16">
        <f t="shared" si="144"/>
        <v>837</v>
      </c>
      <c r="L1228" s="13">
        <v>6409.41</v>
      </c>
      <c r="M1228" s="15">
        <f t="shared" si="142"/>
        <v>131.59722626935903</v>
      </c>
      <c r="N1228" s="13">
        <v>6409.41</v>
      </c>
      <c r="O1228" s="13">
        <v>0</v>
      </c>
      <c r="P1228" s="11">
        <f t="shared" si="141"/>
        <v>0</v>
      </c>
    </row>
    <row r="1229" spans="1:16" ht="18.75" customHeight="1" thickBot="1" x14ac:dyDescent="0.3">
      <c r="A1229" s="3" t="s">
        <v>11</v>
      </c>
      <c r="B1229" s="4">
        <v>229005</v>
      </c>
      <c r="C1229" s="3" t="s">
        <v>9</v>
      </c>
      <c r="D1229" s="18">
        <v>0.1</v>
      </c>
      <c r="E1229" s="21">
        <f t="shared" si="140"/>
        <v>7.9741404289037643E-3</v>
      </c>
      <c r="F1229" s="5">
        <v>39410</v>
      </c>
      <c r="G1229" s="5">
        <v>41663</v>
      </c>
      <c r="H1229" s="16">
        <f t="shared" si="143"/>
        <v>2253</v>
      </c>
      <c r="I1229" s="5">
        <v>41663</v>
      </c>
      <c r="J1229" s="5">
        <v>40256</v>
      </c>
      <c r="K1229" s="16">
        <f t="shared" si="144"/>
        <v>846</v>
      </c>
      <c r="L1229" s="13">
        <v>13169.55</v>
      </c>
      <c r="M1229" s="15">
        <f t="shared" si="142"/>
        <v>233.75567331912001</v>
      </c>
      <c r="N1229" s="13">
        <v>13169.55</v>
      </c>
      <c r="O1229" s="13">
        <v>0</v>
      </c>
      <c r="P1229" s="11">
        <f t="shared" si="141"/>
        <v>0</v>
      </c>
    </row>
    <row r="1230" spans="1:16" ht="18.75" customHeight="1" thickBot="1" x14ac:dyDescent="0.3">
      <c r="A1230" s="3" t="s">
        <v>11</v>
      </c>
      <c r="B1230" s="4">
        <v>207741</v>
      </c>
      <c r="C1230" s="3" t="s">
        <v>9</v>
      </c>
      <c r="D1230" s="18">
        <v>0.1</v>
      </c>
      <c r="E1230" s="21">
        <f t="shared" si="140"/>
        <v>7.9741404289037643E-3</v>
      </c>
      <c r="F1230" s="5">
        <v>39422</v>
      </c>
      <c r="G1230" s="5">
        <v>40914</v>
      </c>
      <c r="H1230" s="16">
        <f t="shared" si="143"/>
        <v>1492</v>
      </c>
      <c r="I1230" s="5">
        <v>40914</v>
      </c>
      <c r="J1230" s="5">
        <v>40660</v>
      </c>
      <c r="K1230" s="16">
        <f t="shared" si="144"/>
        <v>1238</v>
      </c>
      <c r="L1230" s="13">
        <v>18500</v>
      </c>
      <c r="M1230" s="15">
        <f t="shared" si="142"/>
        <v>452.06930892743702</v>
      </c>
      <c r="N1230" s="13">
        <v>18500</v>
      </c>
      <c r="O1230" s="13">
        <v>0</v>
      </c>
      <c r="P1230" s="11">
        <f t="shared" si="141"/>
        <v>0</v>
      </c>
    </row>
    <row r="1231" spans="1:16" ht="18.75" hidden="1" customHeight="1" thickBot="1" x14ac:dyDescent="0.3">
      <c r="A1231" s="3" t="s">
        <v>11</v>
      </c>
      <c r="B1231" s="4">
        <v>372719</v>
      </c>
      <c r="C1231" s="3" t="s">
        <v>9</v>
      </c>
      <c r="D1231" s="18">
        <v>9.7500000000000003E-2</v>
      </c>
      <c r="E1231" s="21">
        <f t="shared" si="140"/>
        <v>7.7830370878799737E-3</v>
      </c>
      <c r="F1231" s="5">
        <v>39427</v>
      </c>
      <c r="G1231" s="5">
        <v>39702</v>
      </c>
      <c r="H1231" s="16">
        <f t="shared" si="143"/>
        <v>275</v>
      </c>
      <c r="I1231" s="5">
        <v>39702</v>
      </c>
      <c r="J1231" s="2"/>
      <c r="K1231" s="16">
        <f t="shared" si="144"/>
        <v>-39427</v>
      </c>
      <c r="L1231" s="13">
        <v>170375</v>
      </c>
      <c r="M1231" s="15">
        <f t="shared" si="142"/>
        <v>19329.469420070236</v>
      </c>
      <c r="N1231" s="13">
        <v>170276.81</v>
      </c>
      <c r="O1231" s="13">
        <v>0</v>
      </c>
      <c r="P1231" s="11">
        <f t="shared" si="141"/>
        <v>0</v>
      </c>
    </row>
    <row r="1232" spans="1:16" ht="18.75" customHeight="1" thickBot="1" x14ac:dyDescent="0.3">
      <c r="A1232" s="3" t="s">
        <v>11</v>
      </c>
      <c r="B1232" s="4">
        <v>490530</v>
      </c>
      <c r="C1232" s="3" t="s">
        <v>9</v>
      </c>
      <c r="D1232" s="18">
        <v>9.5000000000000001E-2</v>
      </c>
      <c r="E1232" s="21">
        <f t="shared" si="140"/>
        <v>7.5915342905825689E-3</v>
      </c>
      <c r="F1232" s="5">
        <v>39427</v>
      </c>
      <c r="G1232" s="5">
        <v>41537</v>
      </c>
      <c r="H1232" s="16">
        <f t="shared" si="143"/>
        <v>2110</v>
      </c>
      <c r="I1232" s="5">
        <v>41537</v>
      </c>
      <c r="J1232" s="5">
        <v>39766</v>
      </c>
      <c r="K1232" s="16">
        <f t="shared" si="144"/>
        <v>339</v>
      </c>
      <c r="L1232" s="13">
        <v>12936.26</v>
      </c>
      <c r="M1232" s="15">
        <f t="shared" si="142"/>
        <v>238.06093345471194</v>
      </c>
      <c r="N1232" s="13">
        <v>12936.26</v>
      </c>
      <c r="O1232" s="13">
        <v>0</v>
      </c>
      <c r="P1232" s="11">
        <f t="shared" si="141"/>
        <v>0</v>
      </c>
    </row>
    <row r="1233" spans="1:16" ht="18.75" customHeight="1" thickBot="1" x14ac:dyDescent="0.3">
      <c r="A1233" s="3" t="s">
        <v>11</v>
      </c>
      <c r="B1233" s="4">
        <v>302940</v>
      </c>
      <c r="C1233" s="3" t="s">
        <v>9</v>
      </c>
      <c r="D1233" s="18">
        <v>0.1</v>
      </c>
      <c r="E1233" s="21">
        <f t="shared" si="140"/>
        <v>7.9741404289037643E-3</v>
      </c>
      <c r="F1233" s="5">
        <v>39433</v>
      </c>
      <c r="G1233" s="5">
        <v>41633</v>
      </c>
      <c r="H1233" s="16">
        <f t="shared" si="143"/>
        <v>2200</v>
      </c>
      <c r="I1233" s="5">
        <v>41633</v>
      </c>
      <c r="J1233" s="5">
        <v>39849</v>
      </c>
      <c r="K1233" s="16">
        <f t="shared" si="144"/>
        <v>416</v>
      </c>
      <c r="L1233" s="13">
        <v>2971.08</v>
      </c>
      <c r="M1233" s="15">
        <f t="shared" si="142"/>
        <v>53.665446550806323</v>
      </c>
      <c r="N1233" s="13">
        <v>2971.08</v>
      </c>
      <c r="O1233" s="13">
        <v>0</v>
      </c>
      <c r="P1233" s="11">
        <f t="shared" si="141"/>
        <v>0</v>
      </c>
    </row>
    <row r="1234" spans="1:16" ht="18.75" customHeight="1" thickBot="1" x14ac:dyDescent="0.3">
      <c r="A1234" s="3" t="s">
        <v>11</v>
      </c>
      <c r="B1234" s="4">
        <v>144953</v>
      </c>
      <c r="C1234" s="3" t="s">
        <v>9</v>
      </c>
      <c r="D1234" s="18">
        <v>0.1</v>
      </c>
      <c r="E1234" s="21">
        <f t="shared" si="140"/>
        <v>7.9741404289037643E-3</v>
      </c>
      <c r="F1234" s="5">
        <v>39450</v>
      </c>
      <c r="G1234" s="5">
        <v>40971</v>
      </c>
      <c r="H1234" s="16">
        <f t="shared" si="143"/>
        <v>1521</v>
      </c>
      <c r="I1234" s="5">
        <v>40971</v>
      </c>
      <c r="J1234" s="5">
        <v>42597</v>
      </c>
      <c r="K1234" s="16">
        <f t="shared" si="144"/>
        <v>3147</v>
      </c>
      <c r="L1234" s="13">
        <v>40658</v>
      </c>
      <c r="M1234" s="15">
        <f t="shared" si="142"/>
        <v>978.08272292420133</v>
      </c>
      <c r="N1234" s="13">
        <v>40658</v>
      </c>
      <c r="O1234" s="13">
        <v>0</v>
      </c>
      <c r="P1234" s="11">
        <f t="shared" si="141"/>
        <v>0</v>
      </c>
    </row>
    <row r="1235" spans="1:16" ht="18.75" customHeight="1" thickBot="1" x14ac:dyDescent="0.3">
      <c r="A1235" s="3" t="s">
        <v>11</v>
      </c>
      <c r="B1235" s="4">
        <v>531090</v>
      </c>
      <c r="C1235" s="3" t="s">
        <v>9</v>
      </c>
      <c r="D1235" s="18">
        <v>0.11</v>
      </c>
      <c r="E1235" s="21">
        <f t="shared" si="140"/>
        <v>8.7345938235519061E-3</v>
      </c>
      <c r="F1235" s="5">
        <v>39451</v>
      </c>
      <c r="G1235" s="5">
        <v>40151</v>
      </c>
      <c r="H1235" s="16">
        <f t="shared" si="143"/>
        <v>700</v>
      </c>
      <c r="I1235" s="5">
        <v>40151</v>
      </c>
      <c r="J1235" s="5">
        <v>39612</v>
      </c>
      <c r="K1235" s="16">
        <f t="shared" si="144"/>
        <v>161</v>
      </c>
      <c r="L1235" s="13">
        <v>2492.0700000000002</v>
      </c>
      <c r="M1235" s="15">
        <f t="shared" si="142"/>
        <v>118.52020934269557</v>
      </c>
      <c r="N1235" s="13">
        <v>2492.0700000000002</v>
      </c>
      <c r="O1235" s="13">
        <v>0</v>
      </c>
      <c r="P1235" s="11">
        <f t="shared" si="141"/>
        <v>0</v>
      </c>
    </row>
    <row r="1236" spans="1:16" ht="18.75" customHeight="1" thickBot="1" x14ac:dyDescent="0.3">
      <c r="A1236" s="3" t="s">
        <v>11</v>
      </c>
      <c r="B1236" s="4">
        <v>34608</v>
      </c>
      <c r="C1236" s="3" t="s">
        <v>9</v>
      </c>
      <c r="D1236" s="18">
        <v>0.11</v>
      </c>
      <c r="E1236" s="21">
        <f t="shared" si="140"/>
        <v>8.7345938235519061E-3</v>
      </c>
      <c r="F1236" s="5">
        <v>39456</v>
      </c>
      <c r="G1236" s="5">
        <v>40368</v>
      </c>
      <c r="H1236" s="16">
        <f t="shared" si="143"/>
        <v>912</v>
      </c>
      <c r="I1236" s="5">
        <v>40368</v>
      </c>
      <c r="J1236" s="5">
        <v>39926</v>
      </c>
      <c r="K1236" s="16">
        <f t="shared" si="144"/>
        <v>470</v>
      </c>
      <c r="L1236" s="13">
        <v>5222.82</v>
      </c>
      <c r="M1236" s="15">
        <f t="shared" si="142"/>
        <v>196.36601701472503</v>
      </c>
      <c r="N1236" s="13">
        <v>5222.82</v>
      </c>
      <c r="O1236" s="13">
        <v>0</v>
      </c>
      <c r="P1236" s="11">
        <f t="shared" si="141"/>
        <v>0</v>
      </c>
    </row>
    <row r="1237" spans="1:16" ht="18.75" customHeight="1" thickBot="1" x14ac:dyDescent="0.3">
      <c r="A1237" s="3" t="s">
        <v>11</v>
      </c>
      <c r="B1237" s="4">
        <v>662600</v>
      </c>
      <c r="C1237" s="3" t="s">
        <v>9</v>
      </c>
      <c r="D1237" s="18">
        <v>8.2500000000000004E-2</v>
      </c>
      <c r="E1237" s="21">
        <f t="shared" si="140"/>
        <v>6.6279668043680573E-3</v>
      </c>
      <c r="F1237" s="5">
        <v>39451</v>
      </c>
      <c r="G1237" s="5">
        <v>39906</v>
      </c>
      <c r="H1237" s="16">
        <f t="shared" si="143"/>
        <v>455</v>
      </c>
      <c r="I1237" s="5">
        <v>39906</v>
      </c>
      <c r="J1237" s="5">
        <v>39843</v>
      </c>
      <c r="K1237" s="16">
        <f t="shared" si="144"/>
        <v>392</v>
      </c>
      <c r="L1237" s="13">
        <v>981723.88</v>
      </c>
      <c r="M1237" s="15">
        <f t="shared" si="142"/>
        <v>68251.057384117492</v>
      </c>
      <c r="N1237" s="13">
        <v>943099.13</v>
      </c>
      <c r="O1237" s="13">
        <v>0</v>
      </c>
      <c r="P1237" s="11">
        <f t="shared" si="141"/>
        <v>0</v>
      </c>
    </row>
    <row r="1238" spans="1:16" ht="18.75" customHeight="1" thickBot="1" x14ac:dyDescent="0.3">
      <c r="A1238" s="3" t="s">
        <v>11</v>
      </c>
      <c r="B1238" s="4">
        <v>305622</v>
      </c>
      <c r="C1238" s="3" t="s">
        <v>9</v>
      </c>
      <c r="D1238" s="18">
        <v>0.12</v>
      </c>
      <c r="E1238" s="21">
        <f t="shared" si="140"/>
        <v>9.4887929345830457E-3</v>
      </c>
      <c r="F1238" s="5">
        <v>39472</v>
      </c>
      <c r="G1238" s="5">
        <v>39777</v>
      </c>
      <c r="H1238" s="16">
        <f t="shared" si="143"/>
        <v>305</v>
      </c>
      <c r="I1238" s="5">
        <v>39777</v>
      </c>
      <c r="J1238" s="5">
        <v>39668</v>
      </c>
      <c r="K1238" s="16">
        <f t="shared" si="144"/>
        <v>196</v>
      </c>
      <c r="L1238" s="13">
        <v>774.34</v>
      </c>
      <c r="M1238" s="15">
        <f t="shared" si="142"/>
        <v>80.257932673750858</v>
      </c>
      <c r="N1238" s="13">
        <v>774.34</v>
      </c>
      <c r="O1238" s="13">
        <v>0</v>
      </c>
      <c r="P1238" s="11">
        <f t="shared" si="141"/>
        <v>0</v>
      </c>
    </row>
    <row r="1239" spans="1:16" ht="18.75" customHeight="1" thickBot="1" x14ac:dyDescent="0.3">
      <c r="A1239" s="3" t="s">
        <v>11</v>
      </c>
      <c r="B1239" s="4">
        <v>34348</v>
      </c>
      <c r="C1239" s="3" t="s">
        <v>9</v>
      </c>
      <c r="D1239" s="18">
        <v>9.7500000000000003E-2</v>
      </c>
      <c r="E1239" s="21">
        <f t="shared" si="140"/>
        <v>7.7830370878799737E-3</v>
      </c>
      <c r="F1239" s="5">
        <v>39475</v>
      </c>
      <c r="G1239" s="5">
        <v>39995</v>
      </c>
      <c r="H1239" s="16">
        <f t="shared" si="143"/>
        <v>520</v>
      </c>
      <c r="I1239" s="5">
        <v>39995</v>
      </c>
      <c r="J1239" s="5">
        <v>39644</v>
      </c>
      <c r="K1239" s="16">
        <f t="shared" si="144"/>
        <v>169</v>
      </c>
      <c r="L1239" s="13">
        <v>500000</v>
      </c>
      <c r="M1239" s="15">
        <f t="shared" si="142"/>
        <v>30947.590019107225</v>
      </c>
      <c r="N1239" s="13">
        <v>500000</v>
      </c>
      <c r="O1239" s="13">
        <v>0</v>
      </c>
      <c r="P1239" s="11">
        <f t="shared" si="141"/>
        <v>0</v>
      </c>
    </row>
    <row r="1240" spans="1:16" ht="18.75" customHeight="1" thickBot="1" x14ac:dyDescent="0.3">
      <c r="A1240" s="3" t="s">
        <v>11</v>
      </c>
      <c r="B1240" s="4">
        <v>148342</v>
      </c>
      <c r="C1240" s="3" t="s">
        <v>9</v>
      </c>
      <c r="D1240" s="18">
        <v>0.11</v>
      </c>
      <c r="E1240" s="21">
        <f t="shared" si="140"/>
        <v>8.7345938235519061E-3</v>
      </c>
      <c r="F1240" s="5">
        <v>39477</v>
      </c>
      <c r="G1240" s="5">
        <v>40633</v>
      </c>
      <c r="H1240" s="16">
        <f t="shared" si="143"/>
        <v>1156</v>
      </c>
      <c r="I1240" s="5">
        <v>40633</v>
      </c>
      <c r="J1240" s="5">
        <v>40268</v>
      </c>
      <c r="K1240" s="16">
        <f t="shared" si="144"/>
        <v>791</v>
      </c>
      <c r="L1240" s="13">
        <v>5189.8900000000003</v>
      </c>
      <c r="M1240" s="15">
        <f t="shared" si="142"/>
        <v>159.20244235877911</v>
      </c>
      <c r="N1240" s="13">
        <v>5189.8900000000003</v>
      </c>
      <c r="O1240" s="13">
        <v>0</v>
      </c>
      <c r="P1240" s="11">
        <f t="shared" si="141"/>
        <v>0</v>
      </c>
    </row>
    <row r="1241" spans="1:16" ht="18.75" customHeight="1" thickBot="1" x14ac:dyDescent="0.3">
      <c r="A1241" s="3" t="s">
        <v>11</v>
      </c>
      <c r="B1241" s="4">
        <v>41286</v>
      </c>
      <c r="C1241" s="3" t="s">
        <v>9</v>
      </c>
      <c r="D1241" s="18">
        <v>0.14000000000000001</v>
      </c>
      <c r="E1241" s="21">
        <f t="shared" si="140"/>
        <v>1.0978851950173452E-2</v>
      </c>
      <c r="F1241" s="5">
        <v>39477</v>
      </c>
      <c r="G1241" s="5">
        <v>39813</v>
      </c>
      <c r="H1241" s="16">
        <f t="shared" si="143"/>
        <v>336</v>
      </c>
      <c r="I1241" s="5">
        <v>39813</v>
      </c>
      <c r="J1241" s="5">
        <v>39671</v>
      </c>
      <c r="K1241" s="16">
        <f t="shared" si="144"/>
        <v>194</v>
      </c>
      <c r="L1241" s="13">
        <v>1708.7</v>
      </c>
      <c r="M1241" s="15">
        <f t="shared" si="142"/>
        <v>162.96937135586063</v>
      </c>
      <c r="N1241" s="13">
        <v>1708.7</v>
      </c>
      <c r="O1241" s="13">
        <v>0</v>
      </c>
      <c r="P1241" s="11">
        <f t="shared" si="141"/>
        <v>0</v>
      </c>
    </row>
    <row r="1242" spans="1:16" ht="18.75" customHeight="1" thickBot="1" x14ac:dyDescent="0.3">
      <c r="A1242" s="3" t="s">
        <v>11</v>
      </c>
      <c r="B1242" s="4">
        <v>637590</v>
      </c>
      <c r="C1242" s="3" t="s">
        <v>9</v>
      </c>
      <c r="D1242" s="18">
        <v>0.1</v>
      </c>
      <c r="E1242" s="21">
        <f t="shared" si="140"/>
        <v>7.9741404289037643E-3</v>
      </c>
      <c r="F1242" s="5">
        <v>39478</v>
      </c>
      <c r="G1242" s="5">
        <v>41882</v>
      </c>
      <c r="H1242" s="16">
        <f t="shared" si="143"/>
        <v>2404</v>
      </c>
      <c r="I1242" s="5">
        <v>41882</v>
      </c>
      <c r="J1242" s="5">
        <v>42500</v>
      </c>
      <c r="K1242" s="16">
        <f t="shared" si="144"/>
        <v>3022</v>
      </c>
      <c r="L1242" s="13">
        <v>8</v>
      </c>
      <c r="M1242" s="15">
        <f t="shared" si="142"/>
        <v>0.13548854608531272</v>
      </c>
      <c r="N1242" s="13">
        <v>8</v>
      </c>
      <c r="O1242" s="13">
        <v>0</v>
      </c>
      <c r="P1242" s="11">
        <f t="shared" si="141"/>
        <v>0</v>
      </c>
    </row>
    <row r="1243" spans="1:16" ht="18.75" customHeight="1" thickBot="1" x14ac:dyDescent="0.3">
      <c r="A1243" s="3" t="s">
        <v>11</v>
      </c>
      <c r="B1243" s="4">
        <v>135849</v>
      </c>
      <c r="C1243" s="3" t="s">
        <v>9</v>
      </c>
      <c r="D1243" s="18">
        <v>0.11</v>
      </c>
      <c r="E1243" s="21">
        <f t="shared" si="140"/>
        <v>8.7345938235519061E-3</v>
      </c>
      <c r="F1243" s="5">
        <v>39493</v>
      </c>
      <c r="G1243" s="5">
        <v>39736</v>
      </c>
      <c r="H1243" s="16">
        <f t="shared" si="143"/>
        <v>243</v>
      </c>
      <c r="I1243" s="5">
        <v>39736</v>
      </c>
      <c r="J1243" s="5">
        <v>39687</v>
      </c>
      <c r="K1243" s="16">
        <f t="shared" si="144"/>
        <v>194</v>
      </c>
      <c r="L1243" s="13">
        <v>1213</v>
      </c>
      <c r="M1243" s="15">
        <f t="shared" si="142"/>
        <v>155.76587633695303</v>
      </c>
      <c r="N1243" s="13">
        <v>1213</v>
      </c>
      <c r="O1243" s="13">
        <v>0</v>
      </c>
      <c r="P1243" s="11">
        <f t="shared" si="141"/>
        <v>0</v>
      </c>
    </row>
    <row r="1244" spans="1:16" ht="18.75" hidden="1" customHeight="1" thickBot="1" x14ac:dyDescent="0.3">
      <c r="A1244" s="3" t="s">
        <v>11</v>
      </c>
      <c r="B1244" s="4">
        <v>187587</v>
      </c>
      <c r="C1244" s="3" t="s">
        <v>9</v>
      </c>
      <c r="D1244" s="18">
        <v>0.1</v>
      </c>
      <c r="E1244" s="21">
        <f t="shared" si="140"/>
        <v>7.9741404289037643E-3</v>
      </c>
      <c r="F1244" s="5">
        <v>39497</v>
      </c>
      <c r="G1244" s="5">
        <v>39587</v>
      </c>
      <c r="H1244" s="16">
        <f t="shared" si="143"/>
        <v>90</v>
      </c>
      <c r="I1244" s="5">
        <v>39587</v>
      </c>
      <c r="J1244" s="2"/>
      <c r="K1244" s="16">
        <f t="shared" si="144"/>
        <v>-39497</v>
      </c>
      <c r="L1244" s="13">
        <v>1500</v>
      </c>
      <c r="M1244" s="15">
        <f t="shared" si="142"/>
        <v>507.99525178355418</v>
      </c>
      <c r="N1244" s="13">
        <v>1500</v>
      </c>
      <c r="O1244" s="13">
        <v>0</v>
      </c>
      <c r="P1244" s="11">
        <f t="shared" si="141"/>
        <v>0</v>
      </c>
    </row>
    <row r="1245" spans="1:16" ht="18.75" hidden="1" customHeight="1" thickBot="1" x14ac:dyDescent="0.3">
      <c r="A1245" s="3" t="s">
        <v>11</v>
      </c>
      <c r="B1245" s="4">
        <v>416359</v>
      </c>
      <c r="C1245" s="3" t="s">
        <v>9</v>
      </c>
      <c r="D1245" s="18">
        <v>0.11</v>
      </c>
      <c r="E1245" s="21">
        <f t="shared" si="140"/>
        <v>8.7345938235519061E-3</v>
      </c>
      <c r="F1245" s="5">
        <v>39498</v>
      </c>
      <c r="G1245" s="5">
        <v>39527</v>
      </c>
      <c r="H1245" s="16">
        <f t="shared" si="143"/>
        <v>29</v>
      </c>
      <c r="I1245" s="5">
        <v>39527</v>
      </c>
      <c r="J1245" s="2"/>
      <c r="K1245" s="16">
        <f t="shared" si="144"/>
        <v>-39498</v>
      </c>
      <c r="L1245" s="13">
        <v>3500</v>
      </c>
      <c r="M1245" s="15">
        <f t="shared" si="142"/>
        <v>3651.7863186144768</v>
      </c>
      <c r="N1245" s="13">
        <v>3500</v>
      </c>
      <c r="O1245" s="13">
        <v>0</v>
      </c>
      <c r="P1245" s="11">
        <f t="shared" si="141"/>
        <v>0</v>
      </c>
    </row>
    <row r="1246" spans="1:16" ht="18.75" customHeight="1" thickBot="1" x14ac:dyDescent="0.3">
      <c r="A1246" s="3" t="s">
        <v>11</v>
      </c>
      <c r="B1246" s="4">
        <v>271116</v>
      </c>
      <c r="C1246" s="3" t="s">
        <v>9</v>
      </c>
      <c r="D1246" s="18">
        <v>0.12</v>
      </c>
      <c r="E1246" s="21">
        <f t="shared" si="140"/>
        <v>9.4887929345830457E-3</v>
      </c>
      <c r="F1246" s="5">
        <v>39503</v>
      </c>
      <c r="G1246" s="5">
        <v>40599</v>
      </c>
      <c r="H1246" s="16">
        <f t="shared" si="143"/>
        <v>1096</v>
      </c>
      <c r="I1246" s="5">
        <v>40599</v>
      </c>
      <c r="J1246" s="5">
        <v>39573</v>
      </c>
      <c r="K1246" s="16">
        <f t="shared" si="144"/>
        <v>70</v>
      </c>
      <c r="L1246" s="13">
        <v>3858.7</v>
      </c>
      <c r="M1246" s="15">
        <f t="shared" si="142"/>
        <v>125.47952507215663</v>
      </c>
      <c r="N1246" s="13">
        <v>3858.7</v>
      </c>
      <c r="O1246" s="13">
        <v>0</v>
      </c>
      <c r="P1246" s="11">
        <f t="shared" si="141"/>
        <v>0</v>
      </c>
    </row>
    <row r="1247" spans="1:16" ht="18.75" customHeight="1" thickBot="1" x14ac:dyDescent="0.3">
      <c r="A1247" s="3" t="s">
        <v>11</v>
      </c>
      <c r="B1247" s="4">
        <v>486916</v>
      </c>
      <c r="C1247" s="3" t="s">
        <v>9</v>
      </c>
      <c r="D1247" s="18">
        <v>0.11</v>
      </c>
      <c r="E1247" s="21">
        <f t="shared" si="140"/>
        <v>8.7345938235519061E-3</v>
      </c>
      <c r="F1247" s="5">
        <v>39505</v>
      </c>
      <c r="G1247" s="5">
        <v>40236</v>
      </c>
      <c r="H1247" s="16">
        <f t="shared" si="143"/>
        <v>731</v>
      </c>
      <c r="I1247" s="5">
        <v>40236</v>
      </c>
      <c r="J1247" s="5">
        <v>39563</v>
      </c>
      <c r="K1247" s="16">
        <f t="shared" si="144"/>
        <v>58</v>
      </c>
      <c r="L1247" s="13">
        <v>2875.6</v>
      </c>
      <c r="M1247" s="15">
        <f t="shared" si="142"/>
        <v>131.5301473129434</v>
      </c>
      <c r="N1247" s="13">
        <v>2875.6</v>
      </c>
      <c r="O1247" s="13">
        <v>0</v>
      </c>
      <c r="P1247" s="11">
        <f t="shared" si="141"/>
        <v>0</v>
      </c>
    </row>
    <row r="1248" spans="1:16" ht="18.75" customHeight="1" thickBot="1" x14ac:dyDescent="0.3">
      <c r="A1248" s="3" t="s">
        <v>11</v>
      </c>
      <c r="B1248" s="4">
        <v>37282</v>
      </c>
      <c r="C1248" s="3" t="s">
        <v>9</v>
      </c>
      <c r="D1248" s="18">
        <v>0.105</v>
      </c>
      <c r="E1248" s="21">
        <f t="shared" si="140"/>
        <v>8.355155683635207E-3</v>
      </c>
      <c r="F1248" s="5">
        <v>39506</v>
      </c>
      <c r="G1248" s="5">
        <v>41333</v>
      </c>
      <c r="H1248" s="16">
        <f t="shared" si="143"/>
        <v>1827</v>
      </c>
      <c r="I1248" s="5">
        <v>41333</v>
      </c>
      <c r="J1248" s="5">
        <v>40917</v>
      </c>
      <c r="K1248" s="16">
        <f t="shared" si="144"/>
        <v>1411</v>
      </c>
      <c r="L1248" s="13">
        <v>3775.75</v>
      </c>
      <c r="M1248" s="15">
        <f t="shared" si="142"/>
        <v>79.357760639515973</v>
      </c>
      <c r="N1248" s="13">
        <v>3775.75</v>
      </c>
      <c r="O1248" s="13">
        <v>0</v>
      </c>
      <c r="P1248" s="11">
        <f t="shared" si="141"/>
        <v>0</v>
      </c>
    </row>
    <row r="1249" spans="1:16" ht="18.75" customHeight="1" thickBot="1" x14ac:dyDescent="0.3">
      <c r="A1249" s="3" t="s">
        <v>11</v>
      </c>
      <c r="B1249" s="4">
        <v>786439</v>
      </c>
      <c r="C1249" s="3" t="s">
        <v>9</v>
      </c>
      <c r="D1249" s="18">
        <v>9.7500000000000003E-2</v>
      </c>
      <c r="E1249" s="21">
        <f t="shared" si="140"/>
        <v>7.7830370878799737E-3</v>
      </c>
      <c r="F1249" s="5">
        <v>39513</v>
      </c>
      <c r="G1249" s="5">
        <v>39939</v>
      </c>
      <c r="H1249" s="16">
        <f t="shared" si="143"/>
        <v>426</v>
      </c>
      <c r="I1249" s="5">
        <v>39939</v>
      </c>
      <c r="J1249" s="5">
        <v>39904</v>
      </c>
      <c r="K1249" s="16">
        <f t="shared" si="144"/>
        <v>391</v>
      </c>
      <c r="L1249" s="13">
        <v>184461.75</v>
      </c>
      <c r="M1249" s="15">
        <f t="shared" si="142"/>
        <v>13771.75552905895</v>
      </c>
      <c r="N1249" s="13">
        <v>184461.75</v>
      </c>
      <c r="O1249" s="13">
        <v>0</v>
      </c>
      <c r="P1249" s="11">
        <f t="shared" si="141"/>
        <v>0</v>
      </c>
    </row>
    <row r="1250" spans="1:16" ht="18.75" customHeight="1" thickBot="1" x14ac:dyDescent="0.3">
      <c r="A1250" s="3" t="s">
        <v>11</v>
      </c>
      <c r="B1250" s="4">
        <v>468534</v>
      </c>
      <c r="C1250" s="3" t="s">
        <v>9</v>
      </c>
      <c r="D1250" s="18">
        <v>9.7500000000000003E-2</v>
      </c>
      <c r="E1250" s="21">
        <f t="shared" si="140"/>
        <v>7.7830370878799737E-3</v>
      </c>
      <c r="F1250" s="5">
        <v>39514</v>
      </c>
      <c r="G1250" s="5">
        <v>40066</v>
      </c>
      <c r="H1250" s="16">
        <f t="shared" si="143"/>
        <v>552</v>
      </c>
      <c r="I1250" s="5">
        <v>40066</v>
      </c>
      <c r="J1250" s="5">
        <v>39721</v>
      </c>
      <c r="K1250" s="16">
        <f t="shared" si="144"/>
        <v>207</v>
      </c>
      <c r="L1250" s="13">
        <v>80000</v>
      </c>
      <c r="M1250" s="15">
        <f t="shared" si="142"/>
        <v>4683.4446922143761</v>
      </c>
      <c r="N1250" s="13">
        <v>80000</v>
      </c>
      <c r="O1250" s="13">
        <v>0</v>
      </c>
      <c r="P1250" s="11">
        <f t="shared" si="141"/>
        <v>0</v>
      </c>
    </row>
    <row r="1251" spans="1:16" ht="18.75" customHeight="1" thickBot="1" x14ac:dyDescent="0.3">
      <c r="A1251" s="3" t="s">
        <v>11</v>
      </c>
      <c r="B1251" s="4">
        <v>294652</v>
      </c>
      <c r="C1251" s="3" t="s">
        <v>9</v>
      </c>
      <c r="D1251" s="18">
        <v>0.1</v>
      </c>
      <c r="E1251" s="21">
        <f t="shared" si="140"/>
        <v>7.9741404289037643E-3</v>
      </c>
      <c r="F1251" s="5">
        <v>39514</v>
      </c>
      <c r="G1251" s="5">
        <v>41432</v>
      </c>
      <c r="H1251" s="16">
        <f t="shared" si="143"/>
        <v>1918</v>
      </c>
      <c r="I1251" s="5">
        <v>41432</v>
      </c>
      <c r="J1251" s="5">
        <v>41276</v>
      </c>
      <c r="K1251" s="16">
        <f t="shared" si="144"/>
        <v>1762</v>
      </c>
      <c r="L1251" s="13">
        <v>4864.3599999999997</v>
      </c>
      <c r="M1251" s="15">
        <f t="shared" si="142"/>
        <v>97.416765577498879</v>
      </c>
      <c r="N1251" s="13">
        <v>4864.3599999999997</v>
      </c>
      <c r="O1251" s="13">
        <v>0</v>
      </c>
      <c r="P1251" s="11">
        <f t="shared" si="141"/>
        <v>0</v>
      </c>
    </row>
    <row r="1252" spans="1:16" ht="18.75" customHeight="1" thickBot="1" x14ac:dyDescent="0.3">
      <c r="A1252" s="3" t="s">
        <v>11</v>
      </c>
      <c r="B1252" s="4">
        <v>203555</v>
      </c>
      <c r="C1252" s="3" t="s">
        <v>9</v>
      </c>
      <c r="D1252" s="18">
        <v>0.1</v>
      </c>
      <c r="E1252" s="21">
        <f t="shared" si="140"/>
        <v>7.9741404289037643E-3</v>
      </c>
      <c r="F1252" s="5">
        <v>39518</v>
      </c>
      <c r="G1252" s="5">
        <v>41344</v>
      </c>
      <c r="H1252" s="16">
        <f t="shared" si="143"/>
        <v>1826</v>
      </c>
      <c r="I1252" s="5">
        <v>41344</v>
      </c>
      <c r="J1252" s="5">
        <v>40438</v>
      </c>
      <c r="K1252" s="16">
        <f t="shared" si="144"/>
        <v>920</v>
      </c>
      <c r="L1252" s="13">
        <v>7889.26</v>
      </c>
      <c r="M1252" s="15">
        <f t="shared" si="142"/>
        <v>164.11116926256983</v>
      </c>
      <c r="N1252" s="13">
        <v>7889.26</v>
      </c>
      <c r="O1252" s="13">
        <v>0</v>
      </c>
      <c r="P1252" s="11">
        <f t="shared" si="141"/>
        <v>0</v>
      </c>
    </row>
    <row r="1253" spans="1:16" ht="18.75" customHeight="1" thickBot="1" x14ac:dyDescent="0.3">
      <c r="A1253" s="3" t="s">
        <v>11</v>
      </c>
      <c r="B1253" s="4">
        <v>439670</v>
      </c>
      <c r="C1253" s="3" t="s">
        <v>9</v>
      </c>
      <c r="D1253" s="18">
        <v>0.1</v>
      </c>
      <c r="E1253" s="21">
        <f t="shared" si="140"/>
        <v>7.9741404289037643E-3</v>
      </c>
      <c r="F1253" s="5">
        <v>39521</v>
      </c>
      <c r="G1253" s="5">
        <v>41378</v>
      </c>
      <c r="H1253" s="16">
        <f t="shared" si="143"/>
        <v>1857</v>
      </c>
      <c r="I1253" s="5">
        <v>41378</v>
      </c>
      <c r="J1253" s="5">
        <v>40478</v>
      </c>
      <c r="K1253" s="16">
        <f t="shared" si="144"/>
        <v>957</v>
      </c>
      <c r="L1253" s="13">
        <v>3298.37</v>
      </c>
      <c r="M1253" s="15">
        <f t="shared" si="142"/>
        <v>67.721731518199903</v>
      </c>
      <c r="N1253" s="13">
        <v>3298.37</v>
      </c>
      <c r="O1253" s="13">
        <v>0</v>
      </c>
      <c r="P1253" s="11">
        <f t="shared" si="141"/>
        <v>0</v>
      </c>
    </row>
    <row r="1254" spans="1:16" ht="18.75" customHeight="1" thickBot="1" x14ac:dyDescent="0.3">
      <c r="A1254" s="3" t="s">
        <v>11</v>
      </c>
      <c r="B1254" s="4">
        <v>45464</v>
      </c>
      <c r="C1254" s="3" t="s">
        <v>9</v>
      </c>
      <c r="D1254" s="18">
        <v>9.7500000000000003E-2</v>
      </c>
      <c r="E1254" s="21">
        <f t="shared" si="140"/>
        <v>7.7830370878799737E-3</v>
      </c>
      <c r="F1254" s="5">
        <v>39526</v>
      </c>
      <c r="G1254" s="5">
        <v>40075</v>
      </c>
      <c r="H1254" s="16">
        <f t="shared" si="143"/>
        <v>549</v>
      </c>
      <c r="I1254" s="5">
        <v>40075</v>
      </c>
      <c r="J1254" s="5">
        <v>39771</v>
      </c>
      <c r="K1254" s="16">
        <f t="shared" si="144"/>
        <v>245</v>
      </c>
      <c r="L1254" s="13">
        <v>110437.5</v>
      </c>
      <c r="M1254" s="15">
        <f t="shared" si="142"/>
        <v>6498.2190546770216</v>
      </c>
      <c r="N1254" s="13">
        <v>110437.5</v>
      </c>
      <c r="O1254" s="13">
        <v>0</v>
      </c>
      <c r="P1254" s="11">
        <f t="shared" si="141"/>
        <v>0</v>
      </c>
    </row>
    <row r="1255" spans="1:16" ht="18.75" customHeight="1" thickBot="1" x14ac:dyDescent="0.3">
      <c r="A1255" s="3" t="s">
        <v>11</v>
      </c>
      <c r="B1255" s="4">
        <v>593905</v>
      </c>
      <c r="C1255" s="3" t="s">
        <v>9</v>
      </c>
      <c r="D1255" s="18">
        <v>0.11</v>
      </c>
      <c r="E1255" s="21">
        <f t="shared" ref="E1255:E1318" si="145">(1+D1255)^(1/12)-1</f>
        <v>8.7345938235519061E-3</v>
      </c>
      <c r="F1255" s="5">
        <v>39531</v>
      </c>
      <c r="G1255" s="5">
        <v>40992</v>
      </c>
      <c r="H1255" s="16">
        <f t="shared" si="143"/>
        <v>1461</v>
      </c>
      <c r="I1255" s="5">
        <v>40992</v>
      </c>
      <c r="J1255" s="5">
        <v>41033</v>
      </c>
      <c r="K1255" s="16">
        <f t="shared" si="144"/>
        <v>1502</v>
      </c>
      <c r="L1255" s="13">
        <v>658.48</v>
      </c>
      <c r="M1255" s="15">
        <f t="shared" si="142"/>
        <v>16.658283823907478</v>
      </c>
      <c r="N1255" s="13">
        <v>658.48</v>
      </c>
      <c r="O1255" s="13">
        <v>0</v>
      </c>
      <c r="P1255" s="11">
        <f t="shared" ref="P1255:P1318" si="146">IF((G1255)&gt;(ConstantDateCutoff),1,0)</f>
        <v>0</v>
      </c>
    </row>
    <row r="1256" spans="1:16" ht="18.75" hidden="1" customHeight="1" thickBot="1" x14ac:dyDescent="0.3">
      <c r="A1256" s="3" t="s">
        <v>11</v>
      </c>
      <c r="B1256" s="4">
        <v>416638</v>
      </c>
      <c r="C1256" s="3" t="s">
        <v>9</v>
      </c>
      <c r="D1256" s="18">
        <v>9.7500000000000003E-2</v>
      </c>
      <c r="E1256" s="21">
        <f t="shared" si="145"/>
        <v>7.7830370878799737E-3</v>
      </c>
      <c r="F1256" s="5">
        <v>39535</v>
      </c>
      <c r="G1256" s="5">
        <v>39719</v>
      </c>
      <c r="H1256" s="16">
        <f t="shared" si="143"/>
        <v>184</v>
      </c>
      <c r="I1256" s="5">
        <v>39719</v>
      </c>
      <c r="J1256" s="2"/>
      <c r="K1256" s="16">
        <f t="shared" si="144"/>
        <v>-39535</v>
      </c>
      <c r="L1256" s="13">
        <v>89339.63</v>
      </c>
      <c r="M1256" s="15">
        <f t="shared" si="142"/>
        <v>14973.277634689728</v>
      </c>
      <c r="N1256" s="13">
        <v>89339.63</v>
      </c>
      <c r="O1256" s="13">
        <v>0</v>
      </c>
      <c r="P1256" s="11">
        <f t="shared" si="146"/>
        <v>0</v>
      </c>
    </row>
    <row r="1257" spans="1:16" ht="18.75" customHeight="1" thickBot="1" x14ac:dyDescent="0.3">
      <c r="A1257" s="3" t="s">
        <v>11</v>
      </c>
      <c r="B1257" s="4">
        <v>840606</v>
      </c>
      <c r="C1257" s="3" t="s">
        <v>9</v>
      </c>
      <c r="D1257" s="18">
        <v>0.1</v>
      </c>
      <c r="E1257" s="21">
        <f t="shared" si="145"/>
        <v>7.9741404289037643E-3</v>
      </c>
      <c r="F1257" s="5">
        <v>39539</v>
      </c>
      <c r="G1257" s="5">
        <v>41944</v>
      </c>
      <c r="H1257" s="16">
        <f t="shared" si="143"/>
        <v>2405</v>
      </c>
      <c r="I1257" s="5">
        <v>41944</v>
      </c>
      <c r="J1257" s="5">
        <v>42079</v>
      </c>
      <c r="K1257" s="16">
        <f t="shared" si="144"/>
        <v>2540</v>
      </c>
      <c r="L1257" s="13">
        <v>5.28</v>
      </c>
      <c r="M1257" s="15">
        <f t="shared" si="142"/>
        <v>8.939584454676866E-2</v>
      </c>
      <c r="N1257" s="13">
        <v>5.28</v>
      </c>
      <c r="O1257" s="13">
        <v>0</v>
      </c>
      <c r="P1257" s="11">
        <f t="shared" si="146"/>
        <v>0</v>
      </c>
    </row>
    <row r="1258" spans="1:16" ht="18.75" customHeight="1" thickBot="1" x14ac:dyDescent="0.3">
      <c r="A1258" s="3" t="s">
        <v>11</v>
      </c>
      <c r="B1258" s="4">
        <v>359271</v>
      </c>
      <c r="C1258" s="3" t="s">
        <v>9</v>
      </c>
      <c r="D1258" s="18">
        <v>0.04</v>
      </c>
      <c r="E1258" s="21">
        <f t="shared" si="145"/>
        <v>3.2737397821989145E-3</v>
      </c>
      <c r="F1258" s="5">
        <v>39539</v>
      </c>
      <c r="G1258" s="5">
        <v>41273</v>
      </c>
      <c r="H1258" s="16">
        <f t="shared" si="143"/>
        <v>1734</v>
      </c>
      <c r="I1258" s="5">
        <v>41273</v>
      </c>
      <c r="J1258" s="5">
        <v>43651</v>
      </c>
      <c r="K1258" s="16">
        <f t="shared" si="144"/>
        <v>4112</v>
      </c>
      <c r="L1258" s="13">
        <v>52668.08</v>
      </c>
      <c r="M1258" s="15">
        <f t="shared" si="142"/>
        <v>1001.6267531394853</v>
      </c>
      <c r="N1258" s="13">
        <v>50168.08</v>
      </c>
      <c r="O1258" s="13">
        <v>34250</v>
      </c>
      <c r="P1258" s="11">
        <f t="shared" si="146"/>
        <v>0</v>
      </c>
    </row>
    <row r="1259" spans="1:16" ht="18.75" customHeight="1" thickBot="1" x14ac:dyDescent="0.3">
      <c r="A1259" s="3" t="s">
        <v>11</v>
      </c>
      <c r="B1259" s="4">
        <v>501411</v>
      </c>
      <c r="C1259" s="3" t="s">
        <v>9</v>
      </c>
      <c r="D1259" s="18">
        <v>0.1</v>
      </c>
      <c r="E1259" s="21">
        <f t="shared" si="145"/>
        <v>7.9741404289037643E-3</v>
      </c>
      <c r="F1259" s="5">
        <v>39540</v>
      </c>
      <c r="G1259" s="5">
        <v>40149</v>
      </c>
      <c r="H1259" s="16">
        <f t="shared" si="143"/>
        <v>609</v>
      </c>
      <c r="I1259" s="5">
        <v>40149</v>
      </c>
      <c r="J1259" s="5">
        <v>40641</v>
      </c>
      <c r="K1259" s="16">
        <f t="shared" si="144"/>
        <v>1101</v>
      </c>
      <c r="L1259" s="13">
        <v>2460.34</v>
      </c>
      <c r="M1259" s="15">
        <f t="shared" si="142"/>
        <v>131.75464218237366</v>
      </c>
      <c r="N1259" s="13">
        <v>2460.34</v>
      </c>
      <c r="O1259" s="13">
        <v>0</v>
      </c>
      <c r="P1259" s="11">
        <f t="shared" si="146"/>
        <v>0</v>
      </c>
    </row>
    <row r="1260" spans="1:16" ht="18.75" customHeight="1" thickBot="1" x14ac:dyDescent="0.3">
      <c r="A1260" s="3" t="s">
        <v>11</v>
      </c>
      <c r="B1260" s="4">
        <v>688768</v>
      </c>
      <c r="C1260" s="3" t="s">
        <v>9</v>
      </c>
      <c r="D1260" s="18">
        <v>0.11</v>
      </c>
      <c r="E1260" s="21">
        <f t="shared" si="145"/>
        <v>8.7345938235519061E-3</v>
      </c>
      <c r="F1260" s="5">
        <v>39572</v>
      </c>
      <c r="G1260" s="5">
        <v>41398</v>
      </c>
      <c r="H1260" s="16">
        <f t="shared" si="143"/>
        <v>1826</v>
      </c>
      <c r="I1260" s="5">
        <v>41398</v>
      </c>
      <c r="J1260" s="5">
        <v>40388</v>
      </c>
      <c r="K1260" s="16">
        <f t="shared" si="144"/>
        <v>816</v>
      </c>
      <c r="L1260" s="13">
        <v>6762.89</v>
      </c>
      <c r="M1260" s="15">
        <f t="shared" si="142"/>
        <v>143.7236303761303</v>
      </c>
      <c r="N1260" s="13">
        <v>6762.89</v>
      </c>
      <c r="O1260" s="13">
        <v>0</v>
      </c>
      <c r="P1260" s="11">
        <f t="shared" si="146"/>
        <v>0</v>
      </c>
    </row>
    <row r="1261" spans="1:16" ht="18.75" customHeight="1" thickBot="1" x14ac:dyDescent="0.3">
      <c r="A1261" s="3" t="s">
        <v>11</v>
      </c>
      <c r="B1261" s="4">
        <v>385960</v>
      </c>
      <c r="C1261" s="3" t="s">
        <v>9</v>
      </c>
      <c r="D1261" s="18">
        <v>0.11</v>
      </c>
      <c r="E1261" s="21">
        <f t="shared" si="145"/>
        <v>8.7345938235519061E-3</v>
      </c>
      <c r="F1261" s="5">
        <v>39559</v>
      </c>
      <c r="G1261" s="5">
        <v>41660</v>
      </c>
      <c r="H1261" s="16">
        <f t="shared" si="143"/>
        <v>2101</v>
      </c>
      <c r="I1261" s="5">
        <v>41660</v>
      </c>
      <c r="J1261" s="5">
        <v>40616</v>
      </c>
      <c r="K1261" s="16">
        <f t="shared" si="144"/>
        <v>1057</v>
      </c>
      <c r="L1261" s="13">
        <v>8752.9500000000007</v>
      </c>
      <c r="M1261" s="15">
        <f t="shared" si="142"/>
        <v>167.61099757502041</v>
      </c>
      <c r="N1261" s="13">
        <v>8752.9500000000007</v>
      </c>
      <c r="O1261" s="13">
        <v>0</v>
      </c>
      <c r="P1261" s="11">
        <f t="shared" si="146"/>
        <v>0</v>
      </c>
    </row>
    <row r="1262" spans="1:16" ht="18.75" customHeight="1" thickBot="1" x14ac:dyDescent="0.3">
      <c r="A1262" s="3" t="s">
        <v>11</v>
      </c>
      <c r="B1262" s="4">
        <v>775775</v>
      </c>
      <c r="C1262" s="3" t="s">
        <v>9</v>
      </c>
      <c r="D1262" s="18">
        <v>9.7500000000000003E-2</v>
      </c>
      <c r="E1262" s="21">
        <f t="shared" si="145"/>
        <v>7.7830370878799737E-3</v>
      </c>
      <c r="F1262" s="5">
        <v>39567</v>
      </c>
      <c r="G1262" s="5">
        <v>40266</v>
      </c>
      <c r="H1262" s="16">
        <f t="shared" si="143"/>
        <v>699</v>
      </c>
      <c r="I1262" s="5">
        <v>40266</v>
      </c>
      <c r="J1262" s="5">
        <v>40359</v>
      </c>
      <c r="K1262" s="16">
        <f t="shared" si="144"/>
        <v>792</v>
      </c>
      <c r="L1262" s="13">
        <v>5577.3</v>
      </c>
      <c r="M1262" s="15">
        <f t="shared" si="142"/>
        <v>262.6566654756042</v>
      </c>
      <c r="N1262" s="13">
        <v>5577.3</v>
      </c>
      <c r="O1262" s="13">
        <v>0</v>
      </c>
      <c r="P1262" s="11">
        <f t="shared" si="146"/>
        <v>0</v>
      </c>
    </row>
    <row r="1263" spans="1:16" ht="18.75" customHeight="1" thickBot="1" x14ac:dyDescent="0.3">
      <c r="A1263" s="3" t="s">
        <v>11</v>
      </c>
      <c r="B1263" s="4">
        <v>323272</v>
      </c>
      <c r="C1263" s="3" t="s">
        <v>9</v>
      </c>
      <c r="D1263" s="18">
        <v>0.14499999999999999</v>
      </c>
      <c r="E1263" s="21">
        <f t="shared" si="145"/>
        <v>1.1347621038123146E-2</v>
      </c>
      <c r="F1263" s="5">
        <v>39567</v>
      </c>
      <c r="G1263" s="5">
        <v>39962</v>
      </c>
      <c r="H1263" s="16">
        <f t="shared" si="143"/>
        <v>395</v>
      </c>
      <c r="I1263" s="5">
        <v>39962</v>
      </c>
      <c r="J1263" s="5">
        <v>40087</v>
      </c>
      <c r="K1263" s="16">
        <f t="shared" si="144"/>
        <v>520</v>
      </c>
      <c r="L1263" s="13">
        <v>2124.59</v>
      </c>
      <c r="M1263" s="15">
        <f t="shared" si="142"/>
        <v>174.62797662184792</v>
      </c>
      <c r="N1263" s="13">
        <v>2124.59</v>
      </c>
      <c r="O1263" s="13">
        <v>0</v>
      </c>
      <c r="P1263" s="11">
        <f t="shared" si="146"/>
        <v>0</v>
      </c>
    </row>
    <row r="1264" spans="1:16" ht="18.75" customHeight="1" thickBot="1" x14ac:dyDescent="0.3">
      <c r="A1264" s="3" t="s">
        <v>11</v>
      </c>
      <c r="B1264" s="4">
        <v>121972</v>
      </c>
      <c r="C1264" s="3" t="s">
        <v>9</v>
      </c>
      <c r="D1264" s="18">
        <v>9.5000000000000001E-2</v>
      </c>
      <c r="E1264" s="21">
        <f t="shared" si="145"/>
        <v>7.5915342905825689E-3</v>
      </c>
      <c r="F1264" s="5">
        <v>39584</v>
      </c>
      <c r="G1264" s="5">
        <v>41410</v>
      </c>
      <c r="H1264" s="16">
        <f t="shared" si="143"/>
        <v>1826</v>
      </c>
      <c r="I1264" s="5">
        <v>41410</v>
      </c>
      <c r="J1264" s="5">
        <v>41906</v>
      </c>
      <c r="K1264" s="16">
        <f t="shared" si="144"/>
        <v>2322</v>
      </c>
      <c r="L1264" s="13">
        <v>3218.77</v>
      </c>
      <c r="M1264" s="15">
        <f t="shared" si="142"/>
        <v>66.234549463091653</v>
      </c>
      <c r="N1264" s="13">
        <v>3218.77</v>
      </c>
      <c r="O1264" s="13">
        <v>0</v>
      </c>
      <c r="P1264" s="11">
        <f t="shared" si="146"/>
        <v>0</v>
      </c>
    </row>
    <row r="1265" spans="1:16" ht="18.75" customHeight="1" thickBot="1" x14ac:dyDescent="0.3">
      <c r="A1265" s="3" t="s">
        <v>11</v>
      </c>
      <c r="B1265" s="4">
        <v>279990</v>
      </c>
      <c r="C1265" s="3" t="s">
        <v>9</v>
      </c>
      <c r="D1265" s="18">
        <v>0.1</v>
      </c>
      <c r="E1265" s="21">
        <f t="shared" si="145"/>
        <v>7.9741404289037643E-3</v>
      </c>
      <c r="F1265" s="5">
        <v>39587</v>
      </c>
      <c r="G1265" s="5">
        <v>42131</v>
      </c>
      <c r="H1265" s="16">
        <f t="shared" si="143"/>
        <v>2544</v>
      </c>
      <c r="I1265" s="5">
        <v>42131</v>
      </c>
      <c r="J1265" s="5">
        <v>42320</v>
      </c>
      <c r="K1265" s="16">
        <f t="shared" si="144"/>
        <v>2733</v>
      </c>
      <c r="L1265" s="13">
        <v>6245.44</v>
      </c>
      <c r="M1265" s="15">
        <f t="shared" si="142"/>
        <v>101.61765463055262</v>
      </c>
      <c r="N1265" s="13">
        <v>6245.44</v>
      </c>
      <c r="O1265" s="13">
        <v>0</v>
      </c>
      <c r="P1265" s="11">
        <f t="shared" si="146"/>
        <v>1</v>
      </c>
    </row>
    <row r="1266" spans="1:16" ht="18.75" hidden="1" customHeight="1" thickBot="1" x14ac:dyDescent="0.3">
      <c r="A1266" s="3" t="s">
        <v>11</v>
      </c>
      <c r="B1266" s="4">
        <v>778130</v>
      </c>
      <c r="C1266" s="3" t="s">
        <v>9</v>
      </c>
      <c r="D1266" s="18">
        <v>0.1</v>
      </c>
      <c r="E1266" s="21">
        <f t="shared" si="145"/>
        <v>7.9741404289037643E-3</v>
      </c>
      <c r="F1266" s="5">
        <v>39587</v>
      </c>
      <c r="G1266" s="5">
        <v>40695</v>
      </c>
      <c r="H1266" s="16">
        <f t="shared" si="143"/>
        <v>1108</v>
      </c>
      <c r="I1266" s="5">
        <v>40695</v>
      </c>
      <c r="J1266" s="2"/>
      <c r="K1266" s="16">
        <f t="shared" si="144"/>
        <v>-39587</v>
      </c>
      <c r="L1266" s="13">
        <v>8526.69</v>
      </c>
      <c r="M1266" s="15">
        <f t="shared" si="142"/>
        <v>267.44256487869427</v>
      </c>
      <c r="N1266" s="13">
        <v>8526.69</v>
      </c>
      <c r="O1266" s="13">
        <v>0</v>
      </c>
      <c r="P1266" s="11">
        <f t="shared" si="146"/>
        <v>0</v>
      </c>
    </row>
    <row r="1267" spans="1:16" ht="18.75" customHeight="1" thickBot="1" x14ac:dyDescent="0.3">
      <c r="A1267" s="3" t="s">
        <v>11</v>
      </c>
      <c r="B1267" s="4">
        <v>46878</v>
      </c>
      <c r="C1267" s="3" t="s">
        <v>9</v>
      </c>
      <c r="D1267" s="18">
        <v>0.11</v>
      </c>
      <c r="E1267" s="21">
        <f t="shared" si="145"/>
        <v>8.7345938235519061E-3</v>
      </c>
      <c r="F1267" s="5">
        <v>39588</v>
      </c>
      <c r="G1267" s="5">
        <v>41414</v>
      </c>
      <c r="H1267" s="16">
        <f t="shared" si="143"/>
        <v>1826</v>
      </c>
      <c r="I1267" s="5">
        <v>41414</v>
      </c>
      <c r="J1267" s="5">
        <v>40171</v>
      </c>
      <c r="K1267" s="16">
        <f t="shared" si="144"/>
        <v>583</v>
      </c>
      <c r="L1267" s="13">
        <v>5571.27</v>
      </c>
      <c r="M1267" s="15">
        <f t="shared" si="142"/>
        <v>118.39955258855659</v>
      </c>
      <c r="N1267" s="13">
        <v>5571.27</v>
      </c>
      <c r="O1267" s="13">
        <v>0</v>
      </c>
      <c r="P1267" s="11">
        <f t="shared" si="146"/>
        <v>0</v>
      </c>
    </row>
    <row r="1268" spans="1:16" ht="18.75" customHeight="1" thickBot="1" x14ac:dyDescent="0.3">
      <c r="A1268" s="3" t="s">
        <v>11</v>
      </c>
      <c r="B1268" s="4">
        <v>247104</v>
      </c>
      <c r="C1268" s="3" t="s">
        <v>9</v>
      </c>
      <c r="D1268" s="18">
        <v>9.7500000000000003E-2</v>
      </c>
      <c r="E1268" s="21">
        <f t="shared" si="145"/>
        <v>7.7830370878799737E-3</v>
      </c>
      <c r="F1268" s="5">
        <v>39597</v>
      </c>
      <c r="G1268" s="5">
        <v>40722</v>
      </c>
      <c r="H1268" s="16">
        <f t="shared" si="143"/>
        <v>1125</v>
      </c>
      <c r="I1268" s="5">
        <v>40722</v>
      </c>
      <c r="J1268" s="5">
        <v>41533</v>
      </c>
      <c r="K1268" s="16">
        <f t="shared" si="144"/>
        <v>1936</v>
      </c>
      <c r="L1268" s="13">
        <v>162437.5</v>
      </c>
      <c r="M1268" s="15">
        <f t="shared" si="142"/>
        <v>5011.2173309511963</v>
      </c>
      <c r="N1268" s="13">
        <v>162437.5</v>
      </c>
      <c r="O1268" s="13">
        <v>0</v>
      </c>
      <c r="P1268" s="11">
        <f t="shared" si="146"/>
        <v>0</v>
      </c>
    </row>
    <row r="1269" spans="1:16" ht="18.75" customHeight="1" thickBot="1" x14ac:dyDescent="0.3">
      <c r="A1269" s="3" t="s">
        <v>11</v>
      </c>
      <c r="B1269" s="4">
        <v>288976</v>
      </c>
      <c r="C1269" s="3" t="s">
        <v>9</v>
      </c>
      <c r="D1269" s="18">
        <v>9.7500000000000003E-2</v>
      </c>
      <c r="E1269" s="21">
        <f t="shared" si="145"/>
        <v>7.7830370878799737E-3</v>
      </c>
      <c r="F1269" s="5">
        <v>39603</v>
      </c>
      <c r="G1269" s="5">
        <v>40241</v>
      </c>
      <c r="H1269" s="16">
        <f t="shared" si="143"/>
        <v>638</v>
      </c>
      <c r="I1269" s="5">
        <v>40241</v>
      </c>
      <c r="J1269" s="5">
        <v>41351</v>
      </c>
      <c r="K1269" s="16">
        <f t="shared" si="144"/>
        <v>1748</v>
      </c>
      <c r="L1269" s="13">
        <v>31474.27</v>
      </c>
      <c r="M1269" s="15">
        <f t="shared" si="142"/>
        <v>1611.5802554604647</v>
      </c>
      <c r="N1269" s="13">
        <v>31474.27</v>
      </c>
      <c r="O1269" s="13">
        <v>0</v>
      </c>
      <c r="P1269" s="11">
        <f t="shared" si="146"/>
        <v>0</v>
      </c>
    </row>
    <row r="1270" spans="1:16" ht="18.75" customHeight="1" thickBot="1" x14ac:dyDescent="0.3">
      <c r="A1270" s="3" t="s">
        <v>11</v>
      </c>
      <c r="B1270" s="4">
        <v>958667</v>
      </c>
      <c r="C1270" s="3" t="s">
        <v>9</v>
      </c>
      <c r="D1270" s="18">
        <v>9.7500000000000003E-2</v>
      </c>
      <c r="E1270" s="21">
        <f t="shared" si="145"/>
        <v>7.7830370878799737E-3</v>
      </c>
      <c r="F1270" s="5">
        <v>39604</v>
      </c>
      <c r="G1270" s="5">
        <v>39999</v>
      </c>
      <c r="H1270" s="16">
        <f t="shared" si="143"/>
        <v>395</v>
      </c>
      <c r="I1270" s="5">
        <v>39999</v>
      </c>
      <c r="J1270" s="5">
        <v>40618</v>
      </c>
      <c r="K1270" s="16">
        <f t="shared" si="144"/>
        <v>1014</v>
      </c>
      <c r="L1270" s="13">
        <v>246705</v>
      </c>
      <c r="M1270" s="15">
        <f t="shared" si="142"/>
        <v>19786.2981224549</v>
      </c>
      <c r="N1270" s="13">
        <v>246705</v>
      </c>
      <c r="O1270" s="13">
        <v>0</v>
      </c>
      <c r="P1270" s="11">
        <f t="shared" si="146"/>
        <v>0</v>
      </c>
    </row>
    <row r="1271" spans="1:16" ht="18.75" customHeight="1" thickBot="1" x14ac:dyDescent="0.3">
      <c r="A1271" s="3" t="s">
        <v>11</v>
      </c>
      <c r="B1271" s="4">
        <v>602893</v>
      </c>
      <c r="C1271" s="3" t="s">
        <v>9</v>
      </c>
      <c r="D1271" s="18">
        <v>0.115</v>
      </c>
      <c r="E1271" s="21">
        <f t="shared" si="145"/>
        <v>9.1124684369046083E-3</v>
      </c>
      <c r="F1271" s="5">
        <v>39605</v>
      </c>
      <c r="G1271" s="5">
        <v>40518</v>
      </c>
      <c r="H1271" s="16">
        <f t="shared" si="143"/>
        <v>913</v>
      </c>
      <c r="I1271" s="5">
        <v>40518</v>
      </c>
      <c r="J1271" s="5">
        <v>39843</v>
      </c>
      <c r="K1271" s="16">
        <f t="shared" si="144"/>
        <v>238</v>
      </c>
      <c r="L1271" s="13">
        <v>4416.29</v>
      </c>
      <c r="M1271" s="15">
        <f t="shared" si="142"/>
        <v>166.82005143499694</v>
      </c>
      <c r="N1271" s="13">
        <v>4416.29</v>
      </c>
      <c r="O1271" s="13">
        <v>0</v>
      </c>
      <c r="P1271" s="11">
        <f t="shared" si="146"/>
        <v>0</v>
      </c>
    </row>
    <row r="1272" spans="1:16" ht="18.75" customHeight="1" thickBot="1" x14ac:dyDescent="0.3">
      <c r="A1272" s="3" t="s">
        <v>11</v>
      </c>
      <c r="B1272" s="4">
        <v>334710</v>
      </c>
      <c r="C1272" s="3" t="s">
        <v>9</v>
      </c>
      <c r="D1272" s="18">
        <v>9.7500000000000003E-2</v>
      </c>
      <c r="E1272" s="21">
        <f t="shared" si="145"/>
        <v>7.7830370878799737E-3</v>
      </c>
      <c r="F1272" s="5">
        <v>39609</v>
      </c>
      <c r="G1272" s="5">
        <v>40157</v>
      </c>
      <c r="H1272" s="16">
        <f t="shared" si="143"/>
        <v>548</v>
      </c>
      <c r="I1272" s="5">
        <v>40157</v>
      </c>
      <c r="J1272" s="5">
        <v>42440</v>
      </c>
      <c r="K1272" s="16">
        <f t="shared" si="144"/>
        <v>2831</v>
      </c>
      <c r="L1272" s="13">
        <v>115091.15</v>
      </c>
      <c r="M1272" s="15">
        <f t="shared" si="142"/>
        <v>6783.5449000700019</v>
      </c>
      <c r="N1272" s="13">
        <v>115091.15</v>
      </c>
      <c r="O1272" s="13">
        <v>115091.15</v>
      </c>
      <c r="P1272" s="11">
        <f t="shared" si="146"/>
        <v>0</v>
      </c>
    </row>
    <row r="1273" spans="1:16" ht="18.75" customHeight="1" thickBot="1" x14ac:dyDescent="0.3">
      <c r="A1273" s="3" t="s">
        <v>11</v>
      </c>
      <c r="B1273" s="4">
        <v>813840</v>
      </c>
      <c r="C1273" s="3" t="s">
        <v>9</v>
      </c>
      <c r="D1273" s="18">
        <v>0.1</v>
      </c>
      <c r="E1273" s="21">
        <f t="shared" si="145"/>
        <v>7.9741404289037643E-3</v>
      </c>
      <c r="F1273" s="5">
        <v>39611</v>
      </c>
      <c r="G1273" s="5">
        <v>40767</v>
      </c>
      <c r="H1273" s="16">
        <f t="shared" si="143"/>
        <v>1156</v>
      </c>
      <c r="I1273" s="5">
        <v>40767</v>
      </c>
      <c r="J1273" s="5">
        <v>40176</v>
      </c>
      <c r="K1273" s="16">
        <f t="shared" si="144"/>
        <v>565</v>
      </c>
      <c r="L1273" s="13">
        <v>7247.17</v>
      </c>
      <c r="M1273" s="15">
        <f t="shared" si="142"/>
        <v>219.19079497002022</v>
      </c>
      <c r="N1273" s="13">
        <v>7247.17</v>
      </c>
      <c r="O1273" s="13">
        <v>0</v>
      </c>
      <c r="P1273" s="11">
        <f t="shared" si="146"/>
        <v>0</v>
      </c>
    </row>
    <row r="1274" spans="1:16" ht="18.75" hidden="1" customHeight="1" thickBot="1" x14ac:dyDescent="0.3">
      <c r="A1274" s="3" t="s">
        <v>11</v>
      </c>
      <c r="B1274" s="4">
        <v>405033</v>
      </c>
      <c r="C1274" s="3" t="s">
        <v>9</v>
      </c>
      <c r="D1274" s="18">
        <v>0.11</v>
      </c>
      <c r="E1274" s="21">
        <f t="shared" si="145"/>
        <v>8.7345938235519061E-3</v>
      </c>
      <c r="F1274" s="5">
        <v>39612</v>
      </c>
      <c r="G1274" s="5">
        <v>39946</v>
      </c>
      <c r="H1274" s="16">
        <f t="shared" si="143"/>
        <v>334</v>
      </c>
      <c r="I1274" s="5">
        <v>39946</v>
      </c>
      <c r="J1274" s="2"/>
      <c r="K1274" s="16">
        <f t="shared" si="144"/>
        <v>-39612</v>
      </c>
      <c r="L1274" s="13">
        <v>1000</v>
      </c>
      <c r="M1274" s="15">
        <f t="shared" si="142"/>
        <v>94.649824513450042</v>
      </c>
      <c r="N1274" s="13">
        <v>1000</v>
      </c>
      <c r="O1274" s="13">
        <v>0</v>
      </c>
      <c r="P1274" s="11">
        <f t="shared" si="146"/>
        <v>0</v>
      </c>
    </row>
    <row r="1275" spans="1:16" ht="18.75" customHeight="1" thickBot="1" x14ac:dyDescent="0.3">
      <c r="A1275" s="3" t="s">
        <v>11</v>
      </c>
      <c r="B1275" s="4">
        <v>771661</v>
      </c>
      <c r="C1275" s="3" t="s">
        <v>9</v>
      </c>
      <c r="D1275" s="18">
        <v>0.1</v>
      </c>
      <c r="E1275" s="21">
        <f t="shared" si="145"/>
        <v>7.9741404289037643E-3</v>
      </c>
      <c r="F1275" s="5">
        <v>39615</v>
      </c>
      <c r="G1275" s="5">
        <v>42751</v>
      </c>
      <c r="H1275" s="16">
        <f t="shared" si="143"/>
        <v>3136</v>
      </c>
      <c r="I1275" s="5">
        <v>42751</v>
      </c>
      <c r="J1275" s="5">
        <v>40807</v>
      </c>
      <c r="K1275" s="16">
        <f t="shared" si="144"/>
        <v>1192</v>
      </c>
      <c r="L1275" s="13">
        <v>12477.28</v>
      </c>
      <c r="M1275" s="15">
        <f t="shared" si="142"/>
        <v>176.39090134090222</v>
      </c>
      <c r="N1275" s="13">
        <v>12477.28</v>
      </c>
      <c r="O1275" s="13">
        <v>0</v>
      </c>
      <c r="P1275" s="11">
        <f t="shared" si="146"/>
        <v>1</v>
      </c>
    </row>
    <row r="1276" spans="1:16" ht="18.75" customHeight="1" thickBot="1" x14ac:dyDescent="0.3">
      <c r="A1276" s="3" t="s">
        <v>11</v>
      </c>
      <c r="B1276" s="4">
        <v>492537</v>
      </c>
      <c r="C1276" s="3" t="s">
        <v>9</v>
      </c>
      <c r="D1276" s="18">
        <v>0.1</v>
      </c>
      <c r="E1276" s="21">
        <f t="shared" si="145"/>
        <v>7.9741404289037643E-3</v>
      </c>
      <c r="F1276" s="5">
        <v>39616</v>
      </c>
      <c r="G1276" s="5">
        <v>41260</v>
      </c>
      <c r="H1276" s="16">
        <f t="shared" si="143"/>
        <v>1644</v>
      </c>
      <c r="I1276" s="5">
        <v>41260</v>
      </c>
      <c r="J1276" s="5">
        <v>40869</v>
      </c>
      <c r="K1276" s="16">
        <f t="shared" si="144"/>
        <v>1253</v>
      </c>
      <c r="L1276" s="13">
        <v>3477.76</v>
      </c>
      <c r="M1276" s="15">
        <f t="shared" si="142"/>
        <v>78.584248629217015</v>
      </c>
      <c r="N1276" s="13">
        <v>3477.76</v>
      </c>
      <c r="O1276" s="13">
        <v>0</v>
      </c>
      <c r="P1276" s="11">
        <f t="shared" si="146"/>
        <v>0</v>
      </c>
    </row>
    <row r="1277" spans="1:16" ht="18.75" customHeight="1" thickBot="1" x14ac:dyDescent="0.3">
      <c r="A1277" s="3" t="s">
        <v>11</v>
      </c>
      <c r="B1277" s="4">
        <v>311661</v>
      </c>
      <c r="C1277" s="3" t="s">
        <v>9</v>
      </c>
      <c r="D1277" s="18">
        <v>0.11</v>
      </c>
      <c r="E1277" s="21">
        <f t="shared" si="145"/>
        <v>8.7345938235519061E-3</v>
      </c>
      <c r="F1277" s="5">
        <v>39625</v>
      </c>
      <c r="G1277" s="5">
        <v>39990</v>
      </c>
      <c r="H1277" s="16">
        <f t="shared" si="143"/>
        <v>365</v>
      </c>
      <c r="I1277" s="5">
        <v>39990</v>
      </c>
      <c r="J1277" s="5">
        <v>39797</v>
      </c>
      <c r="K1277" s="16">
        <f t="shared" si="144"/>
        <v>172</v>
      </c>
      <c r="L1277" s="13">
        <v>1799.12</v>
      </c>
      <c r="M1277" s="15">
        <f t="shared" si="142"/>
        <v>156.51357340838277</v>
      </c>
      <c r="N1277" s="13">
        <v>1799.12</v>
      </c>
      <c r="O1277" s="13">
        <v>0</v>
      </c>
      <c r="P1277" s="11">
        <f t="shared" si="146"/>
        <v>0</v>
      </c>
    </row>
    <row r="1278" spans="1:16" ht="18.75" customHeight="1" thickBot="1" x14ac:dyDescent="0.3">
      <c r="A1278" s="3" t="s">
        <v>11</v>
      </c>
      <c r="B1278" s="4">
        <v>27625</v>
      </c>
      <c r="C1278" s="3" t="s">
        <v>9</v>
      </c>
      <c r="D1278" s="18">
        <v>0.1</v>
      </c>
      <c r="E1278" s="21">
        <f t="shared" si="145"/>
        <v>7.9741404289037643E-3</v>
      </c>
      <c r="F1278" s="5">
        <v>39625</v>
      </c>
      <c r="G1278" s="5">
        <v>40563</v>
      </c>
      <c r="H1278" s="16">
        <f t="shared" si="143"/>
        <v>938</v>
      </c>
      <c r="I1278" s="5">
        <v>40563</v>
      </c>
      <c r="J1278" s="5">
        <v>40290</v>
      </c>
      <c r="K1278" s="16">
        <f t="shared" si="144"/>
        <v>665</v>
      </c>
      <c r="L1278" s="13">
        <v>1351.97</v>
      </c>
      <c r="M1278" s="15">
        <f t="shared" si="142"/>
        <v>49.025426635635689</v>
      </c>
      <c r="N1278" s="13">
        <v>1351.97</v>
      </c>
      <c r="O1278" s="13">
        <v>0</v>
      </c>
      <c r="P1278" s="11">
        <f t="shared" si="146"/>
        <v>0</v>
      </c>
    </row>
    <row r="1279" spans="1:16" ht="18.75" customHeight="1" thickBot="1" x14ac:dyDescent="0.3">
      <c r="A1279" s="3" t="s">
        <v>11</v>
      </c>
      <c r="B1279" s="4">
        <v>332203</v>
      </c>
      <c r="C1279" s="3" t="s">
        <v>9</v>
      </c>
      <c r="D1279" s="18">
        <v>0.14000000000000001</v>
      </c>
      <c r="E1279" s="21">
        <f t="shared" si="145"/>
        <v>1.0978851950173452E-2</v>
      </c>
      <c r="F1279" s="5">
        <v>39639</v>
      </c>
      <c r="G1279" s="5">
        <v>39731</v>
      </c>
      <c r="H1279" s="16">
        <f t="shared" si="143"/>
        <v>92</v>
      </c>
      <c r="I1279" s="5">
        <v>39731</v>
      </c>
      <c r="J1279" s="5">
        <v>39666</v>
      </c>
      <c r="K1279" s="16">
        <f t="shared" si="144"/>
        <v>27</v>
      </c>
      <c r="L1279" s="13">
        <v>468.38</v>
      </c>
      <c r="M1279" s="15">
        <f t="shared" si="142"/>
        <v>156.15498342986558</v>
      </c>
      <c r="N1279" s="13">
        <v>468.38</v>
      </c>
      <c r="O1279" s="13">
        <v>0</v>
      </c>
      <c r="P1279" s="11">
        <f t="shared" si="146"/>
        <v>0</v>
      </c>
    </row>
    <row r="1280" spans="1:16" ht="18.75" customHeight="1" thickBot="1" x14ac:dyDescent="0.3">
      <c r="A1280" s="3" t="s">
        <v>11</v>
      </c>
      <c r="B1280" s="4">
        <v>955111</v>
      </c>
      <c r="C1280" s="3" t="s">
        <v>9</v>
      </c>
      <c r="D1280" s="18">
        <v>0.11</v>
      </c>
      <c r="E1280" s="21">
        <f t="shared" si="145"/>
        <v>8.7345938235519061E-3</v>
      </c>
      <c r="F1280" s="5">
        <v>39657</v>
      </c>
      <c r="G1280" s="5">
        <v>40022</v>
      </c>
      <c r="H1280" s="16">
        <f t="shared" si="143"/>
        <v>365</v>
      </c>
      <c r="I1280" s="5">
        <v>40022</v>
      </c>
      <c r="J1280" s="5">
        <v>42921</v>
      </c>
      <c r="K1280" s="16">
        <f t="shared" si="144"/>
        <v>3264</v>
      </c>
      <c r="L1280" s="13">
        <v>235.9</v>
      </c>
      <c r="M1280" s="15">
        <f t="shared" si="142"/>
        <v>20.522006295876594</v>
      </c>
      <c r="N1280" s="13">
        <v>235.9</v>
      </c>
      <c r="O1280" s="13">
        <v>0</v>
      </c>
      <c r="P1280" s="11">
        <f t="shared" si="146"/>
        <v>0</v>
      </c>
    </row>
    <row r="1281" spans="1:16" ht="18.75" customHeight="1" thickBot="1" x14ac:dyDescent="0.3">
      <c r="A1281" s="3" t="s">
        <v>11</v>
      </c>
      <c r="B1281" s="4">
        <v>561162</v>
      </c>
      <c r="C1281" s="3" t="s">
        <v>9</v>
      </c>
      <c r="D1281" s="18">
        <v>0.12</v>
      </c>
      <c r="E1281" s="21">
        <f t="shared" si="145"/>
        <v>9.4887929345830457E-3</v>
      </c>
      <c r="F1281" s="5">
        <v>39659</v>
      </c>
      <c r="G1281" s="5">
        <v>41182</v>
      </c>
      <c r="H1281" s="16">
        <f t="shared" si="143"/>
        <v>1523</v>
      </c>
      <c r="I1281" s="5">
        <v>41182</v>
      </c>
      <c r="J1281" s="5">
        <v>41095</v>
      </c>
      <c r="K1281" s="16">
        <f t="shared" si="144"/>
        <v>1436</v>
      </c>
      <c r="L1281" s="13">
        <v>1507.71</v>
      </c>
      <c r="M1281" s="15">
        <f t="shared" si="142"/>
        <v>37.562085627153401</v>
      </c>
      <c r="N1281" s="13">
        <v>1507.71</v>
      </c>
      <c r="O1281" s="13">
        <v>0</v>
      </c>
      <c r="P1281" s="11">
        <f t="shared" si="146"/>
        <v>0</v>
      </c>
    </row>
    <row r="1282" spans="1:16" ht="18.75" customHeight="1" thickBot="1" x14ac:dyDescent="0.3">
      <c r="A1282" s="3" t="s">
        <v>11</v>
      </c>
      <c r="B1282" s="4">
        <v>867865</v>
      </c>
      <c r="C1282" s="3" t="s">
        <v>9</v>
      </c>
      <c r="D1282" s="18">
        <v>0.11</v>
      </c>
      <c r="E1282" s="21">
        <f t="shared" si="145"/>
        <v>8.7345938235519061E-3</v>
      </c>
      <c r="F1282" s="5">
        <v>39659</v>
      </c>
      <c r="G1282" s="5">
        <v>40938</v>
      </c>
      <c r="H1282" s="16">
        <f t="shared" si="143"/>
        <v>1279</v>
      </c>
      <c r="I1282" s="5">
        <v>40938</v>
      </c>
      <c r="J1282" s="5">
        <v>40108</v>
      </c>
      <c r="K1282" s="16">
        <f t="shared" si="144"/>
        <v>449</v>
      </c>
      <c r="L1282" s="13">
        <v>907.48</v>
      </c>
      <c r="M1282" s="15">
        <f t="shared" ref="M1282:M1345" si="147">-PMT(E1282,(H1282/30),L1282)</f>
        <v>25.586100179948978</v>
      </c>
      <c r="N1282" s="13">
        <v>907.48</v>
      </c>
      <c r="O1282" s="13">
        <v>0</v>
      </c>
      <c r="P1282" s="11">
        <f t="shared" si="146"/>
        <v>0</v>
      </c>
    </row>
    <row r="1283" spans="1:16" ht="18.75" customHeight="1" thickBot="1" x14ac:dyDescent="0.3">
      <c r="A1283" s="3" t="s">
        <v>11</v>
      </c>
      <c r="B1283" s="4">
        <v>161931</v>
      </c>
      <c r="C1283" s="3" t="s">
        <v>9</v>
      </c>
      <c r="D1283" s="18">
        <v>0.1</v>
      </c>
      <c r="E1283" s="21">
        <f t="shared" si="145"/>
        <v>7.9741404289037643E-3</v>
      </c>
      <c r="F1283" s="5">
        <v>39681</v>
      </c>
      <c r="G1283" s="5">
        <v>41518</v>
      </c>
      <c r="H1283" s="16">
        <f t="shared" ref="H1283:H1346" si="148">G1283-F1283</f>
        <v>1837</v>
      </c>
      <c r="I1283" s="5">
        <v>41518</v>
      </c>
      <c r="J1283" s="5">
        <v>40641</v>
      </c>
      <c r="K1283" s="16">
        <f t="shared" ref="K1283:K1346" si="149">J1283-F1283</f>
        <v>960</v>
      </c>
      <c r="L1283" s="13">
        <v>744.54</v>
      </c>
      <c r="M1283" s="15">
        <f t="shared" si="147"/>
        <v>15.415691247897719</v>
      </c>
      <c r="N1283" s="13">
        <v>744.54</v>
      </c>
      <c r="O1283" s="13">
        <v>0</v>
      </c>
      <c r="P1283" s="11">
        <f t="shared" si="146"/>
        <v>0</v>
      </c>
    </row>
    <row r="1284" spans="1:16" ht="18.75" customHeight="1" thickBot="1" x14ac:dyDescent="0.3">
      <c r="A1284" s="3" t="s">
        <v>11</v>
      </c>
      <c r="B1284" s="4">
        <v>477804</v>
      </c>
      <c r="C1284" s="3" t="s">
        <v>9</v>
      </c>
      <c r="D1284" s="18">
        <v>0.12</v>
      </c>
      <c r="E1284" s="21">
        <f t="shared" si="145"/>
        <v>9.4887929345830457E-3</v>
      </c>
      <c r="F1284" s="5">
        <v>39681</v>
      </c>
      <c r="G1284" s="5">
        <v>39924</v>
      </c>
      <c r="H1284" s="16">
        <f t="shared" si="148"/>
        <v>243</v>
      </c>
      <c r="I1284" s="5">
        <v>39924</v>
      </c>
      <c r="J1284" s="5">
        <v>40571</v>
      </c>
      <c r="K1284" s="16">
        <f t="shared" si="149"/>
        <v>890</v>
      </c>
      <c r="L1284" s="13">
        <v>293.01</v>
      </c>
      <c r="M1284" s="15">
        <f t="shared" si="147"/>
        <v>37.753305723305232</v>
      </c>
      <c r="N1284" s="13">
        <v>293.01</v>
      </c>
      <c r="O1284" s="13">
        <v>0</v>
      </c>
      <c r="P1284" s="11">
        <f t="shared" si="146"/>
        <v>0</v>
      </c>
    </row>
    <row r="1285" spans="1:16" ht="18.75" customHeight="1" thickBot="1" x14ac:dyDescent="0.3">
      <c r="A1285" s="3" t="s">
        <v>11</v>
      </c>
      <c r="B1285" s="4">
        <v>67933</v>
      </c>
      <c r="C1285" s="3" t="s">
        <v>9</v>
      </c>
      <c r="D1285" s="18">
        <v>0.1</v>
      </c>
      <c r="E1285" s="21">
        <f t="shared" si="145"/>
        <v>7.9741404289037643E-3</v>
      </c>
      <c r="F1285" s="5">
        <v>39682</v>
      </c>
      <c r="G1285" s="5">
        <v>42360</v>
      </c>
      <c r="H1285" s="16">
        <f t="shared" si="148"/>
        <v>2678</v>
      </c>
      <c r="I1285" s="5">
        <v>42360</v>
      </c>
      <c r="J1285" s="5">
        <v>42160</v>
      </c>
      <c r="K1285" s="16">
        <f t="shared" si="149"/>
        <v>2478</v>
      </c>
      <c r="L1285" s="13">
        <v>16704.22</v>
      </c>
      <c r="M1285" s="15">
        <f t="shared" si="147"/>
        <v>262.27805439536593</v>
      </c>
      <c r="N1285" s="13">
        <v>16704.22</v>
      </c>
      <c r="O1285" s="13">
        <v>0</v>
      </c>
      <c r="P1285" s="11">
        <f t="shared" si="146"/>
        <v>1</v>
      </c>
    </row>
    <row r="1286" spans="1:16" ht="18.75" customHeight="1" thickBot="1" x14ac:dyDescent="0.3">
      <c r="A1286" s="3" t="s">
        <v>11</v>
      </c>
      <c r="B1286" s="4">
        <v>551200</v>
      </c>
      <c r="C1286" s="3" t="s">
        <v>9</v>
      </c>
      <c r="D1286" s="18">
        <v>0.12</v>
      </c>
      <c r="E1286" s="21">
        <f t="shared" si="145"/>
        <v>9.4887929345830457E-3</v>
      </c>
      <c r="F1286" s="5">
        <v>39686</v>
      </c>
      <c r="G1286" s="5">
        <v>40965</v>
      </c>
      <c r="H1286" s="16">
        <f t="shared" si="148"/>
        <v>1279</v>
      </c>
      <c r="I1286" s="5">
        <v>40965</v>
      </c>
      <c r="J1286" s="5">
        <v>43480</v>
      </c>
      <c r="K1286" s="16">
        <f t="shared" si="149"/>
        <v>3794</v>
      </c>
      <c r="L1286" s="13">
        <v>2135.7600000000002</v>
      </c>
      <c r="M1286" s="15">
        <f t="shared" si="147"/>
        <v>61.14434631297658</v>
      </c>
      <c r="N1286" s="13">
        <v>2044.83</v>
      </c>
      <c r="O1286" s="13">
        <v>0</v>
      </c>
      <c r="P1286" s="11">
        <f t="shared" si="146"/>
        <v>0</v>
      </c>
    </row>
    <row r="1287" spans="1:16" ht="18.75" customHeight="1" thickBot="1" x14ac:dyDescent="0.3">
      <c r="A1287" s="3" t="s">
        <v>11</v>
      </c>
      <c r="B1287" s="4">
        <v>23358</v>
      </c>
      <c r="C1287" s="3" t="s">
        <v>9</v>
      </c>
      <c r="D1287" s="18">
        <v>9.5000000000000001E-2</v>
      </c>
      <c r="E1287" s="21">
        <f t="shared" si="145"/>
        <v>7.5915342905825689E-3</v>
      </c>
      <c r="F1287" s="5">
        <v>39687</v>
      </c>
      <c r="G1287" s="5">
        <v>41527</v>
      </c>
      <c r="H1287" s="16">
        <f t="shared" si="148"/>
        <v>1840</v>
      </c>
      <c r="I1287" s="5">
        <v>41527</v>
      </c>
      <c r="J1287" s="5">
        <v>40400</v>
      </c>
      <c r="K1287" s="16">
        <f t="shared" si="149"/>
        <v>713</v>
      </c>
      <c r="L1287" s="13">
        <v>33055.61</v>
      </c>
      <c r="M1287" s="15">
        <f t="shared" si="147"/>
        <v>676.13020704491089</v>
      </c>
      <c r="N1287" s="13">
        <v>33055.61</v>
      </c>
      <c r="O1287" s="13">
        <v>0</v>
      </c>
      <c r="P1287" s="11">
        <f t="shared" si="146"/>
        <v>0</v>
      </c>
    </row>
    <row r="1288" spans="1:16" ht="18.75" customHeight="1" thickBot="1" x14ac:dyDescent="0.3">
      <c r="A1288" s="3" t="s">
        <v>11</v>
      </c>
      <c r="B1288" s="4">
        <v>336546</v>
      </c>
      <c r="C1288" s="3" t="s">
        <v>9</v>
      </c>
      <c r="D1288" s="18">
        <v>0.1</v>
      </c>
      <c r="E1288" s="21">
        <f t="shared" si="145"/>
        <v>7.9741404289037643E-3</v>
      </c>
      <c r="F1288" s="5">
        <v>39695</v>
      </c>
      <c r="G1288" s="5">
        <v>42342</v>
      </c>
      <c r="H1288" s="16">
        <f t="shared" si="148"/>
        <v>2647</v>
      </c>
      <c r="I1288" s="5">
        <v>42342</v>
      </c>
      <c r="J1288" s="5">
        <v>41339</v>
      </c>
      <c r="K1288" s="16">
        <f t="shared" si="149"/>
        <v>1644</v>
      </c>
      <c r="L1288" s="13">
        <v>2216.0700000000002</v>
      </c>
      <c r="M1288" s="15">
        <f t="shared" si="147"/>
        <v>35.075295283165239</v>
      </c>
      <c r="N1288" s="13">
        <v>2216.0700000000002</v>
      </c>
      <c r="O1288" s="13">
        <v>0</v>
      </c>
      <c r="P1288" s="11">
        <f t="shared" si="146"/>
        <v>1</v>
      </c>
    </row>
    <row r="1289" spans="1:16" ht="18.75" customHeight="1" thickBot="1" x14ac:dyDescent="0.3">
      <c r="A1289" s="3" t="s">
        <v>11</v>
      </c>
      <c r="B1289" s="4">
        <v>414442</v>
      </c>
      <c r="C1289" s="3" t="s">
        <v>9</v>
      </c>
      <c r="D1289" s="18">
        <v>8.5000000000000006E-2</v>
      </c>
      <c r="E1289" s="21">
        <f t="shared" si="145"/>
        <v>6.8214933659622723E-3</v>
      </c>
      <c r="F1289" s="5">
        <v>39696</v>
      </c>
      <c r="G1289" s="5">
        <v>40067</v>
      </c>
      <c r="H1289" s="16">
        <f t="shared" si="148"/>
        <v>371</v>
      </c>
      <c r="I1289" s="5">
        <v>40067</v>
      </c>
      <c r="J1289" s="5">
        <v>39899</v>
      </c>
      <c r="K1289" s="16">
        <f t="shared" si="149"/>
        <v>203</v>
      </c>
      <c r="L1289" s="13">
        <v>27485</v>
      </c>
      <c r="M1289" s="15">
        <f t="shared" si="147"/>
        <v>2325.1363321051654</v>
      </c>
      <c r="N1289" s="13">
        <v>27485</v>
      </c>
      <c r="O1289" s="13">
        <v>0</v>
      </c>
      <c r="P1289" s="11">
        <f t="shared" si="146"/>
        <v>0</v>
      </c>
    </row>
    <row r="1290" spans="1:16" ht="18.75" hidden="1" customHeight="1" thickBot="1" x14ac:dyDescent="0.3">
      <c r="A1290" s="3" t="s">
        <v>11</v>
      </c>
      <c r="B1290" s="4">
        <v>952566</v>
      </c>
      <c r="C1290" s="3" t="s">
        <v>9</v>
      </c>
      <c r="D1290" s="18">
        <v>0.13</v>
      </c>
      <c r="E1290" s="21">
        <f t="shared" si="145"/>
        <v>1.02368443581764E-2</v>
      </c>
      <c r="F1290" s="5">
        <v>39699</v>
      </c>
      <c r="G1290" s="5">
        <v>40064</v>
      </c>
      <c r="H1290" s="16">
        <f t="shared" si="148"/>
        <v>365</v>
      </c>
      <c r="I1290" s="5">
        <v>40064</v>
      </c>
      <c r="J1290" s="2"/>
      <c r="K1290" s="16">
        <f t="shared" si="149"/>
        <v>-39699</v>
      </c>
      <c r="L1290" s="13">
        <v>3069.06</v>
      </c>
      <c r="M1290" s="15">
        <f t="shared" si="147"/>
        <v>269.57353180083436</v>
      </c>
      <c r="N1290" s="13">
        <v>3069.06</v>
      </c>
      <c r="O1290" s="13">
        <v>0</v>
      </c>
      <c r="P1290" s="11">
        <f t="shared" si="146"/>
        <v>0</v>
      </c>
    </row>
    <row r="1291" spans="1:16" ht="18.75" customHeight="1" thickBot="1" x14ac:dyDescent="0.3">
      <c r="A1291" s="3" t="s">
        <v>11</v>
      </c>
      <c r="B1291" s="4">
        <v>956017</v>
      </c>
      <c r="C1291" s="3" t="s">
        <v>9</v>
      </c>
      <c r="D1291" s="18">
        <v>0.12</v>
      </c>
      <c r="E1291" s="21">
        <f t="shared" si="145"/>
        <v>9.4887929345830457E-3</v>
      </c>
      <c r="F1291" s="5">
        <v>39706</v>
      </c>
      <c r="G1291" s="5">
        <v>39767</v>
      </c>
      <c r="H1291" s="16">
        <f t="shared" si="148"/>
        <v>61</v>
      </c>
      <c r="I1291" s="5">
        <v>39767</v>
      </c>
      <c r="J1291" s="5">
        <v>40049</v>
      </c>
      <c r="K1291" s="16">
        <f t="shared" si="149"/>
        <v>343</v>
      </c>
      <c r="L1291" s="13">
        <v>655.53</v>
      </c>
      <c r="M1291" s="15">
        <f t="shared" si="147"/>
        <v>327.03899824952367</v>
      </c>
      <c r="N1291" s="13">
        <v>655.53</v>
      </c>
      <c r="O1291" s="13">
        <v>0</v>
      </c>
      <c r="P1291" s="11">
        <f t="shared" si="146"/>
        <v>0</v>
      </c>
    </row>
    <row r="1292" spans="1:16" ht="18.75" customHeight="1" thickBot="1" x14ac:dyDescent="0.3">
      <c r="A1292" s="3" t="s">
        <v>11</v>
      </c>
      <c r="B1292" s="4">
        <v>624239</v>
      </c>
      <c r="C1292" s="3" t="s">
        <v>9</v>
      </c>
      <c r="D1292" s="18">
        <v>0.1</v>
      </c>
      <c r="E1292" s="21">
        <f t="shared" si="145"/>
        <v>7.9741404289037643E-3</v>
      </c>
      <c r="F1292" s="5">
        <v>39716</v>
      </c>
      <c r="G1292" s="5">
        <v>41542</v>
      </c>
      <c r="H1292" s="16">
        <f t="shared" si="148"/>
        <v>1826</v>
      </c>
      <c r="I1292" s="5">
        <v>41542</v>
      </c>
      <c r="J1292" s="5">
        <v>41054</v>
      </c>
      <c r="K1292" s="16">
        <f t="shared" si="149"/>
        <v>1338</v>
      </c>
      <c r="L1292" s="13">
        <v>9053.2800000000007</v>
      </c>
      <c r="M1292" s="15">
        <f t="shared" si="147"/>
        <v>188.32493370245604</v>
      </c>
      <c r="N1292" s="13">
        <v>9053.2800000000007</v>
      </c>
      <c r="O1292" s="13">
        <v>0</v>
      </c>
      <c r="P1292" s="11">
        <f t="shared" si="146"/>
        <v>0</v>
      </c>
    </row>
    <row r="1293" spans="1:16" ht="18.75" hidden="1" customHeight="1" thickBot="1" x14ac:dyDescent="0.3">
      <c r="A1293" s="3" t="s">
        <v>11</v>
      </c>
      <c r="B1293" s="4">
        <v>145953</v>
      </c>
      <c r="C1293" s="3" t="s">
        <v>9</v>
      </c>
      <c r="D1293" s="18">
        <v>9.7500000000000003E-2</v>
      </c>
      <c r="E1293" s="21">
        <f t="shared" si="145"/>
        <v>7.7830370878799737E-3</v>
      </c>
      <c r="F1293" s="5">
        <v>39716</v>
      </c>
      <c r="G1293" s="5">
        <v>39838</v>
      </c>
      <c r="H1293" s="16">
        <f t="shared" si="148"/>
        <v>122</v>
      </c>
      <c r="I1293" s="5">
        <v>39838</v>
      </c>
      <c r="J1293" s="2"/>
      <c r="K1293" s="16">
        <f t="shared" si="149"/>
        <v>-39716</v>
      </c>
      <c r="L1293" s="13">
        <v>102489</v>
      </c>
      <c r="M1293" s="15">
        <f t="shared" si="147"/>
        <v>25701.094868336771</v>
      </c>
      <c r="N1293" s="13">
        <v>102489</v>
      </c>
      <c r="O1293" s="13">
        <v>0</v>
      </c>
      <c r="P1293" s="11">
        <f t="shared" si="146"/>
        <v>0</v>
      </c>
    </row>
    <row r="1294" spans="1:16" ht="18.75" customHeight="1" thickBot="1" x14ac:dyDescent="0.3">
      <c r="A1294" s="3" t="s">
        <v>11</v>
      </c>
      <c r="B1294" s="4">
        <v>656778</v>
      </c>
      <c r="C1294" s="3" t="s">
        <v>9</v>
      </c>
      <c r="D1294" s="18">
        <v>7.7499999999999999E-2</v>
      </c>
      <c r="E1294" s="21">
        <f t="shared" si="145"/>
        <v>6.2396814612857288E-3</v>
      </c>
      <c r="F1294" s="5">
        <v>39720</v>
      </c>
      <c r="G1294" s="5">
        <v>40541</v>
      </c>
      <c r="H1294" s="16">
        <f t="shared" si="148"/>
        <v>821</v>
      </c>
      <c r="I1294" s="5">
        <v>40541</v>
      </c>
      <c r="J1294" s="5">
        <v>40359</v>
      </c>
      <c r="K1294" s="16">
        <f t="shared" si="149"/>
        <v>639</v>
      </c>
      <c r="L1294" s="13">
        <v>415593.75</v>
      </c>
      <c r="M1294" s="15">
        <f t="shared" si="147"/>
        <v>16566.813506368409</v>
      </c>
      <c r="N1294" s="13">
        <v>413327.06</v>
      </c>
      <c r="O1294" s="13">
        <v>0</v>
      </c>
      <c r="P1294" s="11">
        <f t="shared" si="146"/>
        <v>0</v>
      </c>
    </row>
    <row r="1295" spans="1:16" ht="18.75" customHeight="1" thickBot="1" x14ac:dyDescent="0.3">
      <c r="A1295" s="3" t="s">
        <v>11</v>
      </c>
      <c r="B1295" s="4">
        <v>260461</v>
      </c>
      <c r="C1295" s="3" t="s">
        <v>9</v>
      </c>
      <c r="D1295" s="18">
        <v>0.1</v>
      </c>
      <c r="E1295" s="21">
        <f t="shared" si="145"/>
        <v>7.9741404289037643E-3</v>
      </c>
      <c r="F1295" s="5">
        <v>39720</v>
      </c>
      <c r="G1295" s="5">
        <v>40815</v>
      </c>
      <c r="H1295" s="16">
        <f t="shared" si="148"/>
        <v>1095</v>
      </c>
      <c r="I1295" s="5">
        <v>40815</v>
      </c>
      <c r="J1295" s="5">
        <v>40682</v>
      </c>
      <c r="K1295" s="16">
        <f t="shared" si="149"/>
        <v>962</v>
      </c>
      <c r="L1295" s="13">
        <v>4862.13</v>
      </c>
      <c r="M1295" s="15">
        <f t="shared" si="147"/>
        <v>154.06045213835193</v>
      </c>
      <c r="N1295" s="13">
        <v>4862.13</v>
      </c>
      <c r="O1295" s="13">
        <v>0</v>
      </c>
      <c r="P1295" s="11">
        <f t="shared" si="146"/>
        <v>0</v>
      </c>
    </row>
    <row r="1296" spans="1:16" ht="18.75" customHeight="1" thickBot="1" x14ac:dyDescent="0.3">
      <c r="A1296" s="3" t="s">
        <v>11</v>
      </c>
      <c r="B1296" s="4">
        <v>936881</v>
      </c>
      <c r="C1296" s="3" t="s">
        <v>9</v>
      </c>
      <c r="D1296" s="18">
        <v>9.7500000000000003E-2</v>
      </c>
      <c r="E1296" s="21">
        <f t="shared" si="145"/>
        <v>7.7830370878799737E-3</v>
      </c>
      <c r="F1296" s="5">
        <v>39721</v>
      </c>
      <c r="G1296" s="5">
        <v>40086</v>
      </c>
      <c r="H1296" s="16">
        <f t="shared" si="148"/>
        <v>365</v>
      </c>
      <c r="I1296" s="5">
        <v>40086</v>
      </c>
      <c r="J1296" s="5">
        <v>42541</v>
      </c>
      <c r="K1296" s="16">
        <f t="shared" si="149"/>
        <v>2820</v>
      </c>
      <c r="L1296" s="13">
        <v>87000</v>
      </c>
      <c r="M1296" s="15">
        <f t="shared" si="147"/>
        <v>7522.35991439189</v>
      </c>
      <c r="N1296" s="13">
        <v>87000</v>
      </c>
      <c r="O1296" s="13">
        <v>0</v>
      </c>
      <c r="P1296" s="11">
        <f t="shared" si="146"/>
        <v>0</v>
      </c>
    </row>
    <row r="1297" spans="1:16" ht="18.75" customHeight="1" thickBot="1" x14ac:dyDescent="0.3">
      <c r="A1297" s="3" t="s">
        <v>11</v>
      </c>
      <c r="B1297" s="4">
        <v>140491</v>
      </c>
      <c r="C1297" s="3" t="s">
        <v>9</v>
      </c>
      <c r="D1297" s="18">
        <v>0.09</v>
      </c>
      <c r="E1297" s="21">
        <f t="shared" si="145"/>
        <v>7.2073233161367156E-3</v>
      </c>
      <c r="F1297" s="5">
        <v>39759</v>
      </c>
      <c r="G1297" s="5">
        <v>41613</v>
      </c>
      <c r="H1297" s="16">
        <f t="shared" si="148"/>
        <v>1854</v>
      </c>
      <c r="I1297" s="5">
        <v>41613</v>
      </c>
      <c r="J1297" s="5">
        <v>40396</v>
      </c>
      <c r="K1297" s="16">
        <f t="shared" si="149"/>
        <v>637</v>
      </c>
      <c r="L1297" s="13">
        <v>3700.14</v>
      </c>
      <c r="M1297" s="15">
        <f t="shared" si="147"/>
        <v>74.405457559703692</v>
      </c>
      <c r="N1297" s="13">
        <v>3700.14</v>
      </c>
      <c r="O1297" s="13">
        <v>0</v>
      </c>
      <c r="P1297" s="11">
        <f t="shared" si="146"/>
        <v>0</v>
      </c>
    </row>
    <row r="1298" spans="1:16" ht="18.75" customHeight="1" thickBot="1" x14ac:dyDescent="0.3">
      <c r="A1298" s="3" t="s">
        <v>11</v>
      </c>
      <c r="B1298" s="4">
        <v>843319</v>
      </c>
      <c r="C1298" s="3" t="s">
        <v>9</v>
      </c>
      <c r="D1298" s="18">
        <v>0.09</v>
      </c>
      <c r="E1298" s="21">
        <f t="shared" si="145"/>
        <v>7.2073233161367156E-3</v>
      </c>
      <c r="F1298" s="5">
        <v>39759</v>
      </c>
      <c r="G1298" s="5">
        <v>41220</v>
      </c>
      <c r="H1298" s="16">
        <f t="shared" si="148"/>
        <v>1461</v>
      </c>
      <c r="I1298" s="5">
        <v>41220</v>
      </c>
      <c r="J1298" s="5">
        <v>40473</v>
      </c>
      <c r="K1298" s="16">
        <f t="shared" si="149"/>
        <v>714</v>
      </c>
      <c r="L1298" s="13">
        <v>2395.19</v>
      </c>
      <c r="M1298" s="15">
        <f t="shared" si="147"/>
        <v>58.493127325856534</v>
      </c>
      <c r="N1298" s="13">
        <v>2395.19</v>
      </c>
      <c r="O1298" s="13">
        <v>0</v>
      </c>
      <c r="P1298" s="11">
        <f t="shared" si="146"/>
        <v>0</v>
      </c>
    </row>
    <row r="1299" spans="1:16" ht="18.75" customHeight="1" thickBot="1" x14ac:dyDescent="0.3">
      <c r="A1299" s="3" t="s">
        <v>11</v>
      </c>
      <c r="B1299" s="4">
        <v>945123</v>
      </c>
      <c r="C1299" s="3" t="s">
        <v>9</v>
      </c>
      <c r="D1299" s="18">
        <v>0.1</v>
      </c>
      <c r="E1299" s="21">
        <f t="shared" si="145"/>
        <v>7.9741404289037643E-3</v>
      </c>
      <c r="F1299" s="5">
        <v>39769</v>
      </c>
      <c r="G1299" s="5">
        <v>41974</v>
      </c>
      <c r="H1299" s="16">
        <f t="shared" si="148"/>
        <v>2205</v>
      </c>
      <c r="I1299" s="5">
        <v>41974</v>
      </c>
      <c r="J1299" s="5">
        <v>41339</v>
      </c>
      <c r="K1299" s="16">
        <f t="shared" si="149"/>
        <v>1570</v>
      </c>
      <c r="L1299" s="13">
        <v>13532.18</v>
      </c>
      <c r="M1299" s="15">
        <f t="shared" si="147"/>
        <v>244.01803465455893</v>
      </c>
      <c r="N1299" s="13">
        <v>13532.18</v>
      </c>
      <c r="O1299" s="13">
        <v>0</v>
      </c>
      <c r="P1299" s="11">
        <f t="shared" si="146"/>
        <v>0</v>
      </c>
    </row>
    <row r="1300" spans="1:16" ht="18.75" hidden="1" customHeight="1" thickBot="1" x14ac:dyDescent="0.3">
      <c r="A1300" s="3" t="s">
        <v>11</v>
      </c>
      <c r="B1300" s="4">
        <v>165527</v>
      </c>
      <c r="C1300" s="3" t="s">
        <v>9</v>
      </c>
      <c r="D1300" s="18">
        <v>9.7500000000000003E-2</v>
      </c>
      <c r="E1300" s="21">
        <f t="shared" si="145"/>
        <v>7.7830370878799737E-3</v>
      </c>
      <c r="F1300" s="5">
        <v>39770</v>
      </c>
      <c r="G1300" s="5">
        <v>40075</v>
      </c>
      <c r="H1300" s="16">
        <f t="shared" si="148"/>
        <v>305</v>
      </c>
      <c r="I1300" s="5">
        <v>40075</v>
      </c>
      <c r="J1300" s="2"/>
      <c r="K1300" s="16">
        <f t="shared" si="149"/>
        <v>-39770</v>
      </c>
      <c r="L1300" s="13">
        <v>81225</v>
      </c>
      <c r="M1300" s="15">
        <f t="shared" si="147"/>
        <v>8340.6353476822151</v>
      </c>
      <c r="N1300" s="13">
        <v>81225</v>
      </c>
      <c r="O1300" s="13">
        <v>0</v>
      </c>
      <c r="P1300" s="11">
        <f t="shared" si="146"/>
        <v>0</v>
      </c>
    </row>
    <row r="1301" spans="1:16" ht="18.75" customHeight="1" thickBot="1" x14ac:dyDescent="0.3">
      <c r="A1301" s="3" t="s">
        <v>11</v>
      </c>
      <c r="B1301" s="4">
        <v>886796</v>
      </c>
      <c r="C1301" s="3" t="s">
        <v>2</v>
      </c>
      <c r="D1301" s="18">
        <v>0.1</v>
      </c>
      <c r="E1301" s="21">
        <f t="shared" si="145"/>
        <v>7.9741404289037643E-3</v>
      </c>
      <c r="F1301" s="5">
        <v>39778</v>
      </c>
      <c r="G1301" s="5">
        <v>41420</v>
      </c>
      <c r="H1301" s="16">
        <f t="shared" si="148"/>
        <v>1642</v>
      </c>
      <c r="I1301" s="5">
        <v>43522</v>
      </c>
      <c r="J1301" s="5">
        <v>43725</v>
      </c>
      <c r="K1301" s="16">
        <f t="shared" si="149"/>
        <v>3947</v>
      </c>
      <c r="L1301" s="13">
        <v>51399.72</v>
      </c>
      <c r="M1301" s="15">
        <f t="shared" si="147"/>
        <v>1162.5687382989038</v>
      </c>
      <c r="N1301" s="13">
        <v>8124.67</v>
      </c>
      <c r="O1301" s="13">
        <v>2040.62</v>
      </c>
      <c r="P1301" s="11">
        <f t="shared" si="146"/>
        <v>0</v>
      </c>
    </row>
    <row r="1302" spans="1:16" ht="18.75" customHeight="1" thickBot="1" x14ac:dyDescent="0.3">
      <c r="A1302" s="3" t="s">
        <v>11</v>
      </c>
      <c r="B1302" s="4">
        <v>320025</v>
      </c>
      <c r="C1302" s="3" t="s">
        <v>9</v>
      </c>
      <c r="D1302" s="18">
        <v>0.11</v>
      </c>
      <c r="E1302" s="21">
        <f t="shared" si="145"/>
        <v>8.7345938235519061E-3</v>
      </c>
      <c r="F1302" s="5">
        <v>39786</v>
      </c>
      <c r="G1302" s="5">
        <v>40090</v>
      </c>
      <c r="H1302" s="16">
        <f t="shared" si="148"/>
        <v>304</v>
      </c>
      <c r="I1302" s="5">
        <v>40090</v>
      </c>
      <c r="J1302" s="5">
        <v>39853</v>
      </c>
      <c r="K1302" s="16">
        <f t="shared" si="149"/>
        <v>67</v>
      </c>
      <c r="L1302" s="13">
        <v>1322.16</v>
      </c>
      <c r="M1302" s="15">
        <f t="shared" si="147"/>
        <v>136.90438368550127</v>
      </c>
      <c r="N1302" s="13">
        <v>1322.16</v>
      </c>
      <c r="O1302" s="13">
        <v>0</v>
      </c>
      <c r="P1302" s="11">
        <f t="shared" si="146"/>
        <v>0</v>
      </c>
    </row>
    <row r="1303" spans="1:16" ht="18.75" customHeight="1" thickBot="1" x14ac:dyDescent="0.3">
      <c r="A1303" s="3" t="s">
        <v>11</v>
      </c>
      <c r="B1303" s="4">
        <v>100536</v>
      </c>
      <c r="C1303" s="3" t="s">
        <v>9</v>
      </c>
      <c r="D1303" s="18">
        <v>0.09</v>
      </c>
      <c r="E1303" s="21">
        <f t="shared" si="145"/>
        <v>7.2073233161367156E-3</v>
      </c>
      <c r="F1303" s="5">
        <v>39787</v>
      </c>
      <c r="G1303" s="5">
        <v>42343</v>
      </c>
      <c r="H1303" s="16">
        <f t="shared" si="148"/>
        <v>2556</v>
      </c>
      <c r="I1303" s="5">
        <v>42343</v>
      </c>
      <c r="J1303" s="5">
        <v>43525</v>
      </c>
      <c r="K1303" s="16">
        <f t="shared" si="149"/>
        <v>3738</v>
      </c>
      <c r="L1303" s="13">
        <v>17500</v>
      </c>
      <c r="M1303" s="15">
        <f t="shared" si="147"/>
        <v>275.5937517957621</v>
      </c>
      <c r="N1303" s="13">
        <v>17150</v>
      </c>
      <c r="O1303" s="13">
        <v>0</v>
      </c>
      <c r="P1303" s="11">
        <f t="shared" si="146"/>
        <v>1</v>
      </c>
    </row>
    <row r="1304" spans="1:16" ht="18.75" customHeight="1" thickBot="1" x14ac:dyDescent="0.3">
      <c r="A1304" s="3" t="s">
        <v>11</v>
      </c>
      <c r="B1304" s="4">
        <v>580823</v>
      </c>
      <c r="C1304" s="3" t="s">
        <v>9</v>
      </c>
      <c r="D1304" s="18">
        <v>9.7500000000000003E-2</v>
      </c>
      <c r="E1304" s="21">
        <f t="shared" si="145"/>
        <v>7.7830370878799737E-3</v>
      </c>
      <c r="F1304" s="5">
        <v>39792</v>
      </c>
      <c r="G1304" s="5">
        <v>39943</v>
      </c>
      <c r="H1304" s="16">
        <f t="shared" si="148"/>
        <v>151</v>
      </c>
      <c r="I1304" s="5">
        <v>39943</v>
      </c>
      <c r="J1304" s="5">
        <v>39840</v>
      </c>
      <c r="K1304" s="16">
        <f t="shared" si="149"/>
        <v>48</v>
      </c>
      <c r="L1304" s="13">
        <v>54787.5</v>
      </c>
      <c r="M1304" s="15">
        <f t="shared" si="147"/>
        <v>11141.831157945539</v>
      </c>
      <c r="N1304" s="13">
        <v>45038.26</v>
      </c>
      <c r="O1304" s="13">
        <v>0</v>
      </c>
      <c r="P1304" s="11">
        <f t="shared" si="146"/>
        <v>0</v>
      </c>
    </row>
    <row r="1305" spans="1:16" ht="18.75" customHeight="1" thickBot="1" x14ac:dyDescent="0.3">
      <c r="A1305" s="3" t="s">
        <v>11</v>
      </c>
      <c r="B1305" s="4">
        <v>804084</v>
      </c>
      <c r="C1305" s="3" t="s">
        <v>9</v>
      </c>
      <c r="D1305" s="18">
        <v>0.11</v>
      </c>
      <c r="E1305" s="21">
        <f t="shared" si="145"/>
        <v>8.7345938235519061E-3</v>
      </c>
      <c r="F1305" s="5">
        <v>39794</v>
      </c>
      <c r="G1305" s="5">
        <v>41710</v>
      </c>
      <c r="H1305" s="16">
        <f t="shared" si="148"/>
        <v>1916</v>
      </c>
      <c r="I1305" s="5">
        <v>41710</v>
      </c>
      <c r="J1305" s="5">
        <v>40718</v>
      </c>
      <c r="K1305" s="16">
        <f t="shared" si="149"/>
        <v>924</v>
      </c>
      <c r="L1305" s="13">
        <v>7183.08</v>
      </c>
      <c r="M1305" s="15">
        <f t="shared" si="147"/>
        <v>147.22025354126629</v>
      </c>
      <c r="N1305" s="13">
        <v>7183.08</v>
      </c>
      <c r="O1305" s="13">
        <v>0</v>
      </c>
      <c r="P1305" s="11">
        <f t="shared" si="146"/>
        <v>0</v>
      </c>
    </row>
    <row r="1306" spans="1:16" ht="18.75" customHeight="1" thickBot="1" x14ac:dyDescent="0.3">
      <c r="A1306" s="3" t="s">
        <v>11</v>
      </c>
      <c r="B1306" s="4">
        <v>918007</v>
      </c>
      <c r="C1306" s="3" t="s">
        <v>9</v>
      </c>
      <c r="D1306" s="18">
        <v>0.1</v>
      </c>
      <c r="E1306" s="21">
        <f t="shared" si="145"/>
        <v>7.9741404289037643E-3</v>
      </c>
      <c r="F1306" s="5">
        <v>39812</v>
      </c>
      <c r="G1306" s="5">
        <v>40998</v>
      </c>
      <c r="H1306" s="16">
        <f t="shared" si="148"/>
        <v>1186</v>
      </c>
      <c r="I1306" s="5">
        <v>40998</v>
      </c>
      <c r="J1306" s="5">
        <v>41277</v>
      </c>
      <c r="K1306" s="16">
        <f t="shared" si="149"/>
        <v>1465</v>
      </c>
      <c r="L1306" s="13">
        <v>9013.99</v>
      </c>
      <c r="M1306" s="15">
        <f t="shared" si="147"/>
        <v>266.73487456536327</v>
      </c>
      <c r="N1306" s="13">
        <v>9013.99</v>
      </c>
      <c r="O1306" s="13">
        <v>0</v>
      </c>
      <c r="P1306" s="11">
        <f t="shared" si="146"/>
        <v>0</v>
      </c>
    </row>
    <row r="1307" spans="1:16" ht="18.75" customHeight="1" thickBot="1" x14ac:dyDescent="0.3">
      <c r="A1307" s="3" t="s">
        <v>11</v>
      </c>
      <c r="B1307" s="4">
        <v>144001</v>
      </c>
      <c r="C1307" s="3" t="s">
        <v>9</v>
      </c>
      <c r="D1307" s="18">
        <v>0.1</v>
      </c>
      <c r="E1307" s="21">
        <f t="shared" si="145"/>
        <v>7.9741404289037643E-3</v>
      </c>
      <c r="F1307" s="5">
        <v>39818</v>
      </c>
      <c r="G1307" s="5">
        <v>41659</v>
      </c>
      <c r="H1307" s="16">
        <f t="shared" si="148"/>
        <v>1841</v>
      </c>
      <c r="I1307" s="5">
        <v>41659</v>
      </c>
      <c r="J1307" s="5">
        <v>40298</v>
      </c>
      <c r="K1307" s="16">
        <f t="shared" si="149"/>
        <v>480</v>
      </c>
      <c r="L1307" s="13">
        <v>12587.5</v>
      </c>
      <c r="M1307" s="15">
        <f t="shared" si="147"/>
        <v>260.18436315125905</v>
      </c>
      <c r="N1307" s="13">
        <v>12587.5</v>
      </c>
      <c r="O1307" s="13">
        <v>0</v>
      </c>
      <c r="P1307" s="11">
        <f t="shared" si="146"/>
        <v>0</v>
      </c>
    </row>
    <row r="1308" spans="1:16" ht="18.75" customHeight="1" thickBot="1" x14ac:dyDescent="0.3">
      <c r="A1308" s="3" t="s">
        <v>11</v>
      </c>
      <c r="B1308" s="4">
        <v>603504</v>
      </c>
      <c r="C1308" s="3" t="s">
        <v>9</v>
      </c>
      <c r="D1308" s="18">
        <v>0.1</v>
      </c>
      <c r="E1308" s="21">
        <f t="shared" si="145"/>
        <v>7.9741404289037643E-3</v>
      </c>
      <c r="F1308" s="5">
        <v>39818</v>
      </c>
      <c r="G1308" s="5">
        <v>42384</v>
      </c>
      <c r="H1308" s="16">
        <f t="shared" si="148"/>
        <v>2566</v>
      </c>
      <c r="I1308" s="5">
        <v>42384</v>
      </c>
      <c r="J1308" s="5">
        <v>41848</v>
      </c>
      <c r="K1308" s="16">
        <f t="shared" si="149"/>
        <v>2030</v>
      </c>
      <c r="L1308" s="13">
        <v>326.76</v>
      </c>
      <c r="M1308" s="15">
        <f t="shared" si="147"/>
        <v>5.2846804364723985</v>
      </c>
      <c r="N1308" s="13">
        <v>326.76</v>
      </c>
      <c r="O1308" s="13">
        <v>0</v>
      </c>
      <c r="P1308" s="11">
        <f t="shared" si="146"/>
        <v>1</v>
      </c>
    </row>
    <row r="1309" spans="1:16" ht="18.75" customHeight="1" thickBot="1" x14ac:dyDescent="0.3">
      <c r="A1309" s="3" t="s">
        <v>11</v>
      </c>
      <c r="B1309" s="4">
        <v>185407</v>
      </c>
      <c r="C1309" s="3" t="s">
        <v>9</v>
      </c>
      <c r="D1309" s="18">
        <v>0.1</v>
      </c>
      <c r="E1309" s="21">
        <f t="shared" si="145"/>
        <v>7.9741404289037643E-3</v>
      </c>
      <c r="F1309" s="5">
        <v>39822</v>
      </c>
      <c r="G1309" s="5">
        <v>41648</v>
      </c>
      <c r="H1309" s="16">
        <f t="shared" si="148"/>
        <v>1826</v>
      </c>
      <c r="I1309" s="5">
        <v>41648</v>
      </c>
      <c r="J1309" s="5">
        <v>40350</v>
      </c>
      <c r="K1309" s="16">
        <f t="shared" si="149"/>
        <v>528</v>
      </c>
      <c r="L1309" s="13">
        <v>14893.94</v>
      </c>
      <c r="M1309" s="15">
        <f t="shared" si="147"/>
        <v>309.82144184962334</v>
      </c>
      <c r="N1309" s="13">
        <v>14893.94</v>
      </c>
      <c r="O1309" s="13">
        <v>0</v>
      </c>
      <c r="P1309" s="11">
        <f t="shared" si="146"/>
        <v>0</v>
      </c>
    </row>
    <row r="1310" spans="1:16" ht="18.75" customHeight="1" thickBot="1" x14ac:dyDescent="0.3">
      <c r="A1310" s="3" t="s">
        <v>11</v>
      </c>
      <c r="B1310" s="4">
        <v>430976</v>
      </c>
      <c r="C1310" s="3" t="s">
        <v>9</v>
      </c>
      <c r="D1310" s="18">
        <v>0.14000000000000001</v>
      </c>
      <c r="E1310" s="21">
        <f t="shared" si="145"/>
        <v>1.0978851950173452E-2</v>
      </c>
      <c r="F1310" s="5">
        <v>39829</v>
      </c>
      <c r="G1310" s="5">
        <v>40072</v>
      </c>
      <c r="H1310" s="16">
        <f t="shared" si="148"/>
        <v>243</v>
      </c>
      <c r="I1310" s="5">
        <v>40072</v>
      </c>
      <c r="J1310" s="5">
        <v>41981</v>
      </c>
      <c r="K1310" s="16">
        <f t="shared" si="149"/>
        <v>2152</v>
      </c>
      <c r="L1310" s="13">
        <v>923.7</v>
      </c>
      <c r="M1310" s="15">
        <f t="shared" si="147"/>
        <v>119.80721256455435</v>
      </c>
      <c r="N1310" s="13">
        <v>923.7</v>
      </c>
      <c r="O1310" s="13">
        <v>0</v>
      </c>
      <c r="P1310" s="11">
        <f t="shared" si="146"/>
        <v>0</v>
      </c>
    </row>
    <row r="1311" spans="1:16" ht="18.75" customHeight="1" thickBot="1" x14ac:dyDescent="0.3">
      <c r="A1311" s="3" t="s">
        <v>11</v>
      </c>
      <c r="B1311" s="4">
        <v>299402</v>
      </c>
      <c r="C1311" s="3" t="s">
        <v>9</v>
      </c>
      <c r="D1311" s="18">
        <v>0.105</v>
      </c>
      <c r="E1311" s="21">
        <f t="shared" si="145"/>
        <v>8.355155683635207E-3</v>
      </c>
      <c r="F1311" s="5">
        <v>39866</v>
      </c>
      <c r="G1311" s="5">
        <v>42057</v>
      </c>
      <c r="H1311" s="16">
        <f t="shared" si="148"/>
        <v>2191</v>
      </c>
      <c r="I1311" s="5">
        <v>42057</v>
      </c>
      <c r="J1311" s="5">
        <v>41570</v>
      </c>
      <c r="K1311" s="16">
        <f t="shared" si="149"/>
        <v>1704</v>
      </c>
      <c r="L1311" s="13">
        <v>1868.08</v>
      </c>
      <c r="M1311" s="15">
        <f t="shared" si="147"/>
        <v>34.274773710845956</v>
      </c>
      <c r="N1311" s="13">
        <v>1868.08</v>
      </c>
      <c r="O1311" s="13">
        <v>0</v>
      </c>
      <c r="P1311" s="11">
        <f t="shared" si="146"/>
        <v>1</v>
      </c>
    </row>
    <row r="1312" spans="1:16" ht="18.75" customHeight="1" thickBot="1" x14ac:dyDescent="0.3">
      <c r="A1312" s="3" t="s">
        <v>11</v>
      </c>
      <c r="B1312" s="4">
        <v>92583</v>
      </c>
      <c r="C1312" s="3" t="s">
        <v>9</v>
      </c>
      <c r="D1312" s="18">
        <v>9.5000000000000001E-2</v>
      </c>
      <c r="E1312" s="21">
        <f t="shared" si="145"/>
        <v>7.5915342905825689E-3</v>
      </c>
      <c r="F1312" s="5">
        <v>39867</v>
      </c>
      <c r="G1312" s="5">
        <v>41693</v>
      </c>
      <c r="H1312" s="16">
        <f t="shared" si="148"/>
        <v>1826</v>
      </c>
      <c r="I1312" s="5">
        <v>41693</v>
      </c>
      <c r="J1312" s="5">
        <v>42010</v>
      </c>
      <c r="K1312" s="16">
        <f t="shared" si="149"/>
        <v>2143</v>
      </c>
      <c r="L1312" s="13">
        <v>28.64</v>
      </c>
      <c r="M1312" s="15">
        <f t="shared" si="147"/>
        <v>0.58934235643520505</v>
      </c>
      <c r="N1312" s="13">
        <v>28.64</v>
      </c>
      <c r="O1312" s="13">
        <v>0</v>
      </c>
      <c r="P1312" s="11">
        <f t="shared" si="146"/>
        <v>0</v>
      </c>
    </row>
    <row r="1313" spans="1:16" ht="18.75" customHeight="1" thickBot="1" x14ac:dyDescent="0.3">
      <c r="A1313" s="3" t="s">
        <v>11</v>
      </c>
      <c r="B1313" s="4">
        <v>414202</v>
      </c>
      <c r="C1313" s="3" t="s">
        <v>9</v>
      </c>
      <c r="D1313" s="18">
        <v>0.12</v>
      </c>
      <c r="E1313" s="21">
        <f t="shared" si="145"/>
        <v>9.4887929345830457E-3</v>
      </c>
      <c r="F1313" s="5">
        <v>39869</v>
      </c>
      <c r="G1313" s="5">
        <v>42060</v>
      </c>
      <c r="H1313" s="16">
        <f t="shared" si="148"/>
        <v>2191</v>
      </c>
      <c r="I1313" s="5">
        <v>42060</v>
      </c>
      <c r="J1313" s="5">
        <v>40508</v>
      </c>
      <c r="K1313" s="16">
        <f t="shared" si="149"/>
        <v>639</v>
      </c>
      <c r="L1313" s="13">
        <v>8948.89</v>
      </c>
      <c r="M1313" s="15">
        <f t="shared" si="147"/>
        <v>170.41148530470701</v>
      </c>
      <c r="N1313" s="13">
        <v>8948.89</v>
      </c>
      <c r="O1313" s="13">
        <v>0</v>
      </c>
      <c r="P1313" s="11">
        <f t="shared" si="146"/>
        <v>1</v>
      </c>
    </row>
    <row r="1314" spans="1:16" ht="18.75" customHeight="1" thickBot="1" x14ac:dyDescent="0.3">
      <c r="A1314" s="3" t="s">
        <v>11</v>
      </c>
      <c r="B1314" s="4">
        <v>9989</v>
      </c>
      <c r="C1314" s="3" t="s">
        <v>9</v>
      </c>
      <c r="D1314" s="18">
        <v>0.105</v>
      </c>
      <c r="E1314" s="21">
        <f t="shared" si="145"/>
        <v>8.355155683635207E-3</v>
      </c>
      <c r="F1314" s="5">
        <v>39881</v>
      </c>
      <c r="G1314" s="5">
        <v>42286</v>
      </c>
      <c r="H1314" s="16">
        <f t="shared" si="148"/>
        <v>2405</v>
      </c>
      <c r="I1314" s="5">
        <v>42286</v>
      </c>
      <c r="J1314" s="5">
        <v>40526</v>
      </c>
      <c r="K1314" s="16">
        <f t="shared" si="149"/>
        <v>645</v>
      </c>
      <c r="L1314" s="13">
        <v>14687.81</v>
      </c>
      <c r="M1314" s="15">
        <f t="shared" si="147"/>
        <v>252.11103542371899</v>
      </c>
      <c r="N1314" s="13">
        <v>14687.81</v>
      </c>
      <c r="O1314" s="13">
        <v>0</v>
      </c>
      <c r="P1314" s="11">
        <f t="shared" si="146"/>
        <v>1</v>
      </c>
    </row>
    <row r="1315" spans="1:16" ht="18.75" customHeight="1" thickBot="1" x14ac:dyDescent="0.3">
      <c r="A1315" s="3" t="s">
        <v>11</v>
      </c>
      <c r="B1315" s="4">
        <v>189372</v>
      </c>
      <c r="C1315" s="3" t="s">
        <v>9</v>
      </c>
      <c r="D1315" s="18">
        <v>0.1</v>
      </c>
      <c r="E1315" s="21">
        <f t="shared" si="145"/>
        <v>7.9741404289037643E-3</v>
      </c>
      <c r="F1315" s="5">
        <v>39891</v>
      </c>
      <c r="G1315" s="5">
        <v>41717</v>
      </c>
      <c r="H1315" s="16">
        <f t="shared" si="148"/>
        <v>1826</v>
      </c>
      <c r="I1315" s="5">
        <v>41717</v>
      </c>
      <c r="J1315" s="5">
        <v>40119</v>
      </c>
      <c r="K1315" s="16">
        <f t="shared" si="149"/>
        <v>228</v>
      </c>
      <c r="L1315" s="13">
        <v>6347.62</v>
      </c>
      <c r="M1315" s="15">
        <f t="shared" si="147"/>
        <v>132.04221184679849</v>
      </c>
      <c r="N1315" s="13">
        <v>6347.62</v>
      </c>
      <c r="O1315" s="13">
        <v>0</v>
      </c>
      <c r="P1315" s="11">
        <f t="shared" si="146"/>
        <v>0</v>
      </c>
    </row>
    <row r="1316" spans="1:16" ht="18.75" customHeight="1" thickBot="1" x14ac:dyDescent="0.3">
      <c r="A1316" s="3" t="s">
        <v>11</v>
      </c>
      <c r="B1316" s="4">
        <v>310793</v>
      </c>
      <c r="C1316" s="3" t="s">
        <v>9</v>
      </c>
      <c r="D1316" s="18">
        <v>0.1</v>
      </c>
      <c r="E1316" s="21">
        <f t="shared" si="145"/>
        <v>7.9741404289037643E-3</v>
      </c>
      <c r="F1316" s="5">
        <v>39910</v>
      </c>
      <c r="G1316" s="5">
        <v>41084</v>
      </c>
      <c r="H1316" s="16">
        <f t="shared" si="148"/>
        <v>1174</v>
      </c>
      <c r="I1316" s="5">
        <v>41084</v>
      </c>
      <c r="J1316" s="5">
        <v>40774</v>
      </c>
      <c r="K1316" s="16">
        <f t="shared" si="149"/>
        <v>864</v>
      </c>
      <c r="L1316" s="13">
        <v>20000</v>
      </c>
      <c r="M1316" s="15">
        <f t="shared" si="147"/>
        <v>596.97384162882872</v>
      </c>
      <c r="N1316" s="13">
        <v>20000</v>
      </c>
      <c r="O1316" s="13">
        <v>0</v>
      </c>
      <c r="P1316" s="11">
        <f t="shared" si="146"/>
        <v>0</v>
      </c>
    </row>
    <row r="1317" spans="1:16" ht="18.75" customHeight="1" thickBot="1" x14ac:dyDescent="0.3">
      <c r="A1317" s="3" t="s">
        <v>11</v>
      </c>
      <c r="B1317" s="4">
        <v>963503</v>
      </c>
      <c r="C1317" s="3" t="s">
        <v>9</v>
      </c>
      <c r="D1317" s="18">
        <v>9.7500000000000003E-2</v>
      </c>
      <c r="E1317" s="21">
        <f t="shared" si="145"/>
        <v>7.7830370878799737E-3</v>
      </c>
      <c r="F1317" s="5">
        <v>39896</v>
      </c>
      <c r="G1317" s="5">
        <v>40722</v>
      </c>
      <c r="H1317" s="16">
        <f t="shared" si="148"/>
        <v>826</v>
      </c>
      <c r="I1317" s="5">
        <v>40722</v>
      </c>
      <c r="J1317" s="5">
        <v>40084</v>
      </c>
      <c r="K1317" s="16">
        <f t="shared" si="149"/>
        <v>188</v>
      </c>
      <c r="L1317" s="13">
        <v>44500</v>
      </c>
      <c r="M1317" s="15">
        <f t="shared" si="147"/>
        <v>1801.8330945602916</v>
      </c>
      <c r="N1317" s="13">
        <v>44500</v>
      </c>
      <c r="O1317" s="13">
        <v>0</v>
      </c>
      <c r="P1317" s="11">
        <f t="shared" si="146"/>
        <v>0</v>
      </c>
    </row>
    <row r="1318" spans="1:16" ht="18.75" hidden="1" customHeight="1" thickBot="1" x14ac:dyDescent="0.3">
      <c r="A1318" s="3" t="s">
        <v>11</v>
      </c>
      <c r="B1318" s="4">
        <v>555924</v>
      </c>
      <c r="C1318" s="3" t="s">
        <v>9</v>
      </c>
      <c r="D1318" s="18">
        <v>8.5000000000000006E-2</v>
      </c>
      <c r="E1318" s="21">
        <f t="shared" si="145"/>
        <v>6.8214933659622723E-3</v>
      </c>
      <c r="F1318" s="5">
        <v>39898</v>
      </c>
      <c r="G1318" s="5">
        <v>40067</v>
      </c>
      <c r="H1318" s="16">
        <f t="shared" si="148"/>
        <v>169</v>
      </c>
      <c r="I1318" s="5">
        <v>40067</v>
      </c>
      <c r="J1318" s="2"/>
      <c r="K1318" s="16">
        <f t="shared" si="149"/>
        <v>-39898</v>
      </c>
      <c r="L1318" s="13">
        <v>10856.25</v>
      </c>
      <c r="M1318" s="15">
        <f t="shared" si="147"/>
        <v>1970.9747837687778</v>
      </c>
      <c r="N1318" s="13">
        <v>10856.25</v>
      </c>
      <c r="O1318" s="13">
        <v>0</v>
      </c>
      <c r="P1318" s="11">
        <f t="shared" si="146"/>
        <v>0</v>
      </c>
    </row>
    <row r="1319" spans="1:16" ht="18.75" customHeight="1" thickBot="1" x14ac:dyDescent="0.3">
      <c r="A1319" s="3" t="s">
        <v>11</v>
      </c>
      <c r="B1319" s="4">
        <v>301614</v>
      </c>
      <c r="C1319" s="3" t="s">
        <v>9</v>
      </c>
      <c r="D1319" s="18">
        <v>9.5000000000000001E-2</v>
      </c>
      <c r="E1319" s="21">
        <f t="shared" ref="E1319:E1382" si="150">(1+D1319)^(1/12)-1</f>
        <v>7.5915342905825689E-3</v>
      </c>
      <c r="F1319" s="5">
        <v>39904</v>
      </c>
      <c r="G1319" s="5">
        <v>41913</v>
      </c>
      <c r="H1319" s="16">
        <f t="shared" si="148"/>
        <v>2009</v>
      </c>
      <c r="I1319" s="5">
        <v>41913</v>
      </c>
      <c r="J1319" s="5">
        <v>40690</v>
      </c>
      <c r="K1319" s="16">
        <f t="shared" si="149"/>
        <v>786</v>
      </c>
      <c r="L1319" s="13">
        <v>3980.42</v>
      </c>
      <c r="M1319" s="15">
        <f t="shared" si="147"/>
        <v>76.042814109828129</v>
      </c>
      <c r="N1319" s="13">
        <v>3980.42</v>
      </c>
      <c r="O1319" s="13">
        <v>3980.42</v>
      </c>
      <c r="P1319" s="11">
        <f t="shared" ref="P1319:P1382" si="151">IF((G1319)&gt;(ConstantDateCutoff),1,0)</f>
        <v>0</v>
      </c>
    </row>
    <row r="1320" spans="1:16" ht="18.75" customHeight="1" thickBot="1" x14ac:dyDescent="0.3">
      <c r="A1320" s="3" t="s">
        <v>11</v>
      </c>
      <c r="B1320" s="4">
        <v>66586</v>
      </c>
      <c r="C1320" s="3" t="s">
        <v>9</v>
      </c>
      <c r="D1320" s="18">
        <v>0.1</v>
      </c>
      <c r="E1320" s="21">
        <f t="shared" si="150"/>
        <v>7.9741404289037643E-3</v>
      </c>
      <c r="F1320" s="5">
        <v>41484</v>
      </c>
      <c r="G1320" s="5">
        <v>43737</v>
      </c>
      <c r="H1320" s="16">
        <f t="shared" si="148"/>
        <v>2253</v>
      </c>
      <c r="I1320" s="5">
        <v>43737</v>
      </c>
      <c r="J1320" s="5">
        <v>42933</v>
      </c>
      <c r="K1320" s="16">
        <f t="shared" si="149"/>
        <v>1449</v>
      </c>
      <c r="L1320" s="13">
        <v>11497.91</v>
      </c>
      <c r="M1320" s="15">
        <f t="shared" si="147"/>
        <v>204.08455063480855</v>
      </c>
      <c r="N1320" s="13">
        <v>11497.91</v>
      </c>
      <c r="O1320" s="13">
        <v>0</v>
      </c>
      <c r="P1320" s="11">
        <f t="shared" si="151"/>
        <v>1</v>
      </c>
    </row>
    <row r="1321" spans="1:16" ht="18.75" customHeight="1" thickBot="1" x14ac:dyDescent="0.3">
      <c r="A1321" s="3" t="s">
        <v>11</v>
      </c>
      <c r="B1321" s="4">
        <v>173528</v>
      </c>
      <c r="C1321" s="3" t="s">
        <v>9</v>
      </c>
      <c r="D1321" s="18">
        <v>0.1</v>
      </c>
      <c r="E1321" s="21">
        <f t="shared" si="150"/>
        <v>7.9741404289037643E-3</v>
      </c>
      <c r="F1321" s="5">
        <v>39919</v>
      </c>
      <c r="G1321" s="5">
        <v>42263</v>
      </c>
      <c r="H1321" s="16">
        <f t="shared" si="148"/>
        <v>2344</v>
      </c>
      <c r="I1321" s="5">
        <v>42263</v>
      </c>
      <c r="J1321" s="5">
        <v>40785</v>
      </c>
      <c r="K1321" s="16">
        <f t="shared" si="149"/>
        <v>866</v>
      </c>
      <c r="L1321" s="13">
        <v>17628.62</v>
      </c>
      <c r="M1321" s="15">
        <f t="shared" si="147"/>
        <v>304.03064011771863</v>
      </c>
      <c r="N1321" s="13">
        <v>17628.62</v>
      </c>
      <c r="O1321" s="13">
        <v>0</v>
      </c>
      <c r="P1321" s="11">
        <f t="shared" si="151"/>
        <v>1</v>
      </c>
    </row>
    <row r="1322" spans="1:16" ht="18.75" customHeight="1" thickBot="1" x14ac:dyDescent="0.3">
      <c r="A1322" s="3" t="s">
        <v>11</v>
      </c>
      <c r="B1322" s="4">
        <v>126946</v>
      </c>
      <c r="C1322" s="3" t="s">
        <v>2</v>
      </c>
      <c r="D1322" s="18">
        <v>0.09</v>
      </c>
      <c r="E1322" s="21">
        <f t="shared" si="150"/>
        <v>7.2073233161367156E-3</v>
      </c>
      <c r="F1322" s="5">
        <v>39924</v>
      </c>
      <c r="G1322" s="5">
        <v>39985</v>
      </c>
      <c r="H1322" s="16">
        <f t="shared" si="148"/>
        <v>61</v>
      </c>
      <c r="I1322" s="5">
        <v>43272</v>
      </c>
      <c r="J1322" s="5">
        <v>43734</v>
      </c>
      <c r="K1322" s="16">
        <f t="shared" si="149"/>
        <v>3810</v>
      </c>
      <c r="L1322" s="13">
        <v>17000</v>
      </c>
      <c r="M1322" s="15">
        <f t="shared" si="147"/>
        <v>8452.1599934466467</v>
      </c>
      <c r="N1322" s="13">
        <v>5850</v>
      </c>
      <c r="O1322" s="13">
        <v>0</v>
      </c>
      <c r="P1322" s="11">
        <f t="shared" si="151"/>
        <v>0</v>
      </c>
    </row>
    <row r="1323" spans="1:16" ht="18.75" customHeight="1" thickBot="1" x14ac:dyDescent="0.3">
      <c r="A1323" s="3" t="s">
        <v>11</v>
      </c>
      <c r="B1323" s="4">
        <v>75056</v>
      </c>
      <c r="C1323" s="3" t="s">
        <v>2</v>
      </c>
      <c r="D1323" s="18">
        <v>9.7500000000000003E-2</v>
      </c>
      <c r="E1323" s="21">
        <f t="shared" si="150"/>
        <v>7.7830370878799737E-3</v>
      </c>
      <c r="F1323" s="5">
        <v>39924</v>
      </c>
      <c r="G1323" s="5">
        <v>40015</v>
      </c>
      <c r="H1323" s="16">
        <f t="shared" si="148"/>
        <v>91</v>
      </c>
      <c r="I1323" s="5">
        <v>43921</v>
      </c>
      <c r="J1323" s="5">
        <v>44011</v>
      </c>
      <c r="K1323" s="16">
        <f t="shared" si="149"/>
        <v>4087</v>
      </c>
      <c r="L1323" s="13">
        <v>45000</v>
      </c>
      <c r="M1323" s="15">
        <f t="shared" si="147"/>
        <v>15068.626265464702</v>
      </c>
      <c r="N1323" s="13">
        <v>3000</v>
      </c>
      <c r="O1323" s="13">
        <v>2500</v>
      </c>
      <c r="P1323" s="11">
        <f t="shared" si="151"/>
        <v>0</v>
      </c>
    </row>
    <row r="1324" spans="1:16" ht="18.75" customHeight="1" thickBot="1" x14ac:dyDescent="0.3">
      <c r="A1324" s="3" t="s">
        <v>11</v>
      </c>
      <c r="B1324" s="4">
        <v>272223</v>
      </c>
      <c r="C1324" s="3" t="s">
        <v>9</v>
      </c>
      <c r="D1324" s="18">
        <v>0.105</v>
      </c>
      <c r="E1324" s="21">
        <f t="shared" si="150"/>
        <v>8.355155683635207E-3</v>
      </c>
      <c r="F1324" s="5">
        <v>39939</v>
      </c>
      <c r="G1324" s="5">
        <v>41949</v>
      </c>
      <c r="H1324" s="16">
        <f t="shared" si="148"/>
        <v>2010</v>
      </c>
      <c r="I1324" s="5">
        <v>41949</v>
      </c>
      <c r="J1324" s="5">
        <v>42866</v>
      </c>
      <c r="K1324" s="16">
        <f t="shared" si="149"/>
        <v>2927</v>
      </c>
      <c r="L1324" s="13">
        <v>7421.75</v>
      </c>
      <c r="M1324" s="15">
        <f t="shared" si="147"/>
        <v>145.10535309288042</v>
      </c>
      <c r="N1324" s="13">
        <v>7421.75</v>
      </c>
      <c r="O1324" s="13">
        <v>3313.79</v>
      </c>
      <c r="P1324" s="11">
        <f t="shared" si="151"/>
        <v>0</v>
      </c>
    </row>
    <row r="1325" spans="1:16" ht="18.75" customHeight="1" thickBot="1" x14ac:dyDescent="0.3">
      <c r="A1325" s="3" t="s">
        <v>11</v>
      </c>
      <c r="B1325" s="4">
        <v>395263</v>
      </c>
      <c r="C1325" s="3" t="s">
        <v>9</v>
      </c>
      <c r="D1325" s="18">
        <v>0.11</v>
      </c>
      <c r="E1325" s="21">
        <f t="shared" si="150"/>
        <v>8.7345938235519061E-3</v>
      </c>
      <c r="F1325" s="5">
        <v>39941</v>
      </c>
      <c r="G1325" s="5">
        <v>41402</v>
      </c>
      <c r="H1325" s="16">
        <f t="shared" si="148"/>
        <v>1461</v>
      </c>
      <c r="I1325" s="5">
        <v>41402</v>
      </c>
      <c r="J1325" s="5">
        <v>40388</v>
      </c>
      <c r="K1325" s="16">
        <f t="shared" si="149"/>
        <v>447</v>
      </c>
      <c r="L1325" s="13">
        <v>2714.46</v>
      </c>
      <c r="M1325" s="15">
        <f t="shared" si="147"/>
        <v>68.670643160982706</v>
      </c>
      <c r="N1325" s="13">
        <v>2714.46</v>
      </c>
      <c r="O1325" s="13">
        <v>0</v>
      </c>
      <c r="P1325" s="11">
        <f t="shared" si="151"/>
        <v>0</v>
      </c>
    </row>
    <row r="1326" spans="1:16" ht="18.75" customHeight="1" thickBot="1" x14ac:dyDescent="0.3">
      <c r="A1326" s="3" t="s">
        <v>11</v>
      </c>
      <c r="B1326" s="4">
        <v>581738</v>
      </c>
      <c r="C1326" s="3" t="s">
        <v>9</v>
      </c>
      <c r="D1326" s="18">
        <v>0.10249999999999999</v>
      </c>
      <c r="E1326" s="21">
        <f t="shared" si="150"/>
        <v>8.1648460519010424E-3</v>
      </c>
      <c r="F1326" s="5">
        <v>39947</v>
      </c>
      <c r="G1326" s="5">
        <v>42394</v>
      </c>
      <c r="H1326" s="16">
        <f t="shared" si="148"/>
        <v>2447</v>
      </c>
      <c r="I1326" s="5">
        <v>42394</v>
      </c>
      <c r="J1326" s="5">
        <v>41129</v>
      </c>
      <c r="K1326" s="16">
        <f t="shared" si="149"/>
        <v>1182</v>
      </c>
      <c r="L1326" s="13">
        <v>24756.6</v>
      </c>
      <c r="M1326" s="15">
        <f t="shared" si="147"/>
        <v>416.90945445094957</v>
      </c>
      <c r="N1326" s="13">
        <v>24756.6</v>
      </c>
      <c r="O1326" s="13">
        <v>0</v>
      </c>
      <c r="P1326" s="11">
        <f t="shared" si="151"/>
        <v>1</v>
      </c>
    </row>
    <row r="1327" spans="1:16" ht="18.75" customHeight="1" thickBot="1" x14ac:dyDescent="0.3">
      <c r="A1327" s="3" t="s">
        <v>11</v>
      </c>
      <c r="B1327" s="4">
        <v>987233</v>
      </c>
      <c r="C1327" s="3" t="s">
        <v>9</v>
      </c>
      <c r="D1327" s="18">
        <v>8.5000000000000006E-2</v>
      </c>
      <c r="E1327" s="21">
        <f t="shared" si="150"/>
        <v>6.8214933659622723E-3</v>
      </c>
      <c r="F1327" s="5">
        <v>39974</v>
      </c>
      <c r="G1327" s="5">
        <v>42287</v>
      </c>
      <c r="H1327" s="16">
        <f t="shared" si="148"/>
        <v>2313</v>
      </c>
      <c r="I1327" s="5">
        <v>42287</v>
      </c>
      <c r="J1327" s="5">
        <v>43655</v>
      </c>
      <c r="K1327" s="16">
        <f t="shared" si="149"/>
        <v>3681</v>
      </c>
      <c r="L1327" s="13">
        <v>15422.37</v>
      </c>
      <c r="M1327" s="15">
        <f t="shared" si="147"/>
        <v>257.88833113286205</v>
      </c>
      <c r="N1327" s="13">
        <v>15038.83</v>
      </c>
      <c r="O1327" s="13">
        <v>6788.41</v>
      </c>
      <c r="P1327" s="11">
        <f t="shared" si="151"/>
        <v>1</v>
      </c>
    </row>
    <row r="1328" spans="1:16" ht="18.75" customHeight="1" thickBot="1" x14ac:dyDescent="0.3">
      <c r="A1328" s="3" t="s">
        <v>11</v>
      </c>
      <c r="B1328" s="4">
        <v>647511</v>
      </c>
      <c r="C1328" s="3" t="s">
        <v>9</v>
      </c>
      <c r="D1328" s="18">
        <v>0.1</v>
      </c>
      <c r="E1328" s="21">
        <f t="shared" si="150"/>
        <v>7.9741404289037643E-3</v>
      </c>
      <c r="F1328" s="5">
        <v>39979</v>
      </c>
      <c r="G1328" s="5">
        <v>41562</v>
      </c>
      <c r="H1328" s="16">
        <f t="shared" si="148"/>
        <v>1583</v>
      </c>
      <c r="I1328" s="5">
        <v>41562</v>
      </c>
      <c r="J1328" s="5">
        <v>41317</v>
      </c>
      <c r="K1328" s="16">
        <f t="shared" si="149"/>
        <v>1338</v>
      </c>
      <c r="L1328" s="13">
        <v>4896.33</v>
      </c>
      <c r="M1328" s="15">
        <f t="shared" si="147"/>
        <v>114.04323138786238</v>
      </c>
      <c r="N1328" s="13">
        <v>4896.33</v>
      </c>
      <c r="O1328" s="13">
        <v>4896.33</v>
      </c>
      <c r="P1328" s="11">
        <f t="shared" si="151"/>
        <v>0</v>
      </c>
    </row>
    <row r="1329" spans="1:16" ht="18.75" hidden="1" customHeight="1" thickBot="1" x14ac:dyDescent="0.3">
      <c r="A1329" s="3" t="s">
        <v>11</v>
      </c>
      <c r="B1329" s="4">
        <v>866220</v>
      </c>
      <c r="C1329" s="3" t="s">
        <v>9</v>
      </c>
      <c r="D1329" s="18">
        <v>0.1</v>
      </c>
      <c r="E1329" s="21">
        <f t="shared" si="150"/>
        <v>7.9741404289037643E-3</v>
      </c>
      <c r="F1329" s="5">
        <v>39981</v>
      </c>
      <c r="G1329" s="5">
        <v>40195</v>
      </c>
      <c r="H1329" s="16">
        <f t="shared" si="148"/>
        <v>214</v>
      </c>
      <c r="I1329" s="5">
        <v>40195</v>
      </c>
      <c r="J1329" s="2"/>
      <c r="K1329" s="16">
        <f t="shared" si="149"/>
        <v>-39981</v>
      </c>
      <c r="L1329" s="13">
        <v>10032</v>
      </c>
      <c r="M1329" s="15">
        <f t="shared" si="147"/>
        <v>1452.3309170282128</v>
      </c>
      <c r="N1329" s="13">
        <v>10032</v>
      </c>
      <c r="O1329" s="13">
        <v>0</v>
      </c>
      <c r="P1329" s="11">
        <f t="shared" si="151"/>
        <v>0</v>
      </c>
    </row>
    <row r="1330" spans="1:16" ht="18.75" customHeight="1" thickBot="1" x14ac:dyDescent="0.3">
      <c r="A1330" s="3" t="s">
        <v>11</v>
      </c>
      <c r="B1330" s="4">
        <v>786168</v>
      </c>
      <c r="C1330" s="3" t="s">
        <v>9</v>
      </c>
      <c r="D1330" s="18">
        <v>0.1</v>
      </c>
      <c r="E1330" s="21">
        <f t="shared" si="150"/>
        <v>7.9741404289037643E-3</v>
      </c>
      <c r="F1330" s="5">
        <v>39983</v>
      </c>
      <c r="G1330" s="5">
        <v>42174</v>
      </c>
      <c r="H1330" s="16">
        <f t="shared" si="148"/>
        <v>2191</v>
      </c>
      <c r="I1330" s="5">
        <v>42174</v>
      </c>
      <c r="J1330" s="5">
        <v>41911</v>
      </c>
      <c r="K1330" s="16">
        <f t="shared" si="149"/>
        <v>1928</v>
      </c>
      <c r="L1330" s="13">
        <v>1725.66</v>
      </c>
      <c r="M1330" s="15">
        <f t="shared" si="147"/>
        <v>31.264275825157544</v>
      </c>
      <c r="N1330" s="13">
        <v>1725.66</v>
      </c>
      <c r="O1330" s="13">
        <v>0</v>
      </c>
      <c r="P1330" s="11">
        <f t="shared" si="151"/>
        <v>1</v>
      </c>
    </row>
    <row r="1331" spans="1:16" ht="18.75" customHeight="1" thickBot="1" x14ac:dyDescent="0.3">
      <c r="A1331" s="3" t="s">
        <v>11</v>
      </c>
      <c r="B1331" s="4">
        <v>619784</v>
      </c>
      <c r="C1331" s="3" t="s">
        <v>9</v>
      </c>
      <c r="D1331" s="18">
        <v>0.1</v>
      </c>
      <c r="E1331" s="21">
        <f t="shared" si="150"/>
        <v>7.9741404289037643E-3</v>
      </c>
      <c r="F1331" s="5">
        <v>39981</v>
      </c>
      <c r="G1331" s="5">
        <v>42233</v>
      </c>
      <c r="H1331" s="16">
        <f t="shared" si="148"/>
        <v>2252</v>
      </c>
      <c r="I1331" s="5">
        <v>42233</v>
      </c>
      <c r="J1331" s="5">
        <v>42040</v>
      </c>
      <c r="K1331" s="16">
        <f t="shared" si="149"/>
        <v>2059</v>
      </c>
      <c r="L1331" s="13">
        <v>49800</v>
      </c>
      <c r="M1331" s="15">
        <f t="shared" si="147"/>
        <v>884.22250352180799</v>
      </c>
      <c r="N1331" s="13">
        <v>49800</v>
      </c>
      <c r="O1331" s="13">
        <v>0</v>
      </c>
      <c r="P1331" s="11">
        <f t="shared" si="151"/>
        <v>1</v>
      </c>
    </row>
    <row r="1332" spans="1:16" ht="18.75" customHeight="1" thickBot="1" x14ac:dyDescent="0.3">
      <c r="A1332" s="3" t="s">
        <v>11</v>
      </c>
      <c r="B1332" s="4">
        <v>147359</v>
      </c>
      <c r="C1332" s="3" t="s">
        <v>9</v>
      </c>
      <c r="D1332" s="18">
        <v>0.1</v>
      </c>
      <c r="E1332" s="21">
        <f t="shared" si="150"/>
        <v>7.9741404289037643E-3</v>
      </c>
      <c r="F1332" s="5">
        <v>40000</v>
      </c>
      <c r="G1332" s="5">
        <v>41735</v>
      </c>
      <c r="H1332" s="16">
        <f t="shared" si="148"/>
        <v>1735</v>
      </c>
      <c r="I1332" s="5">
        <v>41735</v>
      </c>
      <c r="J1332" s="5">
        <v>41319</v>
      </c>
      <c r="K1332" s="16">
        <f t="shared" si="149"/>
        <v>1319</v>
      </c>
      <c r="L1332" s="13">
        <v>5658.82</v>
      </c>
      <c r="M1332" s="15">
        <f t="shared" si="147"/>
        <v>122.51999522609408</v>
      </c>
      <c r="N1332" s="13">
        <v>5658.82</v>
      </c>
      <c r="O1332" s="13">
        <v>0</v>
      </c>
      <c r="P1332" s="11">
        <f t="shared" si="151"/>
        <v>0</v>
      </c>
    </row>
    <row r="1333" spans="1:16" ht="18.75" customHeight="1" thickBot="1" x14ac:dyDescent="0.3">
      <c r="A1333" s="3" t="s">
        <v>11</v>
      </c>
      <c r="B1333" s="4">
        <v>530694</v>
      </c>
      <c r="C1333" s="3" t="s">
        <v>9</v>
      </c>
      <c r="D1333" s="18">
        <v>0.105</v>
      </c>
      <c r="E1333" s="21">
        <f t="shared" si="150"/>
        <v>8.355155683635207E-3</v>
      </c>
      <c r="F1333" s="5">
        <v>40011</v>
      </c>
      <c r="G1333" s="5">
        <v>40772</v>
      </c>
      <c r="H1333" s="16">
        <f t="shared" si="148"/>
        <v>761</v>
      </c>
      <c r="I1333" s="5">
        <v>40772</v>
      </c>
      <c r="J1333" s="5">
        <v>41058</v>
      </c>
      <c r="K1333" s="16">
        <f t="shared" si="149"/>
        <v>1047</v>
      </c>
      <c r="L1333" s="13">
        <v>1351.15</v>
      </c>
      <c r="M1333" s="15">
        <f t="shared" si="147"/>
        <v>59.329937151975585</v>
      </c>
      <c r="N1333" s="13">
        <v>1351.15</v>
      </c>
      <c r="O1333" s="13">
        <v>0</v>
      </c>
      <c r="P1333" s="11">
        <f t="shared" si="151"/>
        <v>0</v>
      </c>
    </row>
    <row r="1334" spans="1:16" ht="18.75" customHeight="1" thickBot="1" x14ac:dyDescent="0.3">
      <c r="A1334" s="3" t="s">
        <v>11</v>
      </c>
      <c r="B1334" s="4">
        <v>119432</v>
      </c>
      <c r="C1334" s="3" t="s">
        <v>9</v>
      </c>
      <c r="D1334" s="18">
        <v>0.11</v>
      </c>
      <c r="E1334" s="21">
        <f t="shared" si="150"/>
        <v>8.7345938235519061E-3</v>
      </c>
      <c r="F1334" s="5">
        <v>40038</v>
      </c>
      <c r="G1334" s="5">
        <v>40311</v>
      </c>
      <c r="H1334" s="16">
        <f t="shared" si="148"/>
        <v>273</v>
      </c>
      <c r="I1334" s="5">
        <v>40311</v>
      </c>
      <c r="J1334" s="5">
        <v>40095</v>
      </c>
      <c r="K1334" s="16">
        <f t="shared" si="149"/>
        <v>57</v>
      </c>
      <c r="L1334" s="13">
        <v>431.78</v>
      </c>
      <c r="M1334" s="15">
        <f t="shared" si="147"/>
        <v>49.565853630629086</v>
      </c>
      <c r="N1334" s="13">
        <v>431.78</v>
      </c>
      <c r="O1334" s="13">
        <v>0</v>
      </c>
      <c r="P1334" s="11">
        <f t="shared" si="151"/>
        <v>0</v>
      </c>
    </row>
    <row r="1335" spans="1:16" ht="18.75" customHeight="1" thickBot="1" x14ac:dyDescent="0.3">
      <c r="A1335" s="3" t="s">
        <v>11</v>
      </c>
      <c r="B1335" s="4">
        <v>231013</v>
      </c>
      <c r="C1335" s="3" t="s">
        <v>9</v>
      </c>
      <c r="D1335" s="18">
        <v>0.1</v>
      </c>
      <c r="E1335" s="21">
        <f t="shared" si="150"/>
        <v>7.9741404289037643E-3</v>
      </c>
      <c r="F1335" s="5">
        <v>40043</v>
      </c>
      <c r="G1335" s="5">
        <v>42234</v>
      </c>
      <c r="H1335" s="16">
        <f t="shared" si="148"/>
        <v>2191</v>
      </c>
      <c r="I1335" s="5">
        <v>42234</v>
      </c>
      <c r="J1335" s="5">
        <v>40142</v>
      </c>
      <c r="K1335" s="16">
        <f t="shared" si="149"/>
        <v>99</v>
      </c>
      <c r="L1335" s="13">
        <v>11690.91</v>
      </c>
      <c r="M1335" s="15">
        <f t="shared" si="147"/>
        <v>211.80756052008655</v>
      </c>
      <c r="N1335" s="13">
        <v>11690.91</v>
      </c>
      <c r="O1335" s="13">
        <v>0</v>
      </c>
      <c r="P1335" s="11">
        <f t="shared" si="151"/>
        <v>1</v>
      </c>
    </row>
    <row r="1336" spans="1:16" ht="18.75" customHeight="1" thickBot="1" x14ac:dyDescent="0.3">
      <c r="A1336" s="3" t="s">
        <v>11</v>
      </c>
      <c r="B1336" s="4">
        <v>342321</v>
      </c>
      <c r="C1336" s="3" t="s">
        <v>9</v>
      </c>
      <c r="D1336" s="18">
        <v>0.105</v>
      </c>
      <c r="E1336" s="21">
        <f t="shared" si="150"/>
        <v>8.355155683635207E-3</v>
      </c>
      <c r="F1336" s="5">
        <v>40050</v>
      </c>
      <c r="G1336" s="5">
        <v>40993</v>
      </c>
      <c r="H1336" s="16">
        <f t="shared" si="148"/>
        <v>943</v>
      </c>
      <c r="I1336" s="5">
        <v>40993</v>
      </c>
      <c r="J1336" s="5">
        <v>41017</v>
      </c>
      <c r="K1336" s="16">
        <f t="shared" si="149"/>
        <v>967</v>
      </c>
      <c r="L1336" s="13">
        <v>3395.53</v>
      </c>
      <c r="M1336" s="15">
        <f t="shared" si="147"/>
        <v>123.27658696864233</v>
      </c>
      <c r="N1336" s="13">
        <v>3395.53</v>
      </c>
      <c r="O1336" s="13">
        <v>0</v>
      </c>
      <c r="P1336" s="11">
        <f t="shared" si="151"/>
        <v>0</v>
      </c>
    </row>
    <row r="1337" spans="1:16" ht="18.75" customHeight="1" thickBot="1" x14ac:dyDescent="0.3">
      <c r="A1337" s="3" t="s">
        <v>11</v>
      </c>
      <c r="B1337" s="4">
        <v>52759</v>
      </c>
      <c r="C1337" s="3" t="s">
        <v>9</v>
      </c>
      <c r="D1337" s="18">
        <v>0.1</v>
      </c>
      <c r="E1337" s="21">
        <f t="shared" si="150"/>
        <v>7.9741404289037643E-3</v>
      </c>
      <c r="F1337" s="5">
        <v>40071</v>
      </c>
      <c r="G1337" s="5">
        <v>40801</v>
      </c>
      <c r="H1337" s="16">
        <f t="shared" si="148"/>
        <v>730</v>
      </c>
      <c r="I1337" s="5">
        <v>40801</v>
      </c>
      <c r="J1337" s="5">
        <v>40687</v>
      </c>
      <c r="K1337" s="16">
        <f t="shared" si="149"/>
        <v>616</v>
      </c>
      <c r="L1337" s="13">
        <v>11355.92</v>
      </c>
      <c r="M1337" s="15">
        <f t="shared" si="147"/>
        <v>515.27424318792873</v>
      </c>
      <c r="N1337" s="13">
        <v>11355.92</v>
      </c>
      <c r="O1337" s="13">
        <v>0</v>
      </c>
      <c r="P1337" s="11">
        <f t="shared" si="151"/>
        <v>0</v>
      </c>
    </row>
    <row r="1338" spans="1:16" ht="18.75" customHeight="1" thickBot="1" x14ac:dyDescent="0.3">
      <c r="A1338" s="3" t="s">
        <v>11</v>
      </c>
      <c r="B1338" s="4">
        <v>749323</v>
      </c>
      <c r="C1338" s="3" t="s">
        <v>9</v>
      </c>
      <c r="D1338" s="18">
        <v>0.11</v>
      </c>
      <c r="E1338" s="21">
        <f t="shared" si="150"/>
        <v>8.7345938235519061E-3</v>
      </c>
      <c r="F1338" s="5">
        <v>40074</v>
      </c>
      <c r="G1338" s="5">
        <v>41657</v>
      </c>
      <c r="H1338" s="16">
        <f t="shared" si="148"/>
        <v>1583</v>
      </c>
      <c r="I1338" s="5">
        <v>41657</v>
      </c>
      <c r="J1338" s="5">
        <v>40504</v>
      </c>
      <c r="K1338" s="16">
        <f t="shared" si="149"/>
        <v>430</v>
      </c>
      <c r="L1338" s="13">
        <v>2287.9899999999998</v>
      </c>
      <c r="M1338" s="15">
        <f t="shared" si="147"/>
        <v>54.303511692355109</v>
      </c>
      <c r="N1338" s="13">
        <v>2287.9899999999998</v>
      </c>
      <c r="O1338" s="13">
        <v>0</v>
      </c>
      <c r="P1338" s="11">
        <f t="shared" si="151"/>
        <v>0</v>
      </c>
    </row>
    <row r="1339" spans="1:16" ht="18.75" customHeight="1" thickBot="1" x14ac:dyDescent="0.3">
      <c r="A1339" s="3" t="s">
        <v>11</v>
      </c>
      <c r="B1339" s="4">
        <v>950672</v>
      </c>
      <c r="C1339" s="3" t="s">
        <v>9</v>
      </c>
      <c r="D1339" s="18">
        <v>0.1</v>
      </c>
      <c r="E1339" s="21">
        <f t="shared" si="150"/>
        <v>7.9741404289037643E-3</v>
      </c>
      <c r="F1339" s="5">
        <v>40084</v>
      </c>
      <c r="G1339" s="5">
        <v>40814</v>
      </c>
      <c r="H1339" s="16">
        <f t="shared" si="148"/>
        <v>730</v>
      </c>
      <c r="I1339" s="5">
        <v>40814</v>
      </c>
      <c r="J1339" s="5">
        <v>40423</v>
      </c>
      <c r="K1339" s="16">
        <f t="shared" si="149"/>
        <v>339</v>
      </c>
      <c r="L1339" s="13">
        <v>13600</v>
      </c>
      <c r="M1339" s="15">
        <f t="shared" si="147"/>
        <v>617.09924932157242</v>
      </c>
      <c r="N1339" s="13">
        <v>13600</v>
      </c>
      <c r="O1339" s="13">
        <v>0</v>
      </c>
      <c r="P1339" s="11">
        <f t="shared" si="151"/>
        <v>0</v>
      </c>
    </row>
    <row r="1340" spans="1:16" ht="18.75" customHeight="1" thickBot="1" x14ac:dyDescent="0.3">
      <c r="A1340" s="3" t="s">
        <v>11</v>
      </c>
      <c r="B1340" s="4">
        <v>32776</v>
      </c>
      <c r="C1340" s="3" t="s">
        <v>9</v>
      </c>
      <c r="D1340" s="18">
        <v>0.1</v>
      </c>
      <c r="E1340" s="21">
        <f t="shared" si="150"/>
        <v>7.9741404289037643E-3</v>
      </c>
      <c r="F1340" s="5">
        <v>40086</v>
      </c>
      <c r="G1340" s="5">
        <v>40816</v>
      </c>
      <c r="H1340" s="16">
        <f t="shared" si="148"/>
        <v>730</v>
      </c>
      <c r="I1340" s="5">
        <v>40816</v>
      </c>
      <c r="J1340" s="5">
        <v>40633</v>
      </c>
      <c r="K1340" s="16">
        <f t="shared" si="149"/>
        <v>547</v>
      </c>
      <c r="L1340" s="13">
        <v>16299.87</v>
      </c>
      <c r="M1340" s="15">
        <f t="shared" si="147"/>
        <v>739.60570154700133</v>
      </c>
      <c r="N1340" s="13">
        <v>16299.87</v>
      </c>
      <c r="O1340" s="13">
        <v>16299.87</v>
      </c>
      <c r="P1340" s="11">
        <f t="shared" si="151"/>
        <v>0</v>
      </c>
    </row>
    <row r="1341" spans="1:16" ht="18.75" customHeight="1" thickBot="1" x14ac:dyDescent="0.3">
      <c r="A1341" s="3" t="s">
        <v>11</v>
      </c>
      <c r="B1341" s="4">
        <v>705211</v>
      </c>
      <c r="C1341" s="3" t="s">
        <v>9</v>
      </c>
      <c r="D1341" s="18">
        <v>0.1</v>
      </c>
      <c r="E1341" s="21">
        <f t="shared" si="150"/>
        <v>7.9741404289037643E-3</v>
      </c>
      <c r="F1341" s="5">
        <v>40093</v>
      </c>
      <c r="G1341" s="5">
        <v>41677</v>
      </c>
      <c r="H1341" s="16">
        <f t="shared" si="148"/>
        <v>1584</v>
      </c>
      <c r="I1341" s="5">
        <v>41677</v>
      </c>
      <c r="J1341" s="5">
        <v>40857</v>
      </c>
      <c r="K1341" s="16">
        <f t="shared" si="149"/>
        <v>764</v>
      </c>
      <c r="L1341" s="13">
        <v>2823.91</v>
      </c>
      <c r="M1341" s="15">
        <f t="shared" si="147"/>
        <v>65.739880084575759</v>
      </c>
      <c r="N1341" s="13">
        <v>2823.91</v>
      </c>
      <c r="O1341" s="13">
        <v>0</v>
      </c>
      <c r="P1341" s="11">
        <f t="shared" si="151"/>
        <v>0</v>
      </c>
    </row>
    <row r="1342" spans="1:16" ht="18.75" customHeight="1" thickBot="1" x14ac:dyDescent="0.3">
      <c r="A1342" s="3" t="s">
        <v>11</v>
      </c>
      <c r="B1342" s="4">
        <v>841987</v>
      </c>
      <c r="C1342" s="3" t="s">
        <v>9</v>
      </c>
      <c r="D1342" s="18">
        <v>0.1</v>
      </c>
      <c r="E1342" s="21">
        <f t="shared" si="150"/>
        <v>7.9741404289037643E-3</v>
      </c>
      <c r="F1342" s="5">
        <v>40093</v>
      </c>
      <c r="G1342" s="5">
        <v>41554</v>
      </c>
      <c r="H1342" s="16">
        <f t="shared" si="148"/>
        <v>1461</v>
      </c>
      <c r="I1342" s="5">
        <v>41554</v>
      </c>
      <c r="J1342" s="5">
        <v>41208</v>
      </c>
      <c r="K1342" s="16">
        <f t="shared" si="149"/>
        <v>1115</v>
      </c>
      <c r="L1342" s="13">
        <v>2117.09</v>
      </c>
      <c r="M1342" s="15">
        <f t="shared" si="147"/>
        <v>52.628968012795553</v>
      </c>
      <c r="N1342" s="13">
        <v>2117.09</v>
      </c>
      <c r="O1342" s="13">
        <v>0</v>
      </c>
      <c r="P1342" s="11">
        <f t="shared" si="151"/>
        <v>0</v>
      </c>
    </row>
    <row r="1343" spans="1:16" ht="18.75" customHeight="1" thickBot="1" x14ac:dyDescent="0.3">
      <c r="A1343" s="3" t="s">
        <v>11</v>
      </c>
      <c r="B1343" s="4">
        <v>973379</v>
      </c>
      <c r="C1343" s="3" t="s">
        <v>9</v>
      </c>
      <c r="D1343" s="18">
        <v>0.11</v>
      </c>
      <c r="E1343" s="21">
        <f t="shared" si="150"/>
        <v>8.7345938235519061E-3</v>
      </c>
      <c r="F1343" s="5">
        <v>40095</v>
      </c>
      <c r="G1343" s="5">
        <v>41000</v>
      </c>
      <c r="H1343" s="16">
        <f t="shared" si="148"/>
        <v>905</v>
      </c>
      <c r="I1343" s="5">
        <v>41000</v>
      </c>
      <c r="J1343" s="5">
        <v>40960</v>
      </c>
      <c r="K1343" s="16">
        <f t="shared" si="149"/>
        <v>865</v>
      </c>
      <c r="L1343" s="13">
        <v>2816.48</v>
      </c>
      <c r="M1343" s="15">
        <f t="shared" si="147"/>
        <v>106.6087576825358</v>
      </c>
      <c r="N1343" s="13">
        <v>2816.48</v>
      </c>
      <c r="O1343" s="13">
        <v>0</v>
      </c>
      <c r="P1343" s="11">
        <f t="shared" si="151"/>
        <v>0</v>
      </c>
    </row>
    <row r="1344" spans="1:16" ht="18.75" customHeight="1" thickBot="1" x14ac:dyDescent="0.3">
      <c r="A1344" s="3" t="s">
        <v>11</v>
      </c>
      <c r="B1344" s="4">
        <v>598244</v>
      </c>
      <c r="C1344" s="3" t="s">
        <v>9</v>
      </c>
      <c r="D1344" s="18">
        <v>0.1</v>
      </c>
      <c r="E1344" s="21">
        <f t="shared" si="150"/>
        <v>7.9741404289037643E-3</v>
      </c>
      <c r="F1344" s="5">
        <v>40106</v>
      </c>
      <c r="G1344" s="5">
        <v>41567</v>
      </c>
      <c r="H1344" s="16">
        <f t="shared" si="148"/>
        <v>1461</v>
      </c>
      <c r="I1344" s="5">
        <v>41567</v>
      </c>
      <c r="J1344" s="5">
        <v>42193</v>
      </c>
      <c r="K1344" s="16">
        <f t="shared" si="149"/>
        <v>2087</v>
      </c>
      <c r="L1344" s="13">
        <v>3481.79</v>
      </c>
      <c r="M1344" s="15">
        <f t="shared" si="147"/>
        <v>86.55419209257586</v>
      </c>
      <c r="N1344" s="13">
        <v>3481.79</v>
      </c>
      <c r="O1344" s="13">
        <v>0</v>
      </c>
      <c r="P1344" s="11">
        <f t="shared" si="151"/>
        <v>0</v>
      </c>
    </row>
    <row r="1345" spans="1:16" ht="18.75" customHeight="1" thickBot="1" x14ac:dyDescent="0.3">
      <c r="A1345" s="3" t="s">
        <v>11</v>
      </c>
      <c r="B1345" s="4">
        <v>241246</v>
      </c>
      <c r="C1345" s="3" t="s">
        <v>9</v>
      </c>
      <c r="D1345" s="18">
        <v>0.1</v>
      </c>
      <c r="E1345" s="21">
        <f t="shared" si="150"/>
        <v>7.9741404289037643E-3</v>
      </c>
      <c r="F1345" s="5">
        <v>40108</v>
      </c>
      <c r="G1345" s="5">
        <v>41386</v>
      </c>
      <c r="H1345" s="16">
        <f t="shared" si="148"/>
        <v>1278</v>
      </c>
      <c r="I1345" s="5">
        <v>41386</v>
      </c>
      <c r="J1345" s="5">
        <v>41003</v>
      </c>
      <c r="K1345" s="16">
        <f t="shared" si="149"/>
        <v>895</v>
      </c>
      <c r="L1345" s="13">
        <v>6100</v>
      </c>
      <c r="M1345" s="15">
        <f t="shared" si="147"/>
        <v>169.45268312719369</v>
      </c>
      <c r="N1345" s="13">
        <v>6100</v>
      </c>
      <c r="O1345" s="13">
        <v>0</v>
      </c>
      <c r="P1345" s="11">
        <f t="shared" si="151"/>
        <v>0</v>
      </c>
    </row>
    <row r="1346" spans="1:16" ht="18.75" customHeight="1" thickBot="1" x14ac:dyDescent="0.3">
      <c r="A1346" s="3" t="s">
        <v>11</v>
      </c>
      <c r="B1346" s="4">
        <v>989703</v>
      </c>
      <c r="C1346" s="3" t="s">
        <v>9</v>
      </c>
      <c r="D1346" s="18">
        <v>0.09</v>
      </c>
      <c r="E1346" s="21">
        <f t="shared" si="150"/>
        <v>7.2073233161367156E-3</v>
      </c>
      <c r="F1346" s="5">
        <v>40114</v>
      </c>
      <c r="G1346" s="5">
        <v>42305</v>
      </c>
      <c r="H1346" s="16">
        <f t="shared" si="148"/>
        <v>2191</v>
      </c>
      <c r="I1346" s="5">
        <v>42305</v>
      </c>
      <c r="J1346" s="5">
        <v>41544</v>
      </c>
      <c r="K1346" s="16">
        <f t="shared" si="149"/>
        <v>1430</v>
      </c>
      <c r="L1346" s="13">
        <v>36828.080000000002</v>
      </c>
      <c r="M1346" s="15">
        <f t="shared" ref="M1346:M1409" si="152">-PMT(E1346,(H1346/30),L1346)</f>
        <v>650.34340557319968</v>
      </c>
      <c r="N1346" s="13">
        <v>36828.080000000002</v>
      </c>
      <c r="O1346" s="13">
        <v>0</v>
      </c>
      <c r="P1346" s="11">
        <f t="shared" si="151"/>
        <v>1</v>
      </c>
    </row>
    <row r="1347" spans="1:16" ht="18.75" customHeight="1" thickBot="1" x14ac:dyDescent="0.3">
      <c r="A1347" s="3" t="s">
        <v>11</v>
      </c>
      <c r="B1347" s="4">
        <v>198025</v>
      </c>
      <c r="C1347" s="3" t="s">
        <v>9</v>
      </c>
      <c r="D1347" s="18">
        <v>0.11</v>
      </c>
      <c r="E1347" s="21">
        <f t="shared" si="150"/>
        <v>8.7345938235519061E-3</v>
      </c>
      <c r="F1347" s="5">
        <v>40122</v>
      </c>
      <c r="G1347" s="5">
        <v>41195</v>
      </c>
      <c r="H1347" s="16">
        <f t="shared" ref="H1347:H1410" si="153">G1347-F1347</f>
        <v>1073</v>
      </c>
      <c r="I1347" s="5">
        <v>41195</v>
      </c>
      <c r="J1347" s="5">
        <v>40723</v>
      </c>
      <c r="K1347" s="16">
        <f t="shared" ref="K1347:K1410" si="154">J1347-F1347</f>
        <v>601</v>
      </c>
      <c r="L1347" s="13">
        <v>3130.71</v>
      </c>
      <c r="M1347" s="15">
        <f t="shared" si="152"/>
        <v>102.29364168130755</v>
      </c>
      <c r="N1347" s="13">
        <v>3130.71</v>
      </c>
      <c r="O1347" s="13">
        <v>0</v>
      </c>
      <c r="P1347" s="11">
        <f t="shared" si="151"/>
        <v>0</v>
      </c>
    </row>
    <row r="1348" spans="1:16" ht="18.75" customHeight="1" thickBot="1" x14ac:dyDescent="0.3">
      <c r="A1348" s="3" t="s">
        <v>11</v>
      </c>
      <c r="B1348" s="4">
        <v>69525</v>
      </c>
      <c r="C1348" s="3" t="s">
        <v>9</v>
      </c>
      <c r="D1348" s="18">
        <v>0.1</v>
      </c>
      <c r="E1348" s="21">
        <f t="shared" si="150"/>
        <v>7.9741404289037643E-3</v>
      </c>
      <c r="F1348" s="5">
        <v>40126</v>
      </c>
      <c r="G1348" s="5">
        <v>41464</v>
      </c>
      <c r="H1348" s="16">
        <f t="shared" si="153"/>
        <v>1338</v>
      </c>
      <c r="I1348" s="5">
        <v>41464</v>
      </c>
      <c r="J1348" s="5">
        <v>43549</v>
      </c>
      <c r="K1348" s="16">
        <f t="shared" si="154"/>
        <v>3423</v>
      </c>
      <c r="L1348" s="13">
        <v>6221.14</v>
      </c>
      <c r="M1348" s="15">
        <f t="shared" si="152"/>
        <v>166.30834194877721</v>
      </c>
      <c r="N1348" s="13">
        <v>6205.27</v>
      </c>
      <c r="O1348" s="13">
        <v>0</v>
      </c>
      <c r="P1348" s="11">
        <f t="shared" si="151"/>
        <v>0</v>
      </c>
    </row>
    <row r="1349" spans="1:16" ht="18.75" customHeight="1" thickBot="1" x14ac:dyDescent="0.3">
      <c r="A1349" s="3" t="s">
        <v>11</v>
      </c>
      <c r="B1349" s="4">
        <v>145239</v>
      </c>
      <c r="C1349" s="3" t="s">
        <v>9</v>
      </c>
      <c r="D1349" s="18">
        <v>0.1</v>
      </c>
      <c r="E1349" s="21">
        <f t="shared" si="150"/>
        <v>7.9741404289037643E-3</v>
      </c>
      <c r="F1349" s="5">
        <v>40133</v>
      </c>
      <c r="G1349" s="5">
        <v>42140</v>
      </c>
      <c r="H1349" s="16">
        <f t="shared" si="153"/>
        <v>2007</v>
      </c>
      <c r="I1349" s="5">
        <v>42140</v>
      </c>
      <c r="J1349" s="5">
        <v>40410</v>
      </c>
      <c r="K1349" s="16">
        <f t="shared" si="154"/>
        <v>277</v>
      </c>
      <c r="L1349" s="13">
        <v>5833.1</v>
      </c>
      <c r="M1349" s="15">
        <f t="shared" si="152"/>
        <v>112.84547610751567</v>
      </c>
      <c r="N1349" s="13">
        <v>5833.1</v>
      </c>
      <c r="O1349" s="13">
        <v>0</v>
      </c>
      <c r="P1349" s="11">
        <f t="shared" si="151"/>
        <v>1</v>
      </c>
    </row>
    <row r="1350" spans="1:16" ht="18.75" customHeight="1" thickBot="1" x14ac:dyDescent="0.3">
      <c r="A1350" s="3" t="s">
        <v>11</v>
      </c>
      <c r="B1350" s="4">
        <v>996244</v>
      </c>
      <c r="C1350" s="3" t="s">
        <v>9</v>
      </c>
      <c r="D1350" s="18">
        <v>0.1</v>
      </c>
      <c r="E1350" s="21">
        <f t="shared" si="150"/>
        <v>7.9741404289037643E-3</v>
      </c>
      <c r="F1350" s="5">
        <v>40137</v>
      </c>
      <c r="G1350" s="5">
        <v>40867</v>
      </c>
      <c r="H1350" s="16">
        <f t="shared" si="153"/>
        <v>730</v>
      </c>
      <c r="I1350" s="5">
        <v>40867</v>
      </c>
      <c r="J1350" s="5">
        <v>40210</v>
      </c>
      <c r="K1350" s="16">
        <f t="shared" si="154"/>
        <v>73</v>
      </c>
      <c r="L1350" s="13">
        <v>4811.41</v>
      </c>
      <c r="M1350" s="15">
        <f t="shared" si="152"/>
        <v>218.31746317487546</v>
      </c>
      <c r="N1350" s="13">
        <v>4811.41</v>
      </c>
      <c r="O1350" s="13">
        <v>0</v>
      </c>
      <c r="P1350" s="11">
        <f t="shared" si="151"/>
        <v>0</v>
      </c>
    </row>
    <row r="1351" spans="1:16" ht="18.75" hidden="1" customHeight="1" thickBot="1" x14ac:dyDescent="0.3">
      <c r="A1351" s="3" t="s">
        <v>11</v>
      </c>
      <c r="B1351" s="4">
        <v>539203</v>
      </c>
      <c r="C1351" s="3" t="s">
        <v>9</v>
      </c>
      <c r="D1351" s="18">
        <v>9.5000000000000001E-2</v>
      </c>
      <c r="E1351" s="21">
        <f t="shared" si="150"/>
        <v>7.5915342905825689E-3</v>
      </c>
      <c r="F1351" s="5">
        <v>40154</v>
      </c>
      <c r="G1351" s="5">
        <v>40185</v>
      </c>
      <c r="H1351" s="16">
        <f t="shared" si="153"/>
        <v>31</v>
      </c>
      <c r="I1351" s="5">
        <v>40185</v>
      </c>
      <c r="J1351" s="2"/>
      <c r="K1351" s="16">
        <f t="shared" si="154"/>
        <v>-40154</v>
      </c>
      <c r="L1351" s="13">
        <v>1500</v>
      </c>
      <c r="M1351" s="15">
        <f t="shared" si="152"/>
        <v>1462.8170092394803</v>
      </c>
      <c r="N1351" s="13">
        <v>1500</v>
      </c>
      <c r="O1351" s="13">
        <v>0</v>
      </c>
      <c r="P1351" s="11">
        <f t="shared" si="151"/>
        <v>0</v>
      </c>
    </row>
    <row r="1352" spans="1:16" ht="18.75" customHeight="1" thickBot="1" x14ac:dyDescent="0.3">
      <c r="A1352" s="3" t="s">
        <v>11</v>
      </c>
      <c r="B1352" s="4">
        <v>961387</v>
      </c>
      <c r="C1352" s="3" t="s">
        <v>9</v>
      </c>
      <c r="D1352" s="18">
        <v>0.115</v>
      </c>
      <c r="E1352" s="21">
        <f t="shared" si="150"/>
        <v>9.1124684369046083E-3</v>
      </c>
      <c r="F1352" s="5">
        <v>40158</v>
      </c>
      <c r="G1352" s="5">
        <v>40523</v>
      </c>
      <c r="H1352" s="16">
        <f t="shared" si="153"/>
        <v>365</v>
      </c>
      <c r="I1352" s="5">
        <v>40523</v>
      </c>
      <c r="J1352" s="5">
        <v>40463</v>
      </c>
      <c r="K1352" s="16">
        <f t="shared" si="154"/>
        <v>305</v>
      </c>
      <c r="L1352" s="13">
        <v>1984.7</v>
      </c>
      <c r="M1352" s="15">
        <f t="shared" si="152"/>
        <v>173.07720431660553</v>
      </c>
      <c r="N1352" s="13">
        <v>1984.7</v>
      </c>
      <c r="O1352" s="13">
        <v>0</v>
      </c>
      <c r="P1352" s="11">
        <f t="shared" si="151"/>
        <v>0</v>
      </c>
    </row>
    <row r="1353" spans="1:16" ht="18.75" customHeight="1" thickBot="1" x14ac:dyDescent="0.3">
      <c r="A1353" s="3" t="s">
        <v>11</v>
      </c>
      <c r="B1353" s="4">
        <v>94771</v>
      </c>
      <c r="C1353" s="3" t="s">
        <v>9</v>
      </c>
      <c r="D1353" s="18">
        <v>0.06</v>
      </c>
      <c r="E1353" s="21">
        <f t="shared" si="150"/>
        <v>4.8675505653430484E-3</v>
      </c>
      <c r="F1353" s="5">
        <v>40169</v>
      </c>
      <c r="G1353" s="5">
        <v>41386</v>
      </c>
      <c r="H1353" s="16">
        <f t="shared" si="153"/>
        <v>1217</v>
      </c>
      <c r="I1353" s="5">
        <v>41386</v>
      </c>
      <c r="J1353" s="5">
        <v>41339</v>
      </c>
      <c r="K1353" s="16">
        <f t="shared" si="154"/>
        <v>1170</v>
      </c>
      <c r="L1353" s="13">
        <v>4192.13</v>
      </c>
      <c r="M1353" s="15">
        <f t="shared" si="152"/>
        <v>114.12802080668904</v>
      </c>
      <c r="N1353" s="13">
        <v>4192.13</v>
      </c>
      <c r="O1353" s="13">
        <v>0</v>
      </c>
      <c r="P1353" s="11">
        <f t="shared" si="151"/>
        <v>0</v>
      </c>
    </row>
    <row r="1354" spans="1:16" ht="18.75" customHeight="1" thickBot="1" x14ac:dyDescent="0.3">
      <c r="A1354" s="3" t="s">
        <v>11</v>
      </c>
      <c r="B1354" s="4">
        <v>635239</v>
      </c>
      <c r="C1354" s="3" t="s">
        <v>9</v>
      </c>
      <c r="D1354" s="18">
        <v>0.11</v>
      </c>
      <c r="E1354" s="21">
        <f t="shared" si="150"/>
        <v>8.7345938235519061E-3</v>
      </c>
      <c r="F1354" s="5">
        <v>40165</v>
      </c>
      <c r="G1354" s="5">
        <v>40530</v>
      </c>
      <c r="H1354" s="16">
        <f t="shared" si="153"/>
        <v>365</v>
      </c>
      <c r="I1354" s="5">
        <v>40530</v>
      </c>
      <c r="J1354" s="5">
        <v>40246</v>
      </c>
      <c r="K1354" s="16">
        <f t="shared" si="154"/>
        <v>81</v>
      </c>
      <c r="L1354" s="13">
        <v>1293.6199999999999</v>
      </c>
      <c r="M1354" s="15">
        <f t="shared" si="152"/>
        <v>112.53784563150437</v>
      </c>
      <c r="N1354" s="13">
        <v>1293.6199999999999</v>
      </c>
      <c r="O1354" s="13">
        <v>0</v>
      </c>
      <c r="P1354" s="11">
        <f t="shared" si="151"/>
        <v>0</v>
      </c>
    </row>
    <row r="1355" spans="1:16" ht="18.75" customHeight="1" thickBot="1" x14ac:dyDescent="0.3">
      <c r="A1355" s="3" t="s">
        <v>11</v>
      </c>
      <c r="B1355" s="4">
        <v>408653</v>
      </c>
      <c r="C1355" s="3" t="s">
        <v>9</v>
      </c>
      <c r="D1355" s="18">
        <v>9.7500000000000003E-2</v>
      </c>
      <c r="E1355" s="21">
        <f t="shared" si="150"/>
        <v>7.7830370878799737E-3</v>
      </c>
      <c r="F1355" s="5">
        <v>40169</v>
      </c>
      <c r="G1355" s="5">
        <v>42360</v>
      </c>
      <c r="H1355" s="16">
        <f t="shared" si="153"/>
        <v>2191</v>
      </c>
      <c r="I1355" s="5">
        <v>42360</v>
      </c>
      <c r="J1355" s="5">
        <v>41771</v>
      </c>
      <c r="K1355" s="16">
        <f t="shared" si="154"/>
        <v>1602</v>
      </c>
      <c r="L1355" s="13">
        <v>3500</v>
      </c>
      <c r="M1355" s="15">
        <f t="shared" si="152"/>
        <v>63.008425265618797</v>
      </c>
      <c r="N1355" s="13">
        <v>3500</v>
      </c>
      <c r="O1355" s="13">
        <v>0</v>
      </c>
      <c r="P1355" s="11">
        <f t="shared" si="151"/>
        <v>1</v>
      </c>
    </row>
    <row r="1356" spans="1:16" ht="18.75" customHeight="1" thickBot="1" x14ac:dyDescent="0.3">
      <c r="A1356" s="3" t="s">
        <v>11</v>
      </c>
      <c r="B1356" s="4">
        <v>655399</v>
      </c>
      <c r="C1356" s="3" t="s">
        <v>9</v>
      </c>
      <c r="D1356" s="18">
        <v>0.1</v>
      </c>
      <c r="E1356" s="21">
        <f t="shared" si="150"/>
        <v>7.9741404289037643E-3</v>
      </c>
      <c r="F1356" s="5">
        <v>40175</v>
      </c>
      <c r="G1356" s="5">
        <v>42410</v>
      </c>
      <c r="H1356" s="16">
        <f t="shared" si="153"/>
        <v>2235</v>
      </c>
      <c r="I1356" s="5">
        <v>42410</v>
      </c>
      <c r="J1356" s="5">
        <v>41124</v>
      </c>
      <c r="K1356" s="16">
        <f t="shared" si="154"/>
        <v>949</v>
      </c>
      <c r="L1356" s="13">
        <v>9492.41</v>
      </c>
      <c r="M1356" s="15">
        <f t="shared" si="152"/>
        <v>169.47998869490988</v>
      </c>
      <c r="N1356" s="13">
        <v>9492.41</v>
      </c>
      <c r="O1356" s="13">
        <v>0</v>
      </c>
      <c r="P1356" s="11">
        <f t="shared" si="151"/>
        <v>1</v>
      </c>
    </row>
    <row r="1357" spans="1:16" ht="18.75" customHeight="1" thickBot="1" x14ac:dyDescent="0.3">
      <c r="A1357" s="3" t="s">
        <v>11</v>
      </c>
      <c r="B1357" s="4">
        <v>792778</v>
      </c>
      <c r="C1357" s="3" t="s">
        <v>9</v>
      </c>
      <c r="D1357" s="18">
        <v>0.08</v>
      </c>
      <c r="E1357" s="21">
        <f t="shared" si="150"/>
        <v>6.4340301100034303E-3</v>
      </c>
      <c r="F1357" s="5">
        <v>40178</v>
      </c>
      <c r="G1357" s="5">
        <v>40543</v>
      </c>
      <c r="H1357" s="16">
        <f t="shared" si="153"/>
        <v>365</v>
      </c>
      <c r="I1357" s="5">
        <v>40543</v>
      </c>
      <c r="J1357" s="5">
        <v>42178</v>
      </c>
      <c r="K1357" s="16">
        <f t="shared" si="154"/>
        <v>2000</v>
      </c>
      <c r="L1357" s="13">
        <v>2500</v>
      </c>
      <c r="M1357" s="15">
        <f t="shared" si="152"/>
        <v>214.28689612104461</v>
      </c>
      <c r="N1357" s="13">
        <v>2500</v>
      </c>
      <c r="O1357" s="13">
        <v>0</v>
      </c>
      <c r="P1357" s="11">
        <f t="shared" si="151"/>
        <v>0</v>
      </c>
    </row>
    <row r="1358" spans="1:16" ht="18.75" customHeight="1" thickBot="1" x14ac:dyDescent="0.3">
      <c r="A1358" s="3" t="s">
        <v>11</v>
      </c>
      <c r="B1358" s="4">
        <v>577948</v>
      </c>
      <c r="C1358" s="3" t="s">
        <v>9</v>
      </c>
      <c r="D1358" s="18">
        <v>0.1</v>
      </c>
      <c r="E1358" s="21">
        <f t="shared" si="150"/>
        <v>7.9741404289037643E-3</v>
      </c>
      <c r="F1358" s="5">
        <v>40186</v>
      </c>
      <c r="G1358" s="5">
        <v>41828</v>
      </c>
      <c r="H1358" s="16">
        <f t="shared" si="153"/>
        <v>1642</v>
      </c>
      <c r="I1358" s="5">
        <v>41828</v>
      </c>
      <c r="J1358" s="5">
        <v>40253</v>
      </c>
      <c r="K1358" s="16">
        <f t="shared" si="154"/>
        <v>67</v>
      </c>
      <c r="L1358" s="13">
        <v>9363.15</v>
      </c>
      <c r="M1358" s="15">
        <f t="shared" si="152"/>
        <v>211.77752489708854</v>
      </c>
      <c r="N1358" s="13">
        <v>9363.15</v>
      </c>
      <c r="O1358" s="13">
        <v>2120</v>
      </c>
      <c r="P1358" s="11">
        <f t="shared" si="151"/>
        <v>0</v>
      </c>
    </row>
    <row r="1359" spans="1:16" ht="18.75" customHeight="1" thickBot="1" x14ac:dyDescent="0.3">
      <c r="A1359" s="3" t="s">
        <v>11</v>
      </c>
      <c r="B1359" s="4">
        <v>312512</v>
      </c>
      <c r="C1359" s="3" t="s">
        <v>9</v>
      </c>
      <c r="D1359" s="18">
        <v>0.12</v>
      </c>
      <c r="E1359" s="21">
        <f t="shared" si="150"/>
        <v>9.4887929345830457E-3</v>
      </c>
      <c r="F1359" s="5">
        <v>40218</v>
      </c>
      <c r="G1359" s="5">
        <v>40703</v>
      </c>
      <c r="H1359" s="16">
        <f t="shared" si="153"/>
        <v>485</v>
      </c>
      <c r="I1359" s="5">
        <v>40703</v>
      </c>
      <c r="J1359" s="5">
        <v>40288</v>
      </c>
      <c r="K1359" s="16">
        <f t="shared" si="154"/>
        <v>70</v>
      </c>
      <c r="L1359" s="13">
        <v>2752.9</v>
      </c>
      <c r="M1359" s="15">
        <f t="shared" si="152"/>
        <v>184.4821628857203</v>
      </c>
      <c r="N1359" s="13">
        <v>2752.9</v>
      </c>
      <c r="O1359" s="13">
        <v>0</v>
      </c>
      <c r="P1359" s="11">
        <f t="shared" si="151"/>
        <v>0</v>
      </c>
    </row>
    <row r="1360" spans="1:16" ht="18.75" customHeight="1" thickBot="1" x14ac:dyDescent="0.3">
      <c r="A1360" s="3" t="s">
        <v>11</v>
      </c>
      <c r="B1360" s="4">
        <v>496019</v>
      </c>
      <c r="C1360" s="3" t="s">
        <v>9</v>
      </c>
      <c r="D1360" s="18">
        <v>0.11</v>
      </c>
      <c r="E1360" s="21">
        <f t="shared" si="150"/>
        <v>8.7345938235519061E-3</v>
      </c>
      <c r="F1360" s="5">
        <v>40218</v>
      </c>
      <c r="G1360" s="5">
        <v>40583</v>
      </c>
      <c r="H1360" s="16">
        <f t="shared" si="153"/>
        <v>365</v>
      </c>
      <c r="I1360" s="5">
        <v>40583</v>
      </c>
      <c r="J1360" s="5">
        <v>40588</v>
      </c>
      <c r="K1360" s="16">
        <f t="shared" si="154"/>
        <v>370</v>
      </c>
      <c r="L1360" s="13">
        <v>970</v>
      </c>
      <c r="M1360" s="15">
        <f t="shared" si="152"/>
        <v>84.384680402714267</v>
      </c>
      <c r="N1360" s="13">
        <v>970</v>
      </c>
      <c r="O1360" s="13">
        <v>0</v>
      </c>
      <c r="P1360" s="11">
        <f t="shared" si="151"/>
        <v>0</v>
      </c>
    </row>
    <row r="1361" spans="1:16" ht="18.75" customHeight="1" thickBot="1" x14ac:dyDescent="0.3">
      <c r="A1361" s="3" t="s">
        <v>11</v>
      </c>
      <c r="B1361" s="4">
        <v>713114</v>
      </c>
      <c r="C1361" s="3" t="s">
        <v>9</v>
      </c>
      <c r="D1361" s="18">
        <v>0.1</v>
      </c>
      <c r="E1361" s="21">
        <f t="shared" si="150"/>
        <v>7.9741404289037643E-3</v>
      </c>
      <c r="F1361" s="5">
        <v>40219</v>
      </c>
      <c r="G1361" s="5">
        <v>40796</v>
      </c>
      <c r="H1361" s="16">
        <f t="shared" si="153"/>
        <v>577</v>
      </c>
      <c r="I1361" s="5">
        <v>40796</v>
      </c>
      <c r="J1361" s="5">
        <v>40472</v>
      </c>
      <c r="K1361" s="16">
        <f t="shared" si="154"/>
        <v>253</v>
      </c>
      <c r="L1361" s="13">
        <v>299.95</v>
      </c>
      <c r="M1361" s="15">
        <f t="shared" si="152"/>
        <v>16.883776200631907</v>
      </c>
      <c r="N1361" s="13">
        <v>299.95</v>
      </c>
      <c r="O1361" s="13">
        <v>0</v>
      </c>
      <c r="P1361" s="11">
        <f t="shared" si="151"/>
        <v>0</v>
      </c>
    </row>
    <row r="1362" spans="1:16" ht="18.75" customHeight="1" thickBot="1" x14ac:dyDescent="0.3">
      <c r="A1362" s="3" t="s">
        <v>11</v>
      </c>
      <c r="B1362" s="4">
        <v>387676</v>
      </c>
      <c r="C1362" s="3" t="s">
        <v>9</v>
      </c>
      <c r="D1362" s="18">
        <v>0.1</v>
      </c>
      <c r="E1362" s="21">
        <f t="shared" si="150"/>
        <v>7.9741404289037643E-3</v>
      </c>
      <c r="F1362" s="5">
        <v>40246</v>
      </c>
      <c r="G1362" s="5">
        <v>40733</v>
      </c>
      <c r="H1362" s="16">
        <f t="shared" si="153"/>
        <v>487</v>
      </c>
      <c r="I1362" s="5">
        <v>40733</v>
      </c>
      <c r="J1362" s="5">
        <v>40872</v>
      </c>
      <c r="K1362" s="16">
        <f t="shared" si="154"/>
        <v>626</v>
      </c>
      <c r="L1362" s="13">
        <v>22814.22</v>
      </c>
      <c r="M1362" s="15">
        <f t="shared" si="152"/>
        <v>1503.905442124297</v>
      </c>
      <c r="N1362" s="13">
        <v>22814.22</v>
      </c>
      <c r="O1362" s="13">
        <v>0</v>
      </c>
      <c r="P1362" s="11">
        <f t="shared" si="151"/>
        <v>0</v>
      </c>
    </row>
    <row r="1363" spans="1:16" ht="18.75" customHeight="1" thickBot="1" x14ac:dyDescent="0.3">
      <c r="A1363" s="3" t="s">
        <v>11</v>
      </c>
      <c r="B1363" s="4">
        <v>742441</v>
      </c>
      <c r="C1363" s="3" t="s">
        <v>9</v>
      </c>
      <c r="D1363" s="18">
        <v>0.1</v>
      </c>
      <c r="E1363" s="21">
        <f t="shared" si="150"/>
        <v>7.9741404289037643E-3</v>
      </c>
      <c r="F1363" s="5">
        <v>40249</v>
      </c>
      <c r="G1363" s="5">
        <v>42075</v>
      </c>
      <c r="H1363" s="16">
        <f t="shared" si="153"/>
        <v>1826</v>
      </c>
      <c r="I1363" s="5">
        <v>42075</v>
      </c>
      <c r="J1363" s="5">
        <v>40758</v>
      </c>
      <c r="K1363" s="16">
        <f t="shared" si="154"/>
        <v>509</v>
      </c>
      <c r="L1363" s="13">
        <v>1954.58</v>
      </c>
      <c r="M1363" s="15">
        <f t="shared" si="152"/>
        <v>40.658871582028446</v>
      </c>
      <c r="N1363" s="13">
        <v>1954.58</v>
      </c>
      <c r="O1363" s="13">
        <v>0</v>
      </c>
      <c r="P1363" s="11">
        <f t="shared" si="151"/>
        <v>1</v>
      </c>
    </row>
    <row r="1364" spans="1:16" ht="18.75" customHeight="1" thickBot="1" x14ac:dyDescent="0.3">
      <c r="A1364" s="3" t="s">
        <v>11</v>
      </c>
      <c r="B1364" s="4">
        <v>170354</v>
      </c>
      <c r="C1364" s="3" t="s">
        <v>9</v>
      </c>
      <c r="D1364" s="18">
        <v>9.5000000000000001E-2</v>
      </c>
      <c r="E1364" s="21">
        <f t="shared" si="150"/>
        <v>7.5915342905825689E-3</v>
      </c>
      <c r="F1364" s="5">
        <v>40255</v>
      </c>
      <c r="G1364" s="5">
        <v>41017</v>
      </c>
      <c r="H1364" s="16">
        <f t="shared" si="153"/>
        <v>762</v>
      </c>
      <c r="I1364" s="5">
        <v>41017</v>
      </c>
      <c r="J1364" s="5">
        <v>40660</v>
      </c>
      <c r="K1364" s="16">
        <f t="shared" si="154"/>
        <v>405</v>
      </c>
      <c r="L1364" s="13">
        <v>10500</v>
      </c>
      <c r="M1364" s="15">
        <f t="shared" si="152"/>
        <v>456.08375655088059</v>
      </c>
      <c r="N1364" s="13">
        <v>10500</v>
      </c>
      <c r="O1364" s="13">
        <v>0</v>
      </c>
      <c r="P1364" s="11">
        <f t="shared" si="151"/>
        <v>0</v>
      </c>
    </row>
    <row r="1365" spans="1:16" ht="18.75" customHeight="1" thickBot="1" x14ac:dyDescent="0.3">
      <c r="A1365" s="3" t="s">
        <v>11</v>
      </c>
      <c r="B1365" s="4">
        <v>238071</v>
      </c>
      <c r="C1365" s="3" t="s">
        <v>9</v>
      </c>
      <c r="D1365" s="18">
        <v>0.11</v>
      </c>
      <c r="E1365" s="21">
        <f t="shared" si="150"/>
        <v>8.7345938235519061E-3</v>
      </c>
      <c r="F1365" s="5">
        <v>40260</v>
      </c>
      <c r="G1365" s="5">
        <v>42117</v>
      </c>
      <c r="H1365" s="16">
        <f t="shared" si="153"/>
        <v>1857</v>
      </c>
      <c r="I1365" s="5">
        <v>42117</v>
      </c>
      <c r="J1365" s="5">
        <v>42447</v>
      </c>
      <c r="K1365" s="16">
        <f t="shared" si="154"/>
        <v>2187</v>
      </c>
      <c r="L1365" s="13">
        <v>6878.56</v>
      </c>
      <c r="M1365" s="15">
        <f t="shared" si="152"/>
        <v>144.33141174970763</v>
      </c>
      <c r="N1365" s="13">
        <v>6878.56</v>
      </c>
      <c r="O1365" s="13">
        <v>0</v>
      </c>
      <c r="P1365" s="11">
        <f t="shared" si="151"/>
        <v>1</v>
      </c>
    </row>
    <row r="1366" spans="1:16" ht="18.75" customHeight="1" thickBot="1" x14ac:dyDescent="0.3">
      <c r="A1366" s="3" t="s">
        <v>11</v>
      </c>
      <c r="B1366" s="4">
        <v>115645</v>
      </c>
      <c r="C1366" s="3" t="s">
        <v>9</v>
      </c>
      <c r="D1366" s="18">
        <v>0.1</v>
      </c>
      <c r="E1366" s="21">
        <f t="shared" si="150"/>
        <v>7.9741404289037643E-3</v>
      </c>
      <c r="F1366" s="5">
        <v>40268</v>
      </c>
      <c r="G1366" s="5">
        <v>41213</v>
      </c>
      <c r="H1366" s="16">
        <f t="shared" si="153"/>
        <v>945</v>
      </c>
      <c r="I1366" s="5">
        <v>41213</v>
      </c>
      <c r="J1366" s="5">
        <v>41087</v>
      </c>
      <c r="K1366" s="16">
        <f t="shared" si="154"/>
        <v>819</v>
      </c>
      <c r="L1366" s="13">
        <v>2129.96</v>
      </c>
      <c r="M1366" s="15">
        <f t="shared" si="152"/>
        <v>76.733062581187482</v>
      </c>
      <c r="N1366" s="13">
        <v>2129.96</v>
      </c>
      <c r="O1366" s="13">
        <v>0</v>
      </c>
      <c r="P1366" s="11">
        <f t="shared" si="151"/>
        <v>0</v>
      </c>
    </row>
    <row r="1367" spans="1:16" ht="18.75" customHeight="1" thickBot="1" x14ac:dyDescent="0.3">
      <c r="A1367" s="3" t="s">
        <v>11</v>
      </c>
      <c r="B1367" s="4">
        <v>981259</v>
      </c>
      <c r="C1367" s="3" t="s">
        <v>9</v>
      </c>
      <c r="D1367" s="18">
        <v>0.1</v>
      </c>
      <c r="E1367" s="21">
        <f t="shared" si="150"/>
        <v>7.9741404289037643E-3</v>
      </c>
      <c r="F1367" s="5">
        <v>40268</v>
      </c>
      <c r="G1367" s="5">
        <v>41425</v>
      </c>
      <c r="H1367" s="16">
        <f t="shared" si="153"/>
        <v>1157</v>
      </c>
      <c r="I1367" s="5">
        <v>41425</v>
      </c>
      <c r="J1367" s="5">
        <v>41906</v>
      </c>
      <c r="K1367" s="16">
        <f t="shared" si="154"/>
        <v>1638</v>
      </c>
      <c r="L1367" s="13">
        <v>3927.57</v>
      </c>
      <c r="M1367" s="15">
        <f t="shared" si="152"/>
        <v>118.7016710284508</v>
      </c>
      <c r="N1367" s="13">
        <v>3927.57</v>
      </c>
      <c r="O1367" s="13">
        <v>0</v>
      </c>
      <c r="P1367" s="11">
        <f t="shared" si="151"/>
        <v>0</v>
      </c>
    </row>
    <row r="1368" spans="1:16" ht="18.75" customHeight="1" thickBot="1" x14ac:dyDescent="0.3">
      <c r="A1368" s="3" t="s">
        <v>11</v>
      </c>
      <c r="B1368" s="4">
        <v>581052</v>
      </c>
      <c r="C1368" s="3" t="s">
        <v>9</v>
      </c>
      <c r="D1368" s="18">
        <v>0.105</v>
      </c>
      <c r="E1368" s="21">
        <f t="shared" si="150"/>
        <v>8.355155683635207E-3</v>
      </c>
      <c r="F1368" s="5">
        <v>40294</v>
      </c>
      <c r="G1368" s="5">
        <v>40873</v>
      </c>
      <c r="H1368" s="16">
        <f t="shared" si="153"/>
        <v>579</v>
      </c>
      <c r="I1368" s="5">
        <v>40873</v>
      </c>
      <c r="J1368" s="5">
        <v>40772</v>
      </c>
      <c r="K1368" s="16">
        <f t="shared" si="154"/>
        <v>478</v>
      </c>
      <c r="L1368" s="13">
        <v>1307.95</v>
      </c>
      <c r="M1368" s="15">
        <f t="shared" si="152"/>
        <v>73.662390351558955</v>
      </c>
      <c r="N1368" s="13">
        <v>1307.95</v>
      </c>
      <c r="O1368" s="13">
        <v>0</v>
      </c>
      <c r="P1368" s="11">
        <f t="shared" si="151"/>
        <v>0</v>
      </c>
    </row>
    <row r="1369" spans="1:16" ht="18.75" customHeight="1" thickBot="1" x14ac:dyDescent="0.3">
      <c r="A1369" s="3" t="s">
        <v>11</v>
      </c>
      <c r="B1369" s="4">
        <v>983585</v>
      </c>
      <c r="C1369" s="3" t="s">
        <v>9</v>
      </c>
      <c r="D1369" s="18">
        <v>0.12</v>
      </c>
      <c r="E1369" s="21">
        <f t="shared" si="150"/>
        <v>9.4887929345830457E-3</v>
      </c>
      <c r="F1369" s="5">
        <v>40308</v>
      </c>
      <c r="G1369" s="5">
        <v>40492</v>
      </c>
      <c r="H1369" s="16">
        <f t="shared" si="153"/>
        <v>184</v>
      </c>
      <c r="I1369" s="5">
        <v>40492</v>
      </c>
      <c r="J1369" s="5">
        <v>40322</v>
      </c>
      <c r="K1369" s="16">
        <f t="shared" si="154"/>
        <v>14</v>
      </c>
      <c r="L1369" s="13">
        <v>249.6</v>
      </c>
      <c r="M1369" s="15">
        <f t="shared" si="152"/>
        <v>42.084057488986645</v>
      </c>
      <c r="N1369" s="13">
        <v>249.6</v>
      </c>
      <c r="O1369" s="13">
        <v>0</v>
      </c>
      <c r="P1369" s="11">
        <f t="shared" si="151"/>
        <v>0</v>
      </c>
    </row>
    <row r="1370" spans="1:16" ht="18.75" customHeight="1" thickBot="1" x14ac:dyDescent="0.3">
      <c r="A1370" s="3" t="s">
        <v>11</v>
      </c>
      <c r="B1370" s="4">
        <v>352968</v>
      </c>
      <c r="C1370" s="3" t="s">
        <v>9</v>
      </c>
      <c r="D1370" s="18">
        <v>9.5000000000000001E-2</v>
      </c>
      <c r="E1370" s="21">
        <f t="shared" si="150"/>
        <v>7.5915342905825689E-3</v>
      </c>
      <c r="F1370" s="5">
        <v>40310</v>
      </c>
      <c r="G1370" s="5">
        <v>42867</v>
      </c>
      <c r="H1370" s="16">
        <f t="shared" si="153"/>
        <v>2557</v>
      </c>
      <c r="I1370" s="5">
        <v>42867</v>
      </c>
      <c r="J1370" s="5">
        <v>40592</v>
      </c>
      <c r="K1370" s="16">
        <f t="shared" si="154"/>
        <v>282</v>
      </c>
      <c r="L1370" s="13">
        <v>15051.78</v>
      </c>
      <c r="M1370" s="15">
        <f t="shared" si="152"/>
        <v>240.49349388606967</v>
      </c>
      <c r="N1370" s="13">
        <v>15051.78</v>
      </c>
      <c r="O1370" s="13">
        <v>0</v>
      </c>
      <c r="P1370" s="11">
        <f t="shared" si="151"/>
        <v>1</v>
      </c>
    </row>
    <row r="1371" spans="1:16" ht="18.75" customHeight="1" thickBot="1" x14ac:dyDescent="0.3">
      <c r="A1371" s="3" t="s">
        <v>11</v>
      </c>
      <c r="B1371" s="4">
        <v>681059</v>
      </c>
      <c r="C1371" s="3" t="s">
        <v>19</v>
      </c>
      <c r="D1371" s="18">
        <v>0.1</v>
      </c>
      <c r="E1371" s="21">
        <f t="shared" si="150"/>
        <v>7.9741404289037643E-3</v>
      </c>
      <c r="F1371" s="5">
        <v>40317</v>
      </c>
      <c r="G1371" s="5">
        <v>43281</v>
      </c>
      <c r="H1371" s="16">
        <f t="shared" si="153"/>
        <v>2964</v>
      </c>
      <c r="I1371" s="5">
        <v>43281</v>
      </c>
      <c r="J1371" s="5">
        <v>43496</v>
      </c>
      <c r="K1371" s="16">
        <f t="shared" si="154"/>
        <v>3179</v>
      </c>
      <c r="L1371" s="13">
        <v>5925.75</v>
      </c>
      <c r="M1371" s="15">
        <f t="shared" si="152"/>
        <v>86.901187200962497</v>
      </c>
      <c r="N1371" s="13">
        <v>5925.75</v>
      </c>
      <c r="O1371" s="13">
        <v>0</v>
      </c>
      <c r="P1371" s="11">
        <f t="shared" si="151"/>
        <v>1</v>
      </c>
    </row>
    <row r="1372" spans="1:16" ht="18.75" customHeight="1" thickBot="1" x14ac:dyDescent="0.3">
      <c r="A1372" s="3" t="s">
        <v>11</v>
      </c>
      <c r="B1372" s="4">
        <v>656399</v>
      </c>
      <c r="C1372" s="3" t="s">
        <v>9</v>
      </c>
      <c r="D1372" s="18">
        <v>0.1</v>
      </c>
      <c r="E1372" s="21">
        <f t="shared" si="150"/>
        <v>7.9741404289037643E-3</v>
      </c>
      <c r="F1372" s="5">
        <v>40318</v>
      </c>
      <c r="G1372" s="5">
        <v>42055</v>
      </c>
      <c r="H1372" s="16">
        <f t="shared" si="153"/>
        <v>1737</v>
      </c>
      <c r="I1372" s="5">
        <v>42055</v>
      </c>
      <c r="J1372" s="5">
        <v>41403</v>
      </c>
      <c r="K1372" s="16">
        <f t="shared" si="154"/>
        <v>1085</v>
      </c>
      <c r="L1372" s="13">
        <v>11990.75</v>
      </c>
      <c r="M1372" s="15">
        <f t="shared" si="152"/>
        <v>259.37809923869918</v>
      </c>
      <c r="N1372" s="13">
        <v>11990.75</v>
      </c>
      <c r="O1372" s="13">
        <v>0</v>
      </c>
      <c r="P1372" s="11">
        <f t="shared" si="151"/>
        <v>1</v>
      </c>
    </row>
    <row r="1373" spans="1:16" ht="18.75" customHeight="1" thickBot="1" x14ac:dyDescent="0.3">
      <c r="A1373" s="3" t="s">
        <v>11</v>
      </c>
      <c r="B1373" s="4">
        <v>986170</v>
      </c>
      <c r="C1373" s="3" t="s">
        <v>9</v>
      </c>
      <c r="D1373" s="18">
        <v>0.105</v>
      </c>
      <c r="E1373" s="21">
        <f t="shared" si="150"/>
        <v>8.355155683635207E-3</v>
      </c>
      <c r="F1373" s="5">
        <v>40395</v>
      </c>
      <c r="G1373" s="5">
        <v>42272</v>
      </c>
      <c r="H1373" s="16">
        <f t="shared" si="153"/>
        <v>1877</v>
      </c>
      <c r="I1373" s="5">
        <v>42272</v>
      </c>
      <c r="J1373" s="5">
        <v>41939</v>
      </c>
      <c r="K1373" s="16">
        <f t="shared" si="154"/>
        <v>1544</v>
      </c>
      <c r="L1373" s="13">
        <v>9923</v>
      </c>
      <c r="M1373" s="15">
        <f t="shared" si="152"/>
        <v>204.29514506649147</v>
      </c>
      <c r="N1373" s="13">
        <v>9923</v>
      </c>
      <c r="O1373" s="13">
        <v>0</v>
      </c>
      <c r="P1373" s="11">
        <f t="shared" si="151"/>
        <v>1</v>
      </c>
    </row>
    <row r="1374" spans="1:16" ht="18.75" customHeight="1" thickBot="1" x14ac:dyDescent="0.3">
      <c r="A1374" s="3" t="s">
        <v>11</v>
      </c>
      <c r="B1374" s="4">
        <v>855144</v>
      </c>
      <c r="C1374" s="3" t="s">
        <v>9</v>
      </c>
      <c r="D1374" s="18">
        <v>0.08</v>
      </c>
      <c r="E1374" s="21">
        <f t="shared" si="150"/>
        <v>6.4340301100034303E-3</v>
      </c>
      <c r="F1374" s="5">
        <v>40340</v>
      </c>
      <c r="G1374" s="5">
        <v>42227</v>
      </c>
      <c r="H1374" s="16">
        <f t="shared" si="153"/>
        <v>1887</v>
      </c>
      <c r="I1374" s="5">
        <v>42227</v>
      </c>
      <c r="J1374" s="5">
        <v>41893</v>
      </c>
      <c r="K1374" s="16">
        <f t="shared" si="154"/>
        <v>1553</v>
      </c>
      <c r="L1374" s="13">
        <v>20000</v>
      </c>
      <c r="M1374" s="15">
        <f t="shared" si="152"/>
        <v>387.64129944913344</v>
      </c>
      <c r="N1374" s="13">
        <v>20000</v>
      </c>
      <c r="O1374" s="13">
        <v>0</v>
      </c>
      <c r="P1374" s="11">
        <f t="shared" si="151"/>
        <v>1</v>
      </c>
    </row>
    <row r="1375" spans="1:16" ht="18.75" customHeight="1" thickBot="1" x14ac:dyDescent="0.3">
      <c r="A1375" s="3" t="s">
        <v>11</v>
      </c>
      <c r="B1375" s="4">
        <v>997261</v>
      </c>
      <c r="C1375" s="3" t="s">
        <v>9</v>
      </c>
      <c r="D1375" s="18">
        <v>9.5000000000000001E-2</v>
      </c>
      <c r="E1375" s="21">
        <f t="shared" si="150"/>
        <v>7.5915342905825689E-3</v>
      </c>
      <c r="F1375" s="5">
        <v>40346</v>
      </c>
      <c r="G1375" s="5">
        <v>41807</v>
      </c>
      <c r="H1375" s="16">
        <f t="shared" si="153"/>
        <v>1461</v>
      </c>
      <c r="I1375" s="5">
        <v>41807</v>
      </c>
      <c r="J1375" s="5">
        <v>41008</v>
      </c>
      <c r="K1375" s="16">
        <f t="shared" si="154"/>
        <v>662</v>
      </c>
      <c r="L1375" s="13">
        <v>2563.33</v>
      </c>
      <c r="M1375" s="15">
        <f t="shared" si="152"/>
        <v>63.16037589750826</v>
      </c>
      <c r="N1375" s="13">
        <v>2563.33</v>
      </c>
      <c r="O1375" s="13">
        <v>0</v>
      </c>
      <c r="P1375" s="11">
        <f t="shared" si="151"/>
        <v>0</v>
      </c>
    </row>
    <row r="1376" spans="1:16" ht="18.75" customHeight="1" thickBot="1" x14ac:dyDescent="0.3">
      <c r="A1376" s="3" t="s">
        <v>11</v>
      </c>
      <c r="B1376" s="4">
        <v>317669</v>
      </c>
      <c r="C1376" s="3" t="s">
        <v>9</v>
      </c>
      <c r="D1376" s="18">
        <v>0.1</v>
      </c>
      <c r="E1376" s="21">
        <f t="shared" si="150"/>
        <v>7.9741404289037643E-3</v>
      </c>
      <c r="F1376" s="5">
        <v>40352</v>
      </c>
      <c r="G1376" s="5">
        <v>42178</v>
      </c>
      <c r="H1376" s="16">
        <f t="shared" si="153"/>
        <v>1826</v>
      </c>
      <c r="I1376" s="5">
        <v>42178</v>
      </c>
      <c r="J1376" s="5">
        <v>40619</v>
      </c>
      <c r="K1376" s="16">
        <f t="shared" si="154"/>
        <v>267</v>
      </c>
      <c r="L1376" s="13">
        <v>3206.08</v>
      </c>
      <c r="M1376" s="15">
        <f t="shared" si="152"/>
        <v>66.692381484364802</v>
      </c>
      <c r="N1376" s="13">
        <v>3206.08</v>
      </c>
      <c r="O1376" s="13">
        <v>0</v>
      </c>
      <c r="P1376" s="11">
        <f t="shared" si="151"/>
        <v>1</v>
      </c>
    </row>
    <row r="1377" spans="1:16" ht="18.75" customHeight="1" thickBot="1" x14ac:dyDescent="0.3">
      <c r="A1377" s="3" t="s">
        <v>11</v>
      </c>
      <c r="B1377" s="4">
        <v>91836</v>
      </c>
      <c r="C1377" s="3" t="s">
        <v>9</v>
      </c>
      <c r="D1377" s="18">
        <v>0.1</v>
      </c>
      <c r="E1377" s="21">
        <f t="shared" si="150"/>
        <v>7.9741404289037643E-3</v>
      </c>
      <c r="F1377" s="5">
        <v>40353</v>
      </c>
      <c r="G1377" s="5">
        <v>40718</v>
      </c>
      <c r="H1377" s="16">
        <f t="shared" si="153"/>
        <v>365</v>
      </c>
      <c r="I1377" s="5">
        <v>40718</v>
      </c>
      <c r="J1377" s="5">
        <v>40681</v>
      </c>
      <c r="K1377" s="16">
        <f t="shared" si="154"/>
        <v>328</v>
      </c>
      <c r="L1377" s="13">
        <v>20500</v>
      </c>
      <c r="M1377" s="15">
        <f t="shared" si="152"/>
        <v>1774.6916835239174</v>
      </c>
      <c r="N1377" s="13">
        <v>20500</v>
      </c>
      <c r="O1377" s="13">
        <v>0</v>
      </c>
      <c r="P1377" s="11">
        <f t="shared" si="151"/>
        <v>0</v>
      </c>
    </row>
    <row r="1378" spans="1:16" ht="18.75" customHeight="1" thickBot="1" x14ac:dyDescent="0.3">
      <c r="A1378" s="3" t="s">
        <v>11</v>
      </c>
      <c r="B1378" s="4">
        <v>617245</v>
      </c>
      <c r="C1378" s="3" t="s">
        <v>9</v>
      </c>
      <c r="D1378" s="18">
        <v>0.1</v>
      </c>
      <c r="E1378" s="21">
        <f t="shared" si="150"/>
        <v>7.9741404289037643E-3</v>
      </c>
      <c r="F1378" s="5">
        <v>40360</v>
      </c>
      <c r="G1378" s="5">
        <v>41456</v>
      </c>
      <c r="H1378" s="16">
        <f t="shared" si="153"/>
        <v>1096</v>
      </c>
      <c r="I1378" s="5">
        <v>41456</v>
      </c>
      <c r="J1378" s="5">
        <v>40609</v>
      </c>
      <c r="K1378" s="16">
        <f t="shared" si="154"/>
        <v>249</v>
      </c>
      <c r="L1378" s="13">
        <v>1980.72</v>
      </c>
      <c r="M1378" s="15">
        <f t="shared" si="152"/>
        <v>62.711323740933942</v>
      </c>
      <c r="N1378" s="13">
        <v>1980.72</v>
      </c>
      <c r="O1378" s="13">
        <v>0</v>
      </c>
      <c r="P1378" s="11">
        <f t="shared" si="151"/>
        <v>0</v>
      </c>
    </row>
    <row r="1379" spans="1:16" ht="18.75" customHeight="1" thickBot="1" x14ac:dyDescent="0.3">
      <c r="A1379" s="3" t="s">
        <v>11</v>
      </c>
      <c r="B1379" s="4">
        <v>519536</v>
      </c>
      <c r="C1379" s="3" t="s">
        <v>9</v>
      </c>
      <c r="D1379" s="18">
        <v>9.7500000000000003E-2</v>
      </c>
      <c r="E1379" s="21">
        <f t="shared" si="150"/>
        <v>7.7830370878799737E-3</v>
      </c>
      <c r="F1379" s="5">
        <v>40360</v>
      </c>
      <c r="G1379" s="5">
        <v>41021</v>
      </c>
      <c r="H1379" s="16">
        <f t="shared" si="153"/>
        <v>661</v>
      </c>
      <c r="I1379" s="5">
        <v>41021</v>
      </c>
      <c r="J1379" s="5">
        <v>40660</v>
      </c>
      <c r="K1379" s="16">
        <f t="shared" si="154"/>
        <v>300</v>
      </c>
      <c r="L1379" s="13">
        <v>29500</v>
      </c>
      <c r="M1379" s="15">
        <f t="shared" si="152"/>
        <v>1462.1506336998712</v>
      </c>
      <c r="N1379" s="13">
        <v>29500</v>
      </c>
      <c r="O1379" s="13">
        <v>0</v>
      </c>
      <c r="P1379" s="11">
        <f t="shared" si="151"/>
        <v>0</v>
      </c>
    </row>
    <row r="1380" spans="1:16" ht="18.75" hidden="1" customHeight="1" thickBot="1" x14ac:dyDescent="0.3">
      <c r="A1380" s="3" t="s">
        <v>11</v>
      </c>
      <c r="B1380" s="4">
        <v>51155</v>
      </c>
      <c r="C1380" s="3" t="s">
        <v>9</v>
      </c>
      <c r="D1380" s="18">
        <v>0.14000000000000001</v>
      </c>
      <c r="E1380" s="21">
        <f t="shared" si="150"/>
        <v>1.0978851950173452E-2</v>
      </c>
      <c r="F1380" s="5">
        <v>40367</v>
      </c>
      <c r="G1380" s="5">
        <v>40459</v>
      </c>
      <c r="H1380" s="16">
        <f t="shared" si="153"/>
        <v>92</v>
      </c>
      <c r="I1380" s="5">
        <v>40459</v>
      </c>
      <c r="J1380" s="2"/>
      <c r="K1380" s="16">
        <f t="shared" si="154"/>
        <v>-40367</v>
      </c>
      <c r="L1380" s="13">
        <v>1000</v>
      </c>
      <c r="M1380" s="15">
        <f t="shared" si="152"/>
        <v>333.39379014873731</v>
      </c>
      <c r="N1380" s="13">
        <v>1000</v>
      </c>
      <c r="O1380" s="13">
        <v>0</v>
      </c>
      <c r="P1380" s="11">
        <f t="shared" si="151"/>
        <v>0</v>
      </c>
    </row>
    <row r="1381" spans="1:16" ht="18.75" customHeight="1" thickBot="1" x14ac:dyDescent="0.3">
      <c r="A1381" s="3" t="s">
        <v>11</v>
      </c>
      <c r="B1381" s="4">
        <v>17844</v>
      </c>
      <c r="C1381" s="3" t="s">
        <v>9</v>
      </c>
      <c r="D1381" s="18">
        <v>0.1</v>
      </c>
      <c r="E1381" s="21">
        <f t="shared" si="150"/>
        <v>7.9741404289037643E-3</v>
      </c>
      <c r="F1381" s="5">
        <v>40375</v>
      </c>
      <c r="G1381" s="5">
        <v>41045</v>
      </c>
      <c r="H1381" s="16">
        <f t="shared" si="153"/>
        <v>670</v>
      </c>
      <c r="I1381" s="5">
        <v>41045</v>
      </c>
      <c r="J1381" s="5">
        <v>43549</v>
      </c>
      <c r="K1381" s="16">
        <f t="shared" si="154"/>
        <v>3174</v>
      </c>
      <c r="L1381" s="13">
        <v>4743.71</v>
      </c>
      <c r="M1381" s="15">
        <f t="shared" si="152"/>
        <v>232.72304469801</v>
      </c>
      <c r="N1381" s="13">
        <v>4738.03</v>
      </c>
      <c r="O1381" s="13">
        <v>0</v>
      </c>
      <c r="P1381" s="11">
        <f t="shared" si="151"/>
        <v>0</v>
      </c>
    </row>
    <row r="1382" spans="1:16" ht="18.75" customHeight="1" thickBot="1" x14ac:dyDescent="0.3">
      <c r="A1382" s="3" t="s">
        <v>11</v>
      </c>
      <c r="B1382" s="4">
        <v>905484</v>
      </c>
      <c r="C1382" s="3" t="s">
        <v>9</v>
      </c>
      <c r="D1382" s="18">
        <v>0.1</v>
      </c>
      <c r="E1382" s="21">
        <f t="shared" si="150"/>
        <v>7.9741404289037643E-3</v>
      </c>
      <c r="F1382" s="5">
        <v>40381</v>
      </c>
      <c r="G1382" s="5">
        <v>42269</v>
      </c>
      <c r="H1382" s="16">
        <f t="shared" si="153"/>
        <v>1888</v>
      </c>
      <c r="I1382" s="5">
        <v>42269</v>
      </c>
      <c r="J1382" s="5">
        <v>41269</v>
      </c>
      <c r="K1382" s="16">
        <f t="shared" si="154"/>
        <v>888</v>
      </c>
      <c r="L1382" s="13">
        <v>11495</v>
      </c>
      <c r="M1382" s="15">
        <f t="shared" si="152"/>
        <v>233.0145844128466</v>
      </c>
      <c r="N1382" s="13">
        <v>11495</v>
      </c>
      <c r="O1382" s="13">
        <v>0</v>
      </c>
      <c r="P1382" s="11">
        <f t="shared" si="151"/>
        <v>1</v>
      </c>
    </row>
    <row r="1383" spans="1:16" ht="18.75" customHeight="1" thickBot="1" x14ac:dyDescent="0.3">
      <c r="A1383" s="3" t="s">
        <v>11</v>
      </c>
      <c r="B1383" s="4">
        <v>660281</v>
      </c>
      <c r="C1383" s="3" t="s">
        <v>9</v>
      </c>
      <c r="D1383" s="18">
        <v>0.1</v>
      </c>
      <c r="E1383" s="21">
        <f t="shared" ref="E1383:E1446" si="155">(1+D1383)^(1/12)-1</f>
        <v>7.9741404289037643E-3</v>
      </c>
      <c r="F1383" s="5">
        <v>40393</v>
      </c>
      <c r="G1383" s="5">
        <v>40577</v>
      </c>
      <c r="H1383" s="16">
        <f t="shared" si="153"/>
        <v>184</v>
      </c>
      <c r="I1383" s="5">
        <v>40577</v>
      </c>
      <c r="J1383" s="5">
        <v>40891</v>
      </c>
      <c r="K1383" s="16">
        <f t="shared" si="154"/>
        <v>498</v>
      </c>
      <c r="L1383" s="13">
        <v>2500</v>
      </c>
      <c r="M1383" s="15">
        <f t="shared" si="152"/>
        <v>419.28030887435483</v>
      </c>
      <c r="N1383" s="13">
        <v>2500</v>
      </c>
      <c r="O1383" s="13">
        <v>0</v>
      </c>
      <c r="P1383" s="11">
        <f t="shared" ref="P1383:P1446" si="156">IF((G1383)&gt;(ConstantDateCutoff),1,0)</f>
        <v>0</v>
      </c>
    </row>
    <row r="1384" spans="1:16" ht="18.75" customHeight="1" thickBot="1" x14ac:dyDescent="0.3">
      <c r="A1384" s="3" t="s">
        <v>11</v>
      </c>
      <c r="B1384" s="4">
        <v>195486</v>
      </c>
      <c r="C1384" s="3" t="s">
        <v>9</v>
      </c>
      <c r="D1384" s="18">
        <v>0.1</v>
      </c>
      <c r="E1384" s="21">
        <f t="shared" si="155"/>
        <v>7.9741404289037643E-3</v>
      </c>
      <c r="F1384" s="5">
        <v>40393</v>
      </c>
      <c r="G1384" s="5">
        <v>41854</v>
      </c>
      <c r="H1384" s="16">
        <f t="shared" si="153"/>
        <v>1461</v>
      </c>
      <c r="I1384" s="5">
        <v>41854</v>
      </c>
      <c r="J1384" s="5">
        <v>41526</v>
      </c>
      <c r="K1384" s="16">
        <f t="shared" si="154"/>
        <v>1133</v>
      </c>
      <c r="L1384" s="13">
        <v>11595.36</v>
      </c>
      <c r="M1384" s="15">
        <f t="shared" si="152"/>
        <v>288.25030137445691</v>
      </c>
      <c r="N1384" s="13">
        <v>11595.36</v>
      </c>
      <c r="O1384" s="13">
        <v>0</v>
      </c>
      <c r="P1384" s="11">
        <f t="shared" si="156"/>
        <v>0</v>
      </c>
    </row>
    <row r="1385" spans="1:16" ht="18.75" customHeight="1" thickBot="1" x14ac:dyDescent="0.3">
      <c r="A1385" s="3" t="s">
        <v>11</v>
      </c>
      <c r="B1385" s="4">
        <v>574891</v>
      </c>
      <c r="C1385" s="3" t="s">
        <v>12</v>
      </c>
      <c r="D1385" s="18">
        <v>0.1</v>
      </c>
      <c r="E1385" s="21">
        <f t="shared" si="155"/>
        <v>7.9741404289037643E-3</v>
      </c>
      <c r="F1385" s="5">
        <v>40421</v>
      </c>
      <c r="G1385" s="5">
        <v>41167</v>
      </c>
      <c r="H1385" s="16">
        <f t="shared" si="153"/>
        <v>746</v>
      </c>
      <c r="I1385" s="5">
        <v>44089</v>
      </c>
      <c r="J1385" s="5">
        <v>44102</v>
      </c>
      <c r="K1385" s="16">
        <f t="shared" si="154"/>
        <v>3681</v>
      </c>
      <c r="L1385" s="13">
        <v>36947.69</v>
      </c>
      <c r="M1385" s="15">
        <f t="shared" si="152"/>
        <v>1643.9073459053534</v>
      </c>
      <c r="N1385" s="13">
        <v>26307</v>
      </c>
      <c r="O1385" s="13">
        <v>8000</v>
      </c>
      <c r="P1385" s="11">
        <f t="shared" si="156"/>
        <v>0</v>
      </c>
    </row>
    <row r="1386" spans="1:16" ht="18.75" customHeight="1" thickBot="1" x14ac:dyDescent="0.3">
      <c r="A1386" s="3" t="s">
        <v>11</v>
      </c>
      <c r="B1386" s="4">
        <v>539376</v>
      </c>
      <c r="C1386" s="3" t="s">
        <v>9</v>
      </c>
      <c r="D1386" s="18">
        <v>0.1</v>
      </c>
      <c r="E1386" s="21">
        <f t="shared" si="155"/>
        <v>7.9741404289037643E-3</v>
      </c>
      <c r="F1386" s="5">
        <v>40428</v>
      </c>
      <c r="G1386" s="5">
        <v>41554</v>
      </c>
      <c r="H1386" s="16">
        <f t="shared" si="153"/>
        <v>1126</v>
      </c>
      <c r="I1386" s="5">
        <v>41554</v>
      </c>
      <c r="J1386" s="5">
        <v>42264</v>
      </c>
      <c r="K1386" s="16">
        <f t="shared" si="154"/>
        <v>1836</v>
      </c>
      <c r="L1386" s="13">
        <v>643.82000000000005</v>
      </c>
      <c r="M1386" s="15">
        <f t="shared" si="152"/>
        <v>19.915892615791442</v>
      </c>
      <c r="N1386" s="13">
        <v>643.82000000000005</v>
      </c>
      <c r="O1386" s="13">
        <v>0</v>
      </c>
      <c r="P1386" s="11">
        <f t="shared" si="156"/>
        <v>0</v>
      </c>
    </row>
    <row r="1387" spans="1:16" ht="18.75" customHeight="1" thickBot="1" x14ac:dyDescent="0.3">
      <c r="A1387" s="3" t="s">
        <v>11</v>
      </c>
      <c r="B1387" s="4">
        <v>644677</v>
      </c>
      <c r="C1387" s="3" t="s">
        <v>9</v>
      </c>
      <c r="D1387" s="18">
        <v>0.1</v>
      </c>
      <c r="E1387" s="21">
        <f t="shared" si="155"/>
        <v>7.9741404289037643E-3</v>
      </c>
      <c r="F1387" s="5">
        <v>40431</v>
      </c>
      <c r="G1387" s="5">
        <v>42287</v>
      </c>
      <c r="H1387" s="16">
        <f t="shared" si="153"/>
        <v>1856</v>
      </c>
      <c r="I1387" s="5">
        <v>42287</v>
      </c>
      <c r="J1387" s="5">
        <v>41124</v>
      </c>
      <c r="K1387" s="16">
        <f t="shared" si="154"/>
        <v>693</v>
      </c>
      <c r="L1387" s="13">
        <v>16861.509999999998</v>
      </c>
      <c r="M1387" s="15">
        <f t="shared" si="152"/>
        <v>346.34289198362609</v>
      </c>
      <c r="N1387" s="13">
        <v>16861.509999999998</v>
      </c>
      <c r="O1387" s="13">
        <v>0</v>
      </c>
      <c r="P1387" s="11">
        <f t="shared" si="156"/>
        <v>1</v>
      </c>
    </row>
    <row r="1388" spans="1:16" ht="18.75" customHeight="1" thickBot="1" x14ac:dyDescent="0.3">
      <c r="A1388" s="3" t="s">
        <v>11</v>
      </c>
      <c r="B1388" s="4">
        <v>965716</v>
      </c>
      <c r="C1388" s="3" t="s">
        <v>9</v>
      </c>
      <c r="D1388" s="18">
        <v>0.09</v>
      </c>
      <c r="E1388" s="21">
        <f t="shared" si="155"/>
        <v>7.2073233161367156E-3</v>
      </c>
      <c r="F1388" s="5">
        <v>40435</v>
      </c>
      <c r="G1388" s="5">
        <v>41622</v>
      </c>
      <c r="H1388" s="16">
        <f t="shared" si="153"/>
        <v>1187</v>
      </c>
      <c r="I1388" s="5">
        <v>41622</v>
      </c>
      <c r="J1388" s="5">
        <v>41453</v>
      </c>
      <c r="K1388" s="16">
        <f t="shared" si="154"/>
        <v>1018</v>
      </c>
      <c r="L1388" s="13">
        <v>44775.35</v>
      </c>
      <c r="M1388" s="15">
        <f t="shared" si="152"/>
        <v>1304.7027790289144</v>
      </c>
      <c r="N1388" s="13">
        <v>44775.35</v>
      </c>
      <c r="O1388" s="13">
        <v>0</v>
      </c>
      <c r="P1388" s="11">
        <f t="shared" si="156"/>
        <v>0</v>
      </c>
    </row>
    <row r="1389" spans="1:16" ht="18.75" customHeight="1" thickBot="1" x14ac:dyDescent="0.3">
      <c r="A1389" s="3" t="s">
        <v>11</v>
      </c>
      <c r="B1389" s="4">
        <v>869733</v>
      </c>
      <c r="C1389" s="3" t="s">
        <v>9</v>
      </c>
      <c r="D1389" s="18">
        <v>0.1</v>
      </c>
      <c r="E1389" s="21">
        <f t="shared" si="155"/>
        <v>7.9741404289037643E-3</v>
      </c>
      <c r="F1389" s="5">
        <v>40444</v>
      </c>
      <c r="G1389" s="5">
        <v>41570</v>
      </c>
      <c r="H1389" s="16">
        <f t="shared" si="153"/>
        <v>1126</v>
      </c>
      <c r="I1389" s="5">
        <v>41570</v>
      </c>
      <c r="J1389" s="5">
        <v>41276</v>
      </c>
      <c r="K1389" s="16">
        <f t="shared" si="154"/>
        <v>832</v>
      </c>
      <c r="L1389" s="13">
        <v>2203.89</v>
      </c>
      <c r="M1389" s="15">
        <f t="shared" si="152"/>
        <v>68.175012545457733</v>
      </c>
      <c r="N1389" s="13">
        <v>2203.89</v>
      </c>
      <c r="O1389" s="13">
        <v>0</v>
      </c>
      <c r="P1389" s="11">
        <f t="shared" si="156"/>
        <v>0</v>
      </c>
    </row>
    <row r="1390" spans="1:16" ht="18.75" customHeight="1" thickBot="1" x14ac:dyDescent="0.3">
      <c r="A1390" s="3" t="s">
        <v>11</v>
      </c>
      <c r="B1390" s="4">
        <v>669154</v>
      </c>
      <c r="C1390" s="3" t="s">
        <v>19</v>
      </c>
      <c r="D1390" s="18">
        <v>0.1</v>
      </c>
      <c r="E1390" s="21">
        <f t="shared" si="155"/>
        <v>7.9741404289037643E-3</v>
      </c>
      <c r="F1390" s="5">
        <v>40445</v>
      </c>
      <c r="G1390" s="5">
        <v>43367</v>
      </c>
      <c r="H1390" s="16">
        <f t="shared" si="153"/>
        <v>2922</v>
      </c>
      <c r="I1390" s="5">
        <v>43367</v>
      </c>
      <c r="J1390" s="5">
        <v>43644</v>
      </c>
      <c r="K1390" s="16">
        <f t="shared" si="154"/>
        <v>3199</v>
      </c>
      <c r="L1390" s="13">
        <v>1043.04</v>
      </c>
      <c r="M1390" s="15">
        <f t="shared" si="152"/>
        <v>15.441062885662824</v>
      </c>
      <c r="N1390" s="13">
        <v>1043.04</v>
      </c>
      <c r="O1390" s="13">
        <v>459.38</v>
      </c>
      <c r="P1390" s="11">
        <f t="shared" si="156"/>
        <v>1</v>
      </c>
    </row>
    <row r="1391" spans="1:16" ht="18.75" customHeight="1" thickBot="1" x14ac:dyDescent="0.3">
      <c r="A1391" s="3" t="s">
        <v>11</v>
      </c>
      <c r="B1391" s="4">
        <v>933024</v>
      </c>
      <c r="C1391" s="3" t="s">
        <v>9</v>
      </c>
      <c r="D1391" s="18">
        <v>0.1</v>
      </c>
      <c r="E1391" s="21">
        <f t="shared" si="155"/>
        <v>7.9741404289037643E-3</v>
      </c>
      <c r="F1391" s="5">
        <v>40455</v>
      </c>
      <c r="G1391" s="5">
        <v>42586</v>
      </c>
      <c r="H1391" s="16">
        <f t="shared" si="153"/>
        <v>2131</v>
      </c>
      <c r="I1391" s="5">
        <v>42586</v>
      </c>
      <c r="J1391" s="5">
        <v>41115</v>
      </c>
      <c r="K1391" s="16">
        <f t="shared" si="154"/>
        <v>660</v>
      </c>
      <c r="L1391" s="13">
        <v>14858.5</v>
      </c>
      <c r="M1391" s="15">
        <f t="shared" si="152"/>
        <v>274.79244006724332</v>
      </c>
      <c r="N1391" s="13">
        <v>14858.5</v>
      </c>
      <c r="O1391" s="13">
        <v>0</v>
      </c>
      <c r="P1391" s="11">
        <f t="shared" si="156"/>
        <v>1</v>
      </c>
    </row>
    <row r="1392" spans="1:16" ht="18.75" customHeight="1" thickBot="1" x14ac:dyDescent="0.3">
      <c r="A1392" s="3" t="s">
        <v>11</v>
      </c>
      <c r="B1392" s="4">
        <v>181054</v>
      </c>
      <c r="C1392" s="3" t="s">
        <v>9</v>
      </c>
      <c r="D1392" s="18">
        <v>0.105</v>
      </c>
      <c r="E1392" s="21">
        <f t="shared" si="155"/>
        <v>8.355155683635207E-3</v>
      </c>
      <c r="F1392" s="5">
        <v>40455</v>
      </c>
      <c r="G1392" s="5">
        <v>42678</v>
      </c>
      <c r="H1392" s="16">
        <f t="shared" si="153"/>
        <v>2223</v>
      </c>
      <c r="I1392" s="5">
        <v>42678</v>
      </c>
      <c r="J1392" s="5">
        <v>41820</v>
      </c>
      <c r="K1392" s="16">
        <f t="shared" si="154"/>
        <v>1365</v>
      </c>
      <c r="L1392" s="13">
        <v>5945.6</v>
      </c>
      <c r="M1392" s="15">
        <f t="shared" si="152"/>
        <v>107.94674402793159</v>
      </c>
      <c r="N1392" s="13">
        <v>5945.6</v>
      </c>
      <c r="O1392" s="13">
        <v>0</v>
      </c>
      <c r="P1392" s="11">
        <f t="shared" si="156"/>
        <v>1</v>
      </c>
    </row>
    <row r="1393" spans="1:16" ht="18.75" customHeight="1" thickBot="1" x14ac:dyDescent="0.3">
      <c r="A1393" s="3" t="s">
        <v>11</v>
      </c>
      <c r="B1393" s="4">
        <v>921218</v>
      </c>
      <c r="C1393" s="3" t="s">
        <v>9</v>
      </c>
      <c r="D1393" s="18">
        <v>0.1</v>
      </c>
      <c r="E1393" s="21">
        <f t="shared" si="155"/>
        <v>7.9741404289037643E-3</v>
      </c>
      <c r="F1393" s="5">
        <v>40456</v>
      </c>
      <c r="G1393" s="5">
        <v>41279</v>
      </c>
      <c r="H1393" s="16">
        <f t="shared" si="153"/>
        <v>823</v>
      </c>
      <c r="I1393" s="5">
        <v>41279</v>
      </c>
      <c r="J1393" s="5">
        <v>40963</v>
      </c>
      <c r="K1393" s="16">
        <f t="shared" si="154"/>
        <v>507</v>
      </c>
      <c r="L1393" s="13">
        <v>2479.98</v>
      </c>
      <c r="M1393" s="15">
        <f t="shared" si="152"/>
        <v>101.0068454670986</v>
      </c>
      <c r="N1393" s="13">
        <v>2479.98</v>
      </c>
      <c r="O1393" s="13">
        <v>0</v>
      </c>
      <c r="P1393" s="11">
        <f t="shared" si="156"/>
        <v>0</v>
      </c>
    </row>
    <row r="1394" spans="1:16" ht="18.75" customHeight="1" thickBot="1" x14ac:dyDescent="0.3">
      <c r="A1394" s="3" t="s">
        <v>11</v>
      </c>
      <c r="B1394" s="4">
        <v>607805</v>
      </c>
      <c r="C1394" s="3" t="s">
        <v>9</v>
      </c>
      <c r="D1394" s="18">
        <v>0.1</v>
      </c>
      <c r="E1394" s="21">
        <f t="shared" si="155"/>
        <v>7.9741404289037643E-3</v>
      </c>
      <c r="F1394" s="5">
        <v>40464</v>
      </c>
      <c r="G1394" s="5">
        <v>42290</v>
      </c>
      <c r="H1394" s="16">
        <f t="shared" si="153"/>
        <v>1826</v>
      </c>
      <c r="I1394" s="5">
        <v>42290</v>
      </c>
      <c r="J1394" s="5">
        <v>41733</v>
      </c>
      <c r="K1394" s="16">
        <f t="shared" si="154"/>
        <v>1269</v>
      </c>
      <c r="L1394" s="13">
        <v>15925</v>
      </c>
      <c r="M1394" s="15">
        <f t="shared" si="152"/>
        <v>331.26939288430407</v>
      </c>
      <c r="N1394" s="13">
        <v>15925</v>
      </c>
      <c r="O1394" s="13">
        <v>0</v>
      </c>
      <c r="P1394" s="11">
        <f t="shared" si="156"/>
        <v>1</v>
      </c>
    </row>
    <row r="1395" spans="1:16" ht="18.75" customHeight="1" thickBot="1" x14ac:dyDescent="0.3">
      <c r="A1395" s="3" t="s">
        <v>11</v>
      </c>
      <c r="B1395" s="4">
        <v>600524</v>
      </c>
      <c r="C1395" s="3" t="s">
        <v>9</v>
      </c>
      <c r="D1395" s="18">
        <v>0.1</v>
      </c>
      <c r="E1395" s="21">
        <f t="shared" si="155"/>
        <v>7.9741404289037643E-3</v>
      </c>
      <c r="F1395" s="5">
        <v>40485</v>
      </c>
      <c r="G1395" s="5">
        <v>41216</v>
      </c>
      <c r="H1395" s="16">
        <f t="shared" si="153"/>
        <v>731</v>
      </c>
      <c r="I1395" s="5">
        <v>41216</v>
      </c>
      <c r="J1395" s="5">
        <v>41157</v>
      </c>
      <c r="K1395" s="16">
        <f t="shared" si="154"/>
        <v>672</v>
      </c>
      <c r="L1395" s="13">
        <v>291.69</v>
      </c>
      <c r="M1395" s="15">
        <f t="shared" si="152"/>
        <v>13.219005134685368</v>
      </c>
      <c r="N1395" s="13">
        <v>291.69</v>
      </c>
      <c r="O1395" s="13">
        <v>0</v>
      </c>
      <c r="P1395" s="11">
        <f t="shared" si="156"/>
        <v>0</v>
      </c>
    </row>
    <row r="1396" spans="1:16" ht="18.75" customHeight="1" thickBot="1" x14ac:dyDescent="0.3">
      <c r="A1396" s="3" t="s">
        <v>11</v>
      </c>
      <c r="B1396" s="4">
        <v>281664</v>
      </c>
      <c r="C1396" s="3" t="s">
        <v>9</v>
      </c>
      <c r="D1396" s="18">
        <v>0.1</v>
      </c>
      <c r="E1396" s="21">
        <f t="shared" si="155"/>
        <v>7.9741404289037643E-3</v>
      </c>
      <c r="F1396" s="5">
        <v>40508</v>
      </c>
      <c r="G1396" s="5">
        <v>42592</v>
      </c>
      <c r="H1396" s="16">
        <f t="shared" si="153"/>
        <v>2084</v>
      </c>
      <c r="I1396" s="5">
        <v>42592</v>
      </c>
      <c r="J1396" s="5">
        <v>43056</v>
      </c>
      <c r="K1396" s="16">
        <f t="shared" si="154"/>
        <v>2548</v>
      </c>
      <c r="L1396" s="13">
        <v>9133.9599999999991</v>
      </c>
      <c r="M1396" s="15">
        <f t="shared" si="152"/>
        <v>171.76022737963888</v>
      </c>
      <c r="N1396" s="13">
        <v>9133.9599999999991</v>
      </c>
      <c r="O1396" s="13">
        <v>0</v>
      </c>
      <c r="P1396" s="11">
        <f t="shared" si="156"/>
        <v>1</v>
      </c>
    </row>
    <row r="1397" spans="1:16" ht="18.75" customHeight="1" thickBot="1" x14ac:dyDescent="0.3">
      <c r="A1397" s="3" t="s">
        <v>11</v>
      </c>
      <c r="B1397" s="4">
        <v>918149</v>
      </c>
      <c r="C1397" s="3" t="s">
        <v>9</v>
      </c>
      <c r="D1397" s="18">
        <v>0.09</v>
      </c>
      <c r="E1397" s="21">
        <f t="shared" si="155"/>
        <v>7.2073233161367156E-3</v>
      </c>
      <c r="F1397" s="5">
        <v>40543</v>
      </c>
      <c r="G1397" s="5">
        <v>41364</v>
      </c>
      <c r="H1397" s="16">
        <f t="shared" si="153"/>
        <v>821</v>
      </c>
      <c r="I1397" s="5">
        <v>41364</v>
      </c>
      <c r="J1397" s="5">
        <v>40989</v>
      </c>
      <c r="K1397" s="16">
        <f t="shared" si="154"/>
        <v>446</v>
      </c>
      <c r="L1397" s="13">
        <v>5000</v>
      </c>
      <c r="M1397" s="15">
        <f t="shared" si="152"/>
        <v>201.96976237336608</v>
      </c>
      <c r="N1397" s="13">
        <v>5000</v>
      </c>
      <c r="O1397" s="13">
        <v>0</v>
      </c>
      <c r="P1397" s="11">
        <f t="shared" si="156"/>
        <v>0</v>
      </c>
    </row>
    <row r="1398" spans="1:16" ht="18.75" customHeight="1" thickBot="1" x14ac:dyDescent="0.3">
      <c r="A1398" s="3" t="s">
        <v>11</v>
      </c>
      <c r="B1398" s="4">
        <v>566867</v>
      </c>
      <c r="C1398" s="3" t="s">
        <v>9</v>
      </c>
      <c r="D1398" s="18">
        <v>9.5000000000000001E-2</v>
      </c>
      <c r="E1398" s="21">
        <f t="shared" si="155"/>
        <v>7.5915342905825689E-3</v>
      </c>
      <c r="F1398" s="5">
        <v>40546</v>
      </c>
      <c r="G1398" s="5">
        <v>41642</v>
      </c>
      <c r="H1398" s="16">
        <f t="shared" si="153"/>
        <v>1096</v>
      </c>
      <c r="I1398" s="5">
        <v>41642</v>
      </c>
      <c r="J1398" s="5">
        <v>41074</v>
      </c>
      <c r="K1398" s="16">
        <f t="shared" si="154"/>
        <v>528</v>
      </c>
      <c r="L1398" s="13">
        <v>5237.3900000000003</v>
      </c>
      <c r="M1398" s="15">
        <f t="shared" si="152"/>
        <v>164.69689664554488</v>
      </c>
      <c r="N1398" s="13">
        <v>5237.3900000000003</v>
      </c>
      <c r="O1398" s="13">
        <v>0</v>
      </c>
      <c r="P1398" s="11">
        <f t="shared" si="156"/>
        <v>0</v>
      </c>
    </row>
    <row r="1399" spans="1:16" ht="18.75" customHeight="1" thickBot="1" x14ac:dyDescent="0.3">
      <c r="A1399" s="3" t="s">
        <v>11</v>
      </c>
      <c r="B1399" s="4">
        <v>339215</v>
      </c>
      <c r="C1399" s="3" t="s">
        <v>9</v>
      </c>
      <c r="D1399" s="18">
        <v>9.5000000000000001E-2</v>
      </c>
      <c r="E1399" s="21">
        <f t="shared" si="155"/>
        <v>7.5915342905825689E-3</v>
      </c>
      <c r="F1399" s="5">
        <v>40554</v>
      </c>
      <c r="G1399" s="5">
        <v>40735</v>
      </c>
      <c r="H1399" s="16">
        <f t="shared" si="153"/>
        <v>181</v>
      </c>
      <c r="I1399" s="5">
        <v>40735</v>
      </c>
      <c r="J1399" s="5">
        <v>41124</v>
      </c>
      <c r="K1399" s="16">
        <f t="shared" si="154"/>
        <v>570</v>
      </c>
      <c r="L1399" s="13">
        <v>20000</v>
      </c>
      <c r="M1399" s="15">
        <f t="shared" si="152"/>
        <v>3403.9765703678995</v>
      </c>
      <c r="N1399" s="13">
        <v>20000</v>
      </c>
      <c r="O1399" s="13">
        <v>0</v>
      </c>
      <c r="P1399" s="11">
        <f t="shared" si="156"/>
        <v>0</v>
      </c>
    </row>
    <row r="1400" spans="1:16" ht="18.75" customHeight="1" thickBot="1" x14ac:dyDescent="0.3">
      <c r="A1400" s="3" t="s">
        <v>11</v>
      </c>
      <c r="B1400" s="4">
        <v>108314</v>
      </c>
      <c r="C1400" s="3" t="s">
        <v>9</v>
      </c>
      <c r="D1400" s="18">
        <v>0.1</v>
      </c>
      <c r="E1400" s="21">
        <f t="shared" si="155"/>
        <v>7.9741404289037643E-3</v>
      </c>
      <c r="F1400" s="5">
        <v>40567</v>
      </c>
      <c r="G1400" s="5">
        <v>43002</v>
      </c>
      <c r="H1400" s="16">
        <f t="shared" si="153"/>
        <v>2435</v>
      </c>
      <c r="I1400" s="5">
        <v>43002</v>
      </c>
      <c r="J1400" s="5">
        <v>41799</v>
      </c>
      <c r="K1400" s="16">
        <f t="shared" si="154"/>
        <v>1232</v>
      </c>
      <c r="L1400" s="13">
        <v>6066.56</v>
      </c>
      <c r="M1400" s="15">
        <f t="shared" si="152"/>
        <v>101.80844330706184</v>
      </c>
      <c r="N1400" s="13">
        <v>6066.56</v>
      </c>
      <c r="O1400" s="13">
        <v>0</v>
      </c>
      <c r="P1400" s="11">
        <f t="shared" si="156"/>
        <v>1</v>
      </c>
    </row>
    <row r="1401" spans="1:16" ht="18.75" customHeight="1" thickBot="1" x14ac:dyDescent="0.3">
      <c r="A1401" s="3" t="s">
        <v>11</v>
      </c>
      <c r="B1401" s="4">
        <v>282922</v>
      </c>
      <c r="C1401" s="3" t="s">
        <v>9</v>
      </c>
      <c r="D1401" s="18">
        <v>0.1</v>
      </c>
      <c r="E1401" s="21">
        <f t="shared" si="155"/>
        <v>7.9741404289037643E-3</v>
      </c>
      <c r="F1401" s="5">
        <v>40590</v>
      </c>
      <c r="G1401" s="5">
        <v>41959</v>
      </c>
      <c r="H1401" s="16">
        <f t="shared" si="153"/>
        <v>1369</v>
      </c>
      <c r="I1401" s="5">
        <v>41959</v>
      </c>
      <c r="J1401" s="5">
        <v>41345</v>
      </c>
      <c r="K1401" s="16">
        <f t="shared" si="154"/>
        <v>755</v>
      </c>
      <c r="L1401" s="13">
        <v>4878.29</v>
      </c>
      <c r="M1401" s="15">
        <f t="shared" si="152"/>
        <v>127.95000664480993</v>
      </c>
      <c r="N1401" s="13">
        <v>4878.29</v>
      </c>
      <c r="O1401" s="13">
        <v>0</v>
      </c>
      <c r="P1401" s="11">
        <f t="shared" si="156"/>
        <v>0</v>
      </c>
    </row>
    <row r="1402" spans="1:16" ht="18.75" customHeight="1" thickBot="1" x14ac:dyDescent="0.3">
      <c r="A1402" s="3" t="s">
        <v>11</v>
      </c>
      <c r="B1402" s="4">
        <v>313541</v>
      </c>
      <c r="C1402" s="3" t="s">
        <v>9</v>
      </c>
      <c r="D1402" s="18">
        <v>0.1</v>
      </c>
      <c r="E1402" s="21">
        <f t="shared" si="155"/>
        <v>7.9741404289037643E-3</v>
      </c>
      <c r="F1402" s="5">
        <v>40599</v>
      </c>
      <c r="G1402" s="5">
        <v>42241</v>
      </c>
      <c r="H1402" s="16">
        <f t="shared" si="153"/>
        <v>1642</v>
      </c>
      <c r="I1402" s="5">
        <v>42241</v>
      </c>
      <c r="J1402" s="5">
        <v>42110</v>
      </c>
      <c r="K1402" s="16">
        <f t="shared" si="154"/>
        <v>1511</v>
      </c>
      <c r="L1402" s="13">
        <v>3406.82</v>
      </c>
      <c r="M1402" s="15">
        <f t="shared" si="152"/>
        <v>77.056109041284103</v>
      </c>
      <c r="N1402" s="13">
        <v>3406.82</v>
      </c>
      <c r="O1402" s="13">
        <v>0</v>
      </c>
      <c r="P1402" s="11">
        <f t="shared" si="156"/>
        <v>1</v>
      </c>
    </row>
    <row r="1403" spans="1:16" ht="18.75" customHeight="1" thickBot="1" x14ac:dyDescent="0.3">
      <c r="A1403" s="3" t="s">
        <v>11</v>
      </c>
      <c r="B1403" s="4">
        <v>546329</v>
      </c>
      <c r="C1403" s="3" t="s">
        <v>9</v>
      </c>
      <c r="D1403" s="18">
        <v>0.1</v>
      </c>
      <c r="E1403" s="21">
        <f t="shared" si="155"/>
        <v>7.9741404289037643E-3</v>
      </c>
      <c r="F1403" s="5">
        <v>40604</v>
      </c>
      <c r="G1403" s="5">
        <v>42126</v>
      </c>
      <c r="H1403" s="16">
        <f t="shared" si="153"/>
        <v>1522</v>
      </c>
      <c r="I1403" s="5">
        <v>42126</v>
      </c>
      <c r="J1403" s="5">
        <v>41276</v>
      </c>
      <c r="K1403" s="16">
        <f t="shared" si="154"/>
        <v>672</v>
      </c>
      <c r="L1403" s="13">
        <v>4819.99</v>
      </c>
      <c r="M1403" s="15">
        <f t="shared" si="152"/>
        <v>115.88945363719763</v>
      </c>
      <c r="N1403" s="13">
        <v>4819.99</v>
      </c>
      <c r="O1403" s="13">
        <v>0</v>
      </c>
      <c r="P1403" s="11">
        <f t="shared" si="156"/>
        <v>1</v>
      </c>
    </row>
    <row r="1404" spans="1:16" ht="18.75" customHeight="1" thickBot="1" x14ac:dyDescent="0.3">
      <c r="A1404" s="3" t="s">
        <v>11</v>
      </c>
      <c r="B1404" s="4">
        <v>999441</v>
      </c>
      <c r="C1404" s="3" t="s">
        <v>9</v>
      </c>
      <c r="D1404" s="18">
        <v>0.105</v>
      </c>
      <c r="E1404" s="21">
        <f t="shared" si="155"/>
        <v>8.355155683635207E-3</v>
      </c>
      <c r="F1404" s="5">
        <v>40617</v>
      </c>
      <c r="G1404" s="5">
        <v>41348</v>
      </c>
      <c r="H1404" s="16">
        <f t="shared" si="153"/>
        <v>731</v>
      </c>
      <c r="I1404" s="5">
        <v>41348</v>
      </c>
      <c r="J1404" s="5">
        <v>41059</v>
      </c>
      <c r="K1404" s="16">
        <f t="shared" si="154"/>
        <v>442</v>
      </c>
      <c r="L1404" s="13">
        <v>7799.33</v>
      </c>
      <c r="M1404" s="15">
        <f t="shared" si="152"/>
        <v>355.09977450057022</v>
      </c>
      <c r="N1404" s="13">
        <v>7799.33</v>
      </c>
      <c r="O1404" s="13">
        <v>0</v>
      </c>
      <c r="P1404" s="11">
        <f t="shared" si="156"/>
        <v>0</v>
      </c>
    </row>
    <row r="1405" spans="1:16" ht="18.75" customHeight="1" thickBot="1" x14ac:dyDescent="0.3">
      <c r="A1405" s="3" t="s">
        <v>11</v>
      </c>
      <c r="B1405" s="4">
        <v>138249</v>
      </c>
      <c r="C1405" s="3" t="s">
        <v>9</v>
      </c>
      <c r="D1405" s="18">
        <v>0.11</v>
      </c>
      <c r="E1405" s="21">
        <f t="shared" si="155"/>
        <v>8.7345938235519061E-3</v>
      </c>
      <c r="F1405" s="5">
        <v>40625</v>
      </c>
      <c r="G1405" s="5">
        <v>41843</v>
      </c>
      <c r="H1405" s="16">
        <f t="shared" si="153"/>
        <v>1218</v>
      </c>
      <c r="I1405" s="5">
        <v>41843</v>
      </c>
      <c r="J1405" s="5">
        <v>43525</v>
      </c>
      <c r="K1405" s="16">
        <f t="shared" si="154"/>
        <v>2900</v>
      </c>
      <c r="L1405" s="13">
        <v>922.65</v>
      </c>
      <c r="M1405" s="15">
        <f t="shared" si="152"/>
        <v>27.090594308558618</v>
      </c>
      <c r="N1405" s="13">
        <v>871.83</v>
      </c>
      <c r="O1405" s="13">
        <v>0</v>
      </c>
      <c r="P1405" s="11">
        <f t="shared" si="156"/>
        <v>0</v>
      </c>
    </row>
    <row r="1406" spans="1:16" ht="18.75" customHeight="1" thickBot="1" x14ac:dyDescent="0.3">
      <c r="A1406" s="3" t="s">
        <v>11</v>
      </c>
      <c r="B1406" s="4">
        <v>616835</v>
      </c>
      <c r="C1406" s="3" t="s">
        <v>9</v>
      </c>
      <c r="D1406" s="18">
        <v>9.5000000000000001E-2</v>
      </c>
      <c r="E1406" s="21">
        <f t="shared" si="155"/>
        <v>7.5915342905825689E-3</v>
      </c>
      <c r="F1406" s="5">
        <v>40639</v>
      </c>
      <c r="G1406" s="5">
        <v>43257</v>
      </c>
      <c r="H1406" s="16">
        <f t="shared" si="153"/>
        <v>2618</v>
      </c>
      <c r="I1406" s="5">
        <v>43257</v>
      </c>
      <c r="J1406" s="5">
        <v>42954</v>
      </c>
      <c r="K1406" s="16">
        <f t="shared" si="154"/>
        <v>2315</v>
      </c>
      <c r="L1406" s="13">
        <v>3408.71</v>
      </c>
      <c r="M1406" s="15">
        <f t="shared" si="152"/>
        <v>53.560593465841926</v>
      </c>
      <c r="N1406" s="13">
        <v>3408.71</v>
      </c>
      <c r="O1406" s="13">
        <v>0</v>
      </c>
      <c r="P1406" s="11">
        <f t="shared" si="156"/>
        <v>1</v>
      </c>
    </row>
    <row r="1407" spans="1:16" ht="18.75" customHeight="1" thickBot="1" x14ac:dyDescent="0.3">
      <c r="A1407" s="3" t="s">
        <v>11</v>
      </c>
      <c r="B1407" s="4">
        <v>497284</v>
      </c>
      <c r="C1407" s="3" t="s">
        <v>9</v>
      </c>
      <c r="D1407" s="18">
        <v>0.1</v>
      </c>
      <c r="E1407" s="21">
        <f t="shared" si="155"/>
        <v>7.9741404289037643E-3</v>
      </c>
      <c r="F1407" s="5">
        <v>40660</v>
      </c>
      <c r="G1407" s="5">
        <v>41939</v>
      </c>
      <c r="H1407" s="16">
        <f t="shared" si="153"/>
        <v>1279</v>
      </c>
      <c r="I1407" s="5">
        <v>41939</v>
      </c>
      <c r="J1407" s="5">
        <v>40973</v>
      </c>
      <c r="K1407" s="16">
        <f t="shared" si="154"/>
        <v>313</v>
      </c>
      <c r="L1407" s="13">
        <v>9038.52</v>
      </c>
      <c r="M1407" s="15">
        <f t="shared" si="152"/>
        <v>250.91723915735733</v>
      </c>
      <c r="N1407" s="13">
        <v>9038.52</v>
      </c>
      <c r="O1407" s="13">
        <v>0</v>
      </c>
      <c r="P1407" s="11">
        <f t="shared" si="156"/>
        <v>0</v>
      </c>
    </row>
    <row r="1408" spans="1:16" ht="18.75" customHeight="1" thickBot="1" x14ac:dyDescent="0.3">
      <c r="A1408" s="3" t="s">
        <v>11</v>
      </c>
      <c r="B1408" s="4">
        <v>52204</v>
      </c>
      <c r="C1408" s="3" t="s">
        <v>9</v>
      </c>
      <c r="D1408" s="18">
        <v>0.1</v>
      </c>
      <c r="E1408" s="21">
        <f t="shared" si="155"/>
        <v>7.9741404289037643E-3</v>
      </c>
      <c r="F1408" s="5">
        <v>40668</v>
      </c>
      <c r="G1408" s="5">
        <v>42860</v>
      </c>
      <c r="H1408" s="16">
        <f t="shared" si="153"/>
        <v>2192</v>
      </c>
      <c r="I1408" s="5">
        <v>42860</v>
      </c>
      <c r="J1408" s="5">
        <v>42643</v>
      </c>
      <c r="K1408" s="16">
        <f t="shared" si="154"/>
        <v>1975</v>
      </c>
      <c r="L1408" s="13">
        <v>5000</v>
      </c>
      <c r="M1408" s="15">
        <f t="shared" si="152"/>
        <v>90.555938255321465</v>
      </c>
      <c r="N1408" s="13">
        <v>5000</v>
      </c>
      <c r="O1408" s="13">
        <v>0</v>
      </c>
      <c r="P1408" s="11">
        <f t="shared" si="156"/>
        <v>1</v>
      </c>
    </row>
    <row r="1409" spans="1:16" ht="18.75" customHeight="1" thickBot="1" x14ac:dyDescent="0.3">
      <c r="A1409" s="3" t="s">
        <v>11</v>
      </c>
      <c r="B1409" s="4">
        <v>868069</v>
      </c>
      <c r="C1409" s="3" t="s">
        <v>9</v>
      </c>
      <c r="D1409" s="18">
        <v>0.12</v>
      </c>
      <c r="E1409" s="21">
        <f t="shared" si="155"/>
        <v>9.4887929345830457E-3</v>
      </c>
      <c r="F1409" s="5">
        <v>40676</v>
      </c>
      <c r="G1409" s="5">
        <v>42868</v>
      </c>
      <c r="H1409" s="16">
        <f t="shared" si="153"/>
        <v>2192</v>
      </c>
      <c r="I1409" s="5">
        <v>42868</v>
      </c>
      <c r="J1409" s="5">
        <v>42291</v>
      </c>
      <c r="K1409" s="16">
        <f t="shared" si="154"/>
        <v>1615</v>
      </c>
      <c r="L1409" s="13">
        <v>2149.87</v>
      </c>
      <c r="M1409" s="15">
        <f t="shared" si="152"/>
        <v>40.926469237512642</v>
      </c>
      <c r="N1409" s="13">
        <v>2149.87</v>
      </c>
      <c r="O1409" s="13">
        <v>0</v>
      </c>
      <c r="P1409" s="11">
        <f t="shared" si="156"/>
        <v>1</v>
      </c>
    </row>
    <row r="1410" spans="1:16" ht="18.75" customHeight="1" thickBot="1" x14ac:dyDescent="0.3">
      <c r="A1410" s="3" t="s">
        <v>11</v>
      </c>
      <c r="B1410" s="4">
        <v>348821</v>
      </c>
      <c r="C1410" s="3" t="s">
        <v>9</v>
      </c>
      <c r="D1410" s="18">
        <v>0.09</v>
      </c>
      <c r="E1410" s="21">
        <f t="shared" si="155"/>
        <v>7.2073233161367156E-3</v>
      </c>
      <c r="F1410" s="5">
        <v>40689</v>
      </c>
      <c r="G1410" s="5">
        <v>42730</v>
      </c>
      <c r="H1410" s="16">
        <f t="shared" si="153"/>
        <v>2041</v>
      </c>
      <c r="I1410" s="5">
        <v>42730</v>
      </c>
      <c r="J1410" s="5">
        <v>41768</v>
      </c>
      <c r="K1410" s="16">
        <f t="shared" si="154"/>
        <v>1079</v>
      </c>
      <c r="L1410" s="13">
        <v>11373.9</v>
      </c>
      <c r="M1410" s="15">
        <f t="shared" ref="M1410:M1473" si="157">-PMT(E1410,(H1410/30),L1410)</f>
        <v>212.09513604411251</v>
      </c>
      <c r="N1410" s="13">
        <v>11373.9</v>
      </c>
      <c r="O1410" s="13">
        <v>0</v>
      </c>
      <c r="P1410" s="11">
        <f t="shared" si="156"/>
        <v>1</v>
      </c>
    </row>
    <row r="1411" spans="1:16" ht="18.75" customHeight="1" thickBot="1" x14ac:dyDescent="0.3">
      <c r="A1411" s="3" t="s">
        <v>11</v>
      </c>
      <c r="B1411" s="4">
        <v>960034</v>
      </c>
      <c r="C1411" s="3" t="s">
        <v>9</v>
      </c>
      <c r="D1411" s="18">
        <v>0.09</v>
      </c>
      <c r="E1411" s="21">
        <f t="shared" si="155"/>
        <v>7.2073233161367156E-3</v>
      </c>
      <c r="F1411" s="5">
        <v>40694</v>
      </c>
      <c r="G1411" s="5">
        <v>41425</v>
      </c>
      <c r="H1411" s="16">
        <f t="shared" ref="H1411:H1474" si="158">G1411-F1411</f>
        <v>731</v>
      </c>
      <c r="I1411" s="5">
        <v>41425</v>
      </c>
      <c r="J1411" s="5">
        <v>41082</v>
      </c>
      <c r="K1411" s="16">
        <f t="shared" ref="K1411:K1474" si="159">J1411-F1411</f>
        <v>388</v>
      </c>
      <c r="L1411" s="13">
        <v>15000</v>
      </c>
      <c r="M1411" s="15">
        <f t="shared" si="157"/>
        <v>673.44143654533536</v>
      </c>
      <c r="N1411" s="13">
        <v>15000</v>
      </c>
      <c r="O1411" s="13">
        <v>0</v>
      </c>
      <c r="P1411" s="11">
        <f t="shared" si="156"/>
        <v>0</v>
      </c>
    </row>
    <row r="1412" spans="1:16" ht="18.75" customHeight="1" thickBot="1" x14ac:dyDescent="0.3">
      <c r="A1412" s="3" t="s">
        <v>11</v>
      </c>
      <c r="B1412" s="4">
        <v>354032</v>
      </c>
      <c r="C1412" s="3" t="s">
        <v>9</v>
      </c>
      <c r="D1412" s="18">
        <v>0.1</v>
      </c>
      <c r="E1412" s="21">
        <f t="shared" si="155"/>
        <v>7.9741404289037643E-3</v>
      </c>
      <c r="F1412" s="5">
        <v>40700</v>
      </c>
      <c r="G1412" s="5">
        <v>42358</v>
      </c>
      <c r="H1412" s="16">
        <f t="shared" si="158"/>
        <v>1658</v>
      </c>
      <c r="I1412" s="5">
        <v>42358</v>
      </c>
      <c r="J1412" s="5">
        <v>42108</v>
      </c>
      <c r="K1412" s="16">
        <f t="shared" si="159"/>
        <v>1408</v>
      </c>
      <c r="L1412" s="13">
        <v>6597.21</v>
      </c>
      <c r="M1412" s="15">
        <f t="shared" si="157"/>
        <v>148.0675539407988</v>
      </c>
      <c r="N1412" s="13">
        <v>6597.21</v>
      </c>
      <c r="O1412" s="13">
        <v>0</v>
      </c>
      <c r="P1412" s="11">
        <f t="shared" si="156"/>
        <v>1</v>
      </c>
    </row>
    <row r="1413" spans="1:16" ht="18.75" customHeight="1" thickBot="1" x14ac:dyDescent="0.3">
      <c r="A1413" s="3" t="s">
        <v>11</v>
      </c>
      <c r="B1413" s="4">
        <v>172363</v>
      </c>
      <c r="C1413" s="3" t="s">
        <v>9</v>
      </c>
      <c r="D1413" s="18">
        <v>0.1</v>
      </c>
      <c r="E1413" s="21">
        <f t="shared" si="155"/>
        <v>7.9741404289037643E-3</v>
      </c>
      <c r="F1413" s="5">
        <v>40700</v>
      </c>
      <c r="G1413" s="5">
        <v>41107</v>
      </c>
      <c r="H1413" s="16">
        <f t="shared" si="158"/>
        <v>407</v>
      </c>
      <c r="I1413" s="5">
        <v>41107</v>
      </c>
      <c r="J1413" s="5">
        <v>41136</v>
      </c>
      <c r="K1413" s="16">
        <f t="shared" si="159"/>
        <v>436</v>
      </c>
      <c r="L1413" s="13">
        <v>3281.49</v>
      </c>
      <c r="M1413" s="15">
        <f t="shared" si="157"/>
        <v>256.16043272959689</v>
      </c>
      <c r="N1413" s="13">
        <v>3281.49</v>
      </c>
      <c r="O1413" s="13">
        <v>0</v>
      </c>
      <c r="P1413" s="11">
        <f t="shared" si="156"/>
        <v>0</v>
      </c>
    </row>
    <row r="1414" spans="1:16" ht="18.75" customHeight="1" thickBot="1" x14ac:dyDescent="0.3">
      <c r="A1414" s="3" t="s">
        <v>11</v>
      </c>
      <c r="B1414" s="4">
        <v>960908</v>
      </c>
      <c r="C1414" s="3" t="s">
        <v>9</v>
      </c>
      <c r="D1414" s="18">
        <v>0.1</v>
      </c>
      <c r="E1414" s="21">
        <f t="shared" si="155"/>
        <v>7.9741404289037643E-3</v>
      </c>
      <c r="F1414" s="5">
        <v>40700</v>
      </c>
      <c r="G1414" s="5">
        <v>41888</v>
      </c>
      <c r="H1414" s="16">
        <f t="shared" si="158"/>
        <v>1188</v>
      </c>
      <c r="I1414" s="5">
        <v>41888</v>
      </c>
      <c r="J1414" s="5">
        <v>41276</v>
      </c>
      <c r="K1414" s="16">
        <f t="shared" si="159"/>
        <v>576</v>
      </c>
      <c r="L1414" s="13">
        <v>1604.22</v>
      </c>
      <c r="M1414" s="15">
        <f t="shared" si="157"/>
        <v>47.402786523347764</v>
      </c>
      <c r="N1414" s="13">
        <v>1604.22</v>
      </c>
      <c r="O1414" s="13">
        <v>0</v>
      </c>
      <c r="P1414" s="11">
        <f t="shared" si="156"/>
        <v>0</v>
      </c>
    </row>
    <row r="1415" spans="1:16" ht="18.75" customHeight="1" thickBot="1" x14ac:dyDescent="0.3">
      <c r="A1415" s="3" t="s">
        <v>11</v>
      </c>
      <c r="B1415" s="4">
        <v>621894</v>
      </c>
      <c r="C1415" s="3" t="s">
        <v>9</v>
      </c>
      <c r="D1415" s="18">
        <v>0.1</v>
      </c>
      <c r="E1415" s="21">
        <f t="shared" si="155"/>
        <v>7.9741404289037643E-3</v>
      </c>
      <c r="F1415" s="5">
        <v>40701</v>
      </c>
      <c r="G1415" s="5">
        <v>42170</v>
      </c>
      <c r="H1415" s="16">
        <f t="shared" si="158"/>
        <v>1469</v>
      </c>
      <c r="I1415" s="5">
        <v>42170</v>
      </c>
      <c r="J1415" s="5">
        <v>41124</v>
      </c>
      <c r="K1415" s="16">
        <f t="shared" si="159"/>
        <v>423</v>
      </c>
      <c r="L1415" s="13">
        <v>6632.4</v>
      </c>
      <c r="M1415" s="15">
        <f t="shared" si="157"/>
        <v>164.14018799097045</v>
      </c>
      <c r="N1415" s="13">
        <v>6632.4</v>
      </c>
      <c r="O1415" s="13">
        <v>0</v>
      </c>
      <c r="P1415" s="11">
        <f t="shared" si="156"/>
        <v>1</v>
      </c>
    </row>
    <row r="1416" spans="1:16" ht="18.75" customHeight="1" thickBot="1" x14ac:dyDescent="0.3">
      <c r="A1416" s="3" t="s">
        <v>11</v>
      </c>
      <c r="B1416" s="4">
        <v>488275</v>
      </c>
      <c r="C1416" s="3" t="s">
        <v>9</v>
      </c>
      <c r="D1416" s="18">
        <v>0.1</v>
      </c>
      <c r="E1416" s="21">
        <f t="shared" si="155"/>
        <v>7.9741404289037643E-3</v>
      </c>
      <c r="F1416" s="5">
        <v>40702</v>
      </c>
      <c r="G1416" s="5">
        <v>42529</v>
      </c>
      <c r="H1416" s="16">
        <f t="shared" si="158"/>
        <v>1827</v>
      </c>
      <c r="I1416" s="5">
        <v>42529</v>
      </c>
      <c r="J1416" s="5">
        <v>41680</v>
      </c>
      <c r="K1416" s="16">
        <f t="shared" si="159"/>
        <v>978</v>
      </c>
      <c r="L1416" s="13">
        <v>8439.7999999999993</v>
      </c>
      <c r="M1416" s="15">
        <f t="shared" si="157"/>
        <v>175.48868764982078</v>
      </c>
      <c r="N1416" s="13">
        <v>8439.7999999999993</v>
      </c>
      <c r="O1416" s="13">
        <v>0</v>
      </c>
      <c r="P1416" s="11">
        <f t="shared" si="156"/>
        <v>1</v>
      </c>
    </row>
    <row r="1417" spans="1:16" ht="18.75" customHeight="1" thickBot="1" x14ac:dyDescent="0.3">
      <c r="A1417" s="3" t="s">
        <v>11</v>
      </c>
      <c r="B1417" s="4">
        <v>880581</v>
      </c>
      <c r="C1417" s="3" t="s">
        <v>9</v>
      </c>
      <c r="D1417" s="18">
        <v>0.11</v>
      </c>
      <c r="E1417" s="21">
        <f t="shared" si="155"/>
        <v>8.7345938235519061E-3</v>
      </c>
      <c r="F1417" s="5">
        <v>40714</v>
      </c>
      <c r="G1417" s="5">
        <v>41445</v>
      </c>
      <c r="H1417" s="16">
        <f t="shared" si="158"/>
        <v>731</v>
      </c>
      <c r="I1417" s="5">
        <v>41445</v>
      </c>
      <c r="J1417" s="5">
        <v>43595</v>
      </c>
      <c r="K1417" s="16">
        <f t="shared" si="159"/>
        <v>2881</v>
      </c>
      <c r="L1417" s="13">
        <v>1897.12</v>
      </c>
      <c r="M1417" s="15">
        <f t="shared" si="157"/>
        <v>86.774402931677287</v>
      </c>
      <c r="N1417" s="13">
        <v>1768.62</v>
      </c>
      <c r="O1417" s="13">
        <v>0</v>
      </c>
      <c r="P1417" s="11">
        <f t="shared" si="156"/>
        <v>0</v>
      </c>
    </row>
    <row r="1418" spans="1:16" ht="18.75" customHeight="1" thickBot="1" x14ac:dyDescent="0.3">
      <c r="A1418" s="3" t="s">
        <v>11</v>
      </c>
      <c r="B1418" s="4">
        <v>905914</v>
      </c>
      <c r="C1418" s="3" t="s">
        <v>9</v>
      </c>
      <c r="D1418" s="18">
        <v>0.1</v>
      </c>
      <c r="E1418" s="21">
        <f t="shared" si="155"/>
        <v>7.9741404289037643E-3</v>
      </c>
      <c r="F1418" s="5">
        <v>40746</v>
      </c>
      <c r="G1418" s="5">
        <v>43091</v>
      </c>
      <c r="H1418" s="16">
        <f t="shared" si="158"/>
        <v>2345</v>
      </c>
      <c r="I1418" s="5">
        <v>43091</v>
      </c>
      <c r="J1418" s="5">
        <v>41764</v>
      </c>
      <c r="K1418" s="16">
        <f t="shared" si="159"/>
        <v>1018</v>
      </c>
      <c r="L1418" s="13">
        <v>862.27</v>
      </c>
      <c r="M1418" s="15">
        <f t="shared" si="157"/>
        <v>14.866497242080609</v>
      </c>
      <c r="N1418" s="13">
        <v>862.27</v>
      </c>
      <c r="O1418" s="13">
        <v>0</v>
      </c>
      <c r="P1418" s="11">
        <f t="shared" si="156"/>
        <v>1</v>
      </c>
    </row>
    <row r="1419" spans="1:16" ht="18.75" customHeight="1" thickBot="1" x14ac:dyDescent="0.3">
      <c r="A1419" s="3" t="s">
        <v>11</v>
      </c>
      <c r="B1419" s="4">
        <v>816468</v>
      </c>
      <c r="C1419" s="3" t="s">
        <v>9</v>
      </c>
      <c r="D1419" s="18">
        <v>0.1</v>
      </c>
      <c r="E1419" s="21">
        <f t="shared" si="155"/>
        <v>7.9741404289037643E-3</v>
      </c>
      <c r="F1419" s="5">
        <v>40780</v>
      </c>
      <c r="G1419" s="5">
        <v>42699</v>
      </c>
      <c r="H1419" s="16">
        <f t="shared" si="158"/>
        <v>1919</v>
      </c>
      <c r="I1419" s="5">
        <v>42699</v>
      </c>
      <c r="J1419" s="5">
        <v>42516</v>
      </c>
      <c r="K1419" s="16">
        <f t="shared" si="159"/>
        <v>1736</v>
      </c>
      <c r="L1419" s="13">
        <v>2259.2399999999998</v>
      </c>
      <c r="M1419" s="15">
        <f t="shared" si="157"/>
        <v>45.226880977797457</v>
      </c>
      <c r="N1419" s="13">
        <v>2259.2399999999998</v>
      </c>
      <c r="O1419" s="13">
        <v>0</v>
      </c>
      <c r="P1419" s="11">
        <f t="shared" si="156"/>
        <v>1</v>
      </c>
    </row>
    <row r="1420" spans="1:16" ht="18.75" customHeight="1" thickBot="1" x14ac:dyDescent="0.3">
      <c r="A1420" s="3" t="s">
        <v>11</v>
      </c>
      <c r="B1420" s="4">
        <v>966984</v>
      </c>
      <c r="C1420" s="3" t="s">
        <v>9</v>
      </c>
      <c r="D1420" s="18">
        <v>0.1</v>
      </c>
      <c r="E1420" s="21">
        <f t="shared" si="155"/>
        <v>7.9741404289037643E-3</v>
      </c>
      <c r="F1420" s="5">
        <v>40786</v>
      </c>
      <c r="G1420" s="5">
        <v>41729</v>
      </c>
      <c r="H1420" s="16">
        <f t="shared" si="158"/>
        <v>943</v>
      </c>
      <c r="I1420" s="5">
        <v>41729</v>
      </c>
      <c r="J1420" s="5">
        <v>41638</v>
      </c>
      <c r="K1420" s="16">
        <f t="shared" si="159"/>
        <v>852</v>
      </c>
      <c r="L1420" s="13">
        <v>10000</v>
      </c>
      <c r="M1420" s="15">
        <f t="shared" si="157"/>
        <v>360.92835742778982</v>
      </c>
      <c r="N1420" s="13">
        <v>10000</v>
      </c>
      <c r="O1420" s="13">
        <v>0</v>
      </c>
      <c r="P1420" s="11">
        <f t="shared" si="156"/>
        <v>0</v>
      </c>
    </row>
    <row r="1421" spans="1:16" ht="18.75" customHeight="1" thickBot="1" x14ac:dyDescent="0.3">
      <c r="A1421" s="3" t="s">
        <v>11</v>
      </c>
      <c r="B1421" s="4">
        <v>409770</v>
      </c>
      <c r="C1421" s="3" t="s">
        <v>9</v>
      </c>
      <c r="D1421" s="18">
        <v>0.1</v>
      </c>
      <c r="E1421" s="21">
        <f t="shared" si="155"/>
        <v>7.9741404289037643E-3</v>
      </c>
      <c r="F1421" s="5">
        <v>40787</v>
      </c>
      <c r="G1421" s="5">
        <v>41913</v>
      </c>
      <c r="H1421" s="16">
        <f t="shared" si="158"/>
        <v>1126</v>
      </c>
      <c r="I1421" s="5">
        <v>41913</v>
      </c>
      <c r="J1421" s="5">
        <v>42949</v>
      </c>
      <c r="K1421" s="16">
        <f t="shared" si="159"/>
        <v>2162</v>
      </c>
      <c r="L1421" s="13">
        <v>7579.94</v>
      </c>
      <c r="M1421" s="15">
        <f t="shared" si="157"/>
        <v>234.47744878093593</v>
      </c>
      <c r="N1421" s="13">
        <v>7579.94</v>
      </c>
      <c r="O1421" s="13">
        <v>0</v>
      </c>
      <c r="P1421" s="11">
        <f t="shared" si="156"/>
        <v>0</v>
      </c>
    </row>
    <row r="1422" spans="1:16" ht="18.75" customHeight="1" thickBot="1" x14ac:dyDescent="0.3">
      <c r="A1422" s="3" t="s">
        <v>11</v>
      </c>
      <c r="B1422" s="4">
        <v>548212</v>
      </c>
      <c r="C1422" s="3" t="s">
        <v>9</v>
      </c>
      <c r="D1422" s="18">
        <v>9.5000000000000001E-2</v>
      </c>
      <c r="E1422" s="21">
        <f t="shared" si="155"/>
        <v>7.5915342905825689E-3</v>
      </c>
      <c r="F1422" s="5">
        <v>40793</v>
      </c>
      <c r="G1422" s="5">
        <v>43197</v>
      </c>
      <c r="H1422" s="16">
        <f t="shared" si="158"/>
        <v>2404</v>
      </c>
      <c r="I1422" s="5">
        <v>43197</v>
      </c>
      <c r="J1422" s="5">
        <v>43496</v>
      </c>
      <c r="K1422" s="16">
        <f t="shared" si="159"/>
        <v>2703</v>
      </c>
      <c r="L1422" s="13">
        <v>15718.07</v>
      </c>
      <c r="M1422" s="15">
        <f t="shared" si="157"/>
        <v>262.54436999924866</v>
      </c>
      <c r="N1422" s="13">
        <v>15718.07</v>
      </c>
      <c r="O1422" s="13">
        <v>0</v>
      </c>
      <c r="P1422" s="11">
        <f t="shared" si="156"/>
        <v>1</v>
      </c>
    </row>
    <row r="1423" spans="1:16" ht="18.75" customHeight="1" thickBot="1" x14ac:dyDescent="0.3">
      <c r="A1423" s="3" t="s">
        <v>11</v>
      </c>
      <c r="B1423" s="4">
        <v>813670</v>
      </c>
      <c r="C1423" s="3" t="s">
        <v>9</v>
      </c>
      <c r="D1423" s="18">
        <v>0.1</v>
      </c>
      <c r="E1423" s="21">
        <f t="shared" si="155"/>
        <v>7.9741404289037643E-3</v>
      </c>
      <c r="F1423" s="5">
        <v>40806</v>
      </c>
      <c r="G1423" s="5">
        <v>42449</v>
      </c>
      <c r="H1423" s="16">
        <f t="shared" si="158"/>
        <v>1643</v>
      </c>
      <c r="I1423" s="5">
        <v>42449</v>
      </c>
      <c r="J1423" s="5">
        <v>41638</v>
      </c>
      <c r="K1423" s="16">
        <f t="shared" si="159"/>
        <v>832</v>
      </c>
      <c r="L1423" s="13">
        <v>19201.82</v>
      </c>
      <c r="M1423" s="15">
        <f t="shared" si="157"/>
        <v>434.09942166195714</v>
      </c>
      <c r="N1423" s="13">
        <v>19201.82</v>
      </c>
      <c r="O1423" s="13">
        <v>0</v>
      </c>
      <c r="P1423" s="11">
        <f t="shared" si="156"/>
        <v>1</v>
      </c>
    </row>
    <row r="1424" spans="1:16" ht="18.75" customHeight="1" thickBot="1" x14ac:dyDescent="0.3">
      <c r="A1424" s="3" t="s">
        <v>11</v>
      </c>
      <c r="B1424" s="4">
        <v>418192</v>
      </c>
      <c r="C1424" s="3" t="s">
        <v>9</v>
      </c>
      <c r="D1424" s="18">
        <v>0.1</v>
      </c>
      <c r="E1424" s="21">
        <f t="shared" si="155"/>
        <v>7.9741404289037643E-3</v>
      </c>
      <c r="F1424" s="5">
        <v>40816</v>
      </c>
      <c r="G1424" s="5">
        <v>43189</v>
      </c>
      <c r="H1424" s="16">
        <f t="shared" si="158"/>
        <v>2373</v>
      </c>
      <c r="I1424" s="5">
        <v>43189</v>
      </c>
      <c r="J1424" s="5">
        <v>42908</v>
      </c>
      <c r="K1424" s="16">
        <f t="shared" si="159"/>
        <v>2092</v>
      </c>
      <c r="L1424" s="13">
        <v>5922.47</v>
      </c>
      <c r="M1424" s="15">
        <f t="shared" si="157"/>
        <v>101.24103919299185</v>
      </c>
      <c r="N1424" s="13">
        <v>5922.47</v>
      </c>
      <c r="O1424" s="13">
        <v>0</v>
      </c>
      <c r="P1424" s="11">
        <f t="shared" si="156"/>
        <v>1</v>
      </c>
    </row>
    <row r="1425" spans="1:16" ht="18.75" customHeight="1" thickBot="1" x14ac:dyDescent="0.3">
      <c r="A1425" s="3" t="s">
        <v>11</v>
      </c>
      <c r="B1425" s="4">
        <v>372547</v>
      </c>
      <c r="C1425" s="3" t="s">
        <v>9</v>
      </c>
      <c r="D1425" s="18">
        <v>0.1</v>
      </c>
      <c r="E1425" s="21">
        <f t="shared" si="155"/>
        <v>7.9741404289037643E-3</v>
      </c>
      <c r="F1425" s="5">
        <v>40848</v>
      </c>
      <c r="G1425" s="5">
        <v>41244</v>
      </c>
      <c r="H1425" s="16">
        <f t="shared" si="158"/>
        <v>396</v>
      </c>
      <c r="I1425" s="5">
        <v>41244</v>
      </c>
      <c r="J1425" s="5">
        <v>41344</v>
      </c>
      <c r="K1425" s="16">
        <f t="shared" si="159"/>
        <v>496</v>
      </c>
      <c r="L1425" s="13">
        <v>678.97</v>
      </c>
      <c r="M1425" s="15">
        <f t="shared" si="157"/>
        <v>54.396328166486271</v>
      </c>
      <c r="N1425" s="13">
        <v>678.97</v>
      </c>
      <c r="O1425" s="13">
        <v>0</v>
      </c>
      <c r="P1425" s="11">
        <f t="shared" si="156"/>
        <v>0</v>
      </c>
    </row>
    <row r="1426" spans="1:16" ht="18.75" customHeight="1" thickBot="1" x14ac:dyDescent="0.3">
      <c r="A1426" s="3" t="s">
        <v>11</v>
      </c>
      <c r="B1426" s="4">
        <v>760712</v>
      </c>
      <c r="C1426" s="3" t="s">
        <v>9</v>
      </c>
      <c r="D1426" s="18">
        <v>0.11</v>
      </c>
      <c r="E1426" s="21">
        <f t="shared" si="155"/>
        <v>8.7345938235519061E-3</v>
      </c>
      <c r="F1426" s="5">
        <v>40850</v>
      </c>
      <c r="G1426" s="5">
        <v>41155</v>
      </c>
      <c r="H1426" s="16">
        <f t="shared" si="158"/>
        <v>305</v>
      </c>
      <c r="I1426" s="5">
        <v>41155</v>
      </c>
      <c r="J1426" s="5">
        <v>40977</v>
      </c>
      <c r="K1426" s="16">
        <f t="shared" si="159"/>
        <v>127</v>
      </c>
      <c r="L1426" s="13">
        <v>507.13</v>
      </c>
      <c r="M1426" s="15">
        <f t="shared" si="157"/>
        <v>52.346591698172595</v>
      </c>
      <c r="N1426" s="13">
        <v>507.13</v>
      </c>
      <c r="O1426" s="13">
        <v>0</v>
      </c>
      <c r="P1426" s="11">
        <f t="shared" si="156"/>
        <v>0</v>
      </c>
    </row>
    <row r="1427" spans="1:16" ht="18.75" hidden="1" customHeight="1" thickBot="1" x14ac:dyDescent="0.3">
      <c r="A1427" s="3" t="s">
        <v>11</v>
      </c>
      <c r="B1427" s="4">
        <v>75849</v>
      </c>
      <c r="C1427" s="3" t="s">
        <v>9</v>
      </c>
      <c r="D1427" s="18">
        <v>0.09</v>
      </c>
      <c r="E1427" s="21">
        <f t="shared" si="155"/>
        <v>7.2073233161367156E-3</v>
      </c>
      <c r="F1427" s="5">
        <v>40865</v>
      </c>
      <c r="G1427" s="5">
        <v>41261</v>
      </c>
      <c r="H1427" s="16">
        <f t="shared" si="158"/>
        <v>396</v>
      </c>
      <c r="I1427" s="5">
        <v>41261</v>
      </c>
      <c r="J1427" s="2"/>
      <c r="K1427" s="16">
        <f t="shared" si="159"/>
        <v>-40865</v>
      </c>
      <c r="L1427" s="13">
        <v>9000</v>
      </c>
      <c r="M1427" s="15">
        <f t="shared" si="157"/>
        <v>717.2175773692735</v>
      </c>
      <c r="N1427" s="13">
        <v>9000</v>
      </c>
      <c r="O1427" s="13">
        <v>0</v>
      </c>
      <c r="P1427" s="11">
        <f t="shared" si="156"/>
        <v>0</v>
      </c>
    </row>
    <row r="1428" spans="1:16" ht="18.75" customHeight="1" thickBot="1" x14ac:dyDescent="0.3">
      <c r="A1428" s="3" t="s">
        <v>11</v>
      </c>
      <c r="B1428" s="4">
        <v>906567</v>
      </c>
      <c r="C1428" s="3" t="s">
        <v>9</v>
      </c>
      <c r="D1428" s="18">
        <v>0.1</v>
      </c>
      <c r="E1428" s="21">
        <f t="shared" si="155"/>
        <v>7.9741404289037643E-3</v>
      </c>
      <c r="F1428" s="5">
        <v>40869</v>
      </c>
      <c r="G1428" s="5">
        <v>41600</v>
      </c>
      <c r="H1428" s="16">
        <f t="shared" si="158"/>
        <v>731</v>
      </c>
      <c r="I1428" s="5">
        <v>41600</v>
      </c>
      <c r="J1428" s="5">
        <v>41031</v>
      </c>
      <c r="K1428" s="16">
        <f t="shared" si="159"/>
        <v>162</v>
      </c>
      <c r="L1428" s="13">
        <v>2429.27</v>
      </c>
      <c r="M1428" s="15">
        <f t="shared" si="157"/>
        <v>110.09130447919752</v>
      </c>
      <c r="N1428" s="13">
        <v>2429.27</v>
      </c>
      <c r="O1428" s="13">
        <v>0</v>
      </c>
      <c r="P1428" s="11">
        <f t="shared" si="156"/>
        <v>0</v>
      </c>
    </row>
    <row r="1429" spans="1:16" ht="18.75" customHeight="1" thickBot="1" x14ac:dyDescent="0.3">
      <c r="A1429" s="3" t="s">
        <v>11</v>
      </c>
      <c r="B1429" s="4">
        <v>229587</v>
      </c>
      <c r="C1429" s="3" t="s">
        <v>9</v>
      </c>
      <c r="D1429" s="18">
        <v>0.1</v>
      </c>
      <c r="E1429" s="21">
        <f t="shared" si="155"/>
        <v>7.9741404289037643E-3</v>
      </c>
      <c r="F1429" s="5">
        <v>40869</v>
      </c>
      <c r="G1429" s="5">
        <v>41965</v>
      </c>
      <c r="H1429" s="16">
        <f t="shared" si="158"/>
        <v>1096</v>
      </c>
      <c r="I1429" s="5">
        <v>41965</v>
      </c>
      <c r="J1429" s="5">
        <v>42241</v>
      </c>
      <c r="K1429" s="16">
        <f t="shared" si="159"/>
        <v>1372</v>
      </c>
      <c r="L1429" s="13">
        <v>2377.4899999999998</v>
      </c>
      <c r="M1429" s="15">
        <f t="shared" si="157"/>
        <v>75.273408195420359</v>
      </c>
      <c r="N1429" s="13">
        <v>2377.4899999999998</v>
      </c>
      <c r="O1429" s="13">
        <v>0</v>
      </c>
      <c r="P1429" s="11">
        <f t="shared" si="156"/>
        <v>0</v>
      </c>
    </row>
    <row r="1430" spans="1:16" ht="18.75" customHeight="1" thickBot="1" x14ac:dyDescent="0.3">
      <c r="A1430" s="3" t="s">
        <v>11</v>
      </c>
      <c r="B1430" s="4">
        <v>166176</v>
      </c>
      <c r="C1430" s="3" t="s">
        <v>9</v>
      </c>
      <c r="D1430" s="18">
        <v>0.12</v>
      </c>
      <c r="E1430" s="21">
        <f t="shared" si="155"/>
        <v>9.4887929345830457E-3</v>
      </c>
      <c r="F1430" s="5">
        <v>40875</v>
      </c>
      <c r="G1430" s="5">
        <v>42336</v>
      </c>
      <c r="H1430" s="16">
        <f t="shared" si="158"/>
        <v>1461</v>
      </c>
      <c r="I1430" s="5">
        <v>42336</v>
      </c>
      <c r="J1430" s="5">
        <v>42226</v>
      </c>
      <c r="K1430" s="16">
        <f t="shared" si="159"/>
        <v>1351</v>
      </c>
      <c r="L1430" s="13">
        <v>3601.23</v>
      </c>
      <c r="M1430" s="15">
        <f t="shared" si="157"/>
        <v>92.688268262878353</v>
      </c>
      <c r="N1430" s="13">
        <v>3601.23</v>
      </c>
      <c r="O1430" s="13">
        <v>0</v>
      </c>
      <c r="P1430" s="11">
        <f t="shared" si="156"/>
        <v>1</v>
      </c>
    </row>
    <row r="1431" spans="1:16" ht="18.75" customHeight="1" thickBot="1" x14ac:dyDescent="0.3">
      <c r="A1431" s="3" t="s">
        <v>11</v>
      </c>
      <c r="B1431" s="4">
        <v>742933</v>
      </c>
      <c r="C1431" s="3" t="s">
        <v>9</v>
      </c>
      <c r="D1431" s="18">
        <v>0.1</v>
      </c>
      <c r="E1431" s="21">
        <f t="shared" si="155"/>
        <v>7.9741404289037643E-3</v>
      </c>
      <c r="F1431" s="5">
        <v>40878</v>
      </c>
      <c r="G1431" s="5">
        <v>41548</v>
      </c>
      <c r="H1431" s="16">
        <f t="shared" si="158"/>
        <v>670</v>
      </c>
      <c r="I1431" s="5">
        <v>41548</v>
      </c>
      <c r="J1431" s="5">
        <v>41015</v>
      </c>
      <c r="K1431" s="16">
        <f t="shared" si="159"/>
        <v>137</v>
      </c>
      <c r="L1431" s="13">
        <v>2544.71</v>
      </c>
      <c r="M1431" s="15">
        <f t="shared" si="157"/>
        <v>124.84166592676891</v>
      </c>
      <c r="N1431" s="13">
        <v>2544.71</v>
      </c>
      <c r="O1431" s="13">
        <v>0</v>
      </c>
      <c r="P1431" s="11">
        <f t="shared" si="156"/>
        <v>0</v>
      </c>
    </row>
    <row r="1432" spans="1:16" ht="18.75" customHeight="1" thickBot="1" x14ac:dyDescent="0.3">
      <c r="A1432" s="3" t="s">
        <v>11</v>
      </c>
      <c r="B1432" s="4">
        <v>811451</v>
      </c>
      <c r="C1432" s="3" t="s">
        <v>9</v>
      </c>
      <c r="D1432" s="18">
        <v>0.11</v>
      </c>
      <c r="E1432" s="21">
        <f t="shared" si="155"/>
        <v>8.7345938235519061E-3</v>
      </c>
      <c r="F1432" s="5">
        <v>40882</v>
      </c>
      <c r="G1432" s="5">
        <v>41167</v>
      </c>
      <c r="H1432" s="16">
        <f t="shared" si="158"/>
        <v>285</v>
      </c>
      <c r="I1432" s="5">
        <v>41167</v>
      </c>
      <c r="J1432" s="5">
        <v>41099</v>
      </c>
      <c r="K1432" s="16">
        <f t="shared" si="159"/>
        <v>217</v>
      </c>
      <c r="L1432" s="13">
        <v>845.51</v>
      </c>
      <c r="M1432" s="15">
        <f t="shared" si="157"/>
        <v>93.132616682805164</v>
      </c>
      <c r="N1432" s="13">
        <v>845.51</v>
      </c>
      <c r="O1432" s="13">
        <v>0</v>
      </c>
      <c r="P1432" s="11">
        <f t="shared" si="156"/>
        <v>0</v>
      </c>
    </row>
    <row r="1433" spans="1:16" ht="18.75" customHeight="1" thickBot="1" x14ac:dyDescent="0.3">
      <c r="A1433" s="3" t="s">
        <v>11</v>
      </c>
      <c r="B1433" s="4">
        <v>247575</v>
      </c>
      <c r="C1433" s="3" t="s">
        <v>9</v>
      </c>
      <c r="D1433" s="18">
        <v>0.11</v>
      </c>
      <c r="E1433" s="21">
        <f t="shared" si="155"/>
        <v>8.7345938235519061E-3</v>
      </c>
      <c r="F1433" s="5">
        <v>40883</v>
      </c>
      <c r="G1433" s="5">
        <v>42344</v>
      </c>
      <c r="H1433" s="16">
        <f t="shared" si="158"/>
        <v>1461</v>
      </c>
      <c r="I1433" s="5">
        <v>42344</v>
      </c>
      <c r="J1433" s="5">
        <v>40998</v>
      </c>
      <c r="K1433" s="16">
        <f t="shared" si="159"/>
        <v>115</v>
      </c>
      <c r="L1433" s="13">
        <v>126.04</v>
      </c>
      <c r="M1433" s="15">
        <f t="shared" si="157"/>
        <v>3.188570789037326</v>
      </c>
      <c r="N1433" s="13">
        <v>126.04</v>
      </c>
      <c r="O1433" s="13">
        <v>0</v>
      </c>
      <c r="P1433" s="11">
        <f t="shared" si="156"/>
        <v>1</v>
      </c>
    </row>
    <row r="1434" spans="1:16" ht="18.75" customHeight="1" thickBot="1" x14ac:dyDescent="0.3">
      <c r="A1434" s="3" t="s">
        <v>11</v>
      </c>
      <c r="B1434" s="4">
        <v>848179</v>
      </c>
      <c r="C1434" s="3" t="s">
        <v>9</v>
      </c>
      <c r="D1434" s="18">
        <v>9.7500000000000003E-2</v>
      </c>
      <c r="E1434" s="21">
        <f t="shared" si="155"/>
        <v>7.7830370878799737E-3</v>
      </c>
      <c r="F1434" s="5">
        <v>35760</v>
      </c>
      <c r="G1434" s="5">
        <v>36652</v>
      </c>
      <c r="H1434" s="16">
        <f t="shared" si="158"/>
        <v>892</v>
      </c>
      <c r="I1434" s="5">
        <v>36713</v>
      </c>
      <c r="J1434" s="5">
        <v>36523</v>
      </c>
      <c r="K1434" s="16">
        <f t="shared" si="159"/>
        <v>763</v>
      </c>
      <c r="L1434" s="13">
        <v>5786.5</v>
      </c>
      <c r="M1434" s="15">
        <f t="shared" si="157"/>
        <v>218.75224886126136</v>
      </c>
      <c r="N1434" s="13">
        <v>4703.03</v>
      </c>
      <c r="O1434" s="13">
        <v>394</v>
      </c>
      <c r="P1434" s="11">
        <f t="shared" si="156"/>
        <v>0</v>
      </c>
    </row>
    <row r="1435" spans="1:16" ht="18.75" customHeight="1" thickBot="1" x14ac:dyDescent="0.3">
      <c r="A1435" s="3" t="s">
        <v>11</v>
      </c>
      <c r="B1435" s="4">
        <v>110321</v>
      </c>
      <c r="C1435" s="3" t="s">
        <v>9</v>
      </c>
      <c r="D1435" s="18">
        <v>0.11</v>
      </c>
      <c r="E1435" s="21">
        <f t="shared" si="155"/>
        <v>8.7345938235519061E-3</v>
      </c>
      <c r="F1435" s="5">
        <v>35850</v>
      </c>
      <c r="G1435" s="5">
        <v>36590</v>
      </c>
      <c r="H1435" s="16">
        <f t="shared" si="158"/>
        <v>740</v>
      </c>
      <c r="I1435" s="5">
        <v>36621</v>
      </c>
      <c r="J1435" s="5">
        <v>36523</v>
      </c>
      <c r="K1435" s="16">
        <f t="shared" si="159"/>
        <v>673</v>
      </c>
      <c r="L1435" s="13">
        <v>4550</v>
      </c>
      <c r="M1435" s="15">
        <f t="shared" si="157"/>
        <v>205.8449920987982</v>
      </c>
      <c r="N1435" s="13">
        <v>2425.46</v>
      </c>
      <c r="O1435" s="13">
        <v>490.4</v>
      </c>
      <c r="P1435" s="11">
        <f t="shared" si="156"/>
        <v>0</v>
      </c>
    </row>
    <row r="1436" spans="1:16" ht="18.75" customHeight="1" thickBot="1" x14ac:dyDescent="0.3">
      <c r="A1436" s="3" t="s">
        <v>11</v>
      </c>
      <c r="B1436" s="4">
        <v>100500</v>
      </c>
      <c r="C1436" s="3" t="s">
        <v>9</v>
      </c>
      <c r="D1436" s="18">
        <v>0.1</v>
      </c>
      <c r="E1436" s="21">
        <f t="shared" si="155"/>
        <v>7.9741404289037643E-3</v>
      </c>
      <c r="F1436" s="5">
        <v>40912</v>
      </c>
      <c r="G1436" s="5">
        <v>43104</v>
      </c>
      <c r="H1436" s="16">
        <f t="shared" si="158"/>
        <v>2192</v>
      </c>
      <c r="I1436" s="5">
        <v>43104</v>
      </c>
      <c r="J1436" s="5">
        <v>42262</v>
      </c>
      <c r="K1436" s="16">
        <f t="shared" si="159"/>
        <v>1350</v>
      </c>
      <c r="L1436" s="13">
        <v>11026</v>
      </c>
      <c r="M1436" s="15">
        <f t="shared" si="157"/>
        <v>199.69395504063493</v>
      </c>
      <c r="N1436" s="13">
        <v>11026</v>
      </c>
      <c r="O1436" s="13">
        <v>0</v>
      </c>
      <c r="P1436" s="11">
        <f t="shared" si="156"/>
        <v>1</v>
      </c>
    </row>
    <row r="1437" spans="1:16" ht="18.75" customHeight="1" thickBot="1" x14ac:dyDescent="0.3">
      <c r="A1437" s="3" t="s">
        <v>11</v>
      </c>
      <c r="B1437" s="4">
        <v>678257</v>
      </c>
      <c r="C1437" s="3" t="s">
        <v>9</v>
      </c>
      <c r="D1437" s="18">
        <v>0.12</v>
      </c>
      <c r="E1437" s="21">
        <f t="shared" si="155"/>
        <v>9.4887929345830457E-3</v>
      </c>
      <c r="F1437" s="5">
        <v>40914</v>
      </c>
      <c r="G1437" s="5">
        <v>42205</v>
      </c>
      <c r="H1437" s="16">
        <f t="shared" si="158"/>
        <v>1291</v>
      </c>
      <c r="I1437" s="5">
        <v>42205</v>
      </c>
      <c r="J1437" s="5">
        <v>42317</v>
      </c>
      <c r="K1437" s="16">
        <f t="shared" si="159"/>
        <v>1403</v>
      </c>
      <c r="L1437" s="13">
        <v>555.44000000000005</v>
      </c>
      <c r="M1437" s="15">
        <f t="shared" si="157"/>
        <v>15.781579166822478</v>
      </c>
      <c r="N1437" s="13">
        <v>555.44000000000005</v>
      </c>
      <c r="O1437" s="13">
        <v>0</v>
      </c>
      <c r="P1437" s="11">
        <f t="shared" si="156"/>
        <v>1</v>
      </c>
    </row>
    <row r="1438" spans="1:16" ht="18.75" customHeight="1" thickBot="1" x14ac:dyDescent="0.3">
      <c r="A1438" s="3" t="s">
        <v>11</v>
      </c>
      <c r="B1438" s="4">
        <v>393695</v>
      </c>
      <c r="C1438" s="3" t="s">
        <v>9</v>
      </c>
      <c r="D1438" s="18">
        <v>0.09</v>
      </c>
      <c r="E1438" s="21">
        <f t="shared" si="155"/>
        <v>7.2073233161367156E-3</v>
      </c>
      <c r="F1438" s="5">
        <v>40941</v>
      </c>
      <c r="G1438" s="5">
        <v>43133</v>
      </c>
      <c r="H1438" s="16">
        <f t="shared" si="158"/>
        <v>2192</v>
      </c>
      <c r="I1438" s="5">
        <v>43133</v>
      </c>
      <c r="J1438" s="5">
        <v>41256</v>
      </c>
      <c r="K1438" s="16">
        <f t="shared" si="159"/>
        <v>315</v>
      </c>
      <c r="L1438" s="13">
        <v>9479.33</v>
      </c>
      <c r="M1438" s="15">
        <f t="shared" si="157"/>
        <v>167.33646499367109</v>
      </c>
      <c r="N1438" s="13">
        <v>9479.33</v>
      </c>
      <c r="O1438" s="13">
        <v>0</v>
      </c>
      <c r="P1438" s="11">
        <f t="shared" si="156"/>
        <v>1</v>
      </c>
    </row>
    <row r="1439" spans="1:16" ht="18.75" customHeight="1" thickBot="1" x14ac:dyDescent="0.3">
      <c r="A1439" s="3" t="s">
        <v>11</v>
      </c>
      <c r="B1439" s="4">
        <v>688313</v>
      </c>
      <c r="C1439" s="3" t="s">
        <v>9</v>
      </c>
      <c r="D1439" s="18">
        <v>0.12</v>
      </c>
      <c r="E1439" s="21">
        <f t="shared" si="155"/>
        <v>9.4887929345830457E-3</v>
      </c>
      <c r="F1439" s="5">
        <v>40947</v>
      </c>
      <c r="G1439" s="5">
        <v>42175</v>
      </c>
      <c r="H1439" s="16">
        <f t="shared" si="158"/>
        <v>1228</v>
      </c>
      <c r="I1439" s="5">
        <v>42175</v>
      </c>
      <c r="J1439" s="5">
        <v>41655</v>
      </c>
      <c r="K1439" s="16">
        <f t="shared" si="159"/>
        <v>708</v>
      </c>
      <c r="L1439" s="13">
        <v>3346.18</v>
      </c>
      <c r="M1439" s="15">
        <f t="shared" si="157"/>
        <v>99.030220993642658</v>
      </c>
      <c r="N1439" s="13">
        <v>3346.18</v>
      </c>
      <c r="O1439" s="13">
        <v>0</v>
      </c>
      <c r="P1439" s="11">
        <f t="shared" si="156"/>
        <v>1</v>
      </c>
    </row>
    <row r="1440" spans="1:16" ht="18.75" customHeight="1" thickBot="1" x14ac:dyDescent="0.3">
      <c r="A1440" s="3" t="s">
        <v>11</v>
      </c>
      <c r="B1440" s="4">
        <v>677163</v>
      </c>
      <c r="C1440" s="3" t="s">
        <v>9</v>
      </c>
      <c r="D1440" s="18">
        <v>0.1</v>
      </c>
      <c r="E1440" s="21">
        <f t="shared" si="155"/>
        <v>7.9741404289037643E-3</v>
      </c>
      <c r="F1440" s="5">
        <v>40953</v>
      </c>
      <c r="G1440" s="5">
        <v>41926</v>
      </c>
      <c r="H1440" s="16">
        <f t="shared" si="158"/>
        <v>973</v>
      </c>
      <c r="I1440" s="5">
        <v>41926</v>
      </c>
      <c r="J1440" s="5">
        <v>41228</v>
      </c>
      <c r="K1440" s="16">
        <f t="shared" si="159"/>
        <v>275</v>
      </c>
      <c r="L1440" s="13">
        <v>1115.67</v>
      </c>
      <c r="M1440" s="15">
        <f t="shared" si="157"/>
        <v>39.174862425504465</v>
      </c>
      <c r="N1440" s="13">
        <v>1115.67</v>
      </c>
      <c r="O1440" s="13">
        <v>0</v>
      </c>
      <c r="P1440" s="11">
        <f t="shared" si="156"/>
        <v>0</v>
      </c>
    </row>
    <row r="1441" spans="1:16" ht="18.75" customHeight="1" thickBot="1" x14ac:dyDescent="0.3">
      <c r="A1441" s="3" t="s">
        <v>11</v>
      </c>
      <c r="B1441" s="4">
        <v>197750</v>
      </c>
      <c r="C1441" s="3" t="s">
        <v>9</v>
      </c>
      <c r="D1441" s="18">
        <v>0.1</v>
      </c>
      <c r="E1441" s="21">
        <f t="shared" si="155"/>
        <v>7.9741404289037643E-3</v>
      </c>
      <c r="F1441" s="5">
        <v>40960</v>
      </c>
      <c r="G1441" s="5">
        <v>42572</v>
      </c>
      <c r="H1441" s="16">
        <f t="shared" si="158"/>
        <v>1612</v>
      </c>
      <c r="I1441" s="5">
        <v>42572</v>
      </c>
      <c r="J1441" s="5">
        <v>42447</v>
      </c>
      <c r="K1441" s="16">
        <f t="shared" si="159"/>
        <v>1487</v>
      </c>
      <c r="L1441" s="13">
        <v>3830.9</v>
      </c>
      <c r="M1441" s="15">
        <f t="shared" si="157"/>
        <v>87.935767849807306</v>
      </c>
      <c r="N1441" s="13">
        <v>3830.9</v>
      </c>
      <c r="O1441" s="13">
        <v>0</v>
      </c>
      <c r="P1441" s="11">
        <f t="shared" si="156"/>
        <v>1</v>
      </c>
    </row>
    <row r="1442" spans="1:16" ht="18.75" customHeight="1" thickBot="1" x14ac:dyDescent="0.3">
      <c r="A1442" s="3" t="s">
        <v>11</v>
      </c>
      <c r="B1442" s="4">
        <v>231075</v>
      </c>
      <c r="C1442" s="3" t="s">
        <v>9</v>
      </c>
      <c r="D1442" s="18">
        <v>0.105</v>
      </c>
      <c r="E1442" s="21">
        <f t="shared" si="155"/>
        <v>8.355155683635207E-3</v>
      </c>
      <c r="F1442" s="5">
        <v>40968</v>
      </c>
      <c r="G1442" s="5">
        <v>41333</v>
      </c>
      <c r="H1442" s="16">
        <f t="shared" si="158"/>
        <v>365</v>
      </c>
      <c r="I1442" s="5">
        <v>41333</v>
      </c>
      <c r="J1442" s="5">
        <v>41239</v>
      </c>
      <c r="K1442" s="16">
        <f t="shared" si="159"/>
        <v>271</v>
      </c>
      <c r="L1442" s="13">
        <v>4300</v>
      </c>
      <c r="M1442" s="15">
        <f t="shared" si="157"/>
        <v>373.16568388330751</v>
      </c>
      <c r="N1442" s="13">
        <v>4300</v>
      </c>
      <c r="O1442" s="13">
        <v>0</v>
      </c>
      <c r="P1442" s="11">
        <f t="shared" si="156"/>
        <v>0</v>
      </c>
    </row>
    <row r="1443" spans="1:16" ht="18.75" customHeight="1" thickBot="1" x14ac:dyDescent="0.3">
      <c r="A1443" s="3" t="s">
        <v>11</v>
      </c>
      <c r="B1443" s="4">
        <v>102008</v>
      </c>
      <c r="C1443" s="3" t="s">
        <v>9</v>
      </c>
      <c r="D1443" s="18">
        <v>0.1</v>
      </c>
      <c r="E1443" s="21">
        <f t="shared" si="155"/>
        <v>7.9741404289037643E-3</v>
      </c>
      <c r="F1443" s="5">
        <v>40969</v>
      </c>
      <c r="G1443" s="5">
        <v>41616</v>
      </c>
      <c r="H1443" s="16">
        <f t="shared" si="158"/>
        <v>647</v>
      </c>
      <c r="I1443" s="5">
        <v>41616</v>
      </c>
      <c r="J1443" s="5">
        <v>42731</v>
      </c>
      <c r="K1443" s="16">
        <f t="shared" si="159"/>
        <v>1762</v>
      </c>
      <c r="L1443" s="13">
        <v>2869.43</v>
      </c>
      <c r="M1443" s="15">
        <f t="shared" si="157"/>
        <v>145.3461558693655</v>
      </c>
      <c r="N1443" s="13">
        <v>2869.43</v>
      </c>
      <c r="O1443" s="13">
        <v>0</v>
      </c>
      <c r="P1443" s="11">
        <f t="shared" si="156"/>
        <v>0</v>
      </c>
    </row>
    <row r="1444" spans="1:16" ht="18.75" customHeight="1" thickBot="1" x14ac:dyDescent="0.3">
      <c r="A1444" s="3" t="s">
        <v>11</v>
      </c>
      <c r="B1444" s="4">
        <v>958509</v>
      </c>
      <c r="C1444" s="3" t="s">
        <v>9</v>
      </c>
      <c r="D1444" s="18">
        <v>8.5000000000000006E-2</v>
      </c>
      <c r="E1444" s="21">
        <f t="shared" si="155"/>
        <v>6.8214933659622723E-3</v>
      </c>
      <c r="F1444" s="5">
        <v>40976</v>
      </c>
      <c r="G1444" s="5">
        <v>42437</v>
      </c>
      <c r="H1444" s="16">
        <f t="shared" si="158"/>
        <v>1461</v>
      </c>
      <c r="I1444" s="5">
        <v>42437</v>
      </c>
      <c r="J1444" s="5">
        <v>42075</v>
      </c>
      <c r="K1444" s="16">
        <f t="shared" si="159"/>
        <v>1099</v>
      </c>
      <c r="L1444" s="13">
        <v>7874.87</v>
      </c>
      <c r="M1444" s="15">
        <f t="shared" si="157"/>
        <v>190.59111179003881</v>
      </c>
      <c r="N1444" s="13">
        <v>7874.87</v>
      </c>
      <c r="O1444" s="13">
        <v>7874.87</v>
      </c>
      <c r="P1444" s="11">
        <f t="shared" si="156"/>
        <v>1</v>
      </c>
    </row>
    <row r="1445" spans="1:16" ht="18.75" customHeight="1" thickBot="1" x14ac:dyDescent="0.3">
      <c r="A1445" s="3" t="s">
        <v>11</v>
      </c>
      <c r="B1445" s="4">
        <v>230034</v>
      </c>
      <c r="C1445" s="3" t="s">
        <v>9</v>
      </c>
      <c r="D1445" s="18">
        <v>0.1</v>
      </c>
      <c r="E1445" s="21">
        <f t="shared" si="155"/>
        <v>7.9741404289037643E-3</v>
      </c>
      <c r="F1445" s="5">
        <v>40980</v>
      </c>
      <c r="G1445" s="5">
        <v>42259</v>
      </c>
      <c r="H1445" s="16">
        <f t="shared" si="158"/>
        <v>1279</v>
      </c>
      <c r="I1445" s="5">
        <v>42259</v>
      </c>
      <c r="J1445" s="5">
        <v>41906</v>
      </c>
      <c r="K1445" s="16">
        <f t="shared" si="159"/>
        <v>926</v>
      </c>
      <c r="L1445" s="13">
        <v>5034.13</v>
      </c>
      <c r="M1445" s="15">
        <f t="shared" si="157"/>
        <v>139.75186215876352</v>
      </c>
      <c r="N1445" s="13">
        <v>5034.13</v>
      </c>
      <c r="O1445" s="13">
        <v>0</v>
      </c>
      <c r="P1445" s="11">
        <f t="shared" si="156"/>
        <v>1</v>
      </c>
    </row>
    <row r="1446" spans="1:16" ht="18.75" customHeight="1" thickBot="1" x14ac:dyDescent="0.3">
      <c r="A1446" s="3" t="s">
        <v>11</v>
      </c>
      <c r="B1446" s="4">
        <v>86004</v>
      </c>
      <c r="C1446" s="3" t="s">
        <v>16</v>
      </c>
      <c r="D1446" s="18">
        <v>0.16500000000000001</v>
      </c>
      <c r="E1446" s="21">
        <f t="shared" si="155"/>
        <v>1.2808087081983555E-2</v>
      </c>
      <c r="F1446" s="5">
        <v>36390</v>
      </c>
      <c r="G1446" s="5">
        <v>36641</v>
      </c>
      <c r="H1446" s="16">
        <f t="shared" si="158"/>
        <v>251</v>
      </c>
      <c r="I1446" s="5">
        <v>37189</v>
      </c>
      <c r="J1446" s="5">
        <v>36795</v>
      </c>
      <c r="K1446" s="16">
        <f t="shared" si="159"/>
        <v>405</v>
      </c>
      <c r="L1446" s="13">
        <v>1020.99</v>
      </c>
      <c r="M1446" s="15">
        <f t="shared" si="157"/>
        <v>129.46498845340773</v>
      </c>
      <c r="N1446" s="13">
        <v>515.28</v>
      </c>
      <c r="O1446" s="13">
        <v>550.08000000000004</v>
      </c>
      <c r="P1446" s="11">
        <f t="shared" si="156"/>
        <v>0</v>
      </c>
    </row>
    <row r="1447" spans="1:16" ht="18.75" customHeight="1" thickBot="1" x14ac:dyDescent="0.3">
      <c r="A1447" s="3" t="s">
        <v>11</v>
      </c>
      <c r="B1447" s="4">
        <v>294566</v>
      </c>
      <c r="C1447" s="3" t="s">
        <v>9</v>
      </c>
      <c r="D1447" s="18">
        <v>0.1</v>
      </c>
      <c r="E1447" s="21">
        <f t="shared" ref="E1447:E1510" si="160">(1+D1447)^(1/12)-1</f>
        <v>7.9741404289037643E-3</v>
      </c>
      <c r="F1447" s="5">
        <v>40987</v>
      </c>
      <c r="G1447" s="5">
        <v>43058</v>
      </c>
      <c r="H1447" s="16">
        <f t="shared" si="158"/>
        <v>2071</v>
      </c>
      <c r="I1447" s="5">
        <v>43058</v>
      </c>
      <c r="J1447" s="5">
        <v>42156</v>
      </c>
      <c r="K1447" s="16">
        <f t="shared" si="159"/>
        <v>1169</v>
      </c>
      <c r="L1447" s="13">
        <v>3161.3</v>
      </c>
      <c r="M1447" s="15">
        <f t="shared" si="157"/>
        <v>59.726577373645057</v>
      </c>
      <c r="N1447" s="13">
        <v>3161.3</v>
      </c>
      <c r="O1447" s="13">
        <v>0</v>
      </c>
      <c r="P1447" s="11">
        <f t="shared" ref="P1447:P1510" si="161">IF((G1447)&gt;(ConstantDateCutoff),1,0)</f>
        <v>1</v>
      </c>
    </row>
    <row r="1448" spans="1:16" ht="18.75" customHeight="1" thickBot="1" x14ac:dyDescent="0.3">
      <c r="A1448" s="3" t="s">
        <v>11</v>
      </c>
      <c r="B1448" s="4">
        <v>301769</v>
      </c>
      <c r="C1448" s="3" t="s">
        <v>9</v>
      </c>
      <c r="D1448" s="18">
        <v>0.12</v>
      </c>
      <c r="E1448" s="21">
        <f t="shared" si="160"/>
        <v>9.4887929345830457E-3</v>
      </c>
      <c r="F1448" s="5">
        <v>40991</v>
      </c>
      <c r="G1448" s="5">
        <v>43274</v>
      </c>
      <c r="H1448" s="16">
        <f t="shared" si="158"/>
        <v>2283</v>
      </c>
      <c r="I1448" s="5">
        <v>43274</v>
      </c>
      <c r="J1448" s="5">
        <v>41793</v>
      </c>
      <c r="K1448" s="16">
        <f t="shared" si="159"/>
        <v>802</v>
      </c>
      <c r="L1448" s="13">
        <v>10000</v>
      </c>
      <c r="M1448" s="15">
        <f t="shared" si="157"/>
        <v>185.1070808239831</v>
      </c>
      <c r="N1448" s="13">
        <v>10000</v>
      </c>
      <c r="O1448" s="13">
        <v>0</v>
      </c>
      <c r="P1448" s="11">
        <f t="shared" si="161"/>
        <v>1</v>
      </c>
    </row>
    <row r="1449" spans="1:16" ht="18.75" customHeight="1" thickBot="1" x14ac:dyDescent="0.3">
      <c r="A1449" s="3" t="s">
        <v>11</v>
      </c>
      <c r="B1449" s="4">
        <v>695771</v>
      </c>
      <c r="C1449" s="3" t="s">
        <v>9</v>
      </c>
      <c r="D1449" s="18">
        <v>0.11</v>
      </c>
      <c r="E1449" s="21">
        <f t="shared" si="160"/>
        <v>8.7345938235519061E-3</v>
      </c>
      <c r="F1449" s="5">
        <v>40996</v>
      </c>
      <c r="G1449" s="5">
        <v>43187</v>
      </c>
      <c r="H1449" s="16">
        <f t="shared" si="158"/>
        <v>2191</v>
      </c>
      <c r="I1449" s="5">
        <v>43187</v>
      </c>
      <c r="J1449" s="5">
        <v>41316</v>
      </c>
      <c r="K1449" s="16">
        <f t="shared" si="159"/>
        <v>320</v>
      </c>
      <c r="L1449" s="13">
        <v>1312.48</v>
      </c>
      <c r="M1449" s="15">
        <f t="shared" si="157"/>
        <v>24.384067637689338</v>
      </c>
      <c r="N1449" s="13">
        <v>1312.48</v>
      </c>
      <c r="O1449" s="13">
        <v>0</v>
      </c>
      <c r="P1449" s="11">
        <f t="shared" si="161"/>
        <v>1</v>
      </c>
    </row>
    <row r="1450" spans="1:16" ht="18.75" customHeight="1" thickBot="1" x14ac:dyDescent="0.3">
      <c r="A1450" s="3" t="s">
        <v>11</v>
      </c>
      <c r="B1450" s="4">
        <v>628214</v>
      </c>
      <c r="C1450" s="3" t="s">
        <v>9</v>
      </c>
      <c r="D1450" s="18">
        <v>0.13</v>
      </c>
      <c r="E1450" s="21">
        <f t="shared" si="160"/>
        <v>1.02368443581764E-2</v>
      </c>
      <c r="F1450" s="5">
        <v>40996</v>
      </c>
      <c r="G1450" s="5">
        <v>41726</v>
      </c>
      <c r="H1450" s="16">
        <f t="shared" si="158"/>
        <v>730</v>
      </c>
      <c r="I1450" s="5">
        <v>41726</v>
      </c>
      <c r="J1450" s="5">
        <v>42342</v>
      </c>
      <c r="K1450" s="16">
        <f t="shared" si="159"/>
        <v>1346</v>
      </c>
      <c r="L1450" s="13">
        <v>989.4</v>
      </c>
      <c r="M1450" s="15">
        <f t="shared" si="157"/>
        <v>46.141165824248745</v>
      </c>
      <c r="N1450" s="13">
        <v>989.4</v>
      </c>
      <c r="O1450" s="13">
        <v>0</v>
      </c>
      <c r="P1450" s="11">
        <f t="shared" si="161"/>
        <v>0</v>
      </c>
    </row>
    <row r="1451" spans="1:16" ht="18.75" customHeight="1" thickBot="1" x14ac:dyDescent="0.3">
      <c r="A1451" s="3" t="s">
        <v>11</v>
      </c>
      <c r="B1451" s="4">
        <v>232367</v>
      </c>
      <c r="C1451" s="3" t="s">
        <v>9</v>
      </c>
      <c r="D1451" s="18">
        <v>0.13500000000000001</v>
      </c>
      <c r="E1451" s="21">
        <f t="shared" si="160"/>
        <v>1.0608597246586804E-2</v>
      </c>
      <c r="F1451" s="5">
        <v>36796</v>
      </c>
      <c r="G1451" s="5">
        <v>37889</v>
      </c>
      <c r="H1451" s="16">
        <f t="shared" si="158"/>
        <v>1093</v>
      </c>
      <c r="I1451" s="5">
        <v>37889</v>
      </c>
      <c r="J1451" s="5">
        <v>37256</v>
      </c>
      <c r="K1451" s="16">
        <f t="shared" si="159"/>
        <v>460</v>
      </c>
      <c r="L1451" s="13">
        <v>7544.62</v>
      </c>
      <c r="M1451" s="15">
        <f t="shared" si="157"/>
        <v>250.75360232784266</v>
      </c>
      <c r="N1451" s="13">
        <v>6166.42</v>
      </c>
      <c r="O1451" s="13">
        <v>2320</v>
      </c>
      <c r="P1451" s="11">
        <f t="shared" si="161"/>
        <v>0</v>
      </c>
    </row>
    <row r="1452" spans="1:16" ht="18.75" customHeight="1" thickBot="1" x14ac:dyDescent="0.3">
      <c r="A1452" s="3" t="s">
        <v>11</v>
      </c>
      <c r="B1452" s="4">
        <v>249384</v>
      </c>
      <c r="C1452" s="3" t="s">
        <v>20</v>
      </c>
      <c r="D1452" s="18">
        <v>0.08</v>
      </c>
      <c r="E1452" s="21">
        <f t="shared" si="160"/>
        <v>6.4340301100034303E-3</v>
      </c>
      <c r="F1452" s="5">
        <v>36917</v>
      </c>
      <c r="G1452" s="5">
        <v>38021</v>
      </c>
      <c r="H1452" s="16">
        <f t="shared" si="158"/>
        <v>1104</v>
      </c>
      <c r="I1452" s="5">
        <v>39436</v>
      </c>
      <c r="J1452" s="5">
        <v>37256</v>
      </c>
      <c r="K1452" s="16">
        <f t="shared" si="159"/>
        <v>339</v>
      </c>
      <c r="L1452" s="13">
        <v>10089.299999999999</v>
      </c>
      <c r="M1452" s="15">
        <f t="shared" si="157"/>
        <v>308.77979364518575</v>
      </c>
      <c r="N1452" s="13">
        <v>9417.99</v>
      </c>
      <c r="O1452" s="13">
        <v>8268.09</v>
      </c>
      <c r="P1452" s="11">
        <f t="shared" si="161"/>
        <v>0</v>
      </c>
    </row>
    <row r="1453" spans="1:16" ht="18.75" customHeight="1" thickBot="1" x14ac:dyDescent="0.3">
      <c r="A1453" s="3" t="s">
        <v>11</v>
      </c>
      <c r="B1453" s="4">
        <v>431163</v>
      </c>
      <c r="C1453" s="3" t="s">
        <v>8</v>
      </c>
      <c r="D1453" s="18">
        <v>7.0000000000000007E-2</v>
      </c>
      <c r="E1453" s="21">
        <f t="shared" si="160"/>
        <v>5.6541453874052738E-3</v>
      </c>
      <c r="F1453" s="5">
        <v>41043</v>
      </c>
      <c r="G1453" s="5">
        <v>45128</v>
      </c>
      <c r="H1453" s="16">
        <f t="shared" si="158"/>
        <v>4085</v>
      </c>
      <c r="I1453" s="5">
        <v>45128</v>
      </c>
      <c r="J1453" s="5">
        <v>43717</v>
      </c>
      <c r="K1453" s="16">
        <f t="shared" si="159"/>
        <v>2674</v>
      </c>
      <c r="L1453" s="13">
        <v>44284.86</v>
      </c>
      <c r="M1453" s="15">
        <f t="shared" si="157"/>
        <v>467.20498609751047</v>
      </c>
      <c r="N1453" s="13">
        <v>26243.73</v>
      </c>
      <c r="O1453" s="13">
        <v>0</v>
      </c>
      <c r="P1453" s="11">
        <f t="shared" si="161"/>
        <v>1</v>
      </c>
    </row>
    <row r="1454" spans="1:16" ht="18.75" customHeight="1" thickBot="1" x14ac:dyDescent="0.3">
      <c r="A1454" s="3" t="s">
        <v>11</v>
      </c>
      <c r="B1454" s="4">
        <v>444015</v>
      </c>
      <c r="C1454" s="3" t="s">
        <v>9</v>
      </c>
      <c r="D1454" s="18">
        <v>0.09</v>
      </c>
      <c r="E1454" s="21">
        <f t="shared" si="160"/>
        <v>7.2073233161367156E-3</v>
      </c>
      <c r="F1454" s="5">
        <v>41043</v>
      </c>
      <c r="G1454" s="5">
        <v>42869</v>
      </c>
      <c r="H1454" s="16">
        <f t="shared" si="158"/>
        <v>1826</v>
      </c>
      <c r="I1454" s="5">
        <v>42869</v>
      </c>
      <c r="J1454" s="5">
        <v>42885</v>
      </c>
      <c r="K1454" s="16">
        <f t="shared" si="159"/>
        <v>1842</v>
      </c>
      <c r="L1454" s="13">
        <v>17998.259999999998</v>
      </c>
      <c r="M1454" s="15">
        <f t="shared" si="157"/>
        <v>366.33392707960019</v>
      </c>
      <c r="N1454" s="13">
        <v>17998.259999999998</v>
      </c>
      <c r="O1454" s="13">
        <v>0</v>
      </c>
      <c r="P1454" s="11">
        <f t="shared" si="161"/>
        <v>1</v>
      </c>
    </row>
    <row r="1455" spans="1:16" ht="18.75" customHeight="1" thickBot="1" x14ac:dyDescent="0.3">
      <c r="A1455" s="3" t="s">
        <v>11</v>
      </c>
      <c r="B1455" s="4">
        <v>156798</v>
      </c>
      <c r="C1455" s="3" t="s">
        <v>9</v>
      </c>
      <c r="D1455" s="18">
        <v>0.09</v>
      </c>
      <c r="E1455" s="21">
        <f t="shared" si="160"/>
        <v>7.2073233161367156E-3</v>
      </c>
      <c r="F1455" s="5">
        <v>41047</v>
      </c>
      <c r="G1455" s="5">
        <v>42142</v>
      </c>
      <c r="H1455" s="16">
        <f t="shared" si="158"/>
        <v>1095</v>
      </c>
      <c r="I1455" s="5">
        <v>42142</v>
      </c>
      <c r="J1455" s="5">
        <v>42375</v>
      </c>
      <c r="K1455" s="16">
        <f t="shared" si="159"/>
        <v>1328</v>
      </c>
      <c r="L1455" s="13">
        <v>4036.74</v>
      </c>
      <c r="M1455" s="15">
        <f t="shared" si="157"/>
        <v>126.17552836617253</v>
      </c>
      <c r="N1455" s="13">
        <v>4036.74</v>
      </c>
      <c r="O1455" s="13">
        <v>0</v>
      </c>
      <c r="P1455" s="11">
        <f t="shared" si="161"/>
        <v>1</v>
      </c>
    </row>
    <row r="1456" spans="1:16" ht="18.75" customHeight="1" thickBot="1" x14ac:dyDescent="0.3">
      <c r="A1456" s="3" t="s">
        <v>11</v>
      </c>
      <c r="B1456" s="4">
        <v>699434</v>
      </c>
      <c r="C1456" s="3" t="s">
        <v>9</v>
      </c>
      <c r="D1456" s="18">
        <v>0.14000000000000001</v>
      </c>
      <c r="E1456" s="21">
        <f t="shared" si="160"/>
        <v>1.0978851950173452E-2</v>
      </c>
      <c r="F1456" s="5">
        <v>41044</v>
      </c>
      <c r="G1456" s="5">
        <v>42597</v>
      </c>
      <c r="H1456" s="16">
        <f t="shared" si="158"/>
        <v>1553</v>
      </c>
      <c r="I1456" s="5">
        <v>42597</v>
      </c>
      <c r="J1456" s="5">
        <v>42227</v>
      </c>
      <c r="K1456" s="16">
        <f t="shared" si="159"/>
        <v>1183</v>
      </c>
      <c r="L1456" s="13">
        <v>639.9</v>
      </c>
      <c r="M1456" s="15">
        <f t="shared" si="157"/>
        <v>16.270822790045756</v>
      </c>
      <c r="N1456" s="13">
        <v>639.9</v>
      </c>
      <c r="O1456" s="13">
        <v>0</v>
      </c>
      <c r="P1456" s="11">
        <f t="shared" si="161"/>
        <v>1</v>
      </c>
    </row>
    <row r="1457" spans="1:16" ht="18.75" customHeight="1" thickBot="1" x14ac:dyDescent="0.3">
      <c r="A1457" s="3" t="s">
        <v>11</v>
      </c>
      <c r="B1457" s="4">
        <v>111540</v>
      </c>
      <c r="C1457" s="3" t="s">
        <v>9</v>
      </c>
      <c r="D1457" s="18">
        <v>0.1</v>
      </c>
      <c r="E1457" s="21">
        <f t="shared" si="160"/>
        <v>7.9741404289037643E-3</v>
      </c>
      <c r="F1457" s="5">
        <v>41061</v>
      </c>
      <c r="G1457" s="5">
        <v>42522</v>
      </c>
      <c r="H1457" s="16">
        <f t="shared" si="158"/>
        <v>1461</v>
      </c>
      <c r="I1457" s="5">
        <v>42522</v>
      </c>
      <c r="J1457" s="5">
        <v>41452</v>
      </c>
      <c r="K1457" s="16">
        <f t="shared" si="159"/>
        <v>391</v>
      </c>
      <c r="L1457" s="13">
        <v>53.94</v>
      </c>
      <c r="M1457" s="15">
        <f t="shared" si="157"/>
        <v>1.340900261495823</v>
      </c>
      <c r="N1457" s="13">
        <v>53.94</v>
      </c>
      <c r="O1457" s="13">
        <v>0</v>
      </c>
      <c r="P1457" s="11">
        <f t="shared" si="161"/>
        <v>1</v>
      </c>
    </row>
    <row r="1458" spans="1:16" ht="18.75" customHeight="1" thickBot="1" x14ac:dyDescent="0.3">
      <c r="A1458" s="3" t="s">
        <v>11</v>
      </c>
      <c r="B1458" s="4">
        <v>641330</v>
      </c>
      <c r="C1458" s="3" t="s">
        <v>9</v>
      </c>
      <c r="D1458" s="18">
        <v>0.1</v>
      </c>
      <c r="E1458" s="21">
        <f t="shared" si="160"/>
        <v>7.9741404289037643E-3</v>
      </c>
      <c r="F1458" s="5">
        <v>41065</v>
      </c>
      <c r="G1458" s="5">
        <v>42891</v>
      </c>
      <c r="H1458" s="16">
        <f t="shared" si="158"/>
        <v>1826</v>
      </c>
      <c r="I1458" s="5">
        <v>42891</v>
      </c>
      <c r="J1458" s="5">
        <v>42355</v>
      </c>
      <c r="K1458" s="16">
        <f t="shared" si="159"/>
        <v>1290</v>
      </c>
      <c r="L1458" s="13">
        <v>4303.16</v>
      </c>
      <c r="M1458" s="15">
        <f t="shared" si="157"/>
        <v>89.513670372623025</v>
      </c>
      <c r="N1458" s="13">
        <v>4303.16</v>
      </c>
      <c r="O1458" s="13">
        <v>0</v>
      </c>
      <c r="P1458" s="11">
        <f t="shared" si="161"/>
        <v>1</v>
      </c>
    </row>
    <row r="1459" spans="1:16" ht="18.75" hidden="1" customHeight="1" thickBot="1" x14ac:dyDescent="0.3">
      <c r="A1459" s="3" t="s">
        <v>11</v>
      </c>
      <c r="B1459" s="4">
        <v>60769</v>
      </c>
      <c r="C1459" s="3" t="s">
        <v>9</v>
      </c>
      <c r="D1459" s="18">
        <v>0.1</v>
      </c>
      <c r="E1459" s="21">
        <f t="shared" si="160"/>
        <v>7.9741404289037643E-3</v>
      </c>
      <c r="F1459" s="5">
        <v>41081</v>
      </c>
      <c r="G1459" s="5">
        <v>41142</v>
      </c>
      <c r="H1459" s="16">
        <f t="shared" si="158"/>
        <v>61</v>
      </c>
      <c r="I1459" s="5">
        <v>41142</v>
      </c>
      <c r="J1459" s="2"/>
      <c r="K1459" s="16">
        <f t="shared" si="159"/>
        <v>-41081</v>
      </c>
      <c r="L1459" s="13">
        <v>8121.91</v>
      </c>
      <c r="M1459" s="15">
        <f t="shared" si="157"/>
        <v>4042.7565537918908</v>
      </c>
      <c r="N1459" s="13">
        <v>8121.91</v>
      </c>
      <c r="O1459" s="13">
        <v>0</v>
      </c>
      <c r="P1459" s="11">
        <f t="shared" si="161"/>
        <v>0</v>
      </c>
    </row>
    <row r="1460" spans="1:16" ht="18.75" hidden="1" customHeight="1" thickBot="1" x14ac:dyDescent="0.3">
      <c r="A1460" s="3" t="s">
        <v>11</v>
      </c>
      <c r="B1460" s="4">
        <v>996053</v>
      </c>
      <c r="C1460" s="3" t="s">
        <v>9</v>
      </c>
      <c r="D1460" s="18">
        <v>0.1</v>
      </c>
      <c r="E1460" s="21">
        <f t="shared" si="160"/>
        <v>7.9741404289037643E-3</v>
      </c>
      <c r="F1460" s="5">
        <v>41088</v>
      </c>
      <c r="G1460" s="5">
        <v>41271</v>
      </c>
      <c r="H1460" s="16">
        <f t="shared" si="158"/>
        <v>183</v>
      </c>
      <c r="I1460" s="5">
        <v>41271</v>
      </c>
      <c r="J1460" s="2"/>
      <c r="K1460" s="16">
        <f t="shared" si="159"/>
        <v>-41088</v>
      </c>
      <c r="L1460" s="13">
        <v>4400</v>
      </c>
      <c r="M1460" s="15">
        <f t="shared" si="157"/>
        <v>741.86834998812446</v>
      </c>
      <c r="N1460" s="13">
        <v>4400</v>
      </c>
      <c r="O1460" s="13">
        <v>0</v>
      </c>
      <c r="P1460" s="11">
        <f t="shared" si="161"/>
        <v>0</v>
      </c>
    </row>
    <row r="1461" spans="1:16" ht="18.75" hidden="1" customHeight="1" thickBot="1" x14ac:dyDescent="0.3">
      <c r="A1461" s="3" t="s">
        <v>11</v>
      </c>
      <c r="B1461" s="4">
        <v>685216</v>
      </c>
      <c r="C1461" s="3" t="s">
        <v>9</v>
      </c>
      <c r="D1461" s="18">
        <v>0.11</v>
      </c>
      <c r="E1461" s="21">
        <f t="shared" si="160"/>
        <v>8.7345938235519061E-3</v>
      </c>
      <c r="F1461" s="5">
        <v>41093</v>
      </c>
      <c r="G1461" s="5">
        <v>42188</v>
      </c>
      <c r="H1461" s="16">
        <f t="shared" si="158"/>
        <v>1095</v>
      </c>
      <c r="I1461" s="5">
        <v>42188</v>
      </c>
      <c r="J1461" s="2"/>
      <c r="K1461" s="16">
        <f t="shared" si="159"/>
        <v>-41093</v>
      </c>
      <c r="L1461" s="13">
        <v>4000</v>
      </c>
      <c r="M1461" s="15">
        <f t="shared" si="157"/>
        <v>128.458797222448</v>
      </c>
      <c r="N1461" s="13">
        <v>4000</v>
      </c>
      <c r="O1461" s="13">
        <v>0</v>
      </c>
      <c r="P1461" s="11">
        <f t="shared" si="161"/>
        <v>1</v>
      </c>
    </row>
    <row r="1462" spans="1:16" ht="18.75" customHeight="1" thickBot="1" x14ac:dyDescent="0.3">
      <c r="A1462" s="3" t="s">
        <v>11</v>
      </c>
      <c r="B1462" s="4">
        <v>576986</v>
      </c>
      <c r="C1462" s="3" t="s">
        <v>2</v>
      </c>
      <c r="D1462" s="18">
        <v>0.08</v>
      </c>
      <c r="E1462" s="21">
        <f t="shared" si="160"/>
        <v>6.4340301100034303E-3</v>
      </c>
      <c r="F1462" s="5">
        <v>41095</v>
      </c>
      <c r="G1462" s="5">
        <v>42921</v>
      </c>
      <c r="H1462" s="16">
        <f t="shared" si="158"/>
        <v>1826</v>
      </c>
      <c r="I1462" s="5">
        <v>43348</v>
      </c>
      <c r="J1462" s="5">
        <v>43734</v>
      </c>
      <c r="K1462" s="16">
        <f t="shared" si="159"/>
        <v>2639</v>
      </c>
      <c r="L1462" s="13">
        <v>230000</v>
      </c>
      <c r="M1462" s="15">
        <f t="shared" si="157"/>
        <v>4578.8255212172307</v>
      </c>
      <c r="N1462" s="13">
        <v>9104.84</v>
      </c>
      <c r="O1462" s="13">
        <v>0</v>
      </c>
      <c r="P1462" s="11">
        <f t="shared" si="161"/>
        <v>1</v>
      </c>
    </row>
    <row r="1463" spans="1:16" ht="18.75" customHeight="1" thickBot="1" x14ac:dyDescent="0.3">
      <c r="A1463" s="3" t="s">
        <v>11</v>
      </c>
      <c r="B1463" s="4">
        <v>656023</v>
      </c>
      <c r="C1463" s="3" t="s">
        <v>9</v>
      </c>
      <c r="D1463" s="18">
        <v>0.12</v>
      </c>
      <c r="E1463" s="21">
        <f t="shared" si="160"/>
        <v>9.4887929345830457E-3</v>
      </c>
      <c r="F1463" s="5">
        <v>41099</v>
      </c>
      <c r="G1463" s="5">
        <v>41464</v>
      </c>
      <c r="H1463" s="16">
        <f t="shared" si="158"/>
        <v>365</v>
      </c>
      <c r="I1463" s="5">
        <v>41464</v>
      </c>
      <c r="J1463" s="5">
        <v>41136</v>
      </c>
      <c r="K1463" s="16">
        <f t="shared" si="159"/>
        <v>37</v>
      </c>
      <c r="L1463" s="13">
        <v>597.91</v>
      </c>
      <c r="M1463" s="15">
        <f t="shared" si="157"/>
        <v>52.267110567508425</v>
      </c>
      <c r="N1463" s="13">
        <v>597.91</v>
      </c>
      <c r="O1463" s="13">
        <v>0</v>
      </c>
      <c r="P1463" s="11">
        <f t="shared" si="161"/>
        <v>0</v>
      </c>
    </row>
    <row r="1464" spans="1:16" ht="18.75" customHeight="1" thickBot="1" x14ac:dyDescent="0.3">
      <c r="A1464" s="3" t="s">
        <v>11</v>
      </c>
      <c r="B1464" s="4">
        <v>384262</v>
      </c>
      <c r="C1464" s="3" t="s">
        <v>9</v>
      </c>
      <c r="D1464" s="18">
        <v>0.1</v>
      </c>
      <c r="E1464" s="21">
        <f t="shared" si="160"/>
        <v>7.9741404289037643E-3</v>
      </c>
      <c r="F1464" s="5">
        <v>41099</v>
      </c>
      <c r="G1464" s="5">
        <v>43413</v>
      </c>
      <c r="H1464" s="16">
        <f t="shared" si="158"/>
        <v>2314</v>
      </c>
      <c r="I1464" s="5">
        <v>43413</v>
      </c>
      <c r="J1464" s="5">
        <v>42720</v>
      </c>
      <c r="K1464" s="16">
        <f t="shared" si="159"/>
        <v>1621</v>
      </c>
      <c r="L1464" s="13">
        <v>13574.77</v>
      </c>
      <c r="M1464" s="15">
        <f t="shared" si="157"/>
        <v>236.3073360498002</v>
      </c>
      <c r="N1464" s="13">
        <v>13574.77</v>
      </c>
      <c r="O1464" s="13">
        <v>0</v>
      </c>
      <c r="P1464" s="11">
        <f t="shared" si="161"/>
        <v>1</v>
      </c>
    </row>
    <row r="1465" spans="1:16" ht="18.75" customHeight="1" thickBot="1" x14ac:dyDescent="0.3">
      <c r="A1465" s="3" t="s">
        <v>11</v>
      </c>
      <c r="B1465" s="4">
        <v>661596</v>
      </c>
      <c r="C1465" s="3" t="s">
        <v>9</v>
      </c>
      <c r="D1465" s="18">
        <v>0.1</v>
      </c>
      <c r="E1465" s="21">
        <f t="shared" si="160"/>
        <v>7.9741404289037643E-3</v>
      </c>
      <c r="F1465" s="5">
        <v>41102</v>
      </c>
      <c r="G1465" s="5">
        <v>42197</v>
      </c>
      <c r="H1465" s="16">
        <f t="shared" si="158"/>
        <v>1095</v>
      </c>
      <c r="I1465" s="5">
        <v>42197</v>
      </c>
      <c r="J1465" s="5">
        <v>41143</v>
      </c>
      <c r="K1465" s="16">
        <f t="shared" si="159"/>
        <v>41</v>
      </c>
      <c r="L1465" s="13">
        <v>3000</v>
      </c>
      <c r="M1465" s="15">
        <f t="shared" si="157"/>
        <v>95.057383577784989</v>
      </c>
      <c r="N1465" s="13">
        <v>3000</v>
      </c>
      <c r="O1465" s="13">
        <v>0</v>
      </c>
      <c r="P1465" s="11">
        <f t="shared" si="161"/>
        <v>1</v>
      </c>
    </row>
    <row r="1466" spans="1:16" ht="18.75" customHeight="1" thickBot="1" x14ac:dyDescent="0.3">
      <c r="A1466" s="3" t="s">
        <v>11</v>
      </c>
      <c r="B1466" s="4">
        <v>653293</v>
      </c>
      <c r="C1466" s="3" t="s">
        <v>9</v>
      </c>
      <c r="D1466" s="18">
        <v>0.11</v>
      </c>
      <c r="E1466" s="21">
        <f t="shared" si="160"/>
        <v>8.7345938235519061E-3</v>
      </c>
      <c r="F1466" s="5">
        <v>41110</v>
      </c>
      <c r="G1466" s="5">
        <v>43271</v>
      </c>
      <c r="H1466" s="16">
        <f t="shared" si="158"/>
        <v>2161</v>
      </c>
      <c r="I1466" s="5">
        <v>43271</v>
      </c>
      <c r="J1466" s="5">
        <v>42195</v>
      </c>
      <c r="K1466" s="16">
        <f t="shared" si="159"/>
        <v>1085</v>
      </c>
      <c r="L1466" s="13">
        <v>4716.91</v>
      </c>
      <c r="M1466" s="15">
        <f t="shared" si="157"/>
        <v>88.504924946655734</v>
      </c>
      <c r="N1466" s="13">
        <v>4716.91</v>
      </c>
      <c r="O1466" s="13">
        <v>0</v>
      </c>
      <c r="P1466" s="11">
        <f t="shared" si="161"/>
        <v>1</v>
      </c>
    </row>
    <row r="1467" spans="1:16" ht="18.75" customHeight="1" thickBot="1" x14ac:dyDescent="0.3">
      <c r="A1467" s="3" t="s">
        <v>11</v>
      </c>
      <c r="B1467" s="4">
        <v>963324</v>
      </c>
      <c r="C1467" s="3" t="s">
        <v>9</v>
      </c>
      <c r="D1467" s="18">
        <v>0.1</v>
      </c>
      <c r="E1467" s="21">
        <f t="shared" si="160"/>
        <v>7.9741404289037643E-3</v>
      </c>
      <c r="F1467" s="5">
        <v>41137</v>
      </c>
      <c r="G1467" s="5">
        <v>43328</v>
      </c>
      <c r="H1467" s="16">
        <f t="shared" si="158"/>
        <v>2191</v>
      </c>
      <c r="I1467" s="5">
        <v>43328</v>
      </c>
      <c r="J1467" s="5">
        <v>42405</v>
      </c>
      <c r="K1467" s="16">
        <f t="shared" si="159"/>
        <v>1268</v>
      </c>
      <c r="L1467" s="13">
        <v>7873.78</v>
      </c>
      <c r="M1467" s="15">
        <f t="shared" si="157"/>
        <v>142.65152446403636</v>
      </c>
      <c r="N1467" s="13">
        <v>7873.78</v>
      </c>
      <c r="O1467" s="13">
        <v>0</v>
      </c>
      <c r="P1467" s="11">
        <f t="shared" si="161"/>
        <v>1</v>
      </c>
    </row>
    <row r="1468" spans="1:16" ht="18.75" customHeight="1" thickBot="1" x14ac:dyDescent="0.3">
      <c r="A1468" s="3" t="s">
        <v>11</v>
      </c>
      <c r="B1468" s="4">
        <v>146663</v>
      </c>
      <c r="C1468" s="3" t="s">
        <v>9</v>
      </c>
      <c r="D1468" s="18">
        <v>0.1</v>
      </c>
      <c r="E1468" s="21">
        <f t="shared" si="160"/>
        <v>7.9741404289037643E-3</v>
      </c>
      <c r="F1468" s="5">
        <v>41137</v>
      </c>
      <c r="G1468" s="5">
        <v>41686</v>
      </c>
      <c r="H1468" s="16">
        <f t="shared" si="158"/>
        <v>549</v>
      </c>
      <c r="I1468" s="5">
        <v>41686</v>
      </c>
      <c r="J1468" s="5">
        <v>41841</v>
      </c>
      <c r="K1468" s="16">
        <f t="shared" si="159"/>
        <v>704</v>
      </c>
      <c r="L1468" s="13">
        <v>739.72</v>
      </c>
      <c r="M1468" s="15">
        <f t="shared" si="157"/>
        <v>43.603546001284244</v>
      </c>
      <c r="N1468" s="13">
        <v>739.72</v>
      </c>
      <c r="O1468" s="13">
        <v>0</v>
      </c>
      <c r="P1468" s="11">
        <f t="shared" si="161"/>
        <v>0</v>
      </c>
    </row>
    <row r="1469" spans="1:16" ht="18.75" customHeight="1" thickBot="1" x14ac:dyDescent="0.3">
      <c r="A1469" s="3" t="s">
        <v>11</v>
      </c>
      <c r="B1469" s="4">
        <v>578444</v>
      </c>
      <c r="C1469" s="3" t="s">
        <v>9</v>
      </c>
      <c r="D1469" s="18">
        <v>0.1</v>
      </c>
      <c r="E1469" s="21">
        <f t="shared" si="160"/>
        <v>7.9741404289037643E-3</v>
      </c>
      <c r="F1469" s="5">
        <v>41142</v>
      </c>
      <c r="G1469" s="5">
        <v>42815</v>
      </c>
      <c r="H1469" s="16">
        <f t="shared" si="158"/>
        <v>1673</v>
      </c>
      <c r="I1469" s="5">
        <v>42815</v>
      </c>
      <c r="J1469" s="5">
        <v>42090</v>
      </c>
      <c r="K1469" s="16">
        <f t="shared" si="159"/>
        <v>948</v>
      </c>
      <c r="L1469" s="13">
        <v>5020.76</v>
      </c>
      <c r="M1469" s="15">
        <f t="shared" si="157"/>
        <v>111.88112336670588</v>
      </c>
      <c r="N1469" s="13">
        <v>5020.76</v>
      </c>
      <c r="O1469" s="13">
        <v>0</v>
      </c>
      <c r="P1469" s="11">
        <f t="shared" si="161"/>
        <v>1</v>
      </c>
    </row>
    <row r="1470" spans="1:16" ht="18.75" customHeight="1" thickBot="1" x14ac:dyDescent="0.3">
      <c r="A1470" s="3" t="s">
        <v>11</v>
      </c>
      <c r="B1470" s="4">
        <v>867790</v>
      </c>
      <c r="C1470" s="3" t="s">
        <v>9</v>
      </c>
      <c r="D1470" s="18">
        <v>0.1</v>
      </c>
      <c r="E1470" s="21">
        <f t="shared" si="160"/>
        <v>7.9741404289037643E-3</v>
      </c>
      <c r="F1470" s="5">
        <v>41144</v>
      </c>
      <c r="G1470" s="5">
        <v>43182</v>
      </c>
      <c r="H1470" s="16">
        <f t="shared" si="158"/>
        <v>2038</v>
      </c>
      <c r="I1470" s="5">
        <v>43182</v>
      </c>
      <c r="J1470" s="5">
        <v>43196</v>
      </c>
      <c r="K1470" s="16">
        <f t="shared" si="159"/>
        <v>2052</v>
      </c>
      <c r="L1470" s="13">
        <v>4777.45</v>
      </c>
      <c r="M1470" s="15">
        <f t="shared" si="157"/>
        <v>91.35829107007612</v>
      </c>
      <c r="N1470" s="13">
        <v>4777.45</v>
      </c>
      <c r="O1470" s="13">
        <v>350</v>
      </c>
      <c r="P1470" s="11">
        <f t="shared" si="161"/>
        <v>1</v>
      </c>
    </row>
    <row r="1471" spans="1:16" ht="18.75" customHeight="1" thickBot="1" x14ac:dyDescent="0.3">
      <c r="A1471" s="3" t="s">
        <v>11</v>
      </c>
      <c r="B1471" s="4">
        <v>776300</v>
      </c>
      <c r="C1471" s="3" t="s">
        <v>9</v>
      </c>
      <c r="D1471" s="18">
        <v>0.12</v>
      </c>
      <c r="E1471" s="21">
        <f t="shared" si="160"/>
        <v>9.4887929345830457E-3</v>
      </c>
      <c r="F1471" s="5">
        <v>41152</v>
      </c>
      <c r="G1471" s="5">
        <v>43464</v>
      </c>
      <c r="H1471" s="16">
        <f t="shared" si="158"/>
        <v>2312</v>
      </c>
      <c r="I1471" s="5">
        <v>43464</v>
      </c>
      <c r="J1471" s="5">
        <v>42136</v>
      </c>
      <c r="K1471" s="16">
        <f t="shared" si="159"/>
        <v>984</v>
      </c>
      <c r="L1471" s="13">
        <v>16990.150000000001</v>
      </c>
      <c r="M1471" s="15">
        <f t="shared" si="157"/>
        <v>311.80553041218127</v>
      </c>
      <c r="N1471" s="13">
        <v>16990.150000000001</v>
      </c>
      <c r="O1471" s="13">
        <v>0</v>
      </c>
      <c r="P1471" s="11">
        <f t="shared" si="161"/>
        <v>1</v>
      </c>
    </row>
    <row r="1472" spans="1:16" ht="18.75" customHeight="1" thickBot="1" x14ac:dyDescent="0.3">
      <c r="A1472" s="3" t="s">
        <v>11</v>
      </c>
      <c r="B1472" s="4">
        <v>337304</v>
      </c>
      <c r="C1472" s="3" t="s">
        <v>9</v>
      </c>
      <c r="D1472" s="18">
        <v>0.1</v>
      </c>
      <c r="E1472" s="21">
        <f t="shared" si="160"/>
        <v>7.9741404289037643E-3</v>
      </c>
      <c r="F1472" s="5">
        <v>41157</v>
      </c>
      <c r="G1472" s="5">
        <v>41703</v>
      </c>
      <c r="H1472" s="16">
        <f t="shared" si="158"/>
        <v>546</v>
      </c>
      <c r="I1472" s="5">
        <v>41703</v>
      </c>
      <c r="J1472" s="5">
        <v>42731</v>
      </c>
      <c r="K1472" s="16">
        <f t="shared" si="159"/>
        <v>1574</v>
      </c>
      <c r="L1472" s="13">
        <v>1425.5</v>
      </c>
      <c r="M1472" s="15">
        <f t="shared" si="157"/>
        <v>84.456497566758642</v>
      </c>
      <c r="N1472" s="13">
        <v>1425.5</v>
      </c>
      <c r="O1472" s="13">
        <v>0</v>
      </c>
      <c r="P1472" s="11">
        <f t="shared" si="161"/>
        <v>0</v>
      </c>
    </row>
    <row r="1473" spans="1:16" ht="18.75" customHeight="1" thickBot="1" x14ac:dyDescent="0.3">
      <c r="A1473" s="3" t="s">
        <v>11</v>
      </c>
      <c r="B1473" s="4">
        <v>131301</v>
      </c>
      <c r="C1473" s="3" t="s">
        <v>9</v>
      </c>
      <c r="D1473" s="18">
        <v>0.1</v>
      </c>
      <c r="E1473" s="21">
        <f t="shared" si="160"/>
        <v>7.9741404289037643E-3</v>
      </c>
      <c r="F1473" s="5">
        <v>41170</v>
      </c>
      <c r="G1473" s="5">
        <v>43118</v>
      </c>
      <c r="H1473" s="16">
        <f t="shared" si="158"/>
        <v>1948</v>
      </c>
      <c r="I1473" s="5">
        <v>43118</v>
      </c>
      <c r="J1473" s="5">
        <v>42419</v>
      </c>
      <c r="K1473" s="16">
        <f t="shared" si="159"/>
        <v>1249</v>
      </c>
      <c r="L1473" s="13">
        <v>5089.28</v>
      </c>
      <c r="M1473" s="15">
        <f t="shared" si="157"/>
        <v>100.71687002724939</v>
      </c>
      <c r="N1473" s="13">
        <v>5089.28</v>
      </c>
      <c r="O1473" s="13">
        <v>0</v>
      </c>
      <c r="P1473" s="11">
        <f t="shared" si="161"/>
        <v>1</v>
      </c>
    </row>
    <row r="1474" spans="1:16" ht="18.75" customHeight="1" thickBot="1" x14ac:dyDescent="0.3">
      <c r="A1474" s="3" t="s">
        <v>11</v>
      </c>
      <c r="B1474" s="4">
        <v>376025</v>
      </c>
      <c r="C1474" s="3" t="s">
        <v>9</v>
      </c>
      <c r="D1474" s="18">
        <v>0.1</v>
      </c>
      <c r="E1474" s="21">
        <f t="shared" si="160"/>
        <v>7.9741404289037643E-3</v>
      </c>
      <c r="F1474" s="5">
        <v>41171</v>
      </c>
      <c r="G1474" s="5">
        <v>43362</v>
      </c>
      <c r="H1474" s="16">
        <f t="shared" si="158"/>
        <v>2191</v>
      </c>
      <c r="I1474" s="5">
        <v>43362</v>
      </c>
      <c r="J1474" s="5">
        <v>42997</v>
      </c>
      <c r="K1474" s="16">
        <f t="shared" si="159"/>
        <v>1826</v>
      </c>
      <c r="L1474" s="13">
        <v>14427.66</v>
      </c>
      <c r="M1474" s="15">
        <f t="shared" ref="M1474:M1537" si="162">-PMT(E1474,(H1474/30),L1474)</f>
        <v>261.39004308588744</v>
      </c>
      <c r="N1474" s="13">
        <v>14427.66</v>
      </c>
      <c r="O1474" s="13">
        <v>0</v>
      </c>
      <c r="P1474" s="11">
        <f t="shared" si="161"/>
        <v>1</v>
      </c>
    </row>
    <row r="1475" spans="1:16" ht="18.75" customHeight="1" thickBot="1" x14ac:dyDescent="0.3">
      <c r="A1475" s="3" t="s">
        <v>11</v>
      </c>
      <c r="B1475" s="4">
        <v>394090</v>
      </c>
      <c r="C1475" s="3" t="s">
        <v>9</v>
      </c>
      <c r="D1475" s="18">
        <v>0.1</v>
      </c>
      <c r="E1475" s="21">
        <f t="shared" si="160"/>
        <v>7.9741404289037643E-3</v>
      </c>
      <c r="F1475" s="5">
        <v>41172</v>
      </c>
      <c r="G1475" s="5">
        <v>42269</v>
      </c>
      <c r="H1475" s="16">
        <f t="shared" ref="H1475:H1538" si="163">G1475-F1475</f>
        <v>1097</v>
      </c>
      <c r="I1475" s="5">
        <v>42269</v>
      </c>
      <c r="J1475" s="5">
        <v>41296</v>
      </c>
      <c r="K1475" s="16">
        <f t="shared" ref="K1475:K1538" si="164">J1475-F1475</f>
        <v>124</v>
      </c>
      <c r="L1475" s="13">
        <v>4104.09</v>
      </c>
      <c r="M1475" s="15">
        <f t="shared" si="162"/>
        <v>129.83697726456896</v>
      </c>
      <c r="N1475" s="13">
        <v>4104.09</v>
      </c>
      <c r="O1475" s="13">
        <v>0</v>
      </c>
      <c r="P1475" s="11">
        <f t="shared" si="161"/>
        <v>1</v>
      </c>
    </row>
    <row r="1476" spans="1:16" ht="18.75" customHeight="1" thickBot="1" x14ac:dyDescent="0.3">
      <c r="A1476" s="3" t="s">
        <v>11</v>
      </c>
      <c r="B1476" s="4">
        <v>366621</v>
      </c>
      <c r="C1476" s="3" t="s">
        <v>9</v>
      </c>
      <c r="D1476" s="18">
        <v>0.1</v>
      </c>
      <c r="E1476" s="21">
        <f t="shared" si="160"/>
        <v>7.9741404289037643E-3</v>
      </c>
      <c r="F1476" s="5">
        <v>41178</v>
      </c>
      <c r="G1476" s="5">
        <v>41969</v>
      </c>
      <c r="H1476" s="16">
        <f t="shared" si="163"/>
        <v>791</v>
      </c>
      <c r="I1476" s="5">
        <v>41969</v>
      </c>
      <c r="J1476" s="5">
        <v>41935</v>
      </c>
      <c r="K1476" s="16">
        <f t="shared" si="164"/>
        <v>757</v>
      </c>
      <c r="L1476" s="13">
        <v>742.75</v>
      </c>
      <c r="M1476" s="15">
        <f t="shared" si="162"/>
        <v>31.346887541632412</v>
      </c>
      <c r="N1476" s="13">
        <v>742.75</v>
      </c>
      <c r="O1476" s="13">
        <v>0</v>
      </c>
      <c r="P1476" s="11">
        <f t="shared" si="161"/>
        <v>0</v>
      </c>
    </row>
    <row r="1477" spans="1:16" ht="18.75" customHeight="1" thickBot="1" x14ac:dyDescent="0.3">
      <c r="A1477" s="3" t="s">
        <v>11</v>
      </c>
      <c r="B1477" s="4">
        <v>493340</v>
      </c>
      <c r="C1477" s="3" t="s">
        <v>9</v>
      </c>
      <c r="D1477" s="18">
        <v>0.14000000000000001</v>
      </c>
      <c r="E1477" s="21">
        <f t="shared" si="160"/>
        <v>1.0978851950173452E-2</v>
      </c>
      <c r="F1477" s="5">
        <v>41183</v>
      </c>
      <c r="G1477" s="5">
        <v>41913</v>
      </c>
      <c r="H1477" s="16">
        <f t="shared" si="163"/>
        <v>730</v>
      </c>
      <c r="I1477" s="5">
        <v>41913</v>
      </c>
      <c r="J1477" s="5">
        <v>42114</v>
      </c>
      <c r="K1477" s="16">
        <f t="shared" si="164"/>
        <v>931</v>
      </c>
      <c r="L1477" s="13">
        <v>1495.2</v>
      </c>
      <c r="M1477" s="15">
        <f t="shared" si="162"/>
        <v>70.354093809871273</v>
      </c>
      <c r="N1477" s="13">
        <v>1495.2</v>
      </c>
      <c r="O1477" s="13">
        <v>1495.2</v>
      </c>
      <c r="P1477" s="11">
        <f t="shared" si="161"/>
        <v>0</v>
      </c>
    </row>
    <row r="1478" spans="1:16" ht="18.75" hidden="1" customHeight="1" thickBot="1" x14ac:dyDescent="0.3">
      <c r="A1478" s="3" t="s">
        <v>11</v>
      </c>
      <c r="B1478" s="4">
        <v>374479</v>
      </c>
      <c r="C1478" s="3" t="s">
        <v>9</v>
      </c>
      <c r="D1478" s="18">
        <v>0.1</v>
      </c>
      <c r="E1478" s="21">
        <f t="shared" si="160"/>
        <v>7.9741404289037643E-3</v>
      </c>
      <c r="F1478" s="5">
        <v>41185</v>
      </c>
      <c r="G1478" s="5">
        <v>41823</v>
      </c>
      <c r="H1478" s="16">
        <f t="shared" si="163"/>
        <v>638</v>
      </c>
      <c r="I1478" s="5">
        <v>41823</v>
      </c>
      <c r="J1478" s="2"/>
      <c r="K1478" s="16">
        <f t="shared" si="164"/>
        <v>-41185</v>
      </c>
      <c r="L1478" s="13">
        <v>3000</v>
      </c>
      <c r="M1478" s="15">
        <f t="shared" si="162"/>
        <v>153.92530584243161</v>
      </c>
      <c r="N1478" s="13">
        <v>3000</v>
      </c>
      <c r="O1478" s="13">
        <v>0</v>
      </c>
      <c r="P1478" s="11">
        <f t="shared" si="161"/>
        <v>0</v>
      </c>
    </row>
    <row r="1479" spans="1:16" ht="18.75" customHeight="1" thickBot="1" x14ac:dyDescent="0.3">
      <c r="A1479" s="3" t="s">
        <v>11</v>
      </c>
      <c r="B1479" s="4">
        <v>587140</v>
      </c>
      <c r="C1479" s="3" t="s">
        <v>9</v>
      </c>
      <c r="D1479" s="18">
        <v>0.1</v>
      </c>
      <c r="E1479" s="21">
        <f t="shared" si="160"/>
        <v>7.9741404289037643E-3</v>
      </c>
      <c r="F1479" s="5">
        <v>41191</v>
      </c>
      <c r="G1479" s="5">
        <v>43048</v>
      </c>
      <c r="H1479" s="16">
        <f t="shared" si="163"/>
        <v>1857</v>
      </c>
      <c r="I1479" s="5">
        <v>43048</v>
      </c>
      <c r="J1479" s="5">
        <v>42341</v>
      </c>
      <c r="K1479" s="16">
        <f t="shared" si="164"/>
        <v>1150</v>
      </c>
      <c r="L1479" s="13">
        <v>2437.98</v>
      </c>
      <c r="M1479" s="15">
        <f t="shared" si="162"/>
        <v>50.05630872423076</v>
      </c>
      <c r="N1479" s="13">
        <v>2437.98</v>
      </c>
      <c r="O1479" s="13">
        <v>0</v>
      </c>
      <c r="P1479" s="11">
        <f t="shared" si="161"/>
        <v>1</v>
      </c>
    </row>
    <row r="1480" spans="1:16" ht="18.75" customHeight="1" thickBot="1" x14ac:dyDescent="0.3">
      <c r="A1480" s="3" t="s">
        <v>11</v>
      </c>
      <c r="B1480" s="4">
        <v>473715</v>
      </c>
      <c r="C1480" s="3" t="s">
        <v>9</v>
      </c>
      <c r="D1480" s="18">
        <v>9.5000000000000001E-2</v>
      </c>
      <c r="E1480" s="21">
        <f t="shared" si="160"/>
        <v>7.5915342905825689E-3</v>
      </c>
      <c r="F1480" s="5">
        <v>41194</v>
      </c>
      <c r="G1480" s="5">
        <v>43811</v>
      </c>
      <c r="H1480" s="16">
        <f t="shared" si="163"/>
        <v>2617</v>
      </c>
      <c r="I1480" s="5">
        <v>43811</v>
      </c>
      <c r="J1480" s="5">
        <v>43563</v>
      </c>
      <c r="K1480" s="16">
        <f t="shared" si="164"/>
        <v>2369</v>
      </c>
      <c r="L1480" s="13">
        <v>22690.25</v>
      </c>
      <c r="M1480" s="15">
        <f t="shared" si="162"/>
        <v>356.6249810176069</v>
      </c>
      <c r="N1480" s="13">
        <v>22540.51</v>
      </c>
      <c r="O1480" s="13">
        <v>0</v>
      </c>
      <c r="P1480" s="11">
        <f t="shared" si="161"/>
        <v>1</v>
      </c>
    </row>
    <row r="1481" spans="1:16" ht="18.75" customHeight="1" thickBot="1" x14ac:dyDescent="0.3">
      <c r="A1481" s="3" t="s">
        <v>11</v>
      </c>
      <c r="B1481" s="4">
        <v>987203</v>
      </c>
      <c r="C1481" s="3" t="s">
        <v>16</v>
      </c>
      <c r="D1481" s="18">
        <v>0.1</v>
      </c>
      <c r="E1481" s="21">
        <f t="shared" si="160"/>
        <v>7.9741404289037643E-3</v>
      </c>
      <c r="F1481" s="5">
        <v>39402</v>
      </c>
      <c r="G1481" s="5">
        <v>40167</v>
      </c>
      <c r="H1481" s="16">
        <f t="shared" si="163"/>
        <v>765</v>
      </c>
      <c r="I1481" s="5">
        <v>40167</v>
      </c>
      <c r="J1481" s="5">
        <v>40049</v>
      </c>
      <c r="K1481" s="16">
        <f t="shared" si="164"/>
        <v>647</v>
      </c>
      <c r="L1481" s="13">
        <v>3060</v>
      </c>
      <c r="M1481" s="15">
        <f t="shared" si="162"/>
        <v>133.08980273306148</v>
      </c>
      <c r="N1481" s="13">
        <v>1096.55</v>
      </c>
      <c r="O1481" s="13">
        <v>0</v>
      </c>
      <c r="P1481" s="11">
        <f t="shared" si="161"/>
        <v>0</v>
      </c>
    </row>
    <row r="1482" spans="1:16" ht="18.75" customHeight="1" thickBot="1" x14ac:dyDescent="0.3">
      <c r="A1482" s="3" t="s">
        <v>11</v>
      </c>
      <c r="B1482" s="4">
        <v>845374</v>
      </c>
      <c r="C1482" s="3" t="s">
        <v>9</v>
      </c>
      <c r="D1482" s="18">
        <v>0.1</v>
      </c>
      <c r="E1482" s="21">
        <f t="shared" si="160"/>
        <v>7.9741404289037643E-3</v>
      </c>
      <c r="F1482" s="5">
        <v>41211</v>
      </c>
      <c r="G1482" s="5">
        <v>43068</v>
      </c>
      <c r="H1482" s="16">
        <f t="shared" si="163"/>
        <v>1857</v>
      </c>
      <c r="I1482" s="5">
        <v>43068</v>
      </c>
      <c r="J1482" s="5">
        <v>41848</v>
      </c>
      <c r="K1482" s="16">
        <f t="shared" si="164"/>
        <v>637</v>
      </c>
      <c r="L1482" s="13">
        <v>7130.26</v>
      </c>
      <c r="M1482" s="15">
        <f t="shared" si="162"/>
        <v>146.39763076154588</v>
      </c>
      <c r="N1482" s="13">
        <v>7130.26</v>
      </c>
      <c r="O1482" s="13">
        <v>0</v>
      </c>
      <c r="P1482" s="11">
        <f t="shared" si="161"/>
        <v>1</v>
      </c>
    </row>
    <row r="1483" spans="1:16" ht="18.75" customHeight="1" thickBot="1" x14ac:dyDescent="0.3">
      <c r="A1483" s="3" t="s">
        <v>11</v>
      </c>
      <c r="B1483" s="4">
        <v>845562</v>
      </c>
      <c r="C1483" s="3" t="s">
        <v>9</v>
      </c>
      <c r="D1483" s="18">
        <v>0.11</v>
      </c>
      <c r="E1483" s="21">
        <f t="shared" si="160"/>
        <v>8.7345938235519061E-3</v>
      </c>
      <c r="F1483" s="5">
        <v>41212</v>
      </c>
      <c r="G1483" s="5">
        <v>43159</v>
      </c>
      <c r="H1483" s="16">
        <f t="shared" si="163"/>
        <v>1947</v>
      </c>
      <c r="I1483" s="5">
        <v>43159</v>
      </c>
      <c r="J1483" s="5">
        <v>42009</v>
      </c>
      <c r="K1483" s="16">
        <f t="shared" si="164"/>
        <v>797</v>
      </c>
      <c r="L1483" s="13">
        <v>1975.38</v>
      </c>
      <c r="M1483" s="15">
        <f t="shared" si="162"/>
        <v>40.00435834045102</v>
      </c>
      <c r="N1483" s="13">
        <v>1975.38</v>
      </c>
      <c r="O1483" s="13">
        <v>0</v>
      </c>
      <c r="P1483" s="11">
        <f t="shared" si="161"/>
        <v>1</v>
      </c>
    </row>
    <row r="1484" spans="1:16" ht="18.75" customHeight="1" thickBot="1" x14ac:dyDescent="0.3">
      <c r="A1484" s="3" t="s">
        <v>11</v>
      </c>
      <c r="B1484" s="4">
        <v>404888</v>
      </c>
      <c r="C1484" s="3" t="s">
        <v>9</v>
      </c>
      <c r="D1484" s="18">
        <v>0.1</v>
      </c>
      <c r="E1484" s="21">
        <f t="shared" si="160"/>
        <v>7.9741404289037643E-3</v>
      </c>
      <c r="F1484" s="5">
        <v>41212</v>
      </c>
      <c r="G1484" s="5">
        <v>43039</v>
      </c>
      <c r="H1484" s="16">
        <f t="shared" si="163"/>
        <v>1827</v>
      </c>
      <c r="I1484" s="5">
        <v>43039</v>
      </c>
      <c r="J1484" s="5">
        <v>41681</v>
      </c>
      <c r="K1484" s="16">
        <f t="shared" si="164"/>
        <v>469</v>
      </c>
      <c r="L1484" s="13">
        <v>13000</v>
      </c>
      <c r="M1484" s="15">
        <f t="shared" si="162"/>
        <v>270.30888640106048</v>
      </c>
      <c r="N1484" s="13">
        <v>13000</v>
      </c>
      <c r="O1484" s="13">
        <v>0</v>
      </c>
      <c r="P1484" s="11">
        <f t="shared" si="161"/>
        <v>1</v>
      </c>
    </row>
    <row r="1485" spans="1:16" ht="18.75" customHeight="1" thickBot="1" x14ac:dyDescent="0.3">
      <c r="A1485" s="3" t="s">
        <v>11</v>
      </c>
      <c r="B1485" s="4">
        <v>594116</v>
      </c>
      <c r="C1485" s="3" t="s">
        <v>9</v>
      </c>
      <c r="D1485" s="18">
        <v>0.09</v>
      </c>
      <c r="E1485" s="21">
        <f t="shared" si="160"/>
        <v>7.2073233161367156E-3</v>
      </c>
      <c r="F1485" s="5">
        <v>41220</v>
      </c>
      <c r="G1485" s="5">
        <v>43697</v>
      </c>
      <c r="H1485" s="16">
        <f t="shared" si="163"/>
        <v>2477</v>
      </c>
      <c r="I1485" s="5">
        <v>43697</v>
      </c>
      <c r="J1485" s="5">
        <v>42124</v>
      </c>
      <c r="K1485" s="16">
        <f t="shared" si="164"/>
        <v>904</v>
      </c>
      <c r="L1485" s="13">
        <v>18326.009999999998</v>
      </c>
      <c r="M1485" s="15">
        <f t="shared" si="162"/>
        <v>295.28228143883189</v>
      </c>
      <c r="N1485" s="13">
        <v>18326.009999999998</v>
      </c>
      <c r="O1485" s="13">
        <v>0</v>
      </c>
      <c r="P1485" s="11">
        <f t="shared" si="161"/>
        <v>1</v>
      </c>
    </row>
    <row r="1486" spans="1:16" ht="18.75" customHeight="1" thickBot="1" x14ac:dyDescent="0.3">
      <c r="A1486" s="3" t="s">
        <v>11</v>
      </c>
      <c r="B1486" s="4">
        <v>573997</v>
      </c>
      <c r="C1486" s="3" t="s">
        <v>9</v>
      </c>
      <c r="D1486" s="18">
        <v>0.12</v>
      </c>
      <c r="E1486" s="21">
        <f t="shared" si="160"/>
        <v>9.4887929345830457E-3</v>
      </c>
      <c r="F1486" s="5">
        <v>41226</v>
      </c>
      <c r="G1486" s="5">
        <v>42687</v>
      </c>
      <c r="H1486" s="16">
        <f t="shared" si="163"/>
        <v>1461</v>
      </c>
      <c r="I1486" s="5">
        <v>42687</v>
      </c>
      <c r="J1486" s="5">
        <v>42156</v>
      </c>
      <c r="K1486" s="16">
        <f t="shared" si="164"/>
        <v>930</v>
      </c>
      <c r="L1486" s="13">
        <v>2507.64</v>
      </c>
      <c r="M1486" s="15">
        <f t="shared" si="162"/>
        <v>64.541506381631905</v>
      </c>
      <c r="N1486" s="13">
        <v>2507.64</v>
      </c>
      <c r="O1486" s="13">
        <v>0</v>
      </c>
      <c r="P1486" s="11">
        <f t="shared" si="161"/>
        <v>1</v>
      </c>
    </row>
    <row r="1487" spans="1:16" ht="18.75" customHeight="1" thickBot="1" x14ac:dyDescent="0.3">
      <c r="A1487" s="3" t="s">
        <v>11</v>
      </c>
      <c r="B1487" s="4">
        <v>448957</v>
      </c>
      <c r="C1487" s="3" t="s">
        <v>9</v>
      </c>
      <c r="D1487" s="18">
        <v>0.1</v>
      </c>
      <c r="E1487" s="21">
        <f t="shared" si="160"/>
        <v>7.9741404289037643E-3</v>
      </c>
      <c r="F1487" s="5">
        <v>41243</v>
      </c>
      <c r="G1487" s="5">
        <v>42093</v>
      </c>
      <c r="H1487" s="16">
        <f t="shared" si="163"/>
        <v>850</v>
      </c>
      <c r="I1487" s="5">
        <v>42093</v>
      </c>
      <c r="J1487" s="5">
        <v>41458</v>
      </c>
      <c r="K1487" s="16">
        <f t="shared" si="164"/>
        <v>215</v>
      </c>
      <c r="L1487" s="13">
        <v>3960.34</v>
      </c>
      <c r="M1487" s="15">
        <f t="shared" si="162"/>
        <v>156.71515265692321</v>
      </c>
      <c r="N1487" s="13">
        <v>3960.34</v>
      </c>
      <c r="O1487" s="13">
        <v>0</v>
      </c>
      <c r="P1487" s="11">
        <f t="shared" si="161"/>
        <v>1</v>
      </c>
    </row>
    <row r="1488" spans="1:16" ht="18.75" customHeight="1" thickBot="1" x14ac:dyDescent="0.3">
      <c r="A1488" s="3" t="s">
        <v>11</v>
      </c>
      <c r="B1488" s="4">
        <v>148868</v>
      </c>
      <c r="C1488" s="3" t="s">
        <v>9</v>
      </c>
      <c r="D1488" s="18">
        <v>0.12</v>
      </c>
      <c r="E1488" s="21">
        <f t="shared" si="160"/>
        <v>9.4887929345830457E-3</v>
      </c>
      <c r="F1488" s="5">
        <v>41248</v>
      </c>
      <c r="G1488" s="5">
        <v>41978</v>
      </c>
      <c r="H1488" s="16">
        <f t="shared" si="163"/>
        <v>730</v>
      </c>
      <c r="I1488" s="5">
        <v>41978</v>
      </c>
      <c r="J1488" s="5">
        <v>41437</v>
      </c>
      <c r="K1488" s="16">
        <f t="shared" si="164"/>
        <v>189</v>
      </c>
      <c r="L1488" s="13">
        <v>2263.34</v>
      </c>
      <c r="M1488" s="15">
        <f t="shared" si="162"/>
        <v>104.60367594653242</v>
      </c>
      <c r="N1488" s="13">
        <v>2263.34</v>
      </c>
      <c r="O1488" s="13">
        <v>0</v>
      </c>
      <c r="P1488" s="11">
        <f t="shared" si="161"/>
        <v>0</v>
      </c>
    </row>
    <row r="1489" spans="1:16" ht="18.75" hidden="1" customHeight="1" thickBot="1" x14ac:dyDescent="0.3">
      <c r="A1489" s="3" t="s">
        <v>11</v>
      </c>
      <c r="B1489" s="4">
        <v>332286</v>
      </c>
      <c r="C1489" s="3" t="s">
        <v>9</v>
      </c>
      <c r="D1489" s="18">
        <v>0.09</v>
      </c>
      <c r="E1489" s="21">
        <f t="shared" si="160"/>
        <v>7.2073233161367156E-3</v>
      </c>
      <c r="F1489" s="5">
        <v>41313</v>
      </c>
      <c r="G1489" s="5">
        <v>44592</v>
      </c>
      <c r="H1489" s="16">
        <f t="shared" si="163"/>
        <v>3279</v>
      </c>
      <c r="I1489" s="5">
        <v>44592</v>
      </c>
      <c r="J1489" s="2"/>
      <c r="K1489" s="16">
        <f t="shared" si="164"/>
        <v>-41313</v>
      </c>
      <c r="L1489" s="13">
        <v>15000</v>
      </c>
      <c r="M1489" s="15">
        <f t="shared" si="162"/>
        <v>198.78588584913334</v>
      </c>
      <c r="N1489" s="13">
        <v>15000</v>
      </c>
      <c r="O1489" s="13">
        <v>0</v>
      </c>
      <c r="P1489" s="11">
        <f t="shared" si="161"/>
        <v>1</v>
      </c>
    </row>
    <row r="1490" spans="1:16" ht="18.75" customHeight="1" thickBot="1" x14ac:dyDescent="0.3">
      <c r="A1490" s="3" t="s">
        <v>11</v>
      </c>
      <c r="B1490" s="4">
        <v>874853</v>
      </c>
      <c r="C1490" s="3" t="s">
        <v>16</v>
      </c>
      <c r="D1490" s="18">
        <v>9.5000000000000001E-2</v>
      </c>
      <c r="E1490" s="21">
        <f t="shared" si="160"/>
        <v>7.5915342905825689E-3</v>
      </c>
      <c r="F1490" s="5">
        <v>42528</v>
      </c>
      <c r="G1490" s="5">
        <v>43258</v>
      </c>
      <c r="H1490" s="16">
        <f t="shared" si="163"/>
        <v>730</v>
      </c>
      <c r="I1490" s="5">
        <v>43288</v>
      </c>
      <c r="J1490" s="5">
        <v>43182</v>
      </c>
      <c r="K1490" s="16">
        <f t="shared" si="164"/>
        <v>654</v>
      </c>
      <c r="L1490" s="13">
        <v>5075</v>
      </c>
      <c r="M1490" s="15">
        <f t="shared" si="162"/>
        <v>229.20632563075546</v>
      </c>
      <c r="N1490" s="13">
        <v>1956.8</v>
      </c>
      <c r="O1490" s="13">
        <v>0</v>
      </c>
      <c r="P1490" s="11">
        <f t="shared" si="161"/>
        <v>1</v>
      </c>
    </row>
    <row r="1491" spans="1:16" ht="18.75" customHeight="1" thickBot="1" x14ac:dyDescent="0.3">
      <c r="A1491" s="3" t="s">
        <v>11</v>
      </c>
      <c r="B1491" s="4">
        <v>396634</v>
      </c>
      <c r="C1491" s="3" t="s">
        <v>16</v>
      </c>
      <c r="D1491" s="18">
        <v>8.5000000000000006E-2</v>
      </c>
      <c r="E1491" s="21">
        <f t="shared" si="160"/>
        <v>6.8214933659622723E-3</v>
      </c>
      <c r="F1491" s="5">
        <v>42895</v>
      </c>
      <c r="G1491" s="5">
        <v>43991</v>
      </c>
      <c r="H1491" s="16">
        <f t="shared" si="163"/>
        <v>1096</v>
      </c>
      <c r="I1491" s="5">
        <v>43991</v>
      </c>
      <c r="J1491" s="5">
        <v>43182</v>
      </c>
      <c r="K1491" s="16">
        <f t="shared" si="164"/>
        <v>287</v>
      </c>
      <c r="L1491" s="13">
        <v>3075</v>
      </c>
      <c r="M1491" s="15">
        <f t="shared" si="162"/>
        <v>95.378209882499618</v>
      </c>
      <c r="N1491" s="13">
        <v>2678.32</v>
      </c>
      <c r="O1491" s="13">
        <v>0</v>
      </c>
      <c r="P1491" s="11">
        <f t="shared" si="161"/>
        <v>1</v>
      </c>
    </row>
    <row r="1492" spans="1:16" ht="18.75" customHeight="1" thickBot="1" x14ac:dyDescent="0.3">
      <c r="A1492" s="3" t="s">
        <v>11</v>
      </c>
      <c r="B1492" s="4">
        <v>235374</v>
      </c>
      <c r="C1492" s="3" t="s">
        <v>9</v>
      </c>
      <c r="D1492" s="18">
        <v>7.6770000000000005E-2</v>
      </c>
      <c r="E1492" s="21">
        <f t="shared" si="160"/>
        <v>6.1828536841077586E-3</v>
      </c>
      <c r="F1492" s="5">
        <v>42928</v>
      </c>
      <c r="G1492" s="5">
        <v>44753</v>
      </c>
      <c r="H1492" s="16">
        <f t="shared" si="163"/>
        <v>1825</v>
      </c>
      <c r="I1492" s="5">
        <v>44815</v>
      </c>
      <c r="J1492" s="5">
        <v>43873</v>
      </c>
      <c r="K1492" s="16">
        <f t="shared" si="164"/>
        <v>945</v>
      </c>
      <c r="L1492" s="13">
        <v>27581</v>
      </c>
      <c r="M1492" s="15">
        <f t="shared" si="162"/>
        <v>545.36722249722243</v>
      </c>
      <c r="N1492" s="13">
        <v>12605.25</v>
      </c>
      <c r="O1492" s="13">
        <v>150</v>
      </c>
      <c r="P1492" s="11">
        <f t="shared" si="161"/>
        <v>1</v>
      </c>
    </row>
    <row r="1493" spans="1:16" ht="18.75" customHeight="1" thickBot="1" x14ac:dyDescent="0.3">
      <c r="A1493" s="3" t="s">
        <v>11</v>
      </c>
      <c r="B1493" s="4">
        <v>460044</v>
      </c>
      <c r="C1493" s="3" t="s">
        <v>9</v>
      </c>
      <c r="D1493" s="18">
        <v>0.13</v>
      </c>
      <c r="E1493" s="21">
        <f t="shared" si="160"/>
        <v>1.02368443581764E-2</v>
      </c>
      <c r="F1493" s="5">
        <v>41354</v>
      </c>
      <c r="G1493" s="5">
        <v>42846</v>
      </c>
      <c r="H1493" s="16">
        <f t="shared" si="163"/>
        <v>1492</v>
      </c>
      <c r="I1493" s="5">
        <v>42846</v>
      </c>
      <c r="J1493" s="5">
        <v>42375</v>
      </c>
      <c r="K1493" s="16">
        <f t="shared" si="164"/>
        <v>1021</v>
      </c>
      <c r="L1493" s="13">
        <v>4885.2700000000004</v>
      </c>
      <c r="M1493" s="15">
        <f t="shared" si="162"/>
        <v>125.83804655508655</v>
      </c>
      <c r="N1493" s="13">
        <v>4885.2700000000004</v>
      </c>
      <c r="O1493" s="13">
        <v>0</v>
      </c>
      <c r="P1493" s="11">
        <f t="shared" si="161"/>
        <v>1</v>
      </c>
    </row>
    <row r="1494" spans="1:16" ht="18.75" hidden="1" customHeight="1" thickBot="1" x14ac:dyDescent="0.3">
      <c r="A1494" s="3" t="s">
        <v>11</v>
      </c>
      <c r="B1494" s="4">
        <v>137749</v>
      </c>
      <c r="C1494" s="3" t="s">
        <v>9</v>
      </c>
      <c r="D1494" s="18">
        <v>0.1</v>
      </c>
      <c r="E1494" s="21">
        <f t="shared" si="160"/>
        <v>7.9741404289037643E-3</v>
      </c>
      <c r="F1494" s="5">
        <v>41362</v>
      </c>
      <c r="G1494" s="5">
        <v>41727</v>
      </c>
      <c r="H1494" s="16">
        <f t="shared" si="163"/>
        <v>365</v>
      </c>
      <c r="I1494" s="5">
        <v>41727</v>
      </c>
      <c r="J1494" s="2"/>
      <c r="K1494" s="16">
        <f t="shared" si="164"/>
        <v>-41362</v>
      </c>
      <c r="L1494" s="13">
        <v>5536.86</v>
      </c>
      <c r="M1494" s="15">
        <f t="shared" si="162"/>
        <v>479.32777535786522</v>
      </c>
      <c r="N1494" s="13">
        <v>5536.86</v>
      </c>
      <c r="O1494" s="13">
        <v>0</v>
      </c>
      <c r="P1494" s="11">
        <f t="shared" si="161"/>
        <v>0</v>
      </c>
    </row>
    <row r="1495" spans="1:16" ht="18.75" customHeight="1" thickBot="1" x14ac:dyDescent="0.3">
      <c r="A1495" s="3" t="s">
        <v>11</v>
      </c>
      <c r="B1495" s="4">
        <v>757648</v>
      </c>
      <c r="C1495" s="3" t="s">
        <v>9</v>
      </c>
      <c r="D1495" s="18">
        <v>0.1</v>
      </c>
      <c r="E1495" s="21">
        <f t="shared" si="160"/>
        <v>7.9741404289037643E-3</v>
      </c>
      <c r="F1495" s="5">
        <v>41367</v>
      </c>
      <c r="G1495" s="5">
        <v>43915</v>
      </c>
      <c r="H1495" s="16">
        <f t="shared" si="163"/>
        <v>2548</v>
      </c>
      <c r="I1495" s="5">
        <v>43915</v>
      </c>
      <c r="J1495" s="5">
        <v>43563</v>
      </c>
      <c r="K1495" s="16">
        <f t="shared" si="164"/>
        <v>2196</v>
      </c>
      <c r="L1495" s="13">
        <v>10885.58</v>
      </c>
      <c r="M1495" s="15">
        <f t="shared" si="162"/>
        <v>176.92112914179162</v>
      </c>
      <c r="N1495" s="13">
        <v>10206.68</v>
      </c>
      <c r="O1495" s="13">
        <v>0</v>
      </c>
      <c r="P1495" s="11">
        <f t="shared" si="161"/>
        <v>1</v>
      </c>
    </row>
    <row r="1496" spans="1:16" ht="18.75" customHeight="1" thickBot="1" x14ac:dyDescent="0.3">
      <c r="A1496" s="3" t="s">
        <v>11</v>
      </c>
      <c r="B1496" s="4">
        <v>695409</v>
      </c>
      <c r="C1496" s="3" t="s">
        <v>9</v>
      </c>
      <c r="D1496" s="18">
        <v>0.14000000000000001</v>
      </c>
      <c r="E1496" s="21">
        <f t="shared" si="160"/>
        <v>1.0978851950173452E-2</v>
      </c>
      <c r="F1496" s="5">
        <v>41372</v>
      </c>
      <c r="G1496" s="5">
        <v>42468</v>
      </c>
      <c r="H1496" s="16">
        <f t="shared" si="163"/>
        <v>1096</v>
      </c>
      <c r="I1496" s="5">
        <v>42468</v>
      </c>
      <c r="J1496" s="5">
        <v>41758</v>
      </c>
      <c r="K1496" s="16">
        <f t="shared" si="164"/>
        <v>386</v>
      </c>
      <c r="L1496" s="13">
        <v>7584.41</v>
      </c>
      <c r="M1496" s="15">
        <f t="shared" si="162"/>
        <v>253.13477999775392</v>
      </c>
      <c r="N1496" s="13">
        <v>7584.41</v>
      </c>
      <c r="O1496" s="13">
        <v>0</v>
      </c>
      <c r="P1496" s="11">
        <f t="shared" si="161"/>
        <v>1</v>
      </c>
    </row>
    <row r="1497" spans="1:16" ht="18.75" customHeight="1" thickBot="1" x14ac:dyDescent="0.3">
      <c r="A1497" s="3" t="s">
        <v>11</v>
      </c>
      <c r="B1497" s="4">
        <v>516380</v>
      </c>
      <c r="C1497" s="3" t="s">
        <v>9</v>
      </c>
      <c r="D1497" s="18">
        <v>0.14000000000000001</v>
      </c>
      <c r="E1497" s="21">
        <f t="shared" si="160"/>
        <v>1.0978851950173452E-2</v>
      </c>
      <c r="F1497" s="5">
        <v>41375</v>
      </c>
      <c r="G1497" s="5">
        <v>43231</v>
      </c>
      <c r="H1497" s="16">
        <f t="shared" si="163"/>
        <v>1856</v>
      </c>
      <c r="I1497" s="5">
        <v>43231</v>
      </c>
      <c r="J1497" s="5">
        <v>42201</v>
      </c>
      <c r="K1497" s="16">
        <f t="shared" si="164"/>
        <v>826</v>
      </c>
      <c r="L1497" s="13">
        <v>7446.41</v>
      </c>
      <c r="M1497" s="15">
        <f t="shared" si="162"/>
        <v>166.46581273878007</v>
      </c>
      <c r="N1497" s="13">
        <v>7446.41</v>
      </c>
      <c r="O1497" s="13">
        <v>0</v>
      </c>
      <c r="P1497" s="11">
        <f t="shared" si="161"/>
        <v>1</v>
      </c>
    </row>
    <row r="1498" spans="1:16" ht="18.75" customHeight="1" thickBot="1" x14ac:dyDescent="0.3">
      <c r="A1498" s="3" t="s">
        <v>11</v>
      </c>
      <c r="B1498" s="4">
        <v>35393</v>
      </c>
      <c r="C1498" s="3" t="s">
        <v>9</v>
      </c>
      <c r="D1498" s="18">
        <v>0.14000000000000001</v>
      </c>
      <c r="E1498" s="21">
        <f t="shared" si="160"/>
        <v>1.0978851950173452E-2</v>
      </c>
      <c r="F1498" s="5">
        <v>41380</v>
      </c>
      <c r="G1498" s="5">
        <v>42476</v>
      </c>
      <c r="H1498" s="16">
        <f t="shared" si="163"/>
        <v>1096</v>
      </c>
      <c r="I1498" s="5">
        <v>42476</v>
      </c>
      <c r="J1498" s="5">
        <v>41486</v>
      </c>
      <c r="K1498" s="16">
        <f t="shared" si="164"/>
        <v>106</v>
      </c>
      <c r="L1498" s="13">
        <v>8184.26</v>
      </c>
      <c r="M1498" s="15">
        <f t="shared" si="162"/>
        <v>273.15517680932567</v>
      </c>
      <c r="N1498" s="13">
        <v>8184.26</v>
      </c>
      <c r="O1498" s="13">
        <v>0</v>
      </c>
      <c r="P1498" s="11">
        <f t="shared" si="161"/>
        <v>1</v>
      </c>
    </row>
    <row r="1499" spans="1:16" ht="18.75" customHeight="1" thickBot="1" x14ac:dyDescent="0.3">
      <c r="A1499" s="3" t="s">
        <v>11</v>
      </c>
      <c r="B1499" s="4">
        <v>55410</v>
      </c>
      <c r="C1499" s="3" t="s">
        <v>9</v>
      </c>
      <c r="D1499" s="18">
        <v>0.1</v>
      </c>
      <c r="E1499" s="21">
        <f t="shared" si="160"/>
        <v>7.9741404289037643E-3</v>
      </c>
      <c r="F1499" s="5">
        <v>41381</v>
      </c>
      <c r="G1499" s="5">
        <v>43638</v>
      </c>
      <c r="H1499" s="16">
        <f t="shared" si="163"/>
        <v>2257</v>
      </c>
      <c r="I1499" s="5">
        <v>43638</v>
      </c>
      <c r="J1499" s="5">
        <v>41967</v>
      </c>
      <c r="K1499" s="16">
        <f t="shared" si="164"/>
        <v>586</v>
      </c>
      <c r="L1499" s="13">
        <v>40010.82</v>
      </c>
      <c r="M1499" s="15">
        <f t="shared" si="162"/>
        <v>709.26008880984898</v>
      </c>
      <c r="N1499" s="13">
        <v>40010.82</v>
      </c>
      <c r="O1499" s="13">
        <v>0</v>
      </c>
      <c r="P1499" s="11">
        <f t="shared" si="161"/>
        <v>1</v>
      </c>
    </row>
    <row r="1500" spans="1:16" ht="18.75" customHeight="1" thickBot="1" x14ac:dyDescent="0.3">
      <c r="A1500" s="3" t="s">
        <v>11</v>
      </c>
      <c r="B1500" s="4">
        <v>798287</v>
      </c>
      <c r="C1500" s="3" t="s">
        <v>9</v>
      </c>
      <c r="D1500" s="18">
        <v>0.1</v>
      </c>
      <c r="E1500" s="21">
        <f t="shared" si="160"/>
        <v>7.9741404289037643E-3</v>
      </c>
      <c r="F1500" s="5">
        <v>41397</v>
      </c>
      <c r="G1500" s="5">
        <v>42694</v>
      </c>
      <c r="H1500" s="16">
        <f t="shared" si="163"/>
        <v>1297</v>
      </c>
      <c r="I1500" s="5">
        <v>42694</v>
      </c>
      <c r="J1500" s="5">
        <v>42325</v>
      </c>
      <c r="K1500" s="16">
        <f t="shared" si="164"/>
        <v>928</v>
      </c>
      <c r="L1500" s="13">
        <v>7066.51</v>
      </c>
      <c r="M1500" s="15">
        <f t="shared" si="162"/>
        <v>193.88528179426649</v>
      </c>
      <c r="N1500" s="13">
        <v>7066.51</v>
      </c>
      <c r="O1500" s="13">
        <v>0</v>
      </c>
      <c r="P1500" s="11">
        <f t="shared" si="161"/>
        <v>1</v>
      </c>
    </row>
    <row r="1501" spans="1:16" ht="18.75" customHeight="1" thickBot="1" x14ac:dyDescent="0.3">
      <c r="A1501" s="3" t="s">
        <v>11</v>
      </c>
      <c r="B1501" s="4">
        <v>616718</v>
      </c>
      <c r="C1501" s="3" t="s">
        <v>9</v>
      </c>
      <c r="D1501" s="18">
        <v>0.1</v>
      </c>
      <c r="E1501" s="21">
        <f t="shared" si="160"/>
        <v>7.9741404289037643E-3</v>
      </c>
      <c r="F1501" s="5">
        <v>41401</v>
      </c>
      <c r="G1501" s="5">
        <v>42862</v>
      </c>
      <c r="H1501" s="16">
        <f t="shared" si="163"/>
        <v>1461</v>
      </c>
      <c r="I1501" s="5">
        <v>42862</v>
      </c>
      <c r="J1501" s="5">
        <v>41667</v>
      </c>
      <c r="K1501" s="16">
        <f t="shared" si="164"/>
        <v>266</v>
      </c>
      <c r="L1501" s="13">
        <v>3177.32</v>
      </c>
      <c r="M1501" s="15">
        <f t="shared" si="162"/>
        <v>78.985339615422859</v>
      </c>
      <c r="N1501" s="13">
        <v>3177.32</v>
      </c>
      <c r="O1501" s="13">
        <v>0</v>
      </c>
      <c r="P1501" s="11">
        <f t="shared" si="161"/>
        <v>1</v>
      </c>
    </row>
    <row r="1502" spans="1:16" ht="18.75" hidden="1" customHeight="1" thickBot="1" x14ac:dyDescent="0.3">
      <c r="A1502" s="3" t="s">
        <v>11</v>
      </c>
      <c r="B1502" s="4">
        <v>511827</v>
      </c>
      <c r="C1502" s="3" t="s">
        <v>9</v>
      </c>
      <c r="D1502" s="18">
        <v>0.12</v>
      </c>
      <c r="E1502" s="21">
        <f t="shared" si="160"/>
        <v>9.4887929345830457E-3</v>
      </c>
      <c r="F1502" s="5">
        <v>41404</v>
      </c>
      <c r="G1502" s="5">
        <v>41496</v>
      </c>
      <c r="H1502" s="16">
        <f t="shared" si="163"/>
        <v>92</v>
      </c>
      <c r="I1502" s="5">
        <v>41496</v>
      </c>
      <c r="J1502" s="2"/>
      <c r="K1502" s="16">
        <f t="shared" si="164"/>
        <v>-41404</v>
      </c>
      <c r="L1502" s="13">
        <v>2077.8000000000002</v>
      </c>
      <c r="M1502" s="15">
        <f t="shared" si="162"/>
        <v>690.65844350666612</v>
      </c>
      <c r="N1502" s="13">
        <v>2077.8000000000002</v>
      </c>
      <c r="O1502" s="13">
        <v>50</v>
      </c>
      <c r="P1502" s="11">
        <f t="shared" si="161"/>
        <v>0</v>
      </c>
    </row>
    <row r="1503" spans="1:16" ht="18.75" customHeight="1" thickBot="1" x14ac:dyDescent="0.3">
      <c r="A1503" s="3" t="s">
        <v>11</v>
      </c>
      <c r="B1503" s="4">
        <v>821597</v>
      </c>
      <c r="C1503" s="3" t="s">
        <v>9</v>
      </c>
      <c r="D1503" s="18">
        <v>0.12</v>
      </c>
      <c r="E1503" s="21">
        <f t="shared" si="160"/>
        <v>9.4887929345830457E-3</v>
      </c>
      <c r="F1503" s="5">
        <v>41422</v>
      </c>
      <c r="G1503" s="5">
        <v>43613</v>
      </c>
      <c r="H1503" s="16">
        <f t="shared" si="163"/>
        <v>2191</v>
      </c>
      <c r="I1503" s="5">
        <v>43613</v>
      </c>
      <c r="J1503" s="5">
        <v>41767</v>
      </c>
      <c r="K1503" s="16">
        <f t="shared" si="164"/>
        <v>345</v>
      </c>
      <c r="L1503" s="13">
        <v>4146.49</v>
      </c>
      <c r="M1503" s="15">
        <f t="shared" si="162"/>
        <v>78.960577200201882</v>
      </c>
      <c r="N1503" s="13">
        <v>4146.49</v>
      </c>
      <c r="O1503" s="13">
        <v>0</v>
      </c>
      <c r="P1503" s="11">
        <f t="shared" si="161"/>
        <v>1</v>
      </c>
    </row>
    <row r="1504" spans="1:16" ht="18.75" customHeight="1" thickBot="1" x14ac:dyDescent="0.3">
      <c r="A1504" s="3" t="s">
        <v>11</v>
      </c>
      <c r="B1504" s="4">
        <v>518820</v>
      </c>
      <c r="C1504" s="3" t="s">
        <v>9</v>
      </c>
      <c r="D1504" s="18">
        <v>0.1</v>
      </c>
      <c r="E1504" s="21">
        <f t="shared" si="160"/>
        <v>7.9741404289037643E-3</v>
      </c>
      <c r="F1504" s="5">
        <v>41424</v>
      </c>
      <c r="G1504" s="5">
        <v>43799</v>
      </c>
      <c r="H1504" s="16">
        <f t="shared" si="163"/>
        <v>2375</v>
      </c>
      <c r="I1504" s="5">
        <v>43799</v>
      </c>
      <c r="J1504" s="5">
        <v>43644</v>
      </c>
      <c r="K1504" s="16">
        <f t="shared" si="164"/>
        <v>2220</v>
      </c>
      <c r="L1504" s="13">
        <v>3182.12</v>
      </c>
      <c r="M1504" s="15">
        <f t="shared" si="162"/>
        <v>54.363500824974494</v>
      </c>
      <c r="N1504" s="13">
        <v>3182.12</v>
      </c>
      <c r="O1504" s="13">
        <v>0</v>
      </c>
      <c r="P1504" s="11">
        <f t="shared" si="161"/>
        <v>1</v>
      </c>
    </row>
    <row r="1505" spans="1:16" ht="18.75" customHeight="1" thickBot="1" x14ac:dyDescent="0.3">
      <c r="A1505" s="3" t="s">
        <v>11</v>
      </c>
      <c r="B1505" s="4">
        <v>842289</v>
      </c>
      <c r="C1505" s="3" t="s">
        <v>9</v>
      </c>
      <c r="D1505" s="18">
        <v>0.11</v>
      </c>
      <c r="E1505" s="21">
        <f t="shared" si="160"/>
        <v>8.7345938235519061E-3</v>
      </c>
      <c r="F1505" s="5">
        <v>41428</v>
      </c>
      <c r="G1505" s="5">
        <v>42524</v>
      </c>
      <c r="H1505" s="16">
        <f t="shared" si="163"/>
        <v>1096</v>
      </c>
      <c r="I1505" s="5">
        <v>42524</v>
      </c>
      <c r="J1505" s="5">
        <v>41764</v>
      </c>
      <c r="K1505" s="16">
        <f t="shared" si="164"/>
        <v>336</v>
      </c>
      <c r="L1505" s="13">
        <v>2365.09</v>
      </c>
      <c r="M1505" s="15">
        <f t="shared" si="162"/>
        <v>75.895271556402491</v>
      </c>
      <c r="N1505" s="13">
        <v>2365.09</v>
      </c>
      <c r="O1505" s="13">
        <v>0</v>
      </c>
      <c r="P1505" s="11">
        <f t="shared" si="161"/>
        <v>1</v>
      </c>
    </row>
    <row r="1506" spans="1:16" ht="18.75" customHeight="1" thickBot="1" x14ac:dyDescent="0.3">
      <c r="A1506" s="3" t="s">
        <v>11</v>
      </c>
      <c r="B1506" s="4">
        <v>900605</v>
      </c>
      <c r="C1506" s="3" t="s">
        <v>9</v>
      </c>
      <c r="D1506" s="18">
        <v>0.11</v>
      </c>
      <c r="E1506" s="21">
        <f t="shared" si="160"/>
        <v>8.7345938235519061E-3</v>
      </c>
      <c r="F1506" s="5">
        <v>41435</v>
      </c>
      <c r="G1506" s="5">
        <v>42165</v>
      </c>
      <c r="H1506" s="16">
        <f t="shared" si="163"/>
        <v>730</v>
      </c>
      <c r="I1506" s="5">
        <v>42165</v>
      </c>
      <c r="J1506" s="5">
        <v>42072</v>
      </c>
      <c r="K1506" s="16">
        <f t="shared" si="164"/>
        <v>637</v>
      </c>
      <c r="L1506" s="13">
        <v>1082.69</v>
      </c>
      <c r="M1506" s="15">
        <f t="shared" si="162"/>
        <v>49.583222103266998</v>
      </c>
      <c r="N1506" s="13">
        <v>1082.69</v>
      </c>
      <c r="O1506" s="13">
        <v>0</v>
      </c>
      <c r="P1506" s="11">
        <f t="shared" si="161"/>
        <v>1</v>
      </c>
    </row>
    <row r="1507" spans="1:16" ht="18.75" customHeight="1" thickBot="1" x14ac:dyDescent="0.3">
      <c r="A1507" s="3" t="s">
        <v>11</v>
      </c>
      <c r="B1507" s="4">
        <v>981052</v>
      </c>
      <c r="C1507" s="3" t="s">
        <v>9</v>
      </c>
      <c r="D1507" s="18">
        <v>0.09</v>
      </c>
      <c r="E1507" s="21">
        <f t="shared" si="160"/>
        <v>7.2073233161367156E-3</v>
      </c>
      <c r="F1507" s="5">
        <v>41445</v>
      </c>
      <c r="G1507" s="5">
        <v>43089</v>
      </c>
      <c r="H1507" s="16">
        <f t="shared" si="163"/>
        <v>1644</v>
      </c>
      <c r="I1507" s="5">
        <v>43089</v>
      </c>
      <c r="J1507" s="5">
        <v>42807</v>
      </c>
      <c r="K1507" s="16">
        <f t="shared" si="164"/>
        <v>1362</v>
      </c>
      <c r="L1507" s="13">
        <v>7936.73</v>
      </c>
      <c r="M1507" s="15">
        <f t="shared" si="162"/>
        <v>175.82458251518545</v>
      </c>
      <c r="N1507" s="13">
        <v>7936.73</v>
      </c>
      <c r="O1507" s="13">
        <v>0</v>
      </c>
      <c r="P1507" s="11">
        <f t="shared" si="161"/>
        <v>1</v>
      </c>
    </row>
    <row r="1508" spans="1:16" ht="18.75" customHeight="1" thickBot="1" x14ac:dyDescent="0.3">
      <c r="A1508" s="3" t="s">
        <v>11</v>
      </c>
      <c r="B1508" s="4">
        <v>437936</v>
      </c>
      <c r="C1508" s="3" t="s">
        <v>9</v>
      </c>
      <c r="D1508" s="18">
        <v>0.12</v>
      </c>
      <c r="E1508" s="21">
        <f t="shared" si="160"/>
        <v>9.4887929345830457E-3</v>
      </c>
      <c r="F1508" s="5">
        <v>41446</v>
      </c>
      <c r="G1508" s="5">
        <v>43394</v>
      </c>
      <c r="H1508" s="16">
        <f t="shared" si="163"/>
        <v>1948</v>
      </c>
      <c r="I1508" s="5">
        <v>43394</v>
      </c>
      <c r="J1508" s="5">
        <v>42983</v>
      </c>
      <c r="K1508" s="16">
        <f t="shared" si="164"/>
        <v>1537</v>
      </c>
      <c r="L1508" s="13">
        <v>3965.56</v>
      </c>
      <c r="M1508" s="15">
        <f t="shared" si="162"/>
        <v>82.085703476739155</v>
      </c>
      <c r="N1508" s="13">
        <v>3965.56</v>
      </c>
      <c r="O1508" s="13">
        <v>0</v>
      </c>
      <c r="P1508" s="11">
        <f t="shared" si="161"/>
        <v>1</v>
      </c>
    </row>
    <row r="1509" spans="1:16" ht="18.75" customHeight="1" thickBot="1" x14ac:dyDescent="0.3">
      <c r="A1509" s="3" t="s">
        <v>11</v>
      </c>
      <c r="B1509" s="4">
        <v>502160</v>
      </c>
      <c r="C1509" s="3" t="s">
        <v>9</v>
      </c>
      <c r="D1509" s="18">
        <v>0.11</v>
      </c>
      <c r="E1509" s="21">
        <f t="shared" si="160"/>
        <v>8.7345938235519061E-3</v>
      </c>
      <c r="F1509" s="5">
        <v>41452</v>
      </c>
      <c r="G1509" s="5">
        <v>43643</v>
      </c>
      <c r="H1509" s="16">
        <f t="shared" si="163"/>
        <v>2191</v>
      </c>
      <c r="I1509" s="5">
        <v>43643</v>
      </c>
      <c r="J1509" s="5">
        <v>42221</v>
      </c>
      <c r="K1509" s="16">
        <f t="shared" si="164"/>
        <v>769</v>
      </c>
      <c r="L1509" s="13">
        <v>11805.51</v>
      </c>
      <c r="M1509" s="15">
        <f t="shared" si="162"/>
        <v>219.33008833461682</v>
      </c>
      <c r="N1509" s="13">
        <v>11805.51</v>
      </c>
      <c r="O1509" s="13">
        <v>0</v>
      </c>
      <c r="P1509" s="11">
        <f t="shared" si="161"/>
        <v>1</v>
      </c>
    </row>
    <row r="1510" spans="1:16" ht="18.75" hidden="1" customHeight="1" thickBot="1" x14ac:dyDescent="0.3">
      <c r="A1510" s="3" t="s">
        <v>11</v>
      </c>
      <c r="B1510" s="4">
        <v>47385</v>
      </c>
      <c r="C1510" s="3" t="s">
        <v>9</v>
      </c>
      <c r="D1510" s="18">
        <v>0.1</v>
      </c>
      <c r="E1510" s="21">
        <f t="shared" si="160"/>
        <v>7.9741404289037643E-3</v>
      </c>
      <c r="F1510" s="5">
        <v>41453</v>
      </c>
      <c r="G1510" s="5">
        <v>41636</v>
      </c>
      <c r="H1510" s="16">
        <f t="shared" si="163"/>
        <v>183</v>
      </c>
      <c r="I1510" s="5">
        <v>41636</v>
      </c>
      <c r="J1510" s="2"/>
      <c r="K1510" s="16">
        <f t="shared" si="164"/>
        <v>-41453</v>
      </c>
      <c r="L1510" s="13">
        <v>3550</v>
      </c>
      <c r="M1510" s="15">
        <f t="shared" si="162"/>
        <v>598.55287328587315</v>
      </c>
      <c r="N1510" s="13">
        <v>3550</v>
      </c>
      <c r="O1510" s="13">
        <v>0</v>
      </c>
      <c r="P1510" s="11">
        <f t="shared" si="161"/>
        <v>0</v>
      </c>
    </row>
    <row r="1511" spans="1:16" ht="18.75" customHeight="1" thickBot="1" x14ac:dyDescent="0.3">
      <c r="A1511" s="3" t="s">
        <v>11</v>
      </c>
      <c r="B1511" s="4">
        <v>846149</v>
      </c>
      <c r="C1511" s="3" t="s">
        <v>9</v>
      </c>
      <c r="D1511" s="18">
        <v>0.1</v>
      </c>
      <c r="E1511" s="21">
        <f t="shared" ref="E1511:E1574" si="165">(1+D1511)^(1/12)-1</f>
        <v>7.9741404289037643E-3</v>
      </c>
      <c r="F1511" s="5">
        <v>41458</v>
      </c>
      <c r="G1511" s="5">
        <v>43649</v>
      </c>
      <c r="H1511" s="16">
        <f t="shared" si="163"/>
        <v>2191</v>
      </c>
      <c r="I1511" s="5">
        <v>43649</v>
      </c>
      <c r="J1511" s="5">
        <v>42355</v>
      </c>
      <c r="K1511" s="16">
        <f t="shared" si="164"/>
        <v>897</v>
      </c>
      <c r="L1511" s="13">
        <v>7965.32</v>
      </c>
      <c r="M1511" s="15">
        <f t="shared" si="162"/>
        <v>144.30998082799849</v>
      </c>
      <c r="N1511" s="13">
        <v>7965.32</v>
      </c>
      <c r="O1511" s="13">
        <v>0</v>
      </c>
      <c r="P1511" s="11">
        <f t="shared" ref="P1511:P1574" si="166">IF((G1511)&gt;(ConstantDateCutoff),1,0)</f>
        <v>1</v>
      </c>
    </row>
    <row r="1512" spans="1:16" ht="18.75" customHeight="1" thickBot="1" x14ac:dyDescent="0.3">
      <c r="A1512" s="3" t="s">
        <v>11</v>
      </c>
      <c r="B1512" s="4">
        <v>248680</v>
      </c>
      <c r="C1512" s="3" t="s">
        <v>9</v>
      </c>
      <c r="D1512" s="18">
        <v>0.1</v>
      </c>
      <c r="E1512" s="21">
        <f t="shared" si="165"/>
        <v>7.9741404289037643E-3</v>
      </c>
      <c r="F1512" s="5">
        <v>41463</v>
      </c>
      <c r="G1512" s="5">
        <v>42802</v>
      </c>
      <c r="H1512" s="16">
        <f t="shared" si="163"/>
        <v>1339</v>
      </c>
      <c r="I1512" s="5">
        <v>42802</v>
      </c>
      <c r="J1512" s="5">
        <v>42454</v>
      </c>
      <c r="K1512" s="16">
        <f t="shared" si="164"/>
        <v>991</v>
      </c>
      <c r="L1512" s="13">
        <v>3224.87</v>
      </c>
      <c r="M1512" s="15">
        <f t="shared" si="162"/>
        <v>86.156075681438239</v>
      </c>
      <c r="N1512" s="13">
        <v>3224.87</v>
      </c>
      <c r="O1512" s="13">
        <v>0</v>
      </c>
      <c r="P1512" s="11">
        <f t="shared" si="166"/>
        <v>1</v>
      </c>
    </row>
    <row r="1513" spans="1:16" ht="18.75" customHeight="1" thickBot="1" x14ac:dyDescent="0.3">
      <c r="A1513" s="3" t="s">
        <v>11</v>
      </c>
      <c r="B1513" s="4">
        <v>71894</v>
      </c>
      <c r="C1513" s="3" t="s">
        <v>9</v>
      </c>
      <c r="D1513" s="18">
        <v>0.09</v>
      </c>
      <c r="E1513" s="21">
        <f t="shared" si="165"/>
        <v>7.2073233161367156E-3</v>
      </c>
      <c r="F1513" s="5">
        <v>41464</v>
      </c>
      <c r="G1513" s="5">
        <v>43655</v>
      </c>
      <c r="H1513" s="16">
        <f t="shared" si="163"/>
        <v>2191</v>
      </c>
      <c r="I1513" s="5">
        <v>43655</v>
      </c>
      <c r="J1513" s="5">
        <v>41775</v>
      </c>
      <c r="K1513" s="16">
        <f t="shared" si="164"/>
        <v>311</v>
      </c>
      <c r="L1513" s="13">
        <v>62050.85</v>
      </c>
      <c r="M1513" s="15">
        <f t="shared" si="162"/>
        <v>1095.7497949312526</v>
      </c>
      <c r="N1513" s="13">
        <v>62050.85</v>
      </c>
      <c r="O1513" s="13">
        <v>0</v>
      </c>
      <c r="P1513" s="11">
        <f t="shared" si="166"/>
        <v>1</v>
      </c>
    </row>
    <row r="1514" spans="1:16" ht="18.75" customHeight="1" thickBot="1" x14ac:dyDescent="0.3">
      <c r="A1514" s="3" t="s">
        <v>11</v>
      </c>
      <c r="B1514" s="4">
        <v>276178</v>
      </c>
      <c r="C1514" s="3" t="s">
        <v>9</v>
      </c>
      <c r="D1514" s="18">
        <v>9.5000000000000001E-2</v>
      </c>
      <c r="E1514" s="21">
        <f t="shared" si="165"/>
        <v>7.5915342905825689E-3</v>
      </c>
      <c r="F1514" s="5">
        <v>41465</v>
      </c>
      <c r="G1514" s="5">
        <v>43383</v>
      </c>
      <c r="H1514" s="16">
        <f t="shared" si="163"/>
        <v>1918</v>
      </c>
      <c r="I1514" s="5">
        <v>43383</v>
      </c>
      <c r="J1514" s="5">
        <v>42433</v>
      </c>
      <c r="K1514" s="16">
        <f t="shared" si="164"/>
        <v>968</v>
      </c>
      <c r="L1514" s="13">
        <v>1789.69</v>
      </c>
      <c r="M1514" s="15">
        <f t="shared" si="162"/>
        <v>35.437756155110186</v>
      </c>
      <c r="N1514" s="13">
        <v>1789.69</v>
      </c>
      <c r="O1514" s="13">
        <v>0</v>
      </c>
      <c r="P1514" s="11">
        <f t="shared" si="166"/>
        <v>1</v>
      </c>
    </row>
    <row r="1515" spans="1:16" ht="18.75" customHeight="1" thickBot="1" x14ac:dyDescent="0.3">
      <c r="A1515" s="3" t="s">
        <v>11</v>
      </c>
      <c r="B1515" s="4">
        <v>713822</v>
      </c>
      <c r="C1515" s="3" t="s">
        <v>9</v>
      </c>
      <c r="D1515" s="18">
        <v>0.1</v>
      </c>
      <c r="E1515" s="21">
        <f t="shared" si="165"/>
        <v>7.9741404289037643E-3</v>
      </c>
      <c r="F1515" s="5">
        <v>41465</v>
      </c>
      <c r="G1515" s="5">
        <v>43656</v>
      </c>
      <c r="H1515" s="16">
        <f t="shared" si="163"/>
        <v>2191</v>
      </c>
      <c r="I1515" s="5">
        <v>43656</v>
      </c>
      <c r="J1515" s="5">
        <v>42055</v>
      </c>
      <c r="K1515" s="16">
        <f t="shared" si="164"/>
        <v>590</v>
      </c>
      <c r="L1515" s="13">
        <v>28177.1</v>
      </c>
      <c r="M1515" s="15">
        <f t="shared" si="162"/>
        <v>510.49258043475919</v>
      </c>
      <c r="N1515" s="13">
        <v>28177.1</v>
      </c>
      <c r="O1515" s="13">
        <v>0</v>
      </c>
      <c r="P1515" s="11">
        <f t="shared" si="166"/>
        <v>1</v>
      </c>
    </row>
    <row r="1516" spans="1:16" ht="18.75" customHeight="1" thickBot="1" x14ac:dyDescent="0.3">
      <c r="A1516" s="3" t="s">
        <v>11</v>
      </c>
      <c r="B1516" s="4">
        <v>164391</v>
      </c>
      <c r="C1516" s="3" t="s">
        <v>9</v>
      </c>
      <c r="D1516" s="18">
        <v>0.1</v>
      </c>
      <c r="E1516" s="21">
        <f t="shared" si="165"/>
        <v>7.9741404289037643E-3</v>
      </c>
      <c r="F1516" s="5">
        <v>41467</v>
      </c>
      <c r="G1516" s="5">
        <v>43720</v>
      </c>
      <c r="H1516" s="16">
        <f t="shared" si="163"/>
        <v>2253</v>
      </c>
      <c r="I1516" s="5">
        <v>43720</v>
      </c>
      <c r="J1516" s="5">
        <v>43635</v>
      </c>
      <c r="K1516" s="16">
        <f t="shared" si="164"/>
        <v>2168</v>
      </c>
      <c r="L1516" s="13">
        <v>15640</v>
      </c>
      <c r="M1516" s="15">
        <f t="shared" si="162"/>
        <v>277.60544063472452</v>
      </c>
      <c r="N1516" s="13">
        <v>15010</v>
      </c>
      <c r="O1516" s="13">
        <v>0</v>
      </c>
      <c r="P1516" s="11">
        <f t="shared" si="166"/>
        <v>1</v>
      </c>
    </row>
    <row r="1517" spans="1:16" ht="18.75" customHeight="1" thickBot="1" x14ac:dyDescent="0.3">
      <c r="A1517" s="3" t="s">
        <v>11</v>
      </c>
      <c r="B1517" s="4">
        <v>372935</v>
      </c>
      <c r="C1517" s="3" t="s">
        <v>9</v>
      </c>
      <c r="D1517" s="18">
        <v>0.11</v>
      </c>
      <c r="E1517" s="21">
        <f t="shared" si="165"/>
        <v>8.7345938235519061E-3</v>
      </c>
      <c r="F1517" s="5">
        <v>41471</v>
      </c>
      <c r="G1517" s="5">
        <v>43693</v>
      </c>
      <c r="H1517" s="16">
        <f t="shared" si="163"/>
        <v>2222</v>
      </c>
      <c r="I1517" s="5">
        <v>43693</v>
      </c>
      <c r="J1517" s="5">
        <v>43640</v>
      </c>
      <c r="K1517" s="16">
        <f t="shared" si="164"/>
        <v>2169</v>
      </c>
      <c r="L1517" s="13">
        <v>11944.65</v>
      </c>
      <c r="M1517" s="15">
        <f t="shared" si="162"/>
        <v>219.69996607284858</v>
      </c>
      <c r="N1517" s="13">
        <v>10831.9</v>
      </c>
      <c r="O1517" s="13">
        <v>10831.9</v>
      </c>
      <c r="P1517" s="11">
        <f t="shared" si="166"/>
        <v>1</v>
      </c>
    </row>
    <row r="1518" spans="1:16" ht="18.75" customHeight="1" thickBot="1" x14ac:dyDescent="0.3">
      <c r="A1518" s="3" t="s">
        <v>11</v>
      </c>
      <c r="B1518" s="4">
        <v>708245</v>
      </c>
      <c r="C1518" s="3" t="s">
        <v>9</v>
      </c>
      <c r="D1518" s="18">
        <v>0.12</v>
      </c>
      <c r="E1518" s="21">
        <f t="shared" si="165"/>
        <v>9.4887929345830457E-3</v>
      </c>
      <c r="F1518" s="5">
        <v>41477</v>
      </c>
      <c r="G1518" s="5">
        <v>43556</v>
      </c>
      <c r="H1518" s="16">
        <f t="shared" si="163"/>
        <v>2079</v>
      </c>
      <c r="I1518" s="5">
        <v>43556</v>
      </c>
      <c r="J1518" s="5">
        <v>42459</v>
      </c>
      <c r="K1518" s="16">
        <f t="shared" si="164"/>
        <v>982</v>
      </c>
      <c r="L1518" s="13">
        <v>5932.08</v>
      </c>
      <c r="M1518" s="15">
        <f t="shared" si="162"/>
        <v>117.1978562834946</v>
      </c>
      <c r="N1518" s="13">
        <v>5932.08</v>
      </c>
      <c r="O1518" s="13">
        <v>0</v>
      </c>
      <c r="P1518" s="11">
        <f t="shared" si="166"/>
        <v>1</v>
      </c>
    </row>
    <row r="1519" spans="1:16" ht="18.75" customHeight="1" thickBot="1" x14ac:dyDescent="0.3">
      <c r="A1519" s="3" t="s">
        <v>11</v>
      </c>
      <c r="B1519" s="4">
        <v>527589</v>
      </c>
      <c r="C1519" s="3" t="s">
        <v>9</v>
      </c>
      <c r="D1519" s="18">
        <v>0.1</v>
      </c>
      <c r="E1519" s="21">
        <f t="shared" si="165"/>
        <v>7.9741404289037643E-3</v>
      </c>
      <c r="F1519" s="5">
        <v>41481</v>
      </c>
      <c r="G1519" s="5">
        <v>42942</v>
      </c>
      <c r="H1519" s="16">
        <f t="shared" si="163"/>
        <v>1461</v>
      </c>
      <c r="I1519" s="5">
        <v>42942</v>
      </c>
      <c r="J1519" s="5">
        <v>42354</v>
      </c>
      <c r="K1519" s="16">
        <f t="shared" si="164"/>
        <v>873</v>
      </c>
      <c r="L1519" s="13">
        <v>13050.62</v>
      </c>
      <c r="M1519" s="15">
        <f t="shared" si="162"/>
        <v>324.42676623438297</v>
      </c>
      <c r="N1519" s="13">
        <v>13050.62</v>
      </c>
      <c r="O1519" s="13">
        <v>0</v>
      </c>
      <c r="P1519" s="11">
        <f t="shared" si="166"/>
        <v>1</v>
      </c>
    </row>
    <row r="1520" spans="1:16" ht="18.75" customHeight="1" thickBot="1" x14ac:dyDescent="0.3">
      <c r="A1520" s="3" t="s">
        <v>11</v>
      </c>
      <c r="B1520" s="4">
        <v>694333</v>
      </c>
      <c r="C1520" s="3" t="s">
        <v>9</v>
      </c>
      <c r="D1520" s="18">
        <v>0.14000000000000001</v>
      </c>
      <c r="E1520" s="21">
        <f t="shared" si="165"/>
        <v>1.0978851950173452E-2</v>
      </c>
      <c r="F1520" s="5">
        <v>41481</v>
      </c>
      <c r="G1520" s="5">
        <v>42973</v>
      </c>
      <c r="H1520" s="16">
        <f t="shared" si="163"/>
        <v>1492</v>
      </c>
      <c r="I1520" s="5">
        <v>42973</v>
      </c>
      <c r="J1520" s="5">
        <v>42282</v>
      </c>
      <c r="K1520" s="16">
        <f t="shared" si="164"/>
        <v>801</v>
      </c>
      <c r="L1520" s="13">
        <v>1783.38</v>
      </c>
      <c r="M1520" s="15">
        <f t="shared" si="162"/>
        <v>46.726776557291409</v>
      </c>
      <c r="N1520" s="13">
        <v>1783.38</v>
      </c>
      <c r="O1520" s="13">
        <v>0</v>
      </c>
      <c r="P1520" s="11">
        <f t="shared" si="166"/>
        <v>1</v>
      </c>
    </row>
    <row r="1521" spans="1:16" ht="18.75" customHeight="1" thickBot="1" x14ac:dyDescent="0.3">
      <c r="A1521" s="3" t="s">
        <v>11</v>
      </c>
      <c r="B1521" s="4">
        <v>668364</v>
      </c>
      <c r="C1521" s="3" t="s">
        <v>9</v>
      </c>
      <c r="D1521" s="18">
        <v>0.09</v>
      </c>
      <c r="E1521" s="21">
        <f t="shared" si="165"/>
        <v>7.2073233161367156E-3</v>
      </c>
      <c r="F1521" s="5">
        <v>41486</v>
      </c>
      <c r="G1521" s="5">
        <v>42673</v>
      </c>
      <c r="H1521" s="16">
        <f t="shared" si="163"/>
        <v>1187</v>
      </c>
      <c r="I1521" s="5">
        <v>42673</v>
      </c>
      <c r="J1521" s="5">
        <v>42321</v>
      </c>
      <c r="K1521" s="16">
        <f t="shared" si="164"/>
        <v>835</v>
      </c>
      <c r="L1521" s="13">
        <v>1745.14</v>
      </c>
      <c r="M1521" s="15">
        <f t="shared" si="162"/>
        <v>50.851394970547858</v>
      </c>
      <c r="N1521" s="13">
        <v>1745.14</v>
      </c>
      <c r="O1521" s="13">
        <v>0</v>
      </c>
      <c r="P1521" s="11">
        <f t="shared" si="166"/>
        <v>1</v>
      </c>
    </row>
    <row r="1522" spans="1:16" ht="18.75" customHeight="1" thickBot="1" x14ac:dyDescent="0.3">
      <c r="A1522" s="3" t="s">
        <v>11</v>
      </c>
      <c r="B1522" s="4">
        <v>445877</v>
      </c>
      <c r="C1522" s="3" t="s">
        <v>9</v>
      </c>
      <c r="D1522" s="18">
        <v>0.12</v>
      </c>
      <c r="E1522" s="21">
        <f t="shared" si="165"/>
        <v>9.4887929345830457E-3</v>
      </c>
      <c r="F1522" s="5">
        <v>41487</v>
      </c>
      <c r="G1522" s="5">
        <v>42401</v>
      </c>
      <c r="H1522" s="16">
        <f t="shared" si="163"/>
        <v>914</v>
      </c>
      <c r="I1522" s="5">
        <v>42401</v>
      </c>
      <c r="J1522" s="5">
        <v>41849</v>
      </c>
      <c r="K1522" s="16">
        <f t="shared" si="164"/>
        <v>362</v>
      </c>
      <c r="L1522" s="13">
        <v>9417.75</v>
      </c>
      <c r="M1522" s="15">
        <f t="shared" si="162"/>
        <v>357.40206822780158</v>
      </c>
      <c r="N1522" s="13">
        <v>9417.75</v>
      </c>
      <c r="O1522" s="13">
        <v>0</v>
      </c>
      <c r="P1522" s="11">
        <f t="shared" si="166"/>
        <v>1</v>
      </c>
    </row>
    <row r="1523" spans="1:16" ht="18.75" customHeight="1" thickBot="1" x14ac:dyDescent="0.3">
      <c r="A1523" s="3" t="s">
        <v>11</v>
      </c>
      <c r="B1523" s="4">
        <v>745802</v>
      </c>
      <c r="C1523" s="3" t="s">
        <v>9</v>
      </c>
      <c r="D1523" s="18">
        <v>0.14000000000000001</v>
      </c>
      <c r="E1523" s="21">
        <f t="shared" si="165"/>
        <v>1.0978851950173452E-2</v>
      </c>
      <c r="F1523" s="5">
        <v>41488</v>
      </c>
      <c r="G1523" s="5">
        <v>43041</v>
      </c>
      <c r="H1523" s="16">
        <f t="shared" si="163"/>
        <v>1553</v>
      </c>
      <c r="I1523" s="5">
        <v>43041</v>
      </c>
      <c r="J1523" s="5">
        <v>42447</v>
      </c>
      <c r="K1523" s="16">
        <f t="shared" si="164"/>
        <v>959</v>
      </c>
      <c r="L1523" s="13">
        <v>5147.82</v>
      </c>
      <c r="M1523" s="15">
        <f t="shared" si="162"/>
        <v>130.8943068839715</v>
      </c>
      <c r="N1523" s="13">
        <v>5147.82</v>
      </c>
      <c r="O1523" s="13">
        <v>0</v>
      </c>
      <c r="P1523" s="11">
        <f t="shared" si="166"/>
        <v>1</v>
      </c>
    </row>
    <row r="1524" spans="1:16" ht="18.75" customHeight="1" thickBot="1" x14ac:dyDescent="0.3">
      <c r="A1524" s="3" t="s">
        <v>11</v>
      </c>
      <c r="B1524" s="4">
        <v>730593</v>
      </c>
      <c r="C1524" s="3" t="s">
        <v>9</v>
      </c>
      <c r="D1524" s="18">
        <v>0.14000000000000001</v>
      </c>
      <c r="E1524" s="21">
        <f t="shared" si="165"/>
        <v>1.0978851950173452E-2</v>
      </c>
      <c r="F1524" s="5">
        <v>41491</v>
      </c>
      <c r="G1524" s="5">
        <v>43317</v>
      </c>
      <c r="H1524" s="16">
        <f t="shared" si="163"/>
        <v>1826</v>
      </c>
      <c r="I1524" s="5">
        <v>43317</v>
      </c>
      <c r="J1524" s="5">
        <v>42341</v>
      </c>
      <c r="K1524" s="16">
        <f t="shared" si="164"/>
        <v>850</v>
      </c>
      <c r="L1524" s="13">
        <v>3884.19</v>
      </c>
      <c r="M1524" s="15">
        <f t="shared" si="162"/>
        <v>87.830947924161563</v>
      </c>
      <c r="N1524" s="13">
        <v>3884.19</v>
      </c>
      <c r="O1524" s="13">
        <v>0</v>
      </c>
      <c r="P1524" s="11">
        <f t="shared" si="166"/>
        <v>1</v>
      </c>
    </row>
    <row r="1525" spans="1:16" ht="18.75" customHeight="1" thickBot="1" x14ac:dyDescent="0.3">
      <c r="A1525" s="3" t="s">
        <v>11</v>
      </c>
      <c r="B1525" s="4">
        <v>555669</v>
      </c>
      <c r="C1525" s="3" t="s">
        <v>19</v>
      </c>
      <c r="D1525" s="18">
        <v>0.1</v>
      </c>
      <c r="E1525" s="21">
        <f t="shared" si="165"/>
        <v>7.9741404289037643E-3</v>
      </c>
      <c r="F1525" s="5">
        <v>41493</v>
      </c>
      <c r="G1525" s="5">
        <v>43684</v>
      </c>
      <c r="H1525" s="16">
        <f t="shared" si="163"/>
        <v>2191</v>
      </c>
      <c r="I1525" s="5">
        <v>43684</v>
      </c>
      <c r="J1525" s="5">
        <v>43371</v>
      </c>
      <c r="K1525" s="16">
        <f t="shared" si="164"/>
        <v>1878</v>
      </c>
      <c r="L1525" s="13">
        <v>3739.51</v>
      </c>
      <c r="M1525" s="15">
        <f t="shared" si="162"/>
        <v>67.749772313743662</v>
      </c>
      <c r="N1525" s="13">
        <v>3739.51</v>
      </c>
      <c r="O1525" s="13">
        <v>0</v>
      </c>
      <c r="P1525" s="11">
        <f t="shared" si="166"/>
        <v>1</v>
      </c>
    </row>
    <row r="1526" spans="1:16" ht="18.75" customHeight="1" thickBot="1" x14ac:dyDescent="0.3">
      <c r="A1526" s="3" t="s">
        <v>11</v>
      </c>
      <c r="B1526" s="4">
        <v>43241</v>
      </c>
      <c r="C1526" s="3" t="s">
        <v>9</v>
      </c>
      <c r="D1526" s="18">
        <v>0.1</v>
      </c>
      <c r="E1526" s="21">
        <f t="shared" si="165"/>
        <v>7.9741404289037643E-3</v>
      </c>
      <c r="F1526" s="5">
        <v>41495</v>
      </c>
      <c r="G1526" s="5">
        <v>43321</v>
      </c>
      <c r="H1526" s="16">
        <f t="shared" si="163"/>
        <v>1826</v>
      </c>
      <c r="I1526" s="5">
        <v>43321</v>
      </c>
      <c r="J1526" s="5">
        <v>41834</v>
      </c>
      <c r="K1526" s="16">
        <f t="shared" si="164"/>
        <v>339</v>
      </c>
      <c r="L1526" s="13">
        <v>3305.68</v>
      </c>
      <c r="M1526" s="15">
        <f t="shared" si="162"/>
        <v>68.76424531678407</v>
      </c>
      <c r="N1526" s="13">
        <v>3305.68</v>
      </c>
      <c r="O1526" s="13">
        <v>0</v>
      </c>
      <c r="P1526" s="11">
        <f t="shared" si="166"/>
        <v>1</v>
      </c>
    </row>
    <row r="1527" spans="1:16" ht="18.75" customHeight="1" thickBot="1" x14ac:dyDescent="0.3">
      <c r="A1527" s="3" t="s">
        <v>11</v>
      </c>
      <c r="B1527" s="4">
        <v>440394</v>
      </c>
      <c r="C1527" s="3" t="s">
        <v>9</v>
      </c>
      <c r="D1527" s="18">
        <v>0.1</v>
      </c>
      <c r="E1527" s="21">
        <f t="shared" si="165"/>
        <v>7.9741404289037643E-3</v>
      </c>
      <c r="F1527" s="5">
        <v>41498</v>
      </c>
      <c r="G1527" s="5">
        <v>43994</v>
      </c>
      <c r="H1527" s="16">
        <f t="shared" si="163"/>
        <v>2496</v>
      </c>
      <c r="I1527" s="5">
        <v>43994</v>
      </c>
      <c r="J1527" s="5">
        <v>42807</v>
      </c>
      <c r="K1527" s="16">
        <f t="shared" si="164"/>
        <v>1309</v>
      </c>
      <c r="L1527" s="13">
        <v>10825.18</v>
      </c>
      <c r="M1527" s="15">
        <f t="shared" si="162"/>
        <v>178.5084826962717</v>
      </c>
      <c r="N1527" s="13">
        <v>10825.18</v>
      </c>
      <c r="O1527" s="13">
        <v>0</v>
      </c>
      <c r="P1527" s="11">
        <f t="shared" si="166"/>
        <v>1</v>
      </c>
    </row>
    <row r="1528" spans="1:16" ht="18.75" customHeight="1" thickBot="1" x14ac:dyDescent="0.3">
      <c r="A1528" s="3" t="s">
        <v>11</v>
      </c>
      <c r="B1528" s="4">
        <v>691865</v>
      </c>
      <c r="C1528" s="3" t="s">
        <v>9</v>
      </c>
      <c r="D1528" s="18">
        <v>0.12</v>
      </c>
      <c r="E1528" s="21">
        <f t="shared" si="165"/>
        <v>9.4887929345830457E-3</v>
      </c>
      <c r="F1528" s="5">
        <v>41499</v>
      </c>
      <c r="G1528" s="5">
        <v>42473</v>
      </c>
      <c r="H1528" s="16">
        <f t="shared" si="163"/>
        <v>974</v>
      </c>
      <c r="I1528" s="5">
        <v>42473</v>
      </c>
      <c r="J1528" s="5">
        <v>42341</v>
      </c>
      <c r="K1528" s="16">
        <f t="shared" si="164"/>
        <v>842</v>
      </c>
      <c r="L1528" s="13">
        <v>8095.17</v>
      </c>
      <c r="M1528" s="15">
        <f t="shared" si="162"/>
        <v>290.88529961187709</v>
      </c>
      <c r="N1528" s="13">
        <v>8095.17</v>
      </c>
      <c r="O1528" s="13">
        <v>300</v>
      </c>
      <c r="P1528" s="11">
        <f t="shared" si="166"/>
        <v>1</v>
      </c>
    </row>
    <row r="1529" spans="1:16" ht="18.75" customHeight="1" thickBot="1" x14ac:dyDescent="0.3">
      <c r="A1529" s="3" t="s">
        <v>11</v>
      </c>
      <c r="B1529" s="4">
        <v>866691</v>
      </c>
      <c r="C1529" s="3" t="s">
        <v>9</v>
      </c>
      <c r="D1529" s="18">
        <v>0.12</v>
      </c>
      <c r="E1529" s="21">
        <f t="shared" si="165"/>
        <v>9.4887929345830457E-3</v>
      </c>
      <c r="F1529" s="5">
        <v>41500</v>
      </c>
      <c r="G1529" s="5">
        <v>43424</v>
      </c>
      <c r="H1529" s="16">
        <f t="shared" si="163"/>
        <v>1924</v>
      </c>
      <c r="I1529" s="5">
        <v>43424</v>
      </c>
      <c r="J1529" s="5">
        <v>42142</v>
      </c>
      <c r="K1529" s="16">
        <f t="shared" si="164"/>
        <v>642</v>
      </c>
      <c r="L1529" s="13">
        <v>5337.82</v>
      </c>
      <c r="M1529" s="15">
        <f t="shared" si="162"/>
        <v>111.48997832245806</v>
      </c>
      <c r="N1529" s="13">
        <v>5337.82</v>
      </c>
      <c r="O1529" s="13">
        <v>500</v>
      </c>
      <c r="P1529" s="11">
        <f t="shared" si="166"/>
        <v>1</v>
      </c>
    </row>
    <row r="1530" spans="1:16" ht="18.75" customHeight="1" thickBot="1" x14ac:dyDescent="0.3">
      <c r="A1530" s="3" t="s">
        <v>11</v>
      </c>
      <c r="B1530" s="4">
        <v>595492</v>
      </c>
      <c r="C1530" s="3" t="s">
        <v>9</v>
      </c>
      <c r="D1530" s="18">
        <v>0.1</v>
      </c>
      <c r="E1530" s="21">
        <f t="shared" si="165"/>
        <v>7.9741404289037643E-3</v>
      </c>
      <c r="F1530" s="5">
        <v>41501</v>
      </c>
      <c r="G1530" s="5">
        <v>41685</v>
      </c>
      <c r="H1530" s="16">
        <f t="shared" si="163"/>
        <v>184</v>
      </c>
      <c r="I1530" s="5">
        <v>41685</v>
      </c>
      <c r="J1530" s="5">
        <v>41906</v>
      </c>
      <c r="K1530" s="16">
        <f t="shared" si="164"/>
        <v>405</v>
      </c>
      <c r="L1530" s="13">
        <v>1734</v>
      </c>
      <c r="M1530" s="15">
        <f t="shared" si="162"/>
        <v>290.81282223525255</v>
      </c>
      <c r="N1530" s="13">
        <v>1734</v>
      </c>
      <c r="O1530" s="13">
        <v>0</v>
      </c>
      <c r="P1530" s="11">
        <f t="shared" si="166"/>
        <v>0</v>
      </c>
    </row>
    <row r="1531" spans="1:16" ht="18.75" customHeight="1" thickBot="1" x14ac:dyDescent="0.3">
      <c r="A1531" s="3" t="s">
        <v>11</v>
      </c>
      <c r="B1531" s="4">
        <v>658613</v>
      </c>
      <c r="C1531" s="3" t="s">
        <v>9</v>
      </c>
      <c r="D1531" s="18">
        <v>0.1</v>
      </c>
      <c r="E1531" s="21">
        <f t="shared" si="165"/>
        <v>7.9741404289037643E-3</v>
      </c>
      <c r="F1531" s="5">
        <v>41505</v>
      </c>
      <c r="G1531" s="5">
        <v>44761</v>
      </c>
      <c r="H1531" s="16">
        <f t="shared" si="163"/>
        <v>3256</v>
      </c>
      <c r="I1531" s="5">
        <v>44761</v>
      </c>
      <c r="J1531" s="5">
        <v>43144</v>
      </c>
      <c r="K1531" s="16">
        <f t="shared" si="164"/>
        <v>1639</v>
      </c>
      <c r="L1531" s="13">
        <v>1854.43</v>
      </c>
      <c r="M1531" s="15">
        <f t="shared" si="162"/>
        <v>25.597388975914416</v>
      </c>
      <c r="N1531" s="13">
        <v>1854.43</v>
      </c>
      <c r="O1531" s="13">
        <v>0</v>
      </c>
      <c r="P1531" s="11">
        <f t="shared" si="166"/>
        <v>1</v>
      </c>
    </row>
    <row r="1532" spans="1:16" ht="18.75" customHeight="1" thickBot="1" x14ac:dyDescent="0.3">
      <c r="A1532" s="3" t="s">
        <v>11</v>
      </c>
      <c r="B1532" s="4">
        <v>429491</v>
      </c>
      <c r="C1532" s="3" t="s">
        <v>9</v>
      </c>
      <c r="D1532" s="18">
        <v>0.12</v>
      </c>
      <c r="E1532" s="21">
        <f t="shared" si="165"/>
        <v>9.4887929345830457E-3</v>
      </c>
      <c r="F1532" s="5">
        <v>41508</v>
      </c>
      <c r="G1532" s="5">
        <v>41539</v>
      </c>
      <c r="H1532" s="16">
        <f t="shared" si="163"/>
        <v>31</v>
      </c>
      <c r="I1532" s="5">
        <v>41539</v>
      </c>
      <c r="J1532" s="5">
        <v>41939</v>
      </c>
      <c r="K1532" s="16">
        <f t="shared" si="164"/>
        <v>431</v>
      </c>
      <c r="L1532" s="13">
        <v>3000</v>
      </c>
      <c r="M1532" s="15">
        <f t="shared" si="162"/>
        <v>2931.2345195644521</v>
      </c>
      <c r="N1532" s="13">
        <v>3000</v>
      </c>
      <c r="O1532" s="13">
        <v>0</v>
      </c>
      <c r="P1532" s="11">
        <f t="shared" si="166"/>
        <v>0</v>
      </c>
    </row>
    <row r="1533" spans="1:16" ht="18.75" customHeight="1" thickBot="1" x14ac:dyDescent="0.3">
      <c r="A1533" s="3" t="s">
        <v>11</v>
      </c>
      <c r="B1533" s="4">
        <v>444348</v>
      </c>
      <c r="C1533" s="3" t="s">
        <v>9</v>
      </c>
      <c r="D1533" s="18">
        <v>0.1</v>
      </c>
      <c r="E1533" s="21">
        <f t="shared" si="165"/>
        <v>7.9741404289037643E-3</v>
      </c>
      <c r="F1533" s="5">
        <v>41509</v>
      </c>
      <c r="G1533" s="5">
        <v>43182</v>
      </c>
      <c r="H1533" s="16">
        <f t="shared" si="163"/>
        <v>1673</v>
      </c>
      <c r="I1533" s="5">
        <v>43182</v>
      </c>
      <c r="J1533" s="5">
        <v>42655</v>
      </c>
      <c r="K1533" s="16">
        <f t="shared" si="164"/>
        <v>1146</v>
      </c>
      <c r="L1533" s="13">
        <v>5733.64</v>
      </c>
      <c r="M1533" s="15">
        <f t="shared" si="162"/>
        <v>127.76672937568804</v>
      </c>
      <c r="N1533" s="13">
        <v>5733.64</v>
      </c>
      <c r="O1533" s="13">
        <v>0</v>
      </c>
      <c r="P1533" s="11">
        <f t="shared" si="166"/>
        <v>1</v>
      </c>
    </row>
    <row r="1534" spans="1:16" ht="18.75" customHeight="1" thickBot="1" x14ac:dyDescent="0.3">
      <c r="A1534" s="3" t="s">
        <v>11</v>
      </c>
      <c r="B1534" s="4">
        <v>442828</v>
      </c>
      <c r="C1534" s="3" t="s">
        <v>9</v>
      </c>
      <c r="D1534" s="18">
        <v>0.08</v>
      </c>
      <c r="E1534" s="21">
        <f t="shared" si="165"/>
        <v>6.4340301100034303E-3</v>
      </c>
      <c r="F1534" s="5">
        <v>41512</v>
      </c>
      <c r="G1534" s="5">
        <v>43338</v>
      </c>
      <c r="H1534" s="16">
        <f t="shared" si="163"/>
        <v>1826</v>
      </c>
      <c r="I1534" s="5">
        <v>43338</v>
      </c>
      <c r="J1534" s="5">
        <v>43371</v>
      </c>
      <c r="K1534" s="16">
        <f t="shared" si="164"/>
        <v>1859</v>
      </c>
      <c r="L1534" s="13">
        <v>1406.43</v>
      </c>
      <c r="M1534" s="15">
        <f t="shared" si="162"/>
        <v>27.999119903502393</v>
      </c>
      <c r="N1534" s="13">
        <v>1406.43</v>
      </c>
      <c r="O1534" s="13">
        <v>0</v>
      </c>
      <c r="P1534" s="11">
        <f t="shared" si="166"/>
        <v>1</v>
      </c>
    </row>
    <row r="1535" spans="1:16" ht="18.75" customHeight="1" thickBot="1" x14ac:dyDescent="0.3">
      <c r="A1535" s="3" t="s">
        <v>11</v>
      </c>
      <c r="B1535" s="4">
        <v>496465</v>
      </c>
      <c r="C1535" s="3" t="s">
        <v>9</v>
      </c>
      <c r="D1535" s="18">
        <v>0.1</v>
      </c>
      <c r="E1535" s="21">
        <f t="shared" si="165"/>
        <v>7.9741404289037643E-3</v>
      </c>
      <c r="F1535" s="5">
        <v>41513</v>
      </c>
      <c r="G1535" s="5">
        <v>42243</v>
      </c>
      <c r="H1535" s="16">
        <f t="shared" si="163"/>
        <v>730</v>
      </c>
      <c r="I1535" s="5">
        <v>42243</v>
      </c>
      <c r="J1535" s="5">
        <v>41835</v>
      </c>
      <c r="K1535" s="16">
        <f t="shared" si="164"/>
        <v>322</v>
      </c>
      <c r="L1535" s="13">
        <v>3901.91</v>
      </c>
      <c r="M1535" s="15">
        <f t="shared" si="162"/>
        <v>177.04895087649533</v>
      </c>
      <c r="N1535" s="13">
        <v>3901.91</v>
      </c>
      <c r="O1535" s="13">
        <v>3901.91</v>
      </c>
      <c r="P1535" s="11">
        <f t="shared" si="166"/>
        <v>1</v>
      </c>
    </row>
    <row r="1536" spans="1:16" ht="18.75" customHeight="1" thickBot="1" x14ac:dyDescent="0.3">
      <c r="A1536" s="3" t="s">
        <v>11</v>
      </c>
      <c r="B1536" s="4">
        <v>996104</v>
      </c>
      <c r="C1536" s="3" t="s">
        <v>9</v>
      </c>
      <c r="D1536" s="18">
        <v>0.1</v>
      </c>
      <c r="E1536" s="21">
        <f t="shared" si="165"/>
        <v>7.9741404289037643E-3</v>
      </c>
      <c r="F1536" s="5">
        <v>41520</v>
      </c>
      <c r="G1536" s="5">
        <v>43758</v>
      </c>
      <c r="H1536" s="16">
        <f t="shared" si="163"/>
        <v>2238</v>
      </c>
      <c r="I1536" s="5">
        <v>43758</v>
      </c>
      <c r="J1536" s="5">
        <v>43256</v>
      </c>
      <c r="K1536" s="16">
        <f t="shared" si="164"/>
        <v>1736</v>
      </c>
      <c r="L1536" s="13">
        <v>2439.1799999999998</v>
      </c>
      <c r="M1536" s="15">
        <f t="shared" si="162"/>
        <v>43.506964328022597</v>
      </c>
      <c r="N1536" s="13">
        <v>2439.1799999999998</v>
      </c>
      <c r="O1536" s="13">
        <v>0</v>
      </c>
      <c r="P1536" s="11">
        <f t="shared" si="166"/>
        <v>1</v>
      </c>
    </row>
    <row r="1537" spans="1:16" ht="18.75" customHeight="1" thickBot="1" x14ac:dyDescent="0.3">
      <c r="A1537" s="3" t="s">
        <v>11</v>
      </c>
      <c r="B1537" s="4">
        <v>58201</v>
      </c>
      <c r="C1537" s="3" t="s">
        <v>9</v>
      </c>
      <c r="D1537" s="18">
        <v>0.1</v>
      </c>
      <c r="E1537" s="21">
        <f t="shared" si="165"/>
        <v>7.9741404289037643E-3</v>
      </c>
      <c r="F1537" s="5">
        <v>41526</v>
      </c>
      <c r="G1537" s="5">
        <v>41993</v>
      </c>
      <c r="H1537" s="16">
        <f t="shared" si="163"/>
        <v>467</v>
      </c>
      <c r="I1537" s="5">
        <v>41993</v>
      </c>
      <c r="J1537" s="5">
        <v>41871</v>
      </c>
      <c r="K1537" s="16">
        <f t="shared" si="164"/>
        <v>345</v>
      </c>
      <c r="L1537" s="13">
        <v>1113.68</v>
      </c>
      <c r="M1537" s="15">
        <f t="shared" si="162"/>
        <v>76.35927637707654</v>
      </c>
      <c r="N1537" s="13">
        <v>1113.68</v>
      </c>
      <c r="O1537" s="13">
        <v>0</v>
      </c>
      <c r="P1537" s="11">
        <f t="shared" si="166"/>
        <v>0</v>
      </c>
    </row>
    <row r="1538" spans="1:16" ht="18.75" hidden="1" customHeight="1" thickBot="1" x14ac:dyDescent="0.3">
      <c r="A1538" s="3" t="s">
        <v>11</v>
      </c>
      <c r="B1538" s="4">
        <v>882396</v>
      </c>
      <c r="C1538" s="3" t="s">
        <v>9</v>
      </c>
      <c r="D1538" s="18">
        <v>0.12</v>
      </c>
      <c r="E1538" s="21">
        <f t="shared" si="165"/>
        <v>9.4887929345830457E-3</v>
      </c>
      <c r="F1538" s="5">
        <v>41529</v>
      </c>
      <c r="G1538" s="5">
        <v>42205</v>
      </c>
      <c r="H1538" s="16">
        <f t="shared" si="163"/>
        <v>676</v>
      </c>
      <c r="I1538" s="5">
        <v>42205</v>
      </c>
      <c r="J1538" s="2"/>
      <c r="K1538" s="16">
        <f t="shared" si="164"/>
        <v>-41529</v>
      </c>
      <c r="L1538" s="13">
        <v>3087.77</v>
      </c>
      <c r="M1538" s="15">
        <f t="shared" ref="M1538:M1601" si="167">-PMT(E1538,(H1538/30),L1538)</f>
        <v>152.84912096373034</v>
      </c>
      <c r="N1538" s="13">
        <v>3087.77</v>
      </c>
      <c r="O1538" s="13">
        <v>0</v>
      </c>
      <c r="P1538" s="11">
        <f t="shared" si="166"/>
        <v>1</v>
      </c>
    </row>
    <row r="1539" spans="1:16" ht="18.75" customHeight="1" thickBot="1" x14ac:dyDescent="0.3">
      <c r="A1539" s="3" t="s">
        <v>11</v>
      </c>
      <c r="B1539" s="4">
        <v>642535</v>
      </c>
      <c r="C1539" s="3" t="s">
        <v>9</v>
      </c>
      <c r="D1539" s="18">
        <v>0.12</v>
      </c>
      <c r="E1539" s="21">
        <f t="shared" si="165"/>
        <v>9.4887929345830457E-3</v>
      </c>
      <c r="F1539" s="5">
        <v>41541</v>
      </c>
      <c r="G1539" s="5">
        <v>43914</v>
      </c>
      <c r="H1539" s="16">
        <f t="shared" ref="H1539:H1602" si="168">G1539-F1539</f>
        <v>2373</v>
      </c>
      <c r="I1539" s="5">
        <v>43914</v>
      </c>
      <c r="J1539" s="5">
        <v>42772</v>
      </c>
      <c r="K1539" s="16">
        <f t="shared" ref="K1539:K1602" si="169">J1539-F1539</f>
        <v>1231</v>
      </c>
      <c r="L1539" s="13">
        <v>3836.89</v>
      </c>
      <c r="M1539" s="15">
        <f t="shared" si="167"/>
        <v>69.185963793081342</v>
      </c>
      <c r="N1539" s="13">
        <v>3836.89</v>
      </c>
      <c r="O1539" s="13">
        <v>0</v>
      </c>
      <c r="P1539" s="11">
        <f t="shared" si="166"/>
        <v>1</v>
      </c>
    </row>
    <row r="1540" spans="1:16" ht="18.75" customHeight="1" thickBot="1" x14ac:dyDescent="0.3">
      <c r="A1540" s="3" t="s">
        <v>11</v>
      </c>
      <c r="B1540" s="4">
        <v>590467</v>
      </c>
      <c r="C1540" s="3" t="s">
        <v>9</v>
      </c>
      <c r="D1540" s="18">
        <v>0.1</v>
      </c>
      <c r="E1540" s="21">
        <f t="shared" si="165"/>
        <v>7.9741404289037643E-3</v>
      </c>
      <c r="F1540" s="5">
        <v>41542</v>
      </c>
      <c r="G1540" s="5">
        <v>43368</v>
      </c>
      <c r="H1540" s="16">
        <f t="shared" si="168"/>
        <v>1826</v>
      </c>
      <c r="I1540" s="5">
        <v>43368</v>
      </c>
      <c r="J1540" s="5">
        <v>41999</v>
      </c>
      <c r="K1540" s="16">
        <f t="shared" si="169"/>
        <v>457</v>
      </c>
      <c r="L1540" s="13">
        <v>5535</v>
      </c>
      <c r="M1540" s="15">
        <f t="shared" si="167"/>
        <v>115.13821598835936</v>
      </c>
      <c r="N1540" s="13">
        <v>5535</v>
      </c>
      <c r="O1540" s="13">
        <v>0</v>
      </c>
      <c r="P1540" s="11">
        <f t="shared" si="166"/>
        <v>1</v>
      </c>
    </row>
    <row r="1541" spans="1:16" ht="18.75" customHeight="1" thickBot="1" x14ac:dyDescent="0.3">
      <c r="A1541" s="3" t="s">
        <v>11</v>
      </c>
      <c r="B1541" s="4">
        <v>784232</v>
      </c>
      <c r="C1541" s="3" t="s">
        <v>9</v>
      </c>
      <c r="D1541" s="18">
        <v>8.5000000000000006E-2</v>
      </c>
      <c r="E1541" s="21">
        <f t="shared" si="165"/>
        <v>6.8214933659622723E-3</v>
      </c>
      <c r="F1541" s="5">
        <v>41547</v>
      </c>
      <c r="G1541" s="5">
        <v>41912</v>
      </c>
      <c r="H1541" s="16">
        <f t="shared" si="168"/>
        <v>365</v>
      </c>
      <c r="I1541" s="5">
        <v>41912</v>
      </c>
      <c r="J1541" s="5">
        <v>41628</v>
      </c>
      <c r="K1541" s="16">
        <f t="shared" si="169"/>
        <v>81</v>
      </c>
      <c r="L1541" s="13">
        <v>47349.64</v>
      </c>
      <c r="M1541" s="15">
        <f t="shared" si="167"/>
        <v>4068.7336710137433</v>
      </c>
      <c r="N1541" s="13">
        <v>47349.64</v>
      </c>
      <c r="O1541" s="13">
        <v>0</v>
      </c>
      <c r="P1541" s="11">
        <f t="shared" si="166"/>
        <v>0</v>
      </c>
    </row>
    <row r="1542" spans="1:16" ht="18.75" customHeight="1" thickBot="1" x14ac:dyDescent="0.3">
      <c r="A1542" s="3" t="s">
        <v>11</v>
      </c>
      <c r="B1542" s="4">
        <v>559416</v>
      </c>
      <c r="C1542" s="3" t="s">
        <v>9</v>
      </c>
      <c r="D1542" s="18">
        <v>0.14000000000000001</v>
      </c>
      <c r="E1542" s="21">
        <f t="shared" si="165"/>
        <v>1.0978851950173452E-2</v>
      </c>
      <c r="F1542" s="5">
        <v>41551</v>
      </c>
      <c r="G1542" s="5">
        <v>42220</v>
      </c>
      <c r="H1542" s="16">
        <f t="shared" si="168"/>
        <v>669</v>
      </c>
      <c r="I1542" s="5">
        <v>42220</v>
      </c>
      <c r="J1542" s="5">
        <v>41834</v>
      </c>
      <c r="K1542" s="16">
        <f t="shared" si="169"/>
        <v>283</v>
      </c>
      <c r="L1542" s="13">
        <v>2190.02</v>
      </c>
      <c r="M1542" s="15">
        <f t="shared" si="167"/>
        <v>111.25464534954614</v>
      </c>
      <c r="N1542" s="13">
        <v>2190.02</v>
      </c>
      <c r="O1542" s="13">
        <v>0</v>
      </c>
      <c r="P1542" s="11">
        <f t="shared" si="166"/>
        <v>1</v>
      </c>
    </row>
    <row r="1543" spans="1:16" ht="18.75" customHeight="1" thickBot="1" x14ac:dyDescent="0.3">
      <c r="A1543" s="3" t="s">
        <v>11</v>
      </c>
      <c r="B1543" s="4">
        <v>714956</v>
      </c>
      <c r="C1543" s="3" t="s">
        <v>9</v>
      </c>
      <c r="D1543" s="18">
        <v>0.14000000000000001</v>
      </c>
      <c r="E1543" s="21">
        <f t="shared" si="165"/>
        <v>1.0978851950173452E-2</v>
      </c>
      <c r="F1543" s="5">
        <v>41550</v>
      </c>
      <c r="G1543" s="5">
        <v>43011</v>
      </c>
      <c r="H1543" s="16">
        <f t="shared" si="168"/>
        <v>1461</v>
      </c>
      <c r="I1543" s="5">
        <v>43011</v>
      </c>
      <c r="J1543" s="5">
        <v>42020</v>
      </c>
      <c r="K1543" s="16">
        <f t="shared" si="169"/>
        <v>470</v>
      </c>
      <c r="L1543" s="13">
        <v>8744.94</v>
      </c>
      <c r="M1543" s="15">
        <f t="shared" si="167"/>
        <v>232.79073755460053</v>
      </c>
      <c r="N1543" s="13">
        <v>8744.94</v>
      </c>
      <c r="O1543" s="13">
        <v>0</v>
      </c>
      <c r="P1543" s="11">
        <f t="shared" si="166"/>
        <v>1</v>
      </c>
    </row>
    <row r="1544" spans="1:16" ht="18.75" customHeight="1" thickBot="1" x14ac:dyDescent="0.3">
      <c r="A1544" s="3" t="s">
        <v>11</v>
      </c>
      <c r="B1544" s="4">
        <v>739697</v>
      </c>
      <c r="C1544" s="3" t="s">
        <v>9</v>
      </c>
      <c r="D1544" s="18">
        <v>0.08</v>
      </c>
      <c r="E1544" s="21">
        <f t="shared" si="165"/>
        <v>6.4340301100034303E-3</v>
      </c>
      <c r="F1544" s="5">
        <v>41551</v>
      </c>
      <c r="G1544" s="5">
        <v>43377</v>
      </c>
      <c r="H1544" s="16">
        <f t="shared" si="168"/>
        <v>1826</v>
      </c>
      <c r="I1544" s="5">
        <v>43377</v>
      </c>
      <c r="J1544" s="5">
        <v>42732</v>
      </c>
      <c r="K1544" s="16">
        <f t="shared" si="169"/>
        <v>1181</v>
      </c>
      <c r="L1544" s="13">
        <v>10434.84</v>
      </c>
      <c r="M1544" s="15">
        <f t="shared" si="167"/>
        <v>207.7361378339931</v>
      </c>
      <c r="N1544" s="13">
        <v>10434.84</v>
      </c>
      <c r="O1544" s="13">
        <v>0</v>
      </c>
      <c r="P1544" s="11">
        <f t="shared" si="166"/>
        <v>1</v>
      </c>
    </row>
    <row r="1545" spans="1:16" ht="18.75" customHeight="1" thickBot="1" x14ac:dyDescent="0.3">
      <c r="A1545" s="3" t="s">
        <v>11</v>
      </c>
      <c r="B1545" s="4">
        <v>321930</v>
      </c>
      <c r="C1545" s="3" t="s">
        <v>9</v>
      </c>
      <c r="D1545" s="18">
        <v>0.1</v>
      </c>
      <c r="E1545" s="21">
        <f t="shared" si="165"/>
        <v>7.9741404289037643E-3</v>
      </c>
      <c r="F1545" s="5">
        <v>41554</v>
      </c>
      <c r="G1545" s="5">
        <v>42558</v>
      </c>
      <c r="H1545" s="16">
        <f t="shared" si="168"/>
        <v>1004</v>
      </c>
      <c r="I1545" s="5">
        <v>42558</v>
      </c>
      <c r="J1545" s="5">
        <v>42290</v>
      </c>
      <c r="K1545" s="16">
        <f t="shared" si="169"/>
        <v>736</v>
      </c>
      <c r="L1545" s="13">
        <v>1521.32</v>
      </c>
      <c r="M1545" s="15">
        <f t="shared" si="167"/>
        <v>51.972782188787605</v>
      </c>
      <c r="N1545" s="13">
        <v>1521.32</v>
      </c>
      <c r="O1545" s="13">
        <v>0</v>
      </c>
      <c r="P1545" s="11">
        <f t="shared" si="166"/>
        <v>1</v>
      </c>
    </row>
    <row r="1546" spans="1:16" ht="18.75" customHeight="1" thickBot="1" x14ac:dyDescent="0.3">
      <c r="A1546" s="3" t="s">
        <v>11</v>
      </c>
      <c r="B1546" s="4">
        <v>23167</v>
      </c>
      <c r="C1546" s="3" t="s">
        <v>9</v>
      </c>
      <c r="D1546" s="18">
        <v>0.08</v>
      </c>
      <c r="E1546" s="21">
        <f t="shared" si="165"/>
        <v>6.4340301100034303E-3</v>
      </c>
      <c r="F1546" s="5">
        <v>41555</v>
      </c>
      <c r="G1546" s="5">
        <v>44160</v>
      </c>
      <c r="H1546" s="16">
        <f t="shared" si="168"/>
        <v>2605</v>
      </c>
      <c r="I1546" s="5">
        <v>44160</v>
      </c>
      <c r="J1546" s="5">
        <v>42277</v>
      </c>
      <c r="K1546" s="16">
        <f t="shared" si="169"/>
        <v>722</v>
      </c>
      <c r="L1546" s="13">
        <v>13186.56</v>
      </c>
      <c r="M1546" s="15">
        <f t="shared" si="167"/>
        <v>198.6871502224582</v>
      </c>
      <c r="N1546" s="13">
        <v>13186.56</v>
      </c>
      <c r="O1546" s="13">
        <v>0</v>
      </c>
      <c r="P1546" s="11">
        <f t="shared" si="166"/>
        <v>1</v>
      </c>
    </row>
    <row r="1547" spans="1:16" ht="18.75" customHeight="1" thickBot="1" x14ac:dyDescent="0.3">
      <c r="A1547" s="3" t="s">
        <v>11</v>
      </c>
      <c r="B1547" s="4">
        <v>987061</v>
      </c>
      <c r="C1547" s="3" t="s">
        <v>9</v>
      </c>
      <c r="D1547" s="18">
        <v>0.08</v>
      </c>
      <c r="E1547" s="21">
        <f t="shared" si="165"/>
        <v>6.4340301100034303E-3</v>
      </c>
      <c r="F1547" s="5">
        <v>41570</v>
      </c>
      <c r="G1547" s="5">
        <v>43822</v>
      </c>
      <c r="H1547" s="16">
        <f t="shared" si="168"/>
        <v>2252</v>
      </c>
      <c r="I1547" s="5">
        <v>43822</v>
      </c>
      <c r="J1547" s="5">
        <v>42537</v>
      </c>
      <c r="K1547" s="16">
        <f t="shared" si="169"/>
        <v>967</v>
      </c>
      <c r="L1547" s="13">
        <v>2500</v>
      </c>
      <c r="M1547" s="15">
        <f t="shared" si="167"/>
        <v>42.096137804224618</v>
      </c>
      <c r="N1547" s="13">
        <v>2500</v>
      </c>
      <c r="O1547" s="13">
        <v>0</v>
      </c>
      <c r="P1547" s="11">
        <f t="shared" si="166"/>
        <v>1</v>
      </c>
    </row>
    <row r="1548" spans="1:16" ht="18.75" customHeight="1" thickBot="1" x14ac:dyDescent="0.3">
      <c r="A1548" s="3" t="s">
        <v>11</v>
      </c>
      <c r="B1548" s="4">
        <v>695263</v>
      </c>
      <c r="C1548" s="3" t="s">
        <v>9</v>
      </c>
      <c r="D1548" s="18">
        <v>0.14000000000000001</v>
      </c>
      <c r="E1548" s="21">
        <f t="shared" si="165"/>
        <v>1.0978851950173452E-2</v>
      </c>
      <c r="F1548" s="5">
        <v>41578</v>
      </c>
      <c r="G1548" s="5">
        <v>42124</v>
      </c>
      <c r="H1548" s="16">
        <f t="shared" si="168"/>
        <v>546</v>
      </c>
      <c r="I1548" s="5">
        <v>42124</v>
      </c>
      <c r="J1548" s="5">
        <v>42949</v>
      </c>
      <c r="K1548" s="16">
        <f t="shared" si="169"/>
        <v>1371</v>
      </c>
      <c r="L1548" s="13">
        <v>2986.12</v>
      </c>
      <c r="M1548" s="15">
        <f t="shared" si="167"/>
        <v>181.90620286196514</v>
      </c>
      <c r="N1548" s="13">
        <v>2986.12</v>
      </c>
      <c r="O1548" s="13">
        <v>0</v>
      </c>
      <c r="P1548" s="11">
        <f t="shared" si="166"/>
        <v>1</v>
      </c>
    </row>
    <row r="1549" spans="1:16" ht="18.75" customHeight="1" thickBot="1" x14ac:dyDescent="0.3">
      <c r="A1549" s="3" t="s">
        <v>11</v>
      </c>
      <c r="B1549" s="4">
        <v>35615</v>
      </c>
      <c r="C1549" s="3" t="s">
        <v>9</v>
      </c>
      <c r="D1549" s="18">
        <v>0.14000000000000001</v>
      </c>
      <c r="E1549" s="21">
        <f t="shared" si="165"/>
        <v>1.0978851950173452E-2</v>
      </c>
      <c r="F1549" s="5">
        <v>41591</v>
      </c>
      <c r="G1549" s="5">
        <v>43179</v>
      </c>
      <c r="H1549" s="16">
        <f t="shared" si="168"/>
        <v>1588</v>
      </c>
      <c r="I1549" s="5">
        <v>43179</v>
      </c>
      <c r="J1549" s="5">
        <v>42278</v>
      </c>
      <c r="K1549" s="16">
        <f t="shared" si="169"/>
        <v>687</v>
      </c>
      <c r="L1549" s="13">
        <v>9145.27</v>
      </c>
      <c r="M1549" s="15">
        <f t="shared" si="167"/>
        <v>228.72782186636169</v>
      </c>
      <c r="N1549" s="13">
        <v>9145.27</v>
      </c>
      <c r="O1549" s="13">
        <v>0</v>
      </c>
      <c r="P1549" s="11">
        <f t="shared" si="166"/>
        <v>1</v>
      </c>
    </row>
    <row r="1550" spans="1:16" ht="18.75" customHeight="1" thickBot="1" x14ac:dyDescent="0.3">
      <c r="A1550" s="3" t="s">
        <v>11</v>
      </c>
      <c r="B1550" s="4">
        <v>30748</v>
      </c>
      <c r="C1550" s="3" t="s">
        <v>9</v>
      </c>
      <c r="D1550" s="18">
        <v>0.1</v>
      </c>
      <c r="E1550" s="21">
        <f t="shared" si="165"/>
        <v>7.9741404289037643E-3</v>
      </c>
      <c r="F1550" s="5">
        <v>41596</v>
      </c>
      <c r="G1550" s="5">
        <v>43787</v>
      </c>
      <c r="H1550" s="16">
        <f t="shared" si="168"/>
        <v>2191</v>
      </c>
      <c r="I1550" s="5">
        <v>43787</v>
      </c>
      <c r="J1550" s="5">
        <v>42346</v>
      </c>
      <c r="K1550" s="16">
        <f t="shared" si="169"/>
        <v>750</v>
      </c>
      <c r="L1550" s="13">
        <v>9657.0300000000007</v>
      </c>
      <c r="M1550" s="15">
        <f t="shared" si="167"/>
        <v>174.95917479214975</v>
      </c>
      <c r="N1550" s="13">
        <v>9657.0300000000007</v>
      </c>
      <c r="O1550" s="13">
        <v>0</v>
      </c>
      <c r="P1550" s="11">
        <f t="shared" si="166"/>
        <v>1</v>
      </c>
    </row>
    <row r="1551" spans="1:16" ht="18.75" customHeight="1" thickBot="1" x14ac:dyDescent="0.3">
      <c r="A1551" s="3" t="s">
        <v>11</v>
      </c>
      <c r="B1551" s="4">
        <v>160471</v>
      </c>
      <c r="C1551" s="3" t="s">
        <v>9</v>
      </c>
      <c r="D1551" s="18">
        <v>0.11</v>
      </c>
      <c r="E1551" s="21">
        <f t="shared" si="165"/>
        <v>8.7345938235519061E-3</v>
      </c>
      <c r="F1551" s="5">
        <v>41596</v>
      </c>
      <c r="G1551" s="5">
        <v>43422</v>
      </c>
      <c r="H1551" s="16">
        <f t="shared" si="168"/>
        <v>1826</v>
      </c>
      <c r="I1551" s="5">
        <v>43422</v>
      </c>
      <c r="J1551" s="5">
        <v>42017</v>
      </c>
      <c r="K1551" s="16">
        <f t="shared" si="169"/>
        <v>421</v>
      </c>
      <c r="L1551" s="13">
        <v>3600</v>
      </c>
      <c r="M1551" s="15">
        <f t="shared" si="167"/>
        <v>76.506503780790325</v>
      </c>
      <c r="N1551" s="13">
        <v>3600</v>
      </c>
      <c r="O1551" s="13">
        <v>3600</v>
      </c>
      <c r="P1551" s="11">
        <f t="shared" si="166"/>
        <v>1</v>
      </c>
    </row>
    <row r="1552" spans="1:16" ht="18.75" customHeight="1" thickBot="1" x14ac:dyDescent="0.3">
      <c r="A1552" s="3" t="s">
        <v>11</v>
      </c>
      <c r="B1552" s="4">
        <v>117241</v>
      </c>
      <c r="C1552" s="3" t="s">
        <v>9</v>
      </c>
      <c r="D1552" s="18">
        <v>0.1</v>
      </c>
      <c r="E1552" s="21">
        <f t="shared" si="165"/>
        <v>7.9741404289037643E-3</v>
      </c>
      <c r="F1552" s="5">
        <v>41600</v>
      </c>
      <c r="G1552" s="5">
        <v>42330</v>
      </c>
      <c r="H1552" s="16">
        <f t="shared" si="168"/>
        <v>730</v>
      </c>
      <c r="I1552" s="5">
        <v>42330</v>
      </c>
      <c r="J1552" s="5">
        <v>41848</v>
      </c>
      <c r="K1552" s="16">
        <f t="shared" si="169"/>
        <v>248</v>
      </c>
      <c r="L1552" s="13">
        <v>2135.61</v>
      </c>
      <c r="M1552" s="15">
        <f t="shared" si="167"/>
        <v>96.90318587085612</v>
      </c>
      <c r="N1552" s="13">
        <v>2135.61</v>
      </c>
      <c r="O1552" s="13">
        <v>0</v>
      </c>
      <c r="P1552" s="11">
        <f t="shared" si="166"/>
        <v>1</v>
      </c>
    </row>
    <row r="1553" spans="1:16" ht="18.75" customHeight="1" thickBot="1" x14ac:dyDescent="0.3">
      <c r="A1553" s="3" t="s">
        <v>11</v>
      </c>
      <c r="B1553" s="4">
        <v>700017</v>
      </c>
      <c r="C1553" s="3" t="s">
        <v>9</v>
      </c>
      <c r="D1553" s="18">
        <v>0.12</v>
      </c>
      <c r="E1553" s="21">
        <f t="shared" si="165"/>
        <v>9.4887929345830457E-3</v>
      </c>
      <c r="F1553" s="5">
        <v>41607</v>
      </c>
      <c r="G1553" s="5">
        <v>44194</v>
      </c>
      <c r="H1553" s="16">
        <f t="shared" si="168"/>
        <v>2587</v>
      </c>
      <c r="I1553" s="5">
        <v>44194</v>
      </c>
      <c r="J1553" s="5">
        <v>42240</v>
      </c>
      <c r="K1553" s="16">
        <f t="shared" si="169"/>
        <v>633</v>
      </c>
      <c r="L1553" s="13">
        <v>7998.3</v>
      </c>
      <c r="M1553" s="15">
        <f t="shared" si="167"/>
        <v>136.23289080540002</v>
      </c>
      <c r="N1553" s="13">
        <v>7998.3</v>
      </c>
      <c r="O1553" s="13">
        <v>0</v>
      </c>
      <c r="P1553" s="11">
        <f t="shared" si="166"/>
        <v>1</v>
      </c>
    </row>
    <row r="1554" spans="1:16" ht="18.75" customHeight="1" thickBot="1" x14ac:dyDescent="0.3">
      <c r="A1554" s="3" t="s">
        <v>11</v>
      </c>
      <c r="B1554" s="4">
        <v>529838</v>
      </c>
      <c r="C1554" s="3" t="s">
        <v>9</v>
      </c>
      <c r="D1554" s="18">
        <v>0.11</v>
      </c>
      <c r="E1554" s="21">
        <f t="shared" si="165"/>
        <v>8.7345938235519061E-3</v>
      </c>
      <c r="F1554" s="5">
        <v>41610</v>
      </c>
      <c r="G1554" s="5">
        <v>43801</v>
      </c>
      <c r="H1554" s="16">
        <f t="shared" si="168"/>
        <v>2191</v>
      </c>
      <c r="I1554" s="5">
        <v>43801</v>
      </c>
      <c r="J1554" s="5">
        <v>42240</v>
      </c>
      <c r="K1554" s="16">
        <f t="shared" si="169"/>
        <v>630</v>
      </c>
      <c r="L1554" s="13">
        <v>3293.17</v>
      </c>
      <c r="M1554" s="15">
        <f t="shared" si="167"/>
        <v>61.182555179819424</v>
      </c>
      <c r="N1554" s="13">
        <v>3293.17</v>
      </c>
      <c r="O1554" s="13">
        <v>0</v>
      </c>
      <c r="P1554" s="11">
        <f t="shared" si="166"/>
        <v>1</v>
      </c>
    </row>
    <row r="1555" spans="1:16" ht="18.75" customHeight="1" thickBot="1" x14ac:dyDescent="0.3">
      <c r="A1555" s="3" t="s">
        <v>11</v>
      </c>
      <c r="B1555" s="4">
        <v>348028</v>
      </c>
      <c r="C1555" s="3" t="s">
        <v>9</v>
      </c>
      <c r="D1555" s="18">
        <v>0.1</v>
      </c>
      <c r="E1555" s="21">
        <f t="shared" si="165"/>
        <v>7.9741404289037643E-3</v>
      </c>
      <c r="F1555" s="5">
        <v>41610</v>
      </c>
      <c r="G1555" s="5">
        <v>43071</v>
      </c>
      <c r="H1555" s="16">
        <f t="shared" si="168"/>
        <v>1461</v>
      </c>
      <c r="I1555" s="5">
        <v>43071</v>
      </c>
      <c r="J1555" s="5">
        <v>42747</v>
      </c>
      <c r="K1555" s="16">
        <f t="shared" si="169"/>
        <v>1137</v>
      </c>
      <c r="L1555" s="13">
        <v>3583.81</v>
      </c>
      <c r="M1555" s="15">
        <f t="shared" si="167"/>
        <v>89.090318245297453</v>
      </c>
      <c r="N1555" s="13">
        <v>3583.81</v>
      </c>
      <c r="O1555" s="13">
        <v>3583.81</v>
      </c>
      <c r="P1555" s="11">
        <f t="shared" si="166"/>
        <v>1</v>
      </c>
    </row>
    <row r="1556" spans="1:16" ht="18.75" customHeight="1" thickBot="1" x14ac:dyDescent="0.3">
      <c r="A1556" s="3" t="s">
        <v>11</v>
      </c>
      <c r="B1556" s="4">
        <v>332187</v>
      </c>
      <c r="C1556" s="3" t="s">
        <v>9</v>
      </c>
      <c r="D1556" s="18">
        <v>0.14000000000000001</v>
      </c>
      <c r="E1556" s="21">
        <f t="shared" si="165"/>
        <v>1.0978851950173452E-2</v>
      </c>
      <c r="F1556" s="5">
        <v>41661</v>
      </c>
      <c r="G1556" s="5">
        <v>42391</v>
      </c>
      <c r="H1556" s="16">
        <f t="shared" si="168"/>
        <v>730</v>
      </c>
      <c r="I1556" s="5">
        <v>42391</v>
      </c>
      <c r="J1556" s="5">
        <v>42020</v>
      </c>
      <c r="K1556" s="16">
        <f t="shared" si="169"/>
        <v>359</v>
      </c>
      <c r="L1556" s="13">
        <v>2625.77</v>
      </c>
      <c r="M1556" s="15">
        <f t="shared" si="167"/>
        <v>123.55114292612741</v>
      </c>
      <c r="N1556" s="13">
        <v>2625.77</v>
      </c>
      <c r="O1556" s="13">
        <v>0</v>
      </c>
      <c r="P1556" s="11">
        <f t="shared" si="166"/>
        <v>1</v>
      </c>
    </row>
    <row r="1557" spans="1:16" ht="18.75" customHeight="1" thickBot="1" x14ac:dyDescent="0.3">
      <c r="A1557" s="3" t="s">
        <v>11</v>
      </c>
      <c r="B1557" s="4">
        <v>440097</v>
      </c>
      <c r="C1557" s="3" t="s">
        <v>9</v>
      </c>
      <c r="D1557" s="18">
        <v>0.11</v>
      </c>
      <c r="E1557" s="21">
        <f t="shared" si="165"/>
        <v>8.7345938235519061E-3</v>
      </c>
      <c r="F1557" s="5">
        <v>41619</v>
      </c>
      <c r="G1557" s="5">
        <v>42166</v>
      </c>
      <c r="H1557" s="16">
        <f t="shared" si="168"/>
        <v>547</v>
      </c>
      <c r="I1557" s="5">
        <v>42166</v>
      </c>
      <c r="J1557" s="5">
        <v>41620</v>
      </c>
      <c r="K1557" s="16">
        <f t="shared" si="169"/>
        <v>1</v>
      </c>
      <c r="L1557" s="13">
        <v>2900</v>
      </c>
      <c r="M1557" s="15">
        <f t="shared" si="167"/>
        <v>172.74270748291968</v>
      </c>
      <c r="N1557" s="13">
        <v>2900</v>
      </c>
      <c r="O1557" s="13">
        <v>0</v>
      </c>
      <c r="P1557" s="11">
        <f t="shared" si="166"/>
        <v>1</v>
      </c>
    </row>
    <row r="1558" spans="1:16" ht="18.75" customHeight="1" thickBot="1" x14ac:dyDescent="0.3">
      <c r="A1558" s="3" t="s">
        <v>11</v>
      </c>
      <c r="B1558" s="4">
        <v>303393</v>
      </c>
      <c r="C1558" s="3" t="s">
        <v>9</v>
      </c>
      <c r="D1558" s="18">
        <v>9.5000000000000001E-2</v>
      </c>
      <c r="E1558" s="21">
        <f t="shared" si="165"/>
        <v>7.5915342905825689E-3</v>
      </c>
      <c r="F1558" s="5">
        <v>41621</v>
      </c>
      <c r="G1558" s="5">
        <v>44240</v>
      </c>
      <c r="H1558" s="16">
        <f t="shared" si="168"/>
        <v>2619</v>
      </c>
      <c r="I1558" s="5">
        <v>44240</v>
      </c>
      <c r="J1558" s="5">
        <v>43188</v>
      </c>
      <c r="K1558" s="16">
        <f t="shared" si="169"/>
        <v>1567</v>
      </c>
      <c r="L1558" s="13">
        <v>22458.57</v>
      </c>
      <c r="M1558" s="15">
        <f t="shared" si="167"/>
        <v>352.79330276423246</v>
      </c>
      <c r="N1558" s="13">
        <v>22458.57</v>
      </c>
      <c r="O1558" s="13">
        <v>0</v>
      </c>
      <c r="P1558" s="11">
        <f t="shared" si="166"/>
        <v>1</v>
      </c>
    </row>
    <row r="1559" spans="1:16" ht="18.75" customHeight="1" thickBot="1" x14ac:dyDescent="0.3">
      <c r="A1559" s="3" t="s">
        <v>11</v>
      </c>
      <c r="B1559" s="4">
        <v>158184</v>
      </c>
      <c r="C1559" s="3" t="s">
        <v>9</v>
      </c>
      <c r="D1559" s="18">
        <v>0.14000000000000001</v>
      </c>
      <c r="E1559" s="21">
        <f t="shared" si="165"/>
        <v>1.0978851950173452E-2</v>
      </c>
      <c r="F1559" s="5">
        <v>41624</v>
      </c>
      <c r="G1559" s="5">
        <v>43450</v>
      </c>
      <c r="H1559" s="16">
        <f t="shared" si="168"/>
        <v>1826</v>
      </c>
      <c r="I1559" s="5">
        <v>43450</v>
      </c>
      <c r="J1559" s="5">
        <v>42311</v>
      </c>
      <c r="K1559" s="16">
        <f t="shared" si="169"/>
        <v>687</v>
      </c>
      <c r="L1559" s="13">
        <v>15173.28</v>
      </c>
      <c r="M1559" s="15">
        <f t="shared" si="167"/>
        <v>343.1046281254836</v>
      </c>
      <c r="N1559" s="13">
        <v>15173.28</v>
      </c>
      <c r="O1559" s="13">
        <v>0</v>
      </c>
      <c r="P1559" s="11">
        <f t="shared" si="166"/>
        <v>1</v>
      </c>
    </row>
    <row r="1560" spans="1:16" ht="18.75" customHeight="1" thickBot="1" x14ac:dyDescent="0.3">
      <c r="A1560" s="3" t="s">
        <v>11</v>
      </c>
      <c r="B1560" s="4">
        <v>232424</v>
      </c>
      <c r="C1560" s="3" t="s">
        <v>9</v>
      </c>
      <c r="D1560" s="18">
        <v>0.08</v>
      </c>
      <c r="E1560" s="21">
        <f t="shared" si="165"/>
        <v>6.4340301100034303E-3</v>
      </c>
      <c r="F1560" s="5">
        <v>41624</v>
      </c>
      <c r="G1560" s="5">
        <v>43815</v>
      </c>
      <c r="H1560" s="16">
        <f t="shared" si="168"/>
        <v>2191</v>
      </c>
      <c r="I1560" s="5">
        <v>43815</v>
      </c>
      <c r="J1560" s="5">
        <v>42732</v>
      </c>
      <c r="K1560" s="16">
        <f t="shared" si="169"/>
        <v>1108</v>
      </c>
      <c r="L1560" s="13">
        <v>7524.33</v>
      </c>
      <c r="M1560" s="15">
        <f t="shared" si="167"/>
        <v>129.44570707385176</v>
      </c>
      <c r="N1560" s="13">
        <v>7524.33</v>
      </c>
      <c r="O1560" s="13">
        <v>0</v>
      </c>
      <c r="P1560" s="11">
        <f t="shared" si="166"/>
        <v>1</v>
      </c>
    </row>
    <row r="1561" spans="1:16" ht="18.75" customHeight="1" thickBot="1" x14ac:dyDescent="0.3">
      <c r="A1561" s="3" t="s">
        <v>11</v>
      </c>
      <c r="B1561" s="4">
        <v>965702</v>
      </c>
      <c r="C1561" s="3" t="s">
        <v>9</v>
      </c>
      <c r="D1561" s="18">
        <v>9.5000000000000001E-2</v>
      </c>
      <c r="E1561" s="21">
        <f t="shared" si="165"/>
        <v>7.5915342905825689E-3</v>
      </c>
      <c r="F1561" s="5">
        <v>41631</v>
      </c>
      <c r="G1561" s="5">
        <v>43457</v>
      </c>
      <c r="H1561" s="16">
        <f t="shared" si="168"/>
        <v>1826</v>
      </c>
      <c r="I1561" s="5">
        <v>43457</v>
      </c>
      <c r="J1561" s="5">
        <v>43559</v>
      </c>
      <c r="K1561" s="16">
        <f t="shared" si="169"/>
        <v>1928</v>
      </c>
      <c r="L1561" s="13">
        <v>2082.86</v>
      </c>
      <c r="M1561" s="15">
        <f t="shared" si="167"/>
        <v>42.860252113290201</v>
      </c>
      <c r="N1561" s="13">
        <v>1783.31</v>
      </c>
      <c r="O1561" s="13">
        <v>0</v>
      </c>
      <c r="P1561" s="11">
        <f t="shared" si="166"/>
        <v>1</v>
      </c>
    </row>
    <row r="1562" spans="1:16" ht="18.75" customHeight="1" thickBot="1" x14ac:dyDescent="0.3">
      <c r="A1562" s="3" t="s">
        <v>11</v>
      </c>
      <c r="B1562" s="4">
        <v>547570</v>
      </c>
      <c r="C1562" s="3" t="s">
        <v>9</v>
      </c>
      <c r="D1562" s="18">
        <v>0.14000000000000001</v>
      </c>
      <c r="E1562" s="21">
        <f t="shared" si="165"/>
        <v>1.0978851950173452E-2</v>
      </c>
      <c r="F1562" s="5">
        <v>41635</v>
      </c>
      <c r="G1562" s="5">
        <v>42793</v>
      </c>
      <c r="H1562" s="16">
        <f t="shared" si="168"/>
        <v>1158</v>
      </c>
      <c r="I1562" s="5">
        <v>42793</v>
      </c>
      <c r="J1562" s="5">
        <v>42024</v>
      </c>
      <c r="K1562" s="16">
        <f t="shared" si="169"/>
        <v>389</v>
      </c>
      <c r="L1562" s="13">
        <v>8687.58</v>
      </c>
      <c r="M1562" s="15">
        <f t="shared" si="167"/>
        <v>277.33003520016229</v>
      </c>
      <c r="N1562" s="13">
        <v>8687.58</v>
      </c>
      <c r="O1562" s="13">
        <v>0</v>
      </c>
      <c r="P1562" s="11">
        <f t="shared" si="166"/>
        <v>1</v>
      </c>
    </row>
    <row r="1563" spans="1:16" ht="18.75" customHeight="1" thickBot="1" x14ac:dyDescent="0.3">
      <c r="A1563" s="3" t="s">
        <v>11</v>
      </c>
      <c r="B1563" s="4">
        <v>154275</v>
      </c>
      <c r="C1563" s="3" t="s">
        <v>9</v>
      </c>
      <c r="D1563" s="18">
        <v>0.1</v>
      </c>
      <c r="E1563" s="21">
        <f t="shared" si="165"/>
        <v>7.9741404289037643E-3</v>
      </c>
      <c r="F1563" s="5">
        <v>41635</v>
      </c>
      <c r="G1563" s="5">
        <v>43826</v>
      </c>
      <c r="H1563" s="16">
        <f t="shared" si="168"/>
        <v>2191</v>
      </c>
      <c r="I1563" s="5">
        <v>43826</v>
      </c>
      <c r="J1563" s="5">
        <v>43112</v>
      </c>
      <c r="K1563" s="16">
        <f t="shared" si="169"/>
        <v>1477</v>
      </c>
      <c r="L1563" s="13">
        <v>19855.55</v>
      </c>
      <c r="M1563" s="15">
        <f t="shared" si="167"/>
        <v>359.72867880127421</v>
      </c>
      <c r="N1563" s="13">
        <v>19855.55</v>
      </c>
      <c r="O1563" s="13">
        <v>0</v>
      </c>
      <c r="P1563" s="11">
        <f t="shared" si="166"/>
        <v>1</v>
      </c>
    </row>
    <row r="1564" spans="1:16" ht="18.75" customHeight="1" thickBot="1" x14ac:dyDescent="0.3">
      <c r="A1564" s="3" t="s">
        <v>11</v>
      </c>
      <c r="B1564" s="4">
        <v>491023</v>
      </c>
      <c r="C1564" s="3" t="s">
        <v>9</v>
      </c>
      <c r="D1564" s="18">
        <v>9.5000000000000001E-2</v>
      </c>
      <c r="E1564" s="21">
        <f t="shared" si="165"/>
        <v>7.5915342905825689E-3</v>
      </c>
      <c r="F1564" s="5">
        <v>41638</v>
      </c>
      <c r="G1564" s="5">
        <v>43281</v>
      </c>
      <c r="H1564" s="16">
        <f t="shared" si="168"/>
        <v>1643</v>
      </c>
      <c r="I1564" s="5">
        <v>43281</v>
      </c>
      <c r="J1564" s="5">
        <v>42977</v>
      </c>
      <c r="K1564" s="16">
        <f t="shared" si="169"/>
        <v>1339</v>
      </c>
      <c r="L1564" s="13">
        <v>9280.14</v>
      </c>
      <c r="M1564" s="15">
        <f t="shared" si="167"/>
        <v>207.74106883917386</v>
      </c>
      <c r="N1564" s="13">
        <v>9280.14</v>
      </c>
      <c r="O1564" s="13">
        <v>0</v>
      </c>
      <c r="P1564" s="11">
        <f t="shared" si="166"/>
        <v>1</v>
      </c>
    </row>
    <row r="1565" spans="1:16" ht="18.75" hidden="1" customHeight="1" thickBot="1" x14ac:dyDescent="0.3">
      <c r="A1565" s="3" t="s">
        <v>11</v>
      </c>
      <c r="B1565" s="4">
        <v>171287</v>
      </c>
      <c r="C1565" s="3" t="s">
        <v>9</v>
      </c>
      <c r="D1565" s="18">
        <v>0.1</v>
      </c>
      <c r="E1565" s="21">
        <f t="shared" si="165"/>
        <v>7.9741404289037643E-3</v>
      </c>
      <c r="F1565" s="5">
        <v>41638</v>
      </c>
      <c r="G1565" s="5">
        <v>41728</v>
      </c>
      <c r="H1565" s="16">
        <f t="shared" si="168"/>
        <v>90</v>
      </c>
      <c r="I1565" s="5">
        <v>41728</v>
      </c>
      <c r="J1565" s="2"/>
      <c r="K1565" s="16">
        <f t="shared" si="169"/>
        <v>-41638</v>
      </c>
      <c r="L1565" s="13">
        <v>9000</v>
      </c>
      <c r="M1565" s="15">
        <f t="shared" si="167"/>
        <v>3047.9715107013253</v>
      </c>
      <c r="N1565" s="13">
        <v>9000</v>
      </c>
      <c r="O1565" s="13">
        <v>0</v>
      </c>
      <c r="P1565" s="11">
        <f t="shared" si="166"/>
        <v>0</v>
      </c>
    </row>
    <row r="1566" spans="1:16" ht="18.75" customHeight="1" thickBot="1" x14ac:dyDescent="0.3">
      <c r="A1566" s="3" t="s">
        <v>11</v>
      </c>
      <c r="B1566" s="4">
        <v>28687</v>
      </c>
      <c r="C1566" s="3" t="s">
        <v>2</v>
      </c>
      <c r="D1566" s="18">
        <v>0.09</v>
      </c>
      <c r="E1566" s="21">
        <f t="shared" si="165"/>
        <v>7.2073233161367156E-3</v>
      </c>
      <c r="F1566" s="5">
        <v>41642</v>
      </c>
      <c r="G1566" s="5">
        <v>41823</v>
      </c>
      <c r="H1566" s="16">
        <f t="shared" si="168"/>
        <v>181</v>
      </c>
      <c r="I1566" s="5">
        <v>43921</v>
      </c>
      <c r="J1566" s="5">
        <v>44011</v>
      </c>
      <c r="K1566" s="16">
        <f t="shared" si="169"/>
        <v>2369</v>
      </c>
      <c r="L1566" s="13">
        <v>50000</v>
      </c>
      <c r="M1566" s="15">
        <f t="shared" si="167"/>
        <v>8498.6058829968679</v>
      </c>
      <c r="N1566" s="13">
        <v>44500</v>
      </c>
      <c r="O1566" s="13">
        <v>1000</v>
      </c>
      <c r="P1566" s="11">
        <f t="shared" si="166"/>
        <v>0</v>
      </c>
    </row>
    <row r="1567" spans="1:16" ht="18.75" customHeight="1" thickBot="1" x14ac:dyDescent="0.3">
      <c r="A1567" s="3" t="s">
        <v>11</v>
      </c>
      <c r="B1567" s="4">
        <v>253501</v>
      </c>
      <c r="C1567" s="3" t="s">
        <v>9</v>
      </c>
      <c r="D1567" s="18">
        <v>0.1</v>
      </c>
      <c r="E1567" s="21">
        <f t="shared" si="165"/>
        <v>7.9741404289037643E-3</v>
      </c>
      <c r="F1567" s="5">
        <v>41653</v>
      </c>
      <c r="G1567" s="5">
        <v>44038</v>
      </c>
      <c r="H1567" s="16">
        <f t="shared" si="168"/>
        <v>2385</v>
      </c>
      <c r="I1567" s="5">
        <v>44038</v>
      </c>
      <c r="J1567" s="5">
        <v>42445</v>
      </c>
      <c r="K1567" s="16">
        <f t="shared" si="169"/>
        <v>792</v>
      </c>
      <c r="L1567" s="13">
        <v>9667.5400000000009</v>
      </c>
      <c r="M1567" s="15">
        <f t="shared" si="167"/>
        <v>164.66336672708138</v>
      </c>
      <c r="N1567" s="13">
        <v>9667.5400000000009</v>
      </c>
      <c r="O1567" s="13">
        <v>0</v>
      </c>
      <c r="P1567" s="11">
        <f t="shared" si="166"/>
        <v>1</v>
      </c>
    </row>
    <row r="1568" spans="1:16" ht="18.75" customHeight="1" thickBot="1" x14ac:dyDescent="0.3">
      <c r="A1568" s="3" t="s">
        <v>11</v>
      </c>
      <c r="B1568" s="4">
        <v>97193</v>
      </c>
      <c r="C1568" s="3" t="s">
        <v>9</v>
      </c>
      <c r="D1568" s="18">
        <v>0.13</v>
      </c>
      <c r="E1568" s="21">
        <f t="shared" si="165"/>
        <v>1.02368443581764E-2</v>
      </c>
      <c r="F1568" s="5">
        <v>41647</v>
      </c>
      <c r="G1568" s="5">
        <v>42924</v>
      </c>
      <c r="H1568" s="16">
        <f t="shared" si="168"/>
        <v>1277</v>
      </c>
      <c r="I1568" s="5">
        <v>42924</v>
      </c>
      <c r="J1568" s="5">
        <v>42678</v>
      </c>
      <c r="K1568" s="16">
        <f t="shared" si="169"/>
        <v>1031</v>
      </c>
      <c r="L1568" s="13">
        <v>4255.29</v>
      </c>
      <c r="M1568" s="15">
        <f t="shared" si="167"/>
        <v>123.82768152125284</v>
      </c>
      <c r="N1568" s="13">
        <v>4255.29</v>
      </c>
      <c r="O1568" s="13">
        <v>0</v>
      </c>
      <c r="P1568" s="11">
        <f t="shared" si="166"/>
        <v>1</v>
      </c>
    </row>
    <row r="1569" spans="1:16" ht="18.75" customHeight="1" thickBot="1" x14ac:dyDescent="0.3">
      <c r="A1569" s="3" t="s">
        <v>11</v>
      </c>
      <c r="B1569" s="4">
        <v>45629</v>
      </c>
      <c r="C1569" s="3" t="s">
        <v>9</v>
      </c>
      <c r="D1569" s="18">
        <v>0.1</v>
      </c>
      <c r="E1569" s="21">
        <f t="shared" si="165"/>
        <v>7.9741404289037643E-3</v>
      </c>
      <c r="F1569" s="5">
        <v>41652</v>
      </c>
      <c r="G1569" s="5">
        <v>44221</v>
      </c>
      <c r="H1569" s="16">
        <f t="shared" si="168"/>
        <v>2569</v>
      </c>
      <c r="I1569" s="5">
        <v>44221</v>
      </c>
      <c r="J1569" s="5">
        <v>42275</v>
      </c>
      <c r="K1569" s="16">
        <f t="shared" si="169"/>
        <v>623</v>
      </c>
      <c r="L1569" s="13">
        <v>16431.810000000001</v>
      </c>
      <c r="M1569" s="15">
        <f t="shared" si="167"/>
        <v>265.53445064345618</v>
      </c>
      <c r="N1569" s="13">
        <v>16431.810000000001</v>
      </c>
      <c r="O1569" s="13">
        <v>0</v>
      </c>
      <c r="P1569" s="11">
        <f t="shared" si="166"/>
        <v>1</v>
      </c>
    </row>
    <row r="1570" spans="1:16" ht="18.75" customHeight="1" thickBot="1" x14ac:dyDescent="0.3">
      <c r="A1570" s="3" t="s">
        <v>11</v>
      </c>
      <c r="B1570" s="4">
        <v>63940</v>
      </c>
      <c r="C1570" s="3" t="s">
        <v>9</v>
      </c>
      <c r="D1570" s="18">
        <v>0.1</v>
      </c>
      <c r="E1570" s="21">
        <f t="shared" si="165"/>
        <v>7.9741404289037643E-3</v>
      </c>
      <c r="F1570" s="5">
        <v>41653</v>
      </c>
      <c r="G1570" s="5">
        <v>43373</v>
      </c>
      <c r="H1570" s="16">
        <f t="shared" si="168"/>
        <v>1720</v>
      </c>
      <c r="I1570" s="5">
        <v>43373</v>
      </c>
      <c r="J1570" s="5">
        <v>43644</v>
      </c>
      <c r="K1570" s="16">
        <f t="shared" si="169"/>
        <v>1991</v>
      </c>
      <c r="L1570" s="13">
        <v>12000</v>
      </c>
      <c r="M1570" s="15">
        <f t="shared" si="167"/>
        <v>261.59926981098732</v>
      </c>
      <c r="N1570" s="13">
        <v>12000</v>
      </c>
      <c r="O1570" s="13">
        <v>0</v>
      </c>
      <c r="P1570" s="11">
        <f t="shared" si="166"/>
        <v>1</v>
      </c>
    </row>
    <row r="1571" spans="1:16" ht="18.75" hidden="1" customHeight="1" thickBot="1" x14ac:dyDescent="0.3">
      <c r="A1571" s="3" t="s">
        <v>11</v>
      </c>
      <c r="B1571" s="4">
        <v>942880</v>
      </c>
      <c r="C1571" s="3" t="s">
        <v>9</v>
      </c>
      <c r="D1571" s="18">
        <v>0.09</v>
      </c>
      <c r="E1571" s="21">
        <f t="shared" si="165"/>
        <v>7.2073233161367156E-3</v>
      </c>
      <c r="F1571" s="5">
        <v>41653</v>
      </c>
      <c r="G1571" s="5">
        <v>41743</v>
      </c>
      <c r="H1571" s="16">
        <f t="shared" si="168"/>
        <v>90</v>
      </c>
      <c r="I1571" s="5">
        <v>41743</v>
      </c>
      <c r="J1571" s="2"/>
      <c r="K1571" s="16">
        <f t="shared" si="169"/>
        <v>-41653</v>
      </c>
      <c r="L1571" s="13">
        <v>1900</v>
      </c>
      <c r="M1571" s="15">
        <f t="shared" si="167"/>
        <v>642.4844632345754</v>
      </c>
      <c r="N1571" s="13">
        <v>1900</v>
      </c>
      <c r="O1571" s="13">
        <v>0</v>
      </c>
      <c r="P1571" s="11">
        <f t="shared" si="166"/>
        <v>0</v>
      </c>
    </row>
    <row r="1572" spans="1:16" ht="18.75" customHeight="1" thickBot="1" x14ac:dyDescent="0.3">
      <c r="A1572" s="3" t="s">
        <v>11</v>
      </c>
      <c r="B1572" s="4">
        <v>759355</v>
      </c>
      <c r="C1572" s="3" t="s">
        <v>9</v>
      </c>
      <c r="D1572" s="18">
        <v>0.11</v>
      </c>
      <c r="E1572" s="21">
        <f t="shared" si="165"/>
        <v>8.7345938235519061E-3</v>
      </c>
      <c r="F1572" s="5">
        <v>41662</v>
      </c>
      <c r="G1572" s="5">
        <v>42392</v>
      </c>
      <c r="H1572" s="16">
        <f t="shared" si="168"/>
        <v>730</v>
      </c>
      <c r="I1572" s="5">
        <v>42392</v>
      </c>
      <c r="J1572" s="5">
        <v>42221</v>
      </c>
      <c r="K1572" s="16">
        <f t="shared" si="169"/>
        <v>559</v>
      </c>
      <c r="L1572" s="13">
        <v>2141.4699999999998</v>
      </c>
      <c r="M1572" s="15">
        <f t="shared" si="167"/>
        <v>98.071454098110408</v>
      </c>
      <c r="N1572" s="13">
        <v>2141.4699999999998</v>
      </c>
      <c r="O1572" s="13">
        <v>0</v>
      </c>
      <c r="P1572" s="11">
        <f t="shared" si="166"/>
        <v>1</v>
      </c>
    </row>
    <row r="1573" spans="1:16" ht="18.75" customHeight="1" thickBot="1" x14ac:dyDescent="0.3">
      <c r="A1573" s="3" t="s">
        <v>11</v>
      </c>
      <c r="B1573" s="4">
        <v>887341</v>
      </c>
      <c r="C1573" s="3" t="s">
        <v>9</v>
      </c>
      <c r="D1573" s="18">
        <v>0.11</v>
      </c>
      <c r="E1573" s="21">
        <f t="shared" si="165"/>
        <v>8.7345938235519061E-3</v>
      </c>
      <c r="F1573" s="5">
        <v>41663</v>
      </c>
      <c r="G1573" s="5">
        <v>42362</v>
      </c>
      <c r="H1573" s="16">
        <f t="shared" si="168"/>
        <v>699</v>
      </c>
      <c r="I1573" s="5">
        <v>42362</v>
      </c>
      <c r="J1573" s="5">
        <v>41968</v>
      </c>
      <c r="K1573" s="16">
        <f t="shared" si="169"/>
        <v>305</v>
      </c>
      <c r="L1573" s="13">
        <v>2841.57</v>
      </c>
      <c r="M1573" s="15">
        <f t="shared" si="167"/>
        <v>135.31644310266884</v>
      </c>
      <c r="N1573" s="13">
        <v>2841.57</v>
      </c>
      <c r="O1573" s="13">
        <v>0</v>
      </c>
      <c r="P1573" s="11">
        <f t="shared" si="166"/>
        <v>1</v>
      </c>
    </row>
    <row r="1574" spans="1:16" ht="18.75" customHeight="1" thickBot="1" x14ac:dyDescent="0.3">
      <c r="A1574" s="3" t="s">
        <v>11</v>
      </c>
      <c r="B1574" s="4">
        <v>749128</v>
      </c>
      <c r="C1574" s="3" t="s">
        <v>9</v>
      </c>
      <c r="D1574" s="18">
        <v>0.08</v>
      </c>
      <c r="E1574" s="21">
        <f t="shared" si="165"/>
        <v>6.4340301100034303E-3</v>
      </c>
      <c r="F1574" s="5">
        <v>41668</v>
      </c>
      <c r="G1574" s="5">
        <v>42033</v>
      </c>
      <c r="H1574" s="16">
        <f t="shared" si="168"/>
        <v>365</v>
      </c>
      <c r="I1574" s="5">
        <v>42033</v>
      </c>
      <c r="J1574" s="5">
        <v>41946</v>
      </c>
      <c r="K1574" s="16">
        <f t="shared" si="169"/>
        <v>278</v>
      </c>
      <c r="L1574" s="13">
        <v>3243.56</v>
      </c>
      <c r="M1574" s="15">
        <f t="shared" si="167"/>
        <v>278.02096191295016</v>
      </c>
      <c r="N1574" s="13">
        <v>3243.56</v>
      </c>
      <c r="O1574" s="13">
        <v>0</v>
      </c>
      <c r="P1574" s="11">
        <f t="shared" si="166"/>
        <v>1</v>
      </c>
    </row>
    <row r="1575" spans="1:16" ht="18.75" customHeight="1" thickBot="1" x14ac:dyDescent="0.3">
      <c r="A1575" s="3" t="s">
        <v>11</v>
      </c>
      <c r="B1575" s="4">
        <v>320562</v>
      </c>
      <c r="C1575" s="3" t="s">
        <v>9</v>
      </c>
      <c r="D1575" s="18">
        <v>0.1</v>
      </c>
      <c r="E1575" s="21">
        <f t="shared" ref="E1575:E1638" si="170">(1+D1575)^(1/12)-1</f>
        <v>7.9741404289037643E-3</v>
      </c>
      <c r="F1575" s="5">
        <v>41670</v>
      </c>
      <c r="G1575" s="5">
        <v>43406</v>
      </c>
      <c r="H1575" s="16">
        <f t="shared" si="168"/>
        <v>1736</v>
      </c>
      <c r="I1575" s="5">
        <v>43406</v>
      </c>
      <c r="J1575" s="5">
        <v>42394</v>
      </c>
      <c r="K1575" s="16">
        <f t="shared" si="169"/>
        <v>724</v>
      </c>
      <c r="L1575" s="13">
        <v>19268.259999999998</v>
      </c>
      <c r="M1575" s="15">
        <f t="shared" si="167"/>
        <v>416.99077796573908</v>
      </c>
      <c r="N1575" s="13">
        <v>19268.259999999998</v>
      </c>
      <c r="O1575" s="13">
        <v>0</v>
      </c>
      <c r="P1575" s="11">
        <f t="shared" ref="P1575:P1638" si="171">IF((G1575)&gt;(ConstantDateCutoff),1,0)</f>
        <v>1</v>
      </c>
    </row>
    <row r="1576" spans="1:16" ht="18.75" customHeight="1" thickBot="1" x14ac:dyDescent="0.3">
      <c r="A1576" s="3" t="s">
        <v>11</v>
      </c>
      <c r="B1576" s="4">
        <v>385272</v>
      </c>
      <c r="C1576" s="3" t="s">
        <v>9</v>
      </c>
      <c r="D1576" s="18">
        <v>8.5000000000000006E-2</v>
      </c>
      <c r="E1576" s="21">
        <f t="shared" si="170"/>
        <v>6.8214933659622723E-3</v>
      </c>
      <c r="F1576" s="5">
        <v>41680</v>
      </c>
      <c r="G1576" s="5">
        <v>41942</v>
      </c>
      <c r="H1576" s="16">
        <f t="shared" si="168"/>
        <v>262</v>
      </c>
      <c r="I1576" s="5">
        <v>41942</v>
      </c>
      <c r="J1576" s="5">
        <v>42508</v>
      </c>
      <c r="K1576" s="16">
        <f t="shared" si="169"/>
        <v>828</v>
      </c>
      <c r="L1576" s="13">
        <v>34932.480000000003</v>
      </c>
      <c r="M1576" s="15">
        <f t="shared" si="167"/>
        <v>4133.8542465254359</v>
      </c>
      <c r="N1576" s="13">
        <v>34932.480000000003</v>
      </c>
      <c r="O1576" s="13">
        <v>1000</v>
      </c>
      <c r="P1576" s="11">
        <f t="shared" si="171"/>
        <v>0</v>
      </c>
    </row>
    <row r="1577" spans="1:16" ht="18.75" customHeight="1" thickBot="1" x14ac:dyDescent="0.3">
      <c r="A1577" s="3" t="s">
        <v>11</v>
      </c>
      <c r="B1577" s="4">
        <v>12200</v>
      </c>
      <c r="C1577" s="3" t="s">
        <v>9</v>
      </c>
      <c r="D1577" s="18">
        <v>0.08</v>
      </c>
      <c r="E1577" s="21">
        <f t="shared" si="170"/>
        <v>6.4340301100034303E-3</v>
      </c>
      <c r="F1577" s="5">
        <v>41681</v>
      </c>
      <c r="G1577" s="5">
        <v>43941</v>
      </c>
      <c r="H1577" s="16">
        <f t="shared" si="168"/>
        <v>2260</v>
      </c>
      <c r="I1577" s="5">
        <v>43941</v>
      </c>
      <c r="J1577" s="5">
        <v>43306</v>
      </c>
      <c r="K1577" s="16">
        <f t="shared" si="169"/>
        <v>1625</v>
      </c>
      <c r="L1577" s="13">
        <v>59000</v>
      </c>
      <c r="M1577" s="15">
        <f t="shared" si="167"/>
        <v>990.7312021133489</v>
      </c>
      <c r="N1577" s="13">
        <v>59000</v>
      </c>
      <c r="O1577" s="13">
        <v>0</v>
      </c>
      <c r="P1577" s="11">
        <f t="shared" si="171"/>
        <v>1</v>
      </c>
    </row>
    <row r="1578" spans="1:16" ht="18.75" customHeight="1" thickBot="1" x14ac:dyDescent="0.3">
      <c r="A1578" s="3" t="s">
        <v>11</v>
      </c>
      <c r="B1578" s="4">
        <v>641505</v>
      </c>
      <c r="C1578" s="3" t="s">
        <v>9</v>
      </c>
      <c r="D1578" s="18">
        <v>0.1</v>
      </c>
      <c r="E1578" s="21">
        <f t="shared" si="170"/>
        <v>7.9741404289037643E-3</v>
      </c>
      <c r="F1578" s="5">
        <v>41682</v>
      </c>
      <c r="G1578" s="5">
        <v>42472</v>
      </c>
      <c r="H1578" s="16">
        <f t="shared" si="168"/>
        <v>790</v>
      </c>
      <c r="I1578" s="5">
        <v>42472</v>
      </c>
      <c r="J1578" s="5">
        <v>42193</v>
      </c>
      <c r="K1578" s="16">
        <f t="shared" si="169"/>
        <v>511</v>
      </c>
      <c r="L1578" s="13">
        <v>4503.5</v>
      </c>
      <c r="M1578" s="15">
        <f t="shared" si="167"/>
        <v>190.28118117689434</v>
      </c>
      <c r="N1578" s="13">
        <v>4503.5</v>
      </c>
      <c r="O1578" s="13">
        <v>0</v>
      </c>
      <c r="P1578" s="11">
        <f t="shared" si="171"/>
        <v>1</v>
      </c>
    </row>
    <row r="1579" spans="1:16" ht="18.75" customHeight="1" thickBot="1" x14ac:dyDescent="0.3">
      <c r="A1579" s="3" t="s">
        <v>11</v>
      </c>
      <c r="B1579" s="4">
        <v>879541</v>
      </c>
      <c r="C1579" s="3" t="s">
        <v>9</v>
      </c>
      <c r="D1579" s="18">
        <v>0.1</v>
      </c>
      <c r="E1579" s="21">
        <f t="shared" si="170"/>
        <v>7.9741404289037643E-3</v>
      </c>
      <c r="F1579" s="5">
        <v>41696</v>
      </c>
      <c r="G1579" s="5">
        <v>42792</v>
      </c>
      <c r="H1579" s="16">
        <f t="shared" si="168"/>
        <v>1096</v>
      </c>
      <c r="I1579" s="5">
        <v>42792</v>
      </c>
      <c r="J1579" s="5">
        <v>42650</v>
      </c>
      <c r="K1579" s="16">
        <f t="shared" si="169"/>
        <v>954</v>
      </c>
      <c r="L1579" s="13">
        <v>193.42</v>
      </c>
      <c r="M1579" s="15">
        <f t="shared" si="167"/>
        <v>6.1238459943714618</v>
      </c>
      <c r="N1579" s="13">
        <v>193.42</v>
      </c>
      <c r="O1579" s="13">
        <v>0</v>
      </c>
      <c r="P1579" s="11">
        <f t="shared" si="171"/>
        <v>1</v>
      </c>
    </row>
    <row r="1580" spans="1:16" ht="18.75" customHeight="1" thickBot="1" x14ac:dyDescent="0.3">
      <c r="A1580" s="3" t="s">
        <v>11</v>
      </c>
      <c r="B1580" s="4">
        <v>153746</v>
      </c>
      <c r="C1580" s="3" t="s">
        <v>9</v>
      </c>
      <c r="D1580" s="18">
        <v>0.14000000000000001</v>
      </c>
      <c r="E1580" s="21">
        <f t="shared" si="170"/>
        <v>1.0978851950173452E-2</v>
      </c>
      <c r="F1580" s="5">
        <v>41694</v>
      </c>
      <c r="G1580" s="5">
        <v>43155</v>
      </c>
      <c r="H1580" s="16">
        <f t="shared" si="168"/>
        <v>1461</v>
      </c>
      <c r="I1580" s="5">
        <v>43155</v>
      </c>
      <c r="J1580" s="5">
        <v>42438</v>
      </c>
      <c r="K1580" s="16">
        <f t="shared" si="169"/>
        <v>744</v>
      </c>
      <c r="L1580" s="13">
        <v>8144.59</v>
      </c>
      <c r="M1580" s="15">
        <f t="shared" si="167"/>
        <v>216.80939070820656</v>
      </c>
      <c r="N1580" s="13">
        <v>8144.59</v>
      </c>
      <c r="O1580" s="13">
        <v>0</v>
      </c>
      <c r="P1580" s="11">
        <f t="shared" si="171"/>
        <v>1</v>
      </c>
    </row>
    <row r="1581" spans="1:16" ht="18.75" customHeight="1" thickBot="1" x14ac:dyDescent="0.3">
      <c r="A1581" s="3" t="s">
        <v>11</v>
      </c>
      <c r="B1581" s="4">
        <v>973856</v>
      </c>
      <c r="C1581" s="3" t="s">
        <v>9</v>
      </c>
      <c r="D1581" s="18">
        <v>0.12</v>
      </c>
      <c r="E1581" s="21">
        <f t="shared" si="170"/>
        <v>9.4887929345830457E-3</v>
      </c>
      <c r="F1581" s="5">
        <v>41694</v>
      </c>
      <c r="G1581" s="5">
        <v>42099</v>
      </c>
      <c r="H1581" s="16">
        <f t="shared" si="168"/>
        <v>405</v>
      </c>
      <c r="I1581" s="5">
        <v>42099</v>
      </c>
      <c r="J1581" s="5">
        <v>42163</v>
      </c>
      <c r="K1581" s="16">
        <f t="shared" si="169"/>
        <v>469</v>
      </c>
      <c r="L1581" s="13">
        <v>973.14</v>
      </c>
      <c r="M1581" s="15">
        <f t="shared" si="167"/>
        <v>77.140945150257437</v>
      </c>
      <c r="N1581" s="13">
        <v>973.14</v>
      </c>
      <c r="O1581" s="13">
        <v>0</v>
      </c>
      <c r="P1581" s="11">
        <f t="shared" si="171"/>
        <v>1</v>
      </c>
    </row>
    <row r="1582" spans="1:16" ht="18.75" customHeight="1" thickBot="1" x14ac:dyDescent="0.3">
      <c r="A1582" s="3" t="s">
        <v>11</v>
      </c>
      <c r="B1582" s="4">
        <v>790182</v>
      </c>
      <c r="C1582" s="3" t="s">
        <v>9</v>
      </c>
      <c r="D1582" s="18">
        <v>0.08</v>
      </c>
      <c r="E1582" s="21">
        <f t="shared" si="170"/>
        <v>6.4340301100034303E-3</v>
      </c>
      <c r="F1582" s="5">
        <v>41694</v>
      </c>
      <c r="G1582" s="5">
        <v>43914</v>
      </c>
      <c r="H1582" s="16">
        <f t="shared" si="168"/>
        <v>2220</v>
      </c>
      <c r="I1582" s="5">
        <v>43914</v>
      </c>
      <c r="J1582" s="5">
        <v>42681</v>
      </c>
      <c r="K1582" s="16">
        <f t="shared" si="169"/>
        <v>987</v>
      </c>
      <c r="L1582" s="13">
        <v>9000.98</v>
      </c>
      <c r="M1582" s="15">
        <f t="shared" si="167"/>
        <v>153.26389270518655</v>
      </c>
      <c r="N1582" s="13">
        <v>9000.98</v>
      </c>
      <c r="O1582" s="13">
        <v>0</v>
      </c>
      <c r="P1582" s="11">
        <f t="shared" si="171"/>
        <v>1</v>
      </c>
    </row>
    <row r="1583" spans="1:16" ht="18.75" customHeight="1" thickBot="1" x14ac:dyDescent="0.3">
      <c r="A1583" s="3" t="s">
        <v>11</v>
      </c>
      <c r="B1583" s="4">
        <v>194945</v>
      </c>
      <c r="C1583" s="3" t="s">
        <v>9</v>
      </c>
      <c r="D1583" s="18">
        <v>0.1</v>
      </c>
      <c r="E1583" s="21">
        <f t="shared" si="170"/>
        <v>7.9741404289037643E-3</v>
      </c>
      <c r="F1583" s="5">
        <v>41696</v>
      </c>
      <c r="G1583" s="5">
        <v>43887</v>
      </c>
      <c r="H1583" s="16">
        <f t="shared" si="168"/>
        <v>2191</v>
      </c>
      <c r="I1583" s="5">
        <v>43887</v>
      </c>
      <c r="J1583" s="5">
        <v>42221</v>
      </c>
      <c r="K1583" s="16">
        <f t="shared" si="169"/>
        <v>525</v>
      </c>
      <c r="L1583" s="13">
        <v>12757.06</v>
      </c>
      <c r="M1583" s="15">
        <f t="shared" si="167"/>
        <v>231.12330503000837</v>
      </c>
      <c r="N1583" s="13">
        <v>12757.06</v>
      </c>
      <c r="O1583" s="13">
        <v>0</v>
      </c>
      <c r="P1583" s="11">
        <f t="shared" si="171"/>
        <v>1</v>
      </c>
    </row>
    <row r="1584" spans="1:16" ht="18.75" customHeight="1" thickBot="1" x14ac:dyDescent="0.3">
      <c r="A1584" s="3" t="s">
        <v>11</v>
      </c>
      <c r="B1584" s="4">
        <v>860124</v>
      </c>
      <c r="C1584" s="3" t="s">
        <v>9</v>
      </c>
      <c r="D1584" s="18">
        <v>0.1</v>
      </c>
      <c r="E1584" s="21">
        <f t="shared" si="170"/>
        <v>7.9741404289037643E-3</v>
      </c>
      <c r="F1584" s="5">
        <v>41697</v>
      </c>
      <c r="G1584" s="5">
        <v>43247</v>
      </c>
      <c r="H1584" s="16">
        <f t="shared" si="168"/>
        <v>1550</v>
      </c>
      <c r="I1584" s="5">
        <v>43247</v>
      </c>
      <c r="J1584" s="5">
        <v>42389</v>
      </c>
      <c r="K1584" s="16">
        <f t="shared" si="169"/>
        <v>692</v>
      </c>
      <c r="L1584" s="13">
        <v>4135.8500000000004</v>
      </c>
      <c r="M1584" s="15">
        <f t="shared" si="167"/>
        <v>97.982028541690866</v>
      </c>
      <c r="N1584" s="13">
        <v>4135.8500000000004</v>
      </c>
      <c r="O1584" s="13">
        <v>0</v>
      </c>
      <c r="P1584" s="11">
        <f t="shared" si="171"/>
        <v>1</v>
      </c>
    </row>
    <row r="1585" spans="1:16" ht="18.75" customHeight="1" thickBot="1" x14ac:dyDescent="0.3">
      <c r="A1585" s="3" t="s">
        <v>11</v>
      </c>
      <c r="B1585" s="4">
        <v>745513</v>
      </c>
      <c r="C1585" s="3" t="s">
        <v>9</v>
      </c>
      <c r="D1585" s="18">
        <v>0.14000000000000001</v>
      </c>
      <c r="E1585" s="21">
        <f t="shared" si="170"/>
        <v>1.0978851950173452E-2</v>
      </c>
      <c r="F1585" s="5">
        <v>41701</v>
      </c>
      <c r="G1585" s="5">
        <v>43162</v>
      </c>
      <c r="H1585" s="16">
        <f t="shared" si="168"/>
        <v>1461</v>
      </c>
      <c r="I1585" s="5">
        <v>43162</v>
      </c>
      <c r="J1585" s="5">
        <v>42136</v>
      </c>
      <c r="K1585" s="16">
        <f t="shared" si="169"/>
        <v>435</v>
      </c>
      <c r="L1585" s="13">
        <v>1294.4100000000001</v>
      </c>
      <c r="M1585" s="15">
        <f t="shared" si="167"/>
        <v>34.457258551579599</v>
      </c>
      <c r="N1585" s="13">
        <v>1294.4100000000001</v>
      </c>
      <c r="O1585" s="13">
        <v>0</v>
      </c>
      <c r="P1585" s="11">
        <f t="shared" si="171"/>
        <v>1</v>
      </c>
    </row>
    <row r="1586" spans="1:16" ht="18.75" customHeight="1" thickBot="1" x14ac:dyDescent="0.3">
      <c r="A1586" s="3" t="s">
        <v>11</v>
      </c>
      <c r="B1586" s="4">
        <v>260414</v>
      </c>
      <c r="C1586" s="3" t="s">
        <v>9</v>
      </c>
      <c r="D1586" s="18">
        <v>0.09</v>
      </c>
      <c r="E1586" s="21">
        <f t="shared" si="170"/>
        <v>7.2073233161367156E-3</v>
      </c>
      <c r="F1586" s="5">
        <v>41711</v>
      </c>
      <c r="G1586" s="5">
        <v>43268</v>
      </c>
      <c r="H1586" s="16">
        <f t="shared" si="168"/>
        <v>1557</v>
      </c>
      <c r="I1586" s="5">
        <v>43268</v>
      </c>
      <c r="J1586" s="5">
        <v>43006</v>
      </c>
      <c r="K1586" s="16">
        <f t="shared" si="169"/>
        <v>1295</v>
      </c>
      <c r="L1586" s="13">
        <v>30000</v>
      </c>
      <c r="M1586" s="15">
        <f t="shared" si="167"/>
        <v>694.92533965428424</v>
      </c>
      <c r="N1586" s="13">
        <v>30000</v>
      </c>
      <c r="O1586" s="13">
        <v>0</v>
      </c>
      <c r="P1586" s="11">
        <f t="shared" si="171"/>
        <v>1</v>
      </c>
    </row>
    <row r="1587" spans="1:16" ht="18.75" customHeight="1" thickBot="1" x14ac:dyDescent="0.3">
      <c r="A1587" s="3" t="s">
        <v>11</v>
      </c>
      <c r="B1587" s="4">
        <v>770281</v>
      </c>
      <c r="C1587" s="3" t="s">
        <v>9</v>
      </c>
      <c r="D1587" s="18">
        <v>0.1</v>
      </c>
      <c r="E1587" s="21">
        <f t="shared" si="170"/>
        <v>7.9741404289037643E-3</v>
      </c>
      <c r="F1587" s="5">
        <v>41715</v>
      </c>
      <c r="G1587" s="5">
        <v>43541</v>
      </c>
      <c r="H1587" s="16">
        <f t="shared" si="168"/>
        <v>1826</v>
      </c>
      <c r="I1587" s="5">
        <v>43541</v>
      </c>
      <c r="J1587" s="5">
        <v>41886</v>
      </c>
      <c r="K1587" s="16">
        <f t="shared" si="169"/>
        <v>171</v>
      </c>
      <c r="L1587" s="13">
        <v>13304.19</v>
      </c>
      <c r="M1587" s="15">
        <f t="shared" si="167"/>
        <v>276.75170763688726</v>
      </c>
      <c r="N1587" s="13">
        <v>13304.19</v>
      </c>
      <c r="O1587" s="13">
        <v>0</v>
      </c>
      <c r="P1587" s="11">
        <f t="shared" si="171"/>
        <v>1</v>
      </c>
    </row>
    <row r="1588" spans="1:16" ht="18.75" customHeight="1" thickBot="1" x14ac:dyDescent="0.3">
      <c r="A1588" s="3" t="s">
        <v>11</v>
      </c>
      <c r="B1588" s="4">
        <v>383001</v>
      </c>
      <c r="C1588" s="3" t="s">
        <v>9</v>
      </c>
      <c r="D1588" s="18">
        <v>0.1</v>
      </c>
      <c r="E1588" s="21">
        <f t="shared" si="170"/>
        <v>7.9741404289037643E-3</v>
      </c>
      <c r="F1588" s="5">
        <v>41717</v>
      </c>
      <c r="G1588" s="5">
        <v>42822</v>
      </c>
      <c r="H1588" s="16">
        <f t="shared" si="168"/>
        <v>1105</v>
      </c>
      <c r="I1588" s="5">
        <v>42822</v>
      </c>
      <c r="J1588" s="5">
        <v>42416</v>
      </c>
      <c r="K1588" s="16">
        <f t="shared" si="169"/>
        <v>699</v>
      </c>
      <c r="L1588" s="13">
        <v>2823.88</v>
      </c>
      <c r="M1588" s="15">
        <f t="shared" si="167"/>
        <v>88.778890640424748</v>
      </c>
      <c r="N1588" s="13">
        <v>2823.88</v>
      </c>
      <c r="O1588" s="13">
        <v>0</v>
      </c>
      <c r="P1588" s="11">
        <f t="shared" si="171"/>
        <v>1</v>
      </c>
    </row>
    <row r="1589" spans="1:16" ht="18.75" customHeight="1" thickBot="1" x14ac:dyDescent="0.3">
      <c r="A1589" s="3" t="s">
        <v>11</v>
      </c>
      <c r="B1589" s="4">
        <v>980066</v>
      </c>
      <c r="C1589" s="3" t="s">
        <v>9</v>
      </c>
      <c r="D1589" s="18">
        <v>0.1</v>
      </c>
      <c r="E1589" s="21">
        <f t="shared" si="170"/>
        <v>7.9741404289037643E-3</v>
      </c>
      <c r="F1589" s="5">
        <v>41718</v>
      </c>
      <c r="G1589" s="5">
        <v>42967</v>
      </c>
      <c r="H1589" s="16">
        <f t="shared" si="168"/>
        <v>1249</v>
      </c>
      <c r="I1589" s="5">
        <v>42967</v>
      </c>
      <c r="J1589" s="5">
        <v>42402</v>
      </c>
      <c r="K1589" s="16">
        <f t="shared" si="169"/>
        <v>684</v>
      </c>
      <c r="L1589" s="13">
        <v>580</v>
      </c>
      <c r="M1589" s="15">
        <f t="shared" si="167"/>
        <v>16.426331977270824</v>
      </c>
      <c r="N1589" s="13">
        <v>580</v>
      </c>
      <c r="O1589" s="13">
        <v>0</v>
      </c>
      <c r="P1589" s="11">
        <f t="shared" si="171"/>
        <v>1</v>
      </c>
    </row>
    <row r="1590" spans="1:16" ht="18.75" customHeight="1" thickBot="1" x14ac:dyDescent="0.3">
      <c r="A1590" s="3" t="s">
        <v>11</v>
      </c>
      <c r="B1590" s="4">
        <v>543678</v>
      </c>
      <c r="C1590" s="3" t="s">
        <v>9</v>
      </c>
      <c r="D1590" s="18">
        <v>0.1</v>
      </c>
      <c r="E1590" s="21">
        <f t="shared" si="170"/>
        <v>7.9741404289037643E-3</v>
      </c>
      <c r="F1590" s="5">
        <v>41719</v>
      </c>
      <c r="G1590" s="5">
        <v>44276</v>
      </c>
      <c r="H1590" s="16">
        <f t="shared" si="168"/>
        <v>2557</v>
      </c>
      <c r="I1590" s="5">
        <v>44276</v>
      </c>
      <c r="J1590" s="5">
        <v>43644</v>
      </c>
      <c r="K1590" s="16">
        <f t="shared" si="169"/>
        <v>1925</v>
      </c>
      <c r="L1590" s="13">
        <v>1738.19</v>
      </c>
      <c r="M1590" s="15">
        <f t="shared" si="167"/>
        <v>28.180821122734724</v>
      </c>
      <c r="N1590" s="13">
        <v>1738.19</v>
      </c>
      <c r="O1590" s="13">
        <v>0</v>
      </c>
      <c r="P1590" s="11">
        <f t="shared" si="171"/>
        <v>1</v>
      </c>
    </row>
    <row r="1591" spans="1:16" ht="18.75" customHeight="1" thickBot="1" x14ac:dyDescent="0.3">
      <c r="A1591" s="3" t="s">
        <v>11</v>
      </c>
      <c r="B1591" s="4">
        <v>631907</v>
      </c>
      <c r="C1591" s="3" t="s">
        <v>9</v>
      </c>
      <c r="D1591" s="18">
        <v>0.14000000000000001</v>
      </c>
      <c r="E1591" s="21">
        <f t="shared" si="170"/>
        <v>1.0978851950173452E-2</v>
      </c>
      <c r="F1591" s="5">
        <v>41722</v>
      </c>
      <c r="G1591" s="5">
        <v>43244</v>
      </c>
      <c r="H1591" s="16">
        <f t="shared" si="168"/>
        <v>1522</v>
      </c>
      <c r="I1591" s="5">
        <v>43244</v>
      </c>
      <c r="J1591" s="5">
        <v>42375</v>
      </c>
      <c r="K1591" s="16">
        <f t="shared" si="169"/>
        <v>653</v>
      </c>
      <c r="L1591" s="13">
        <v>6563.12</v>
      </c>
      <c r="M1591" s="15">
        <f t="shared" si="167"/>
        <v>169.4110792027349</v>
      </c>
      <c r="N1591" s="13">
        <v>6563.12</v>
      </c>
      <c r="O1591" s="13">
        <v>0</v>
      </c>
      <c r="P1591" s="11">
        <f t="shared" si="171"/>
        <v>1</v>
      </c>
    </row>
    <row r="1592" spans="1:16" ht="18.75" customHeight="1" thickBot="1" x14ac:dyDescent="0.3">
      <c r="A1592" s="3" t="s">
        <v>11</v>
      </c>
      <c r="B1592" s="4">
        <v>911314</v>
      </c>
      <c r="C1592" s="3" t="s">
        <v>9</v>
      </c>
      <c r="D1592" s="18">
        <v>0.1</v>
      </c>
      <c r="E1592" s="21">
        <f t="shared" si="170"/>
        <v>7.9741404289037643E-3</v>
      </c>
      <c r="F1592" s="5">
        <v>41723</v>
      </c>
      <c r="G1592" s="5">
        <v>44737</v>
      </c>
      <c r="H1592" s="16">
        <f t="shared" si="168"/>
        <v>3014</v>
      </c>
      <c r="I1592" s="5">
        <v>44737</v>
      </c>
      <c r="J1592" s="5">
        <v>42258</v>
      </c>
      <c r="K1592" s="16">
        <f t="shared" si="169"/>
        <v>535</v>
      </c>
      <c r="L1592" s="13">
        <v>13500</v>
      </c>
      <c r="M1592" s="15">
        <f t="shared" si="167"/>
        <v>195.81699376431175</v>
      </c>
      <c r="N1592" s="13">
        <v>13500</v>
      </c>
      <c r="O1592" s="13">
        <v>0</v>
      </c>
      <c r="P1592" s="11">
        <f t="shared" si="171"/>
        <v>1</v>
      </c>
    </row>
    <row r="1593" spans="1:16" ht="18.75" customHeight="1" thickBot="1" x14ac:dyDescent="0.3">
      <c r="A1593" s="3" t="s">
        <v>11</v>
      </c>
      <c r="B1593" s="4">
        <v>81223</v>
      </c>
      <c r="C1593" s="3" t="s">
        <v>9</v>
      </c>
      <c r="D1593" s="18">
        <v>9.5000000000000001E-2</v>
      </c>
      <c r="E1593" s="21">
        <f t="shared" si="170"/>
        <v>7.5915342905825689E-3</v>
      </c>
      <c r="F1593" s="5">
        <v>41726</v>
      </c>
      <c r="G1593" s="5">
        <v>41910</v>
      </c>
      <c r="H1593" s="16">
        <f t="shared" si="168"/>
        <v>184</v>
      </c>
      <c r="I1593" s="5">
        <v>44959</v>
      </c>
      <c r="J1593" s="5">
        <v>43829</v>
      </c>
      <c r="K1593" s="16">
        <f t="shared" si="169"/>
        <v>2103</v>
      </c>
      <c r="L1593" s="13">
        <v>30000</v>
      </c>
      <c r="M1593" s="15">
        <f t="shared" si="167"/>
        <v>5024.6005246301584</v>
      </c>
      <c r="N1593" s="13">
        <v>27295.51</v>
      </c>
      <c r="O1593" s="13">
        <v>3044.44</v>
      </c>
      <c r="P1593" s="11">
        <f t="shared" si="171"/>
        <v>0</v>
      </c>
    </row>
    <row r="1594" spans="1:16" ht="18.75" customHeight="1" thickBot="1" x14ac:dyDescent="0.3">
      <c r="A1594" s="3" t="s">
        <v>11</v>
      </c>
      <c r="B1594" s="4">
        <v>85734</v>
      </c>
      <c r="C1594" s="3" t="s">
        <v>9</v>
      </c>
      <c r="D1594" s="18">
        <v>9.5000000000000001E-2</v>
      </c>
      <c r="E1594" s="21">
        <f t="shared" si="170"/>
        <v>7.5915342905825689E-3</v>
      </c>
      <c r="F1594" s="5">
        <v>41730</v>
      </c>
      <c r="G1594" s="5">
        <v>43800</v>
      </c>
      <c r="H1594" s="16">
        <f t="shared" si="168"/>
        <v>2070</v>
      </c>
      <c r="I1594" s="5">
        <v>43800</v>
      </c>
      <c r="J1594" s="5">
        <v>42830</v>
      </c>
      <c r="K1594" s="16">
        <f t="shared" si="169"/>
        <v>1100</v>
      </c>
      <c r="L1594" s="13">
        <v>25733.61</v>
      </c>
      <c r="M1594" s="15">
        <f t="shared" si="167"/>
        <v>480.50061329054631</v>
      </c>
      <c r="N1594" s="13">
        <v>25733.61</v>
      </c>
      <c r="O1594" s="13">
        <v>0</v>
      </c>
      <c r="P1594" s="11">
        <f t="shared" si="171"/>
        <v>1</v>
      </c>
    </row>
    <row r="1595" spans="1:16" ht="18.75" customHeight="1" thickBot="1" x14ac:dyDescent="0.3">
      <c r="A1595" s="3" t="s">
        <v>11</v>
      </c>
      <c r="B1595" s="4">
        <v>33809</v>
      </c>
      <c r="C1595" s="3" t="s">
        <v>9</v>
      </c>
      <c r="D1595" s="18">
        <v>0.1</v>
      </c>
      <c r="E1595" s="21">
        <f t="shared" si="170"/>
        <v>7.9741404289037643E-3</v>
      </c>
      <c r="F1595" s="5">
        <v>41730</v>
      </c>
      <c r="G1595" s="5">
        <v>43191</v>
      </c>
      <c r="H1595" s="16">
        <f t="shared" si="168"/>
        <v>1461</v>
      </c>
      <c r="I1595" s="5">
        <v>43191</v>
      </c>
      <c r="J1595" s="5">
        <v>42255</v>
      </c>
      <c r="K1595" s="16">
        <f t="shared" si="169"/>
        <v>525</v>
      </c>
      <c r="L1595" s="13">
        <v>258.04000000000002</v>
      </c>
      <c r="M1595" s="15">
        <f t="shared" si="167"/>
        <v>6.4146441133923284</v>
      </c>
      <c r="N1595" s="13">
        <v>258.04000000000002</v>
      </c>
      <c r="O1595" s="13">
        <v>0</v>
      </c>
      <c r="P1595" s="11">
        <f t="shared" si="171"/>
        <v>1</v>
      </c>
    </row>
    <row r="1596" spans="1:16" ht="18.75" customHeight="1" thickBot="1" x14ac:dyDescent="0.3">
      <c r="A1596" s="3" t="s">
        <v>11</v>
      </c>
      <c r="B1596" s="4">
        <v>392810</v>
      </c>
      <c r="C1596" s="3" t="s">
        <v>9</v>
      </c>
      <c r="D1596" s="18">
        <v>0.1</v>
      </c>
      <c r="E1596" s="21">
        <f t="shared" si="170"/>
        <v>7.9741404289037643E-3</v>
      </c>
      <c r="F1596" s="5">
        <v>41737</v>
      </c>
      <c r="G1596" s="5">
        <v>44520</v>
      </c>
      <c r="H1596" s="16">
        <f t="shared" si="168"/>
        <v>2783</v>
      </c>
      <c r="I1596" s="5">
        <v>44520</v>
      </c>
      <c r="J1596" s="5">
        <v>43182</v>
      </c>
      <c r="K1596" s="16">
        <f t="shared" si="169"/>
        <v>1445</v>
      </c>
      <c r="L1596" s="13">
        <v>20575.11</v>
      </c>
      <c r="M1596" s="15">
        <f t="shared" si="167"/>
        <v>314.69561081833859</v>
      </c>
      <c r="N1596" s="13">
        <v>20575.11</v>
      </c>
      <c r="O1596" s="13">
        <v>0</v>
      </c>
      <c r="P1596" s="11">
        <f t="shared" si="171"/>
        <v>1</v>
      </c>
    </row>
    <row r="1597" spans="1:16" ht="18.75" customHeight="1" thickBot="1" x14ac:dyDescent="0.3">
      <c r="A1597" s="3" t="s">
        <v>11</v>
      </c>
      <c r="B1597" s="4">
        <v>493133</v>
      </c>
      <c r="C1597" s="3" t="s">
        <v>9</v>
      </c>
      <c r="D1597" s="18">
        <v>0.14000000000000001</v>
      </c>
      <c r="E1597" s="21">
        <f t="shared" si="170"/>
        <v>1.0978851950173452E-2</v>
      </c>
      <c r="F1597" s="5">
        <v>41739</v>
      </c>
      <c r="G1597" s="5">
        <v>43565</v>
      </c>
      <c r="H1597" s="16">
        <f t="shared" si="168"/>
        <v>1826</v>
      </c>
      <c r="I1597" s="5">
        <v>43565</v>
      </c>
      <c r="J1597" s="5">
        <v>43111</v>
      </c>
      <c r="K1597" s="16">
        <f t="shared" si="169"/>
        <v>1372</v>
      </c>
      <c r="L1597" s="13">
        <v>8171.33</v>
      </c>
      <c r="M1597" s="15">
        <f t="shared" si="167"/>
        <v>184.77357176171583</v>
      </c>
      <c r="N1597" s="13">
        <v>8171.33</v>
      </c>
      <c r="O1597" s="13">
        <v>5300</v>
      </c>
      <c r="P1597" s="11">
        <f t="shared" si="171"/>
        <v>1</v>
      </c>
    </row>
    <row r="1598" spans="1:16" ht="18.75" customHeight="1" thickBot="1" x14ac:dyDescent="0.3">
      <c r="A1598" s="3" t="s">
        <v>11</v>
      </c>
      <c r="B1598" s="4">
        <v>542095</v>
      </c>
      <c r="C1598" s="3" t="s">
        <v>9</v>
      </c>
      <c r="D1598" s="18">
        <v>0.14000000000000001</v>
      </c>
      <c r="E1598" s="21">
        <f t="shared" si="170"/>
        <v>1.0978851950173452E-2</v>
      </c>
      <c r="F1598" s="5">
        <v>41744</v>
      </c>
      <c r="G1598" s="5">
        <v>43205</v>
      </c>
      <c r="H1598" s="16">
        <f t="shared" si="168"/>
        <v>1461</v>
      </c>
      <c r="I1598" s="5">
        <v>43205</v>
      </c>
      <c r="J1598" s="5">
        <v>42300</v>
      </c>
      <c r="K1598" s="16">
        <f t="shared" si="169"/>
        <v>556</v>
      </c>
      <c r="L1598" s="13">
        <v>8981.68</v>
      </c>
      <c r="M1598" s="15">
        <f t="shared" si="167"/>
        <v>239.09276812412719</v>
      </c>
      <c r="N1598" s="13">
        <v>8981.68</v>
      </c>
      <c r="O1598" s="13">
        <v>0</v>
      </c>
      <c r="P1598" s="11">
        <f t="shared" si="171"/>
        <v>1</v>
      </c>
    </row>
    <row r="1599" spans="1:16" ht="18.75" customHeight="1" thickBot="1" x14ac:dyDescent="0.3">
      <c r="A1599" s="3" t="s">
        <v>11</v>
      </c>
      <c r="B1599" s="4">
        <v>376085</v>
      </c>
      <c r="C1599" s="3" t="s">
        <v>9</v>
      </c>
      <c r="D1599" s="18">
        <v>0.1</v>
      </c>
      <c r="E1599" s="21">
        <f t="shared" si="170"/>
        <v>7.9741404289037643E-3</v>
      </c>
      <c r="F1599" s="5">
        <v>41746</v>
      </c>
      <c r="G1599" s="5">
        <v>43572</v>
      </c>
      <c r="H1599" s="16">
        <f t="shared" si="168"/>
        <v>1826</v>
      </c>
      <c r="I1599" s="5">
        <v>43572</v>
      </c>
      <c r="J1599" s="5">
        <v>42265</v>
      </c>
      <c r="K1599" s="16">
        <f t="shared" si="169"/>
        <v>519</v>
      </c>
      <c r="L1599" s="13">
        <v>303.5</v>
      </c>
      <c r="M1599" s="15">
        <f t="shared" si="167"/>
        <v>6.3133601720807713</v>
      </c>
      <c r="N1599" s="13">
        <v>303.5</v>
      </c>
      <c r="O1599" s="13">
        <v>0</v>
      </c>
      <c r="P1599" s="11">
        <f t="shared" si="171"/>
        <v>1</v>
      </c>
    </row>
    <row r="1600" spans="1:16" ht="18.75" customHeight="1" thickBot="1" x14ac:dyDescent="0.3">
      <c r="A1600" s="3" t="s">
        <v>11</v>
      </c>
      <c r="B1600" s="4">
        <v>416254</v>
      </c>
      <c r="C1600" s="3" t="s">
        <v>9</v>
      </c>
      <c r="D1600" s="18">
        <v>0.09</v>
      </c>
      <c r="E1600" s="21">
        <f t="shared" si="170"/>
        <v>7.2073233161367156E-3</v>
      </c>
      <c r="F1600" s="5">
        <v>41746</v>
      </c>
      <c r="G1600" s="5">
        <v>43451</v>
      </c>
      <c r="H1600" s="16">
        <f t="shared" si="168"/>
        <v>1705</v>
      </c>
      <c r="I1600" s="5">
        <v>43451</v>
      </c>
      <c r="J1600" s="5">
        <v>43592</v>
      </c>
      <c r="K1600" s="16">
        <f t="shared" si="169"/>
        <v>1846</v>
      </c>
      <c r="L1600" s="13">
        <v>45000</v>
      </c>
      <c r="M1600" s="15">
        <f t="shared" si="167"/>
        <v>967.80423047023942</v>
      </c>
      <c r="N1600" s="13">
        <v>44900</v>
      </c>
      <c r="O1600" s="13">
        <v>0</v>
      </c>
      <c r="P1600" s="11">
        <f t="shared" si="171"/>
        <v>1</v>
      </c>
    </row>
    <row r="1601" spans="1:16" ht="18.75" customHeight="1" thickBot="1" x14ac:dyDescent="0.3">
      <c r="A1601" s="3" t="s">
        <v>11</v>
      </c>
      <c r="B1601" s="4">
        <v>506046</v>
      </c>
      <c r="C1601" s="3" t="s">
        <v>9</v>
      </c>
      <c r="D1601" s="18">
        <v>9.5000000000000001E-2</v>
      </c>
      <c r="E1601" s="21">
        <f t="shared" si="170"/>
        <v>7.5915342905825689E-3</v>
      </c>
      <c r="F1601" s="5">
        <v>41803</v>
      </c>
      <c r="G1601" s="5">
        <v>43264</v>
      </c>
      <c r="H1601" s="16">
        <f t="shared" si="168"/>
        <v>1461</v>
      </c>
      <c r="I1601" s="5">
        <v>43264</v>
      </c>
      <c r="J1601" s="5">
        <v>42908</v>
      </c>
      <c r="K1601" s="16">
        <f t="shared" si="169"/>
        <v>1105</v>
      </c>
      <c r="L1601" s="13">
        <v>9598.11</v>
      </c>
      <c r="M1601" s="15">
        <f t="shared" si="167"/>
        <v>236.49714843802127</v>
      </c>
      <c r="N1601" s="13">
        <v>9598.11</v>
      </c>
      <c r="O1601" s="13">
        <v>0</v>
      </c>
      <c r="P1601" s="11">
        <f t="shared" si="171"/>
        <v>1</v>
      </c>
    </row>
    <row r="1602" spans="1:16" ht="18.75" customHeight="1" thickBot="1" x14ac:dyDescent="0.3">
      <c r="A1602" s="3" t="s">
        <v>11</v>
      </c>
      <c r="B1602" s="4">
        <v>262730</v>
      </c>
      <c r="C1602" s="3" t="s">
        <v>9</v>
      </c>
      <c r="D1602" s="18">
        <v>0.1</v>
      </c>
      <c r="E1602" s="21">
        <f t="shared" si="170"/>
        <v>7.9741404289037643E-3</v>
      </c>
      <c r="F1602" s="5">
        <v>41747</v>
      </c>
      <c r="G1602" s="5">
        <v>42127</v>
      </c>
      <c r="H1602" s="16">
        <f t="shared" si="168"/>
        <v>380</v>
      </c>
      <c r="I1602" s="5">
        <v>42127</v>
      </c>
      <c r="J1602" s="5">
        <v>41915</v>
      </c>
      <c r="K1602" s="16">
        <f t="shared" si="169"/>
        <v>168</v>
      </c>
      <c r="L1602" s="13">
        <v>770.89</v>
      </c>
      <c r="M1602" s="15">
        <f t="shared" ref="M1602:M1665" si="172">-PMT(E1602,(H1602/30),L1602)</f>
        <v>64.227188101658115</v>
      </c>
      <c r="N1602" s="13">
        <v>770.89</v>
      </c>
      <c r="O1602" s="13">
        <v>0</v>
      </c>
      <c r="P1602" s="11">
        <f t="shared" si="171"/>
        <v>1</v>
      </c>
    </row>
    <row r="1603" spans="1:16" ht="18.75" customHeight="1" thickBot="1" x14ac:dyDescent="0.3">
      <c r="A1603" s="3" t="s">
        <v>11</v>
      </c>
      <c r="B1603" s="4">
        <v>277676</v>
      </c>
      <c r="C1603" s="3" t="s">
        <v>9</v>
      </c>
      <c r="D1603" s="18">
        <v>9.5000000000000001E-2</v>
      </c>
      <c r="E1603" s="21">
        <f t="shared" si="170"/>
        <v>7.5915342905825689E-3</v>
      </c>
      <c r="F1603" s="5">
        <v>41754</v>
      </c>
      <c r="G1603" s="5">
        <v>44302</v>
      </c>
      <c r="H1603" s="16">
        <f t="shared" ref="H1603:H1666" si="173">G1603-F1603</f>
        <v>2548</v>
      </c>
      <c r="I1603" s="5">
        <v>44302</v>
      </c>
      <c r="J1603" s="5">
        <v>42549</v>
      </c>
      <c r="K1603" s="16">
        <f t="shared" ref="K1603:K1666" si="174">J1603-F1603</f>
        <v>795</v>
      </c>
      <c r="L1603" s="13">
        <v>90037.92</v>
      </c>
      <c r="M1603" s="15">
        <f t="shared" si="172"/>
        <v>1442.2217064167994</v>
      </c>
      <c r="N1603" s="13">
        <v>90037.92</v>
      </c>
      <c r="O1603" s="13">
        <v>0</v>
      </c>
      <c r="P1603" s="11">
        <f t="shared" si="171"/>
        <v>1</v>
      </c>
    </row>
    <row r="1604" spans="1:16" ht="18.75" customHeight="1" thickBot="1" x14ac:dyDescent="0.3">
      <c r="A1604" s="3" t="s">
        <v>11</v>
      </c>
      <c r="B1604" s="4">
        <v>739894</v>
      </c>
      <c r="C1604" s="3" t="s">
        <v>9</v>
      </c>
      <c r="D1604" s="18">
        <v>0.1</v>
      </c>
      <c r="E1604" s="21">
        <f t="shared" si="170"/>
        <v>7.9741404289037643E-3</v>
      </c>
      <c r="F1604" s="5">
        <v>41757</v>
      </c>
      <c r="G1604" s="5">
        <v>44040</v>
      </c>
      <c r="H1604" s="16">
        <f t="shared" si="173"/>
        <v>2283</v>
      </c>
      <c r="I1604" s="5">
        <v>44040</v>
      </c>
      <c r="J1604" s="5">
        <v>42268</v>
      </c>
      <c r="K1604" s="16">
        <f t="shared" si="174"/>
        <v>511</v>
      </c>
      <c r="L1604" s="13">
        <v>4837.53</v>
      </c>
      <c r="M1604" s="15">
        <f t="shared" si="172"/>
        <v>85.04000944140752</v>
      </c>
      <c r="N1604" s="13">
        <v>4837.53</v>
      </c>
      <c r="O1604" s="13">
        <v>0</v>
      </c>
      <c r="P1604" s="11">
        <f t="shared" si="171"/>
        <v>1</v>
      </c>
    </row>
    <row r="1605" spans="1:16" ht="18.75" customHeight="1" thickBot="1" x14ac:dyDescent="0.3">
      <c r="A1605" s="3" t="s">
        <v>11</v>
      </c>
      <c r="B1605" s="4">
        <v>744571</v>
      </c>
      <c r="C1605" s="3" t="s">
        <v>9</v>
      </c>
      <c r="D1605" s="18">
        <v>0.1</v>
      </c>
      <c r="E1605" s="21">
        <f t="shared" si="170"/>
        <v>7.9741404289037643E-3</v>
      </c>
      <c r="F1605" s="5">
        <v>41757</v>
      </c>
      <c r="G1605" s="5">
        <v>42244</v>
      </c>
      <c r="H1605" s="16">
        <f t="shared" si="173"/>
        <v>487</v>
      </c>
      <c r="I1605" s="5">
        <v>42244</v>
      </c>
      <c r="J1605" s="5">
        <v>42283</v>
      </c>
      <c r="K1605" s="16">
        <f t="shared" si="174"/>
        <v>526</v>
      </c>
      <c r="L1605" s="13">
        <v>842.38</v>
      </c>
      <c r="M1605" s="15">
        <f t="shared" si="172"/>
        <v>55.529396417526662</v>
      </c>
      <c r="N1605" s="13">
        <v>842.38</v>
      </c>
      <c r="O1605" s="13">
        <v>0</v>
      </c>
      <c r="P1605" s="11">
        <f t="shared" si="171"/>
        <v>1</v>
      </c>
    </row>
    <row r="1606" spans="1:16" ht="18.75" customHeight="1" thickBot="1" x14ac:dyDescent="0.3">
      <c r="A1606" s="3" t="s">
        <v>11</v>
      </c>
      <c r="B1606" s="4">
        <v>94307</v>
      </c>
      <c r="C1606" s="3" t="s">
        <v>9</v>
      </c>
      <c r="D1606" s="18">
        <v>0.1</v>
      </c>
      <c r="E1606" s="21">
        <f t="shared" si="170"/>
        <v>7.9741404289037643E-3</v>
      </c>
      <c r="F1606" s="5">
        <v>41759</v>
      </c>
      <c r="G1606" s="5">
        <v>43585</v>
      </c>
      <c r="H1606" s="16">
        <f t="shared" si="173"/>
        <v>1826</v>
      </c>
      <c r="I1606" s="5">
        <v>43676</v>
      </c>
      <c r="J1606" s="5">
        <v>43810</v>
      </c>
      <c r="K1606" s="16">
        <f t="shared" si="174"/>
        <v>2051</v>
      </c>
      <c r="L1606" s="13">
        <v>12000</v>
      </c>
      <c r="M1606" s="15">
        <f t="shared" si="172"/>
        <v>249.62214848424796</v>
      </c>
      <c r="N1606" s="13">
        <v>1305.8900000000001</v>
      </c>
      <c r="O1606" s="13">
        <v>400</v>
      </c>
      <c r="P1606" s="11">
        <f t="shared" si="171"/>
        <v>1</v>
      </c>
    </row>
    <row r="1607" spans="1:16" ht="18.75" customHeight="1" thickBot="1" x14ac:dyDescent="0.3">
      <c r="A1607" s="3" t="s">
        <v>11</v>
      </c>
      <c r="B1607" s="4">
        <v>666459</v>
      </c>
      <c r="C1607" s="3" t="s">
        <v>9</v>
      </c>
      <c r="D1607" s="18">
        <v>0.1</v>
      </c>
      <c r="E1607" s="21">
        <f t="shared" si="170"/>
        <v>7.9741404289037643E-3</v>
      </c>
      <c r="F1607" s="5">
        <v>41764</v>
      </c>
      <c r="G1607" s="5">
        <v>43225</v>
      </c>
      <c r="H1607" s="16">
        <f t="shared" si="173"/>
        <v>1461</v>
      </c>
      <c r="I1607" s="5">
        <v>43225</v>
      </c>
      <c r="J1607" s="5">
        <v>42846</v>
      </c>
      <c r="K1607" s="16">
        <f t="shared" si="174"/>
        <v>1082</v>
      </c>
      <c r="L1607" s="13">
        <v>4183.62</v>
      </c>
      <c r="M1607" s="15">
        <f t="shared" si="172"/>
        <v>104.00105954762986</v>
      </c>
      <c r="N1607" s="13">
        <v>4183.62</v>
      </c>
      <c r="O1607" s="13">
        <v>0</v>
      </c>
      <c r="P1607" s="11">
        <f t="shared" si="171"/>
        <v>1</v>
      </c>
    </row>
    <row r="1608" spans="1:16" ht="18.75" customHeight="1" thickBot="1" x14ac:dyDescent="0.3">
      <c r="A1608" s="3" t="s">
        <v>11</v>
      </c>
      <c r="B1608" s="4">
        <v>895476</v>
      </c>
      <c r="C1608" s="3" t="s">
        <v>9</v>
      </c>
      <c r="D1608" s="18">
        <v>0.1</v>
      </c>
      <c r="E1608" s="21">
        <f t="shared" si="170"/>
        <v>7.9741404289037643E-3</v>
      </c>
      <c r="F1608" s="5">
        <v>41765</v>
      </c>
      <c r="G1608" s="5">
        <v>43957</v>
      </c>
      <c r="H1608" s="16">
        <f t="shared" si="173"/>
        <v>2192</v>
      </c>
      <c r="I1608" s="5">
        <v>44171</v>
      </c>
      <c r="J1608" s="5">
        <v>43816</v>
      </c>
      <c r="K1608" s="16">
        <f t="shared" si="174"/>
        <v>2051</v>
      </c>
      <c r="L1608" s="13">
        <v>25841.439999999999</v>
      </c>
      <c r="M1608" s="15">
        <f t="shared" si="172"/>
        <v>468.01916901371891</v>
      </c>
      <c r="N1608" s="13">
        <v>11432.29</v>
      </c>
      <c r="O1608" s="13">
        <v>11432.29</v>
      </c>
      <c r="P1608" s="11">
        <f t="shared" si="171"/>
        <v>1</v>
      </c>
    </row>
    <row r="1609" spans="1:16" ht="18.75" customHeight="1" thickBot="1" x14ac:dyDescent="0.3">
      <c r="A1609" s="3" t="s">
        <v>11</v>
      </c>
      <c r="B1609" s="4">
        <v>601764</v>
      </c>
      <c r="C1609" s="3" t="s">
        <v>9</v>
      </c>
      <c r="D1609" s="18">
        <v>0.1</v>
      </c>
      <c r="E1609" s="21">
        <f t="shared" si="170"/>
        <v>7.9741404289037643E-3</v>
      </c>
      <c r="F1609" s="5">
        <v>41766</v>
      </c>
      <c r="G1609" s="5">
        <v>43976</v>
      </c>
      <c r="H1609" s="16">
        <f t="shared" si="173"/>
        <v>2210</v>
      </c>
      <c r="I1609" s="5">
        <v>43976</v>
      </c>
      <c r="J1609" s="5">
        <v>42375</v>
      </c>
      <c r="K1609" s="16">
        <f t="shared" si="174"/>
        <v>609</v>
      </c>
      <c r="L1609" s="13">
        <v>10365.450000000001</v>
      </c>
      <c r="M1609" s="15">
        <f t="shared" si="172"/>
        <v>186.60283955068721</v>
      </c>
      <c r="N1609" s="13">
        <v>10365.450000000001</v>
      </c>
      <c r="O1609" s="13">
        <v>0</v>
      </c>
      <c r="P1609" s="11">
        <f t="shared" si="171"/>
        <v>1</v>
      </c>
    </row>
    <row r="1610" spans="1:16" ht="18.75" customHeight="1" thickBot="1" x14ac:dyDescent="0.3">
      <c r="A1610" s="3" t="s">
        <v>11</v>
      </c>
      <c r="B1610" s="4">
        <v>745851</v>
      </c>
      <c r="C1610" s="3" t="s">
        <v>2</v>
      </c>
      <c r="D1610" s="18">
        <v>0.09</v>
      </c>
      <c r="E1610" s="21">
        <f t="shared" si="170"/>
        <v>7.2073233161367156E-3</v>
      </c>
      <c r="F1610" s="5">
        <v>41772</v>
      </c>
      <c r="G1610" s="5">
        <v>43964</v>
      </c>
      <c r="H1610" s="16">
        <f t="shared" si="173"/>
        <v>2192</v>
      </c>
      <c r="I1610" s="5">
        <v>43921</v>
      </c>
      <c r="J1610" s="5">
        <v>44011</v>
      </c>
      <c r="K1610" s="16">
        <f t="shared" si="174"/>
        <v>2239</v>
      </c>
      <c r="L1610" s="13">
        <v>75000</v>
      </c>
      <c r="M1610" s="15">
        <f t="shared" si="172"/>
        <v>1323.9580091130208</v>
      </c>
      <c r="N1610" s="13">
        <v>8180</v>
      </c>
      <c r="O1610" s="13">
        <v>0</v>
      </c>
      <c r="P1610" s="11">
        <f t="shared" si="171"/>
        <v>1</v>
      </c>
    </row>
    <row r="1611" spans="1:16" ht="18.75" customHeight="1" thickBot="1" x14ac:dyDescent="0.3">
      <c r="A1611" s="3" t="s">
        <v>11</v>
      </c>
      <c r="B1611" s="4">
        <v>112714</v>
      </c>
      <c r="C1611" s="3" t="s">
        <v>9</v>
      </c>
      <c r="D1611" s="18">
        <v>0.1</v>
      </c>
      <c r="E1611" s="21">
        <f t="shared" si="170"/>
        <v>7.9741404289037643E-3</v>
      </c>
      <c r="F1611" s="5">
        <v>41774</v>
      </c>
      <c r="G1611" s="5">
        <v>42505</v>
      </c>
      <c r="H1611" s="16">
        <f t="shared" si="173"/>
        <v>731</v>
      </c>
      <c r="I1611" s="5">
        <v>42505</v>
      </c>
      <c r="J1611" s="5">
        <v>42846</v>
      </c>
      <c r="K1611" s="16">
        <f t="shared" si="174"/>
        <v>1072</v>
      </c>
      <c r="L1611" s="13">
        <v>756.26</v>
      </c>
      <c r="M1611" s="15">
        <f t="shared" si="172"/>
        <v>34.272703291704062</v>
      </c>
      <c r="N1611" s="13">
        <v>756.26</v>
      </c>
      <c r="O1611" s="13">
        <v>0</v>
      </c>
      <c r="P1611" s="11">
        <f t="shared" si="171"/>
        <v>1</v>
      </c>
    </row>
    <row r="1612" spans="1:16" ht="18.75" customHeight="1" thickBot="1" x14ac:dyDescent="0.3">
      <c r="A1612" s="3" t="s">
        <v>11</v>
      </c>
      <c r="B1612" s="4">
        <v>572745</v>
      </c>
      <c r="C1612" s="3" t="s">
        <v>9</v>
      </c>
      <c r="D1612" s="18">
        <v>0.1</v>
      </c>
      <c r="E1612" s="21">
        <f t="shared" si="170"/>
        <v>7.9741404289037643E-3</v>
      </c>
      <c r="F1612" s="5">
        <v>41774</v>
      </c>
      <c r="G1612" s="5">
        <v>43845</v>
      </c>
      <c r="H1612" s="16">
        <f t="shared" si="173"/>
        <v>2071</v>
      </c>
      <c r="I1612" s="5">
        <v>43845</v>
      </c>
      <c r="J1612" s="5">
        <v>43371</v>
      </c>
      <c r="K1612" s="16">
        <f t="shared" si="174"/>
        <v>1597</v>
      </c>
      <c r="L1612" s="13">
        <v>19475</v>
      </c>
      <c r="M1612" s="15">
        <f t="shared" si="172"/>
        <v>367.94201573774632</v>
      </c>
      <c r="N1612" s="13">
        <v>19475</v>
      </c>
      <c r="O1612" s="13">
        <v>0</v>
      </c>
      <c r="P1612" s="11">
        <f t="shared" si="171"/>
        <v>1</v>
      </c>
    </row>
    <row r="1613" spans="1:16" ht="18.75" customHeight="1" thickBot="1" x14ac:dyDescent="0.3">
      <c r="A1613" s="3" t="s">
        <v>11</v>
      </c>
      <c r="B1613" s="4">
        <v>287979</v>
      </c>
      <c r="C1613" s="3" t="s">
        <v>9</v>
      </c>
      <c r="D1613" s="18">
        <v>9.5000000000000001E-2</v>
      </c>
      <c r="E1613" s="21">
        <f t="shared" si="170"/>
        <v>7.5915342905825689E-3</v>
      </c>
      <c r="F1613" s="5">
        <v>41778</v>
      </c>
      <c r="G1613" s="5">
        <v>43239</v>
      </c>
      <c r="H1613" s="16">
        <f t="shared" si="173"/>
        <v>1461</v>
      </c>
      <c r="I1613" s="5">
        <v>43239</v>
      </c>
      <c r="J1613" s="5">
        <v>43234</v>
      </c>
      <c r="K1613" s="16">
        <f t="shared" si="174"/>
        <v>1456</v>
      </c>
      <c r="L1613" s="13">
        <v>925</v>
      </c>
      <c r="M1613" s="15">
        <f t="shared" si="172"/>
        <v>22.791972826438712</v>
      </c>
      <c r="N1613" s="13">
        <v>925</v>
      </c>
      <c r="O1613" s="13">
        <v>0</v>
      </c>
      <c r="P1613" s="11">
        <f t="shared" si="171"/>
        <v>1</v>
      </c>
    </row>
    <row r="1614" spans="1:16" ht="18.75" customHeight="1" thickBot="1" x14ac:dyDescent="0.3">
      <c r="A1614" s="3" t="s">
        <v>11</v>
      </c>
      <c r="B1614" s="4">
        <v>825111</v>
      </c>
      <c r="C1614" s="3" t="s">
        <v>9</v>
      </c>
      <c r="D1614" s="18">
        <v>0.1</v>
      </c>
      <c r="E1614" s="21">
        <f t="shared" si="170"/>
        <v>7.9741404289037643E-3</v>
      </c>
      <c r="F1614" s="5">
        <v>41792</v>
      </c>
      <c r="G1614" s="5">
        <v>43999</v>
      </c>
      <c r="H1614" s="16">
        <f t="shared" si="173"/>
        <v>2207</v>
      </c>
      <c r="I1614" s="5">
        <v>43999</v>
      </c>
      <c r="J1614" s="5">
        <v>42240</v>
      </c>
      <c r="K1614" s="16">
        <f t="shared" si="174"/>
        <v>448</v>
      </c>
      <c r="L1614" s="13">
        <v>25848.63</v>
      </c>
      <c r="M1614" s="15">
        <f t="shared" si="172"/>
        <v>465.80248418190496</v>
      </c>
      <c r="N1614" s="13">
        <v>25848.63</v>
      </c>
      <c r="O1614" s="13">
        <v>0</v>
      </c>
      <c r="P1614" s="11">
        <f t="shared" si="171"/>
        <v>1</v>
      </c>
    </row>
    <row r="1615" spans="1:16" ht="18.75" customHeight="1" thickBot="1" x14ac:dyDescent="0.3">
      <c r="A1615" s="3" t="s">
        <v>11</v>
      </c>
      <c r="B1615" s="4">
        <v>982982</v>
      </c>
      <c r="C1615" s="3" t="s">
        <v>9</v>
      </c>
      <c r="D1615" s="18">
        <v>0.14000000000000001</v>
      </c>
      <c r="E1615" s="21">
        <f t="shared" si="170"/>
        <v>1.0978851950173452E-2</v>
      </c>
      <c r="F1615" s="5">
        <v>41787</v>
      </c>
      <c r="G1615" s="5">
        <v>43613</v>
      </c>
      <c r="H1615" s="16">
        <f t="shared" si="173"/>
        <v>1826</v>
      </c>
      <c r="I1615" s="5">
        <v>43613</v>
      </c>
      <c r="J1615" s="5">
        <v>42990</v>
      </c>
      <c r="K1615" s="16">
        <f t="shared" si="174"/>
        <v>1203</v>
      </c>
      <c r="L1615" s="13">
        <v>7312.9</v>
      </c>
      <c r="M1615" s="15">
        <f t="shared" si="172"/>
        <v>165.36238934619601</v>
      </c>
      <c r="N1615" s="13">
        <v>7312.9</v>
      </c>
      <c r="O1615" s="13">
        <v>0</v>
      </c>
      <c r="P1615" s="11">
        <f t="shared" si="171"/>
        <v>1</v>
      </c>
    </row>
    <row r="1616" spans="1:16" ht="18.75" customHeight="1" thickBot="1" x14ac:dyDescent="0.3">
      <c r="A1616" s="3" t="s">
        <v>11</v>
      </c>
      <c r="B1616" s="4">
        <v>838947</v>
      </c>
      <c r="C1616" s="3" t="s">
        <v>9</v>
      </c>
      <c r="D1616" s="18">
        <v>0.09</v>
      </c>
      <c r="E1616" s="21">
        <f t="shared" si="170"/>
        <v>7.2073233161367156E-3</v>
      </c>
      <c r="F1616" s="5">
        <v>41792</v>
      </c>
      <c r="G1616" s="5">
        <v>43984</v>
      </c>
      <c r="H1616" s="16">
        <f t="shared" si="173"/>
        <v>2192</v>
      </c>
      <c r="I1616" s="5">
        <v>43984</v>
      </c>
      <c r="J1616" s="5">
        <v>42137</v>
      </c>
      <c r="K1616" s="16">
        <f t="shared" si="174"/>
        <v>345</v>
      </c>
      <c r="L1616" s="13">
        <v>5100</v>
      </c>
      <c r="M1616" s="15">
        <f t="shared" si="172"/>
        <v>90.029144619685411</v>
      </c>
      <c r="N1616" s="13">
        <v>5100</v>
      </c>
      <c r="O1616" s="13">
        <v>0</v>
      </c>
      <c r="P1616" s="11">
        <f t="shared" si="171"/>
        <v>1</v>
      </c>
    </row>
    <row r="1617" spans="1:16" ht="18.75" customHeight="1" thickBot="1" x14ac:dyDescent="0.3">
      <c r="A1617" s="3" t="s">
        <v>11</v>
      </c>
      <c r="B1617" s="4">
        <v>707567</v>
      </c>
      <c r="C1617" s="3" t="s">
        <v>9</v>
      </c>
      <c r="D1617" s="18">
        <v>0.14000000000000001</v>
      </c>
      <c r="E1617" s="21">
        <f t="shared" si="170"/>
        <v>1.0978851950173452E-2</v>
      </c>
      <c r="F1617" s="5">
        <v>41795</v>
      </c>
      <c r="G1617" s="5">
        <v>42903</v>
      </c>
      <c r="H1617" s="16">
        <f t="shared" si="173"/>
        <v>1108</v>
      </c>
      <c r="I1617" s="5">
        <v>42903</v>
      </c>
      <c r="J1617" s="5">
        <v>42769</v>
      </c>
      <c r="K1617" s="16">
        <f t="shared" si="174"/>
        <v>974</v>
      </c>
      <c r="L1617" s="13">
        <v>5532.22</v>
      </c>
      <c r="M1617" s="15">
        <f t="shared" si="172"/>
        <v>183.01447373776654</v>
      </c>
      <c r="N1617" s="13">
        <v>5532.22</v>
      </c>
      <c r="O1617" s="13">
        <v>120</v>
      </c>
      <c r="P1617" s="11">
        <f t="shared" si="171"/>
        <v>1</v>
      </c>
    </row>
    <row r="1618" spans="1:16" ht="18.75" hidden="1" customHeight="1" thickBot="1" x14ac:dyDescent="0.3">
      <c r="A1618" s="3" t="s">
        <v>11</v>
      </c>
      <c r="B1618" s="4">
        <v>207683</v>
      </c>
      <c r="C1618" s="3" t="s">
        <v>9</v>
      </c>
      <c r="D1618" s="18">
        <v>0.1</v>
      </c>
      <c r="E1618" s="21">
        <f t="shared" si="170"/>
        <v>7.9741404289037643E-3</v>
      </c>
      <c r="F1618" s="5">
        <v>41795</v>
      </c>
      <c r="G1618" s="5">
        <v>42160</v>
      </c>
      <c r="H1618" s="16">
        <f t="shared" si="173"/>
        <v>365</v>
      </c>
      <c r="I1618" s="5">
        <v>42160</v>
      </c>
      <c r="J1618" s="2"/>
      <c r="K1618" s="16">
        <f t="shared" si="174"/>
        <v>-41795</v>
      </c>
      <c r="L1618" s="13">
        <v>2000</v>
      </c>
      <c r="M1618" s="15">
        <f t="shared" si="172"/>
        <v>173.14065205111393</v>
      </c>
      <c r="N1618" s="13">
        <v>2000</v>
      </c>
      <c r="O1618" s="13">
        <v>0</v>
      </c>
      <c r="P1618" s="11">
        <f t="shared" si="171"/>
        <v>1</v>
      </c>
    </row>
    <row r="1619" spans="1:16" ht="18.75" customHeight="1" thickBot="1" x14ac:dyDescent="0.3">
      <c r="A1619" s="3" t="s">
        <v>11</v>
      </c>
      <c r="B1619" s="4">
        <v>573072</v>
      </c>
      <c r="C1619" s="3" t="s">
        <v>9</v>
      </c>
      <c r="D1619" s="18">
        <v>0.1</v>
      </c>
      <c r="E1619" s="21">
        <f t="shared" si="170"/>
        <v>7.9741404289037643E-3</v>
      </c>
      <c r="F1619" s="5">
        <v>41795</v>
      </c>
      <c r="G1619" s="5">
        <v>42526</v>
      </c>
      <c r="H1619" s="16">
        <f t="shared" si="173"/>
        <v>731</v>
      </c>
      <c r="I1619" s="5">
        <v>42526</v>
      </c>
      <c r="J1619" s="5">
        <v>42380</v>
      </c>
      <c r="K1619" s="16">
        <f t="shared" si="174"/>
        <v>585</v>
      </c>
      <c r="L1619" s="13">
        <v>881.77</v>
      </c>
      <c r="M1619" s="15">
        <f t="shared" si="172"/>
        <v>39.960650545481563</v>
      </c>
      <c r="N1619" s="13">
        <v>881.77</v>
      </c>
      <c r="O1619" s="13">
        <v>0</v>
      </c>
      <c r="P1619" s="11">
        <f t="shared" si="171"/>
        <v>1</v>
      </c>
    </row>
    <row r="1620" spans="1:16" ht="18.75" customHeight="1" thickBot="1" x14ac:dyDescent="0.3">
      <c r="A1620" s="3" t="s">
        <v>11</v>
      </c>
      <c r="B1620" s="4">
        <v>772422</v>
      </c>
      <c r="C1620" s="3" t="s">
        <v>9</v>
      </c>
      <c r="D1620" s="18">
        <v>0.1</v>
      </c>
      <c r="E1620" s="21">
        <f t="shared" si="170"/>
        <v>7.9741404289037643E-3</v>
      </c>
      <c r="F1620" s="5">
        <v>41802</v>
      </c>
      <c r="G1620" s="5">
        <v>42350</v>
      </c>
      <c r="H1620" s="16">
        <f t="shared" si="173"/>
        <v>548</v>
      </c>
      <c r="I1620" s="5">
        <v>42350</v>
      </c>
      <c r="J1620" s="5">
        <v>42090</v>
      </c>
      <c r="K1620" s="16">
        <f t="shared" si="174"/>
        <v>288</v>
      </c>
      <c r="L1620" s="13">
        <v>1693.5</v>
      </c>
      <c r="M1620" s="15">
        <f t="shared" si="172"/>
        <v>99.99432110307913</v>
      </c>
      <c r="N1620" s="13">
        <v>1693.5</v>
      </c>
      <c r="O1620" s="13">
        <v>0</v>
      </c>
      <c r="P1620" s="11">
        <f t="shared" si="171"/>
        <v>1</v>
      </c>
    </row>
    <row r="1621" spans="1:16" ht="18.75" customHeight="1" thickBot="1" x14ac:dyDescent="0.3">
      <c r="A1621" s="3" t="s">
        <v>11</v>
      </c>
      <c r="B1621" s="4">
        <v>970751</v>
      </c>
      <c r="C1621" s="3" t="s">
        <v>9</v>
      </c>
      <c r="D1621" s="18">
        <v>0.12</v>
      </c>
      <c r="E1621" s="21">
        <f t="shared" si="170"/>
        <v>9.4887929345830457E-3</v>
      </c>
      <c r="F1621" s="5">
        <v>41807</v>
      </c>
      <c r="G1621" s="5">
        <v>43633</v>
      </c>
      <c r="H1621" s="16">
        <f t="shared" si="173"/>
        <v>1826</v>
      </c>
      <c r="I1621" s="5">
        <v>43633</v>
      </c>
      <c r="J1621" s="5">
        <v>42311</v>
      </c>
      <c r="K1621" s="16">
        <f t="shared" si="174"/>
        <v>504</v>
      </c>
      <c r="L1621" s="13">
        <v>4517.28</v>
      </c>
      <c r="M1621" s="15">
        <f t="shared" si="172"/>
        <v>98.041359326820583</v>
      </c>
      <c r="N1621" s="13">
        <v>4517.28</v>
      </c>
      <c r="O1621" s="13">
        <v>0</v>
      </c>
      <c r="P1621" s="11">
        <f t="shared" si="171"/>
        <v>1</v>
      </c>
    </row>
    <row r="1622" spans="1:16" ht="18.75" customHeight="1" thickBot="1" x14ac:dyDescent="0.3">
      <c r="A1622" s="3" t="s">
        <v>11</v>
      </c>
      <c r="B1622" s="4">
        <v>849306</v>
      </c>
      <c r="C1622" s="3" t="s">
        <v>9</v>
      </c>
      <c r="D1622" s="18">
        <v>0.1</v>
      </c>
      <c r="E1622" s="21">
        <f t="shared" si="170"/>
        <v>7.9741404289037643E-3</v>
      </c>
      <c r="F1622" s="5">
        <v>41809</v>
      </c>
      <c r="G1622" s="5">
        <v>43270</v>
      </c>
      <c r="H1622" s="16">
        <f t="shared" si="173"/>
        <v>1461</v>
      </c>
      <c r="I1622" s="5">
        <v>43270</v>
      </c>
      <c r="J1622" s="5">
        <v>43410</v>
      </c>
      <c r="K1622" s="16">
        <f t="shared" si="174"/>
        <v>1601</v>
      </c>
      <c r="L1622" s="13">
        <v>4670.68</v>
      </c>
      <c r="M1622" s="15">
        <f t="shared" si="172"/>
        <v>116.10893647317967</v>
      </c>
      <c r="N1622" s="13">
        <v>4540</v>
      </c>
      <c r="O1622" s="13">
        <v>0</v>
      </c>
      <c r="P1622" s="11">
        <f t="shared" si="171"/>
        <v>1</v>
      </c>
    </row>
    <row r="1623" spans="1:16" ht="18.75" customHeight="1" thickBot="1" x14ac:dyDescent="0.3">
      <c r="A1623" s="3" t="s">
        <v>11</v>
      </c>
      <c r="B1623" s="4">
        <v>68496</v>
      </c>
      <c r="C1623" s="3" t="s">
        <v>9</v>
      </c>
      <c r="D1623" s="18">
        <v>0.12</v>
      </c>
      <c r="E1623" s="21">
        <f t="shared" si="170"/>
        <v>9.4887929345830457E-3</v>
      </c>
      <c r="F1623" s="5">
        <v>41813</v>
      </c>
      <c r="G1623" s="5">
        <v>43274</v>
      </c>
      <c r="H1623" s="16">
        <f t="shared" si="173"/>
        <v>1461</v>
      </c>
      <c r="I1623" s="5">
        <v>43274</v>
      </c>
      <c r="J1623" s="5">
        <v>41918</v>
      </c>
      <c r="K1623" s="16">
        <f t="shared" si="174"/>
        <v>105</v>
      </c>
      <c r="L1623" s="13">
        <v>9688.19</v>
      </c>
      <c r="M1623" s="15">
        <f t="shared" si="172"/>
        <v>249.35412448017357</v>
      </c>
      <c r="N1623" s="13">
        <v>9688.19</v>
      </c>
      <c r="O1623" s="13">
        <v>45.13</v>
      </c>
      <c r="P1623" s="11">
        <f t="shared" si="171"/>
        <v>1</v>
      </c>
    </row>
    <row r="1624" spans="1:16" ht="18.75" customHeight="1" thickBot="1" x14ac:dyDescent="0.3">
      <c r="A1624" s="3" t="s">
        <v>11</v>
      </c>
      <c r="B1624" s="4">
        <v>272262</v>
      </c>
      <c r="C1624" s="3" t="s">
        <v>9</v>
      </c>
      <c r="D1624" s="18">
        <v>0.1</v>
      </c>
      <c r="E1624" s="21">
        <f t="shared" si="170"/>
        <v>7.9741404289037643E-3</v>
      </c>
      <c r="F1624" s="5">
        <v>41813</v>
      </c>
      <c r="G1624" s="5">
        <v>42178</v>
      </c>
      <c r="H1624" s="16">
        <f t="shared" si="173"/>
        <v>365</v>
      </c>
      <c r="I1624" s="5">
        <v>42178</v>
      </c>
      <c r="J1624" s="5">
        <v>41988</v>
      </c>
      <c r="K1624" s="16">
        <f t="shared" si="174"/>
        <v>175</v>
      </c>
      <c r="L1624" s="13">
        <v>2144.66</v>
      </c>
      <c r="M1624" s="15">
        <f t="shared" si="172"/>
        <v>185.66391541397095</v>
      </c>
      <c r="N1624" s="13">
        <v>2144.66</v>
      </c>
      <c r="O1624" s="13">
        <v>0</v>
      </c>
      <c r="P1624" s="11">
        <f t="shared" si="171"/>
        <v>1</v>
      </c>
    </row>
    <row r="1625" spans="1:16" ht="18.75" customHeight="1" thickBot="1" x14ac:dyDescent="0.3">
      <c r="A1625" s="3" t="s">
        <v>11</v>
      </c>
      <c r="B1625" s="4">
        <v>992167</v>
      </c>
      <c r="C1625" s="3" t="s">
        <v>9</v>
      </c>
      <c r="D1625" s="18">
        <v>0.09</v>
      </c>
      <c r="E1625" s="21">
        <f t="shared" si="170"/>
        <v>7.2073233161367156E-3</v>
      </c>
      <c r="F1625" s="5">
        <v>41815</v>
      </c>
      <c r="G1625" s="5">
        <v>42576</v>
      </c>
      <c r="H1625" s="16">
        <f t="shared" si="173"/>
        <v>761</v>
      </c>
      <c r="I1625" s="5">
        <v>42576</v>
      </c>
      <c r="J1625" s="5">
        <v>42321</v>
      </c>
      <c r="K1625" s="16">
        <f t="shared" si="174"/>
        <v>506</v>
      </c>
      <c r="L1625" s="13">
        <v>1188.72</v>
      </c>
      <c r="M1625" s="15">
        <f t="shared" si="172"/>
        <v>51.443903374063339</v>
      </c>
      <c r="N1625" s="13">
        <v>1188.72</v>
      </c>
      <c r="O1625" s="13">
        <v>1045.6199999999999</v>
      </c>
      <c r="P1625" s="11">
        <f t="shared" si="171"/>
        <v>1</v>
      </c>
    </row>
    <row r="1626" spans="1:16" ht="18.75" customHeight="1" thickBot="1" x14ac:dyDescent="0.3">
      <c r="A1626" s="3" t="s">
        <v>11</v>
      </c>
      <c r="B1626" s="4">
        <v>241252</v>
      </c>
      <c r="C1626" s="3" t="s">
        <v>9</v>
      </c>
      <c r="D1626" s="18">
        <v>0.1</v>
      </c>
      <c r="E1626" s="21">
        <f t="shared" si="170"/>
        <v>7.9741404289037643E-3</v>
      </c>
      <c r="F1626" s="5">
        <v>41813</v>
      </c>
      <c r="G1626" s="5">
        <v>44370</v>
      </c>
      <c r="H1626" s="16">
        <f t="shared" si="173"/>
        <v>2557</v>
      </c>
      <c r="I1626" s="5">
        <v>44370</v>
      </c>
      <c r="J1626" s="5">
        <v>42040</v>
      </c>
      <c r="K1626" s="16">
        <f t="shared" si="174"/>
        <v>227</v>
      </c>
      <c r="L1626" s="13">
        <v>8335.23</v>
      </c>
      <c r="M1626" s="15">
        <f t="shared" si="172"/>
        <v>135.13691003103926</v>
      </c>
      <c r="N1626" s="13">
        <v>8335.23</v>
      </c>
      <c r="O1626" s="13">
        <v>0</v>
      </c>
      <c r="P1626" s="11">
        <f t="shared" si="171"/>
        <v>1</v>
      </c>
    </row>
    <row r="1627" spans="1:16" ht="18.75" customHeight="1" thickBot="1" x14ac:dyDescent="0.3">
      <c r="A1627" s="3" t="s">
        <v>11</v>
      </c>
      <c r="B1627" s="4">
        <v>769559</v>
      </c>
      <c r="C1627" s="3" t="s">
        <v>9</v>
      </c>
      <c r="D1627" s="18">
        <v>0.14000000000000001</v>
      </c>
      <c r="E1627" s="21">
        <f t="shared" si="170"/>
        <v>1.0978851950173452E-2</v>
      </c>
      <c r="F1627" s="5">
        <v>41816</v>
      </c>
      <c r="G1627" s="5">
        <v>41999</v>
      </c>
      <c r="H1627" s="16">
        <f t="shared" si="173"/>
        <v>183</v>
      </c>
      <c r="I1627" s="5">
        <v>41999</v>
      </c>
      <c r="J1627" s="5">
        <v>41922</v>
      </c>
      <c r="K1627" s="16">
        <f t="shared" si="174"/>
        <v>106</v>
      </c>
      <c r="L1627" s="13">
        <v>986.07</v>
      </c>
      <c r="M1627" s="15">
        <f t="shared" si="172"/>
        <v>168.00961812327424</v>
      </c>
      <c r="N1627" s="13">
        <v>986.07</v>
      </c>
      <c r="O1627" s="13">
        <v>0</v>
      </c>
      <c r="P1627" s="11">
        <f t="shared" si="171"/>
        <v>0</v>
      </c>
    </row>
    <row r="1628" spans="1:16" ht="18.75" customHeight="1" thickBot="1" x14ac:dyDescent="0.3">
      <c r="A1628" s="3" t="s">
        <v>11</v>
      </c>
      <c r="B1628" s="4">
        <v>64016</v>
      </c>
      <c r="C1628" s="3" t="s">
        <v>9</v>
      </c>
      <c r="D1628" s="18">
        <v>0.1</v>
      </c>
      <c r="E1628" s="21">
        <f t="shared" si="170"/>
        <v>7.9741404289037643E-3</v>
      </c>
      <c r="F1628" s="5">
        <v>41816</v>
      </c>
      <c r="G1628" s="5">
        <v>43910</v>
      </c>
      <c r="H1628" s="16">
        <f t="shared" si="173"/>
        <v>2094</v>
      </c>
      <c r="I1628" s="5">
        <v>43910</v>
      </c>
      <c r="J1628" s="5">
        <v>42795</v>
      </c>
      <c r="K1628" s="16">
        <f t="shared" si="174"/>
        <v>979</v>
      </c>
      <c r="L1628" s="13">
        <v>4951.24</v>
      </c>
      <c r="M1628" s="15">
        <f t="shared" si="172"/>
        <v>92.772805597411519</v>
      </c>
      <c r="N1628" s="13">
        <v>4951.24</v>
      </c>
      <c r="O1628" s="13">
        <v>0</v>
      </c>
      <c r="P1628" s="11">
        <f t="shared" si="171"/>
        <v>1</v>
      </c>
    </row>
    <row r="1629" spans="1:16" ht="18.75" customHeight="1" thickBot="1" x14ac:dyDescent="0.3">
      <c r="A1629" s="3" t="s">
        <v>11</v>
      </c>
      <c r="B1629" s="4">
        <v>161489</v>
      </c>
      <c r="C1629" s="3" t="s">
        <v>9</v>
      </c>
      <c r="D1629" s="18">
        <v>0.1</v>
      </c>
      <c r="E1629" s="21">
        <f t="shared" si="170"/>
        <v>7.9741404289037643E-3</v>
      </c>
      <c r="F1629" s="5">
        <v>41821</v>
      </c>
      <c r="G1629" s="5">
        <v>43647</v>
      </c>
      <c r="H1629" s="16">
        <f t="shared" si="173"/>
        <v>1826</v>
      </c>
      <c r="I1629" s="5">
        <v>43647</v>
      </c>
      <c r="J1629" s="5">
        <v>42403</v>
      </c>
      <c r="K1629" s="16">
        <f t="shared" si="174"/>
        <v>582</v>
      </c>
      <c r="L1629" s="13">
        <v>7699.43</v>
      </c>
      <c r="M1629" s="15">
        <f t="shared" si="172"/>
        <v>160.16235489200611</v>
      </c>
      <c r="N1629" s="13">
        <v>7699.43</v>
      </c>
      <c r="O1629" s="13">
        <v>0</v>
      </c>
      <c r="P1629" s="11">
        <f t="shared" si="171"/>
        <v>1</v>
      </c>
    </row>
    <row r="1630" spans="1:16" ht="18.75" customHeight="1" thickBot="1" x14ac:dyDescent="0.3">
      <c r="A1630" s="3" t="s">
        <v>11</v>
      </c>
      <c r="B1630" s="4">
        <v>772241</v>
      </c>
      <c r="C1630" s="3" t="s">
        <v>9</v>
      </c>
      <c r="D1630" s="18">
        <v>0.09</v>
      </c>
      <c r="E1630" s="21">
        <f t="shared" si="170"/>
        <v>7.2073233161367156E-3</v>
      </c>
      <c r="F1630" s="5">
        <v>41823</v>
      </c>
      <c r="G1630" s="5">
        <v>44745</v>
      </c>
      <c r="H1630" s="16">
        <f t="shared" si="173"/>
        <v>2922</v>
      </c>
      <c r="I1630" s="5">
        <v>46724</v>
      </c>
      <c r="J1630" s="5">
        <v>45467</v>
      </c>
      <c r="K1630" s="16">
        <f t="shared" si="174"/>
        <v>3644</v>
      </c>
      <c r="L1630" s="13">
        <v>69664.289999999994</v>
      </c>
      <c r="M1630" s="15">
        <f t="shared" si="172"/>
        <v>997.89095663770127</v>
      </c>
      <c r="N1630" s="13">
        <v>37845</v>
      </c>
      <c r="O1630" s="13">
        <v>0</v>
      </c>
      <c r="P1630" s="11">
        <f t="shared" si="171"/>
        <v>1</v>
      </c>
    </row>
    <row r="1631" spans="1:16" ht="18.75" customHeight="1" thickBot="1" x14ac:dyDescent="0.3">
      <c r="A1631" s="3" t="s">
        <v>11</v>
      </c>
      <c r="B1631" s="4">
        <v>764285</v>
      </c>
      <c r="C1631" s="3" t="s">
        <v>9</v>
      </c>
      <c r="D1631" s="18">
        <v>0.14000000000000001</v>
      </c>
      <c r="E1631" s="21">
        <f t="shared" si="170"/>
        <v>1.0978851950173452E-2</v>
      </c>
      <c r="F1631" s="5">
        <v>41827</v>
      </c>
      <c r="G1631" s="5">
        <v>43653</v>
      </c>
      <c r="H1631" s="16">
        <f t="shared" si="173"/>
        <v>1826</v>
      </c>
      <c r="I1631" s="5">
        <v>43653</v>
      </c>
      <c r="J1631" s="5">
        <v>42279</v>
      </c>
      <c r="K1631" s="16">
        <f t="shared" si="174"/>
        <v>452</v>
      </c>
      <c r="L1631" s="13">
        <v>3737.61</v>
      </c>
      <c r="M1631" s="15">
        <f t="shared" si="172"/>
        <v>84.516418936979264</v>
      </c>
      <c r="N1631" s="13">
        <v>3737.61</v>
      </c>
      <c r="O1631" s="13">
        <v>0</v>
      </c>
      <c r="P1631" s="11">
        <f t="shared" si="171"/>
        <v>1</v>
      </c>
    </row>
    <row r="1632" spans="1:16" ht="18.75" customHeight="1" thickBot="1" x14ac:dyDescent="0.3">
      <c r="A1632" s="3" t="s">
        <v>11</v>
      </c>
      <c r="B1632" s="4">
        <v>352076</v>
      </c>
      <c r="C1632" s="3" t="s">
        <v>9</v>
      </c>
      <c r="D1632" s="18">
        <v>0.1</v>
      </c>
      <c r="E1632" s="21">
        <f t="shared" si="170"/>
        <v>7.9741404289037643E-3</v>
      </c>
      <c r="F1632" s="5">
        <v>41831</v>
      </c>
      <c r="G1632" s="5">
        <v>43323</v>
      </c>
      <c r="H1632" s="16">
        <f t="shared" si="173"/>
        <v>1492</v>
      </c>
      <c r="I1632" s="5">
        <v>43323</v>
      </c>
      <c r="J1632" s="5">
        <v>43553</v>
      </c>
      <c r="K1632" s="16">
        <f t="shared" si="174"/>
        <v>1722</v>
      </c>
      <c r="L1632" s="13">
        <v>3064.22</v>
      </c>
      <c r="M1632" s="15">
        <f t="shared" si="172"/>
        <v>74.87782798927735</v>
      </c>
      <c r="N1632" s="13">
        <v>2889.57</v>
      </c>
      <c r="O1632" s="13">
        <v>0</v>
      </c>
      <c r="P1632" s="11">
        <f t="shared" si="171"/>
        <v>1</v>
      </c>
    </row>
    <row r="1633" spans="1:16" ht="18.75" customHeight="1" thickBot="1" x14ac:dyDescent="0.3">
      <c r="A1633" s="3" t="s">
        <v>11</v>
      </c>
      <c r="B1633" s="4">
        <v>484805</v>
      </c>
      <c r="C1633" s="3" t="s">
        <v>9</v>
      </c>
      <c r="D1633" s="18">
        <v>0.1</v>
      </c>
      <c r="E1633" s="21">
        <f t="shared" si="170"/>
        <v>7.9741404289037643E-3</v>
      </c>
      <c r="F1633" s="5">
        <v>41828</v>
      </c>
      <c r="G1633" s="5">
        <v>43654</v>
      </c>
      <c r="H1633" s="16">
        <f t="shared" si="173"/>
        <v>1826</v>
      </c>
      <c r="I1633" s="5">
        <v>43654</v>
      </c>
      <c r="J1633" s="5">
        <v>43172</v>
      </c>
      <c r="K1633" s="16">
        <f t="shared" si="174"/>
        <v>1344</v>
      </c>
      <c r="L1633" s="13">
        <v>5435.24</v>
      </c>
      <c r="M1633" s="15">
        <f t="shared" si="172"/>
        <v>113.06302386062698</v>
      </c>
      <c r="N1633" s="13">
        <v>5435.24</v>
      </c>
      <c r="O1633" s="13">
        <v>0</v>
      </c>
      <c r="P1633" s="11">
        <f t="shared" si="171"/>
        <v>1</v>
      </c>
    </row>
    <row r="1634" spans="1:16" ht="18.75" customHeight="1" thickBot="1" x14ac:dyDescent="0.3">
      <c r="A1634" s="3" t="s">
        <v>11</v>
      </c>
      <c r="B1634" s="4">
        <v>957256</v>
      </c>
      <c r="C1634" s="3" t="s">
        <v>9</v>
      </c>
      <c r="D1634" s="18">
        <v>0.1</v>
      </c>
      <c r="E1634" s="21">
        <f t="shared" si="170"/>
        <v>7.9741404289037643E-3</v>
      </c>
      <c r="F1634" s="5">
        <v>41828</v>
      </c>
      <c r="G1634" s="5">
        <v>43654</v>
      </c>
      <c r="H1634" s="16">
        <f t="shared" si="173"/>
        <v>1826</v>
      </c>
      <c r="I1634" s="5">
        <v>43654</v>
      </c>
      <c r="J1634" s="5">
        <v>42516</v>
      </c>
      <c r="K1634" s="16">
        <f t="shared" si="174"/>
        <v>688</v>
      </c>
      <c r="L1634" s="13">
        <v>8821</v>
      </c>
      <c r="M1634" s="15">
        <f t="shared" si="172"/>
        <v>183.49308098162928</v>
      </c>
      <c r="N1634" s="13">
        <v>8821</v>
      </c>
      <c r="O1634" s="13">
        <v>0</v>
      </c>
      <c r="P1634" s="11">
        <f t="shared" si="171"/>
        <v>1</v>
      </c>
    </row>
    <row r="1635" spans="1:16" ht="18.75" customHeight="1" thickBot="1" x14ac:dyDescent="0.3">
      <c r="A1635" s="3" t="s">
        <v>11</v>
      </c>
      <c r="B1635" s="4">
        <v>290713</v>
      </c>
      <c r="C1635" s="3" t="s">
        <v>9</v>
      </c>
      <c r="D1635" s="18">
        <v>0.14000000000000001</v>
      </c>
      <c r="E1635" s="21">
        <f t="shared" si="170"/>
        <v>1.0978851950173452E-2</v>
      </c>
      <c r="F1635" s="5">
        <v>41831</v>
      </c>
      <c r="G1635" s="5">
        <v>43292</v>
      </c>
      <c r="H1635" s="16">
        <f t="shared" si="173"/>
        <v>1461</v>
      </c>
      <c r="I1635" s="5">
        <v>43292</v>
      </c>
      <c r="J1635" s="5">
        <v>44473</v>
      </c>
      <c r="K1635" s="16">
        <f t="shared" si="174"/>
        <v>2642</v>
      </c>
      <c r="L1635" s="13">
        <v>6209.54</v>
      </c>
      <c r="M1635" s="15">
        <f t="shared" si="172"/>
        <v>165.29826350721609</v>
      </c>
      <c r="N1635" s="13">
        <v>6209.54</v>
      </c>
      <c r="O1635" s="13">
        <v>2800</v>
      </c>
      <c r="P1635" s="11">
        <f t="shared" si="171"/>
        <v>1</v>
      </c>
    </row>
    <row r="1636" spans="1:16" ht="18.75" customHeight="1" thickBot="1" x14ac:dyDescent="0.3">
      <c r="A1636" s="3" t="s">
        <v>11</v>
      </c>
      <c r="B1636" s="4">
        <v>500022</v>
      </c>
      <c r="C1636" s="3" t="s">
        <v>9</v>
      </c>
      <c r="D1636" s="18">
        <v>0.14000000000000001</v>
      </c>
      <c r="E1636" s="21">
        <f t="shared" si="170"/>
        <v>1.0978851950173452E-2</v>
      </c>
      <c r="F1636" s="5">
        <v>41838</v>
      </c>
      <c r="G1636" s="5">
        <v>43713</v>
      </c>
      <c r="H1636" s="16">
        <f t="shared" si="173"/>
        <v>1875</v>
      </c>
      <c r="I1636" s="5">
        <v>43713</v>
      </c>
      <c r="J1636" s="5">
        <v>42585</v>
      </c>
      <c r="K1636" s="16">
        <f t="shared" si="174"/>
        <v>747</v>
      </c>
      <c r="L1636" s="13">
        <v>16925.84</v>
      </c>
      <c r="M1636" s="15">
        <f t="shared" si="172"/>
        <v>375.69728474422465</v>
      </c>
      <c r="N1636" s="13">
        <v>16925.84</v>
      </c>
      <c r="O1636" s="13">
        <v>0</v>
      </c>
      <c r="P1636" s="11">
        <f t="shared" si="171"/>
        <v>1</v>
      </c>
    </row>
    <row r="1637" spans="1:16" ht="18.75" customHeight="1" thickBot="1" x14ac:dyDescent="0.3">
      <c r="A1637" s="3" t="s">
        <v>11</v>
      </c>
      <c r="B1637" s="4">
        <v>193730</v>
      </c>
      <c r="C1637" s="3" t="s">
        <v>9</v>
      </c>
      <c r="D1637" s="18">
        <v>0.1</v>
      </c>
      <c r="E1637" s="21">
        <f t="shared" si="170"/>
        <v>7.9741404289037643E-3</v>
      </c>
      <c r="F1637" s="5">
        <v>41841</v>
      </c>
      <c r="G1637" s="5">
        <v>44460</v>
      </c>
      <c r="H1637" s="16">
        <f t="shared" si="173"/>
        <v>2619</v>
      </c>
      <c r="I1637" s="5">
        <v>44460</v>
      </c>
      <c r="J1637" s="5">
        <v>42800</v>
      </c>
      <c r="K1637" s="16">
        <f t="shared" si="174"/>
        <v>959</v>
      </c>
      <c r="L1637" s="13">
        <v>11701.54</v>
      </c>
      <c r="M1637" s="15">
        <f t="shared" si="172"/>
        <v>186.57572235858478</v>
      </c>
      <c r="N1637" s="13">
        <v>11701.54</v>
      </c>
      <c r="O1637" s="13">
        <v>11701.54</v>
      </c>
      <c r="P1637" s="11">
        <f t="shared" si="171"/>
        <v>1</v>
      </c>
    </row>
    <row r="1638" spans="1:16" ht="18.75" customHeight="1" thickBot="1" x14ac:dyDescent="0.3">
      <c r="A1638" s="3" t="s">
        <v>11</v>
      </c>
      <c r="B1638" s="4">
        <v>971024</v>
      </c>
      <c r="C1638" s="3" t="s">
        <v>9</v>
      </c>
      <c r="D1638" s="18">
        <v>0.1</v>
      </c>
      <c r="E1638" s="21">
        <f t="shared" si="170"/>
        <v>7.9741404289037643E-3</v>
      </c>
      <c r="F1638" s="5">
        <v>41849</v>
      </c>
      <c r="G1638" s="5">
        <v>44055</v>
      </c>
      <c r="H1638" s="16">
        <f t="shared" si="173"/>
        <v>2206</v>
      </c>
      <c r="I1638" s="5">
        <v>44055</v>
      </c>
      <c r="J1638" s="5">
        <v>42528</v>
      </c>
      <c r="K1638" s="16">
        <f t="shared" si="174"/>
        <v>679</v>
      </c>
      <c r="L1638" s="13">
        <v>2071.4499999999998</v>
      </c>
      <c r="M1638" s="15">
        <f t="shared" si="172"/>
        <v>37.340800687731168</v>
      </c>
      <c r="N1638" s="13">
        <v>2071.4499999999998</v>
      </c>
      <c r="O1638" s="13">
        <v>0</v>
      </c>
      <c r="P1638" s="11">
        <f t="shared" si="171"/>
        <v>1</v>
      </c>
    </row>
    <row r="1639" spans="1:16" ht="18.75" customHeight="1" thickBot="1" x14ac:dyDescent="0.3">
      <c r="A1639" s="3" t="s">
        <v>11</v>
      </c>
      <c r="B1639" s="4">
        <v>253728</v>
      </c>
      <c r="C1639" s="3" t="s">
        <v>9</v>
      </c>
      <c r="D1639" s="18">
        <v>0.1</v>
      </c>
      <c r="E1639" s="21">
        <f t="shared" ref="E1639:E1698" si="175">(1+D1639)^(1/12)-1</f>
        <v>7.9741404289037643E-3</v>
      </c>
      <c r="F1639" s="5">
        <v>41855</v>
      </c>
      <c r="G1639" s="5">
        <v>42220</v>
      </c>
      <c r="H1639" s="16">
        <f t="shared" si="173"/>
        <v>365</v>
      </c>
      <c r="I1639" s="5">
        <v>42220</v>
      </c>
      <c r="J1639" s="5">
        <v>42207</v>
      </c>
      <c r="K1639" s="16">
        <f t="shared" si="174"/>
        <v>352</v>
      </c>
      <c r="L1639" s="13">
        <v>1091.1300000000001</v>
      </c>
      <c r="M1639" s="15">
        <f t="shared" si="172"/>
        <v>94.45947983626597</v>
      </c>
      <c r="N1639" s="13">
        <v>1091.1300000000001</v>
      </c>
      <c r="O1639" s="13">
        <v>0</v>
      </c>
      <c r="P1639" s="11">
        <f t="shared" ref="P1639:P1698" si="176">IF((G1639)&gt;(ConstantDateCutoff),1,0)</f>
        <v>1</v>
      </c>
    </row>
    <row r="1640" spans="1:16" ht="18.75" customHeight="1" thickBot="1" x14ac:dyDescent="0.3">
      <c r="A1640" s="3" t="s">
        <v>11</v>
      </c>
      <c r="B1640" s="4">
        <v>261210</v>
      </c>
      <c r="C1640" s="3" t="s">
        <v>9</v>
      </c>
      <c r="D1640" s="18">
        <v>0.12</v>
      </c>
      <c r="E1640" s="21">
        <f t="shared" si="175"/>
        <v>9.4887929345830457E-3</v>
      </c>
      <c r="F1640" s="5">
        <v>41858</v>
      </c>
      <c r="G1640" s="5">
        <v>42223</v>
      </c>
      <c r="H1640" s="16">
        <f t="shared" si="173"/>
        <v>365</v>
      </c>
      <c r="I1640" s="5">
        <v>42223</v>
      </c>
      <c r="J1640" s="5">
        <v>41992</v>
      </c>
      <c r="K1640" s="16">
        <f t="shared" si="174"/>
        <v>134</v>
      </c>
      <c r="L1640" s="13">
        <v>1159.3599999999999</v>
      </c>
      <c r="M1640" s="15">
        <f t="shared" si="172"/>
        <v>101.34702096895278</v>
      </c>
      <c r="N1640" s="13">
        <v>1159.3599999999999</v>
      </c>
      <c r="O1640" s="13">
        <v>0</v>
      </c>
      <c r="P1640" s="11">
        <f t="shared" si="176"/>
        <v>1</v>
      </c>
    </row>
    <row r="1641" spans="1:16" ht="18.75" customHeight="1" thickBot="1" x14ac:dyDescent="0.3">
      <c r="A1641" s="3" t="s">
        <v>11</v>
      </c>
      <c r="B1641" s="4">
        <v>883963</v>
      </c>
      <c r="C1641" s="3" t="s">
        <v>9</v>
      </c>
      <c r="D1641" s="18">
        <v>0.1</v>
      </c>
      <c r="E1641" s="21">
        <f t="shared" si="175"/>
        <v>7.9741404289037643E-3</v>
      </c>
      <c r="F1641" s="5">
        <v>41859</v>
      </c>
      <c r="G1641" s="5">
        <v>42285</v>
      </c>
      <c r="H1641" s="16">
        <f t="shared" si="173"/>
        <v>426</v>
      </c>
      <c r="I1641" s="5">
        <v>42285</v>
      </c>
      <c r="J1641" s="5">
        <v>42563</v>
      </c>
      <c r="K1641" s="16">
        <f t="shared" si="174"/>
        <v>704</v>
      </c>
      <c r="L1641" s="13">
        <v>343.98</v>
      </c>
      <c r="M1641" s="15">
        <f t="shared" si="172"/>
        <v>25.717645281983994</v>
      </c>
      <c r="N1641" s="13">
        <v>343.98</v>
      </c>
      <c r="O1641" s="13">
        <v>0</v>
      </c>
      <c r="P1641" s="11">
        <f t="shared" si="176"/>
        <v>1</v>
      </c>
    </row>
    <row r="1642" spans="1:16" ht="18.75" customHeight="1" thickBot="1" x14ac:dyDescent="0.3">
      <c r="A1642" s="3" t="s">
        <v>11</v>
      </c>
      <c r="B1642" s="4">
        <v>836464</v>
      </c>
      <c r="C1642" s="3" t="s">
        <v>9</v>
      </c>
      <c r="D1642" s="18">
        <v>0.1</v>
      </c>
      <c r="E1642" s="21">
        <f t="shared" si="175"/>
        <v>7.9741404289037643E-3</v>
      </c>
      <c r="F1642" s="5">
        <v>41863</v>
      </c>
      <c r="G1642" s="5">
        <v>42228</v>
      </c>
      <c r="H1642" s="16">
        <f t="shared" si="173"/>
        <v>365</v>
      </c>
      <c r="I1642" s="5">
        <v>42228</v>
      </c>
      <c r="J1642" s="5">
        <v>42949</v>
      </c>
      <c r="K1642" s="16">
        <f t="shared" si="174"/>
        <v>1086</v>
      </c>
      <c r="L1642" s="13">
        <v>292.91000000000003</v>
      </c>
      <c r="M1642" s="15">
        <f t="shared" si="172"/>
        <v>25.357314196145889</v>
      </c>
      <c r="N1642" s="13">
        <v>292.91000000000003</v>
      </c>
      <c r="O1642" s="13">
        <v>0</v>
      </c>
      <c r="P1642" s="11">
        <f t="shared" si="176"/>
        <v>1</v>
      </c>
    </row>
    <row r="1643" spans="1:16" ht="18.75" customHeight="1" thickBot="1" x14ac:dyDescent="0.3">
      <c r="A1643" s="3" t="s">
        <v>11</v>
      </c>
      <c r="B1643" s="4">
        <v>406464</v>
      </c>
      <c r="C1643" s="3" t="s">
        <v>9</v>
      </c>
      <c r="D1643" s="18">
        <v>0.1</v>
      </c>
      <c r="E1643" s="21">
        <f t="shared" si="175"/>
        <v>7.9741404289037643E-3</v>
      </c>
      <c r="F1643" s="5">
        <v>41864</v>
      </c>
      <c r="G1643" s="5">
        <v>42595</v>
      </c>
      <c r="H1643" s="16">
        <f t="shared" si="173"/>
        <v>731</v>
      </c>
      <c r="I1643" s="5">
        <v>42595</v>
      </c>
      <c r="J1643" s="5">
        <v>42352</v>
      </c>
      <c r="K1643" s="16">
        <f t="shared" si="174"/>
        <v>488</v>
      </c>
      <c r="L1643" s="13">
        <v>5450.82</v>
      </c>
      <c r="M1643" s="15">
        <f t="shared" si="172"/>
        <v>247.02395546040555</v>
      </c>
      <c r="N1643" s="13">
        <v>5450.82</v>
      </c>
      <c r="O1643" s="13">
        <v>0</v>
      </c>
      <c r="P1643" s="11">
        <f t="shared" si="176"/>
        <v>1</v>
      </c>
    </row>
    <row r="1644" spans="1:16" ht="18.75" customHeight="1" thickBot="1" x14ac:dyDescent="0.3">
      <c r="A1644" s="3" t="s">
        <v>11</v>
      </c>
      <c r="B1644" s="4">
        <v>840260</v>
      </c>
      <c r="C1644" s="3" t="s">
        <v>2</v>
      </c>
      <c r="D1644" s="18">
        <v>0.08</v>
      </c>
      <c r="E1644" s="21">
        <f t="shared" si="175"/>
        <v>6.4340301100034303E-3</v>
      </c>
      <c r="F1644" s="5">
        <v>41865</v>
      </c>
      <c r="G1644" s="5">
        <v>43691</v>
      </c>
      <c r="H1644" s="16">
        <f t="shared" si="173"/>
        <v>1826</v>
      </c>
      <c r="I1644" s="5">
        <v>43691</v>
      </c>
      <c r="J1644" s="5">
        <v>43734</v>
      </c>
      <c r="K1644" s="16">
        <f t="shared" si="174"/>
        <v>1869</v>
      </c>
      <c r="L1644" s="13">
        <v>300000</v>
      </c>
      <c r="M1644" s="15">
        <f t="shared" si="172"/>
        <v>5972.3811146311709</v>
      </c>
      <c r="N1644" s="13">
        <v>72634.3</v>
      </c>
      <c r="O1644" s="13">
        <v>0</v>
      </c>
      <c r="P1644" s="11">
        <f t="shared" si="176"/>
        <v>1</v>
      </c>
    </row>
    <row r="1645" spans="1:16" ht="18.75" customHeight="1" thickBot="1" x14ac:dyDescent="0.3">
      <c r="A1645" s="3" t="s">
        <v>11</v>
      </c>
      <c r="B1645" s="4">
        <v>107406</v>
      </c>
      <c r="C1645" s="3" t="s">
        <v>9</v>
      </c>
      <c r="D1645" s="18">
        <v>0.14000000000000001</v>
      </c>
      <c r="E1645" s="21">
        <f t="shared" si="175"/>
        <v>1.0978851950173452E-2</v>
      </c>
      <c r="F1645" s="5">
        <v>41865</v>
      </c>
      <c r="G1645" s="5">
        <v>42688</v>
      </c>
      <c r="H1645" s="16">
        <f t="shared" si="173"/>
        <v>823</v>
      </c>
      <c r="I1645" s="5">
        <v>42688</v>
      </c>
      <c r="J1645" s="5">
        <v>42410</v>
      </c>
      <c r="K1645" s="16">
        <f t="shared" si="174"/>
        <v>545</v>
      </c>
      <c r="L1645" s="13">
        <v>3747.31</v>
      </c>
      <c r="M1645" s="15">
        <f t="shared" si="172"/>
        <v>158.94145467935951</v>
      </c>
      <c r="N1645" s="13">
        <v>3747.31</v>
      </c>
      <c r="O1645" s="13">
        <v>0</v>
      </c>
      <c r="P1645" s="11">
        <f t="shared" si="176"/>
        <v>1</v>
      </c>
    </row>
    <row r="1646" spans="1:16" ht="18.75" customHeight="1" thickBot="1" x14ac:dyDescent="0.3">
      <c r="A1646" s="3" t="s">
        <v>11</v>
      </c>
      <c r="B1646" s="4">
        <v>40631</v>
      </c>
      <c r="C1646" s="3" t="s">
        <v>9</v>
      </c>
      <c r="D1646" s="18">
        <v>0.1</v>
      </c>
      <c r="E1646" s="21">
        <f t="shared" si="175"/>
        <v>7.9741404289037643E-3</v>
      </c>
      <c r="F1646" s="5">
        <v>41866</v>
      </c>
      <c r="G1646" s="5">
        <v>43692</v>
      </c>
      <c r="H1646" s="16">
        <f t="shared" si="173"/>
        <v>1826</v>
      </c>
      <c r="I1646" s="5">
        <v>43692</v>
      </c>
      <c r="J1646" s="5">
        <v>42299</v>
      </c>
      <c r="K1646" s="16">
        <f t="shared" si="174"/>
        <v>433</v>
      </c>
      <c r="L1646" s="13">
        <v>11083.48</v>
      </c>
      <c r="M1646" s="15">
        <f t="shared" si="172"/>
        <v>230.55684085684936</v>
      </c>
      <c r="N1646" s="13">
        <v>11083.48</v>
      </c>
      <c r="O1646" s="13">
        <v>0</v>
      </c>
      <c r="P1646" s="11">
        <f t="shared" si="176"/>
        <v>1</v>
      </c>
    </row>
    <row r="1647" spans="1:16" ht="18.75" customHeight="1" thickBot="1" x14ac:dyDescent="0.3">
      <c r="A1647" s="3" t="s">
        <v>11</v>
      </c>
      <c r="B1647" s="4">
        <v>372647</v>
      </c>
      <c r="C1647" s="3" t="s">
        <v>9</v>
      </c>
      <c r="D1647" s="18">
        <v>0.1</v>
      </c>
      <c r="E1647" s="21">
        <f t="shared" si="175"/>
        <v>7.9741404289037643E-3</v>
      </c>
      <c r="F1647" s="5">
        <v>41876</v>
      </c>
      <c r="G1647" s="5">
        <v>44068</v>
      </c>
      <c r="H1647" s="16">
        <f t="shared" si="173"/>
        <v>2192</v>
      </c>
      <c r="I1647" s="5">
        <v>44068</v>
      </c>
      <c r="J1647" s="5">
        <v>42535</v>
      </c>
      <c r="K1647" s="16">
        <f t="shared" si="174"/>
        <v>659</v>
      </c>
      <c r="L1647" s="13">
        <v>11762.74</v>
      </c>
      <c r="M1647" s="15">
        <f t="shared" si="172"/>
        <v>213.03719143068002</v>
      </c>
      <c r="N1647" s="13">
        <v>11762.74</v>
      </c>
      <c r="O1647" s="13">
        <v>0</v>
      </c>
      <c r="P1647" s="11">
        <f t="shared" si="176"/>
        <v>1</v>
      </c>
    </row>
    <row r="1648" spans="1:16" ht="18.75" customHeight="1" thickBot="1" x14ac:dyDescent="0.3">
      <c r="A1648" s="3" t="s">
        <v>11</v>
      </c>
      <c r="B1648" s="4">
        <v>249615</v>
      </c>
      <c r="C1648" s="3" t="s">
        <v>9</v>
      </c>
      <c r="D1648" s="18">
        <v>0.1</v>
      </c>
      <c r="E1648" s="21">
        <f t="shared" si="175"/>
        <v>7.9741404289037643E-3</v>
      </c>
      <c r="F1648" s="5">
        <v>41880</v>
      </c>
      <c r="G1648" s="5">
        <v>42976</v>
      </c>
      <c r="H1648" s="16">
        <f t="shared" si="173"/>
        <v>1096</v>
      </c>
      <c r="I1648" s="5">
        <v>42976</v>
      </c>
      <c r="J1648" s="5">
        <v>43066</v>
      </c>
      <c r="K1648" s="16">
        <f t="shared" si="174"/>
        <v>1186</v>
      </c>
      <c r="L1648" s="13">
        <v>4446.5</v>
      </c>
      <c r="M1648" s="15">
        <f t="shared" si="172"/>
        <v>140.78007038554807</v>
      </c>
      <c r="N1648" s="13">
        <v>4446.5</v>
      </c>
      <c r="O1648" s="13">
        <v>0</v>
      </c>
      <c r="P1648" s="11">
        <f t="shared" si="176"/>
        <v>1</v>
      </c>
    </row>
    <row r="1649" spans="1:16" ht="18.75" customHeight="1" thickBot="1" x14ac:dyDescent="0.3">
      <c r="A1649" s="3" t="s">
        <v>11</v>
      </c>
      <c r="B1649" s="4">
        <v>21201</v>
      </c>
      <c r="C1649" s="3" t="s">
        <v>9</v>
      </c>
      <c r="D1649" s="18">
        <v>7.4999999999999997E-2</v>
      </c>
      <c r="E1649" s="21">
        <f t="shared" si="175"/>
        <v>6.0449190242917172E-3</v>
      </c>
      <c r="F1649" s="5">
        <v>41880</v>
      </c>
      <c r="G1649" s="5">
        <v>43463</v>
      </c>
      <c r="H1649" s="16">
        <f t="shared" si="173"/>
        <v>1583</v>
      </c>
      <c r="I1649" s="5">
        <v>43463</v>
      </c>
      <c r="J1649" s="5">
        <v>43098</v>
      </c>
      <c r="K1649" s="16">
        <f t="shared" si="174"/>
        <v>1218</v>
      </c>
      <c r="L1649" s="13">
        <v>36644.660000000003</v>
      </c>
      <c r="M1649" s="15">
        <f t="shared" si="172"/>
        <v>813.18040087151803</v>
      </c>
      <c r="N1649" s="13">
        <v>36644.660000000003</v>
      </c>
      <c r="O1649" s="13">
        <v>0</v>
      </c>
      <c r="P1649" s="11">
        <f t="shared" si="176"/>
        <v>1</v>
      </c>
    </row>
    <row r="1650" spans="1:16" ht="18.75" customHeight="1" thickBot="1" x14ac:dyDescent="0.3">
      <c r="A1650" s="3" t="s">
        <v>11</v>
      </c>
      <c r="B1650" s="4">
        <v>711790</v>
      </c>
      <c r="C1650" s="3" t="s">
        <v>9</v>
      </c>
      <c r="D1650" s="18">
        <v>0.1</v>
      </c>
      <c r="E1650" s="21">
        <f t="shared" si="175"/>
        <v>7.9741404289037643E-3</v>
      </c>
      <c r="F1650" s="5">
        <v>41884</v>
      </c>
      <c r="G1650" s="5">
        <v>44089</v>
      </c>
      <c r="H1650" s="16">
        <f t="shared" si="173"/>
        <v>2205</v>
      </c>
      <c r="I1650" s="5">
        <v>44089</v>
      </c>
      <c r="J1650" s="5">
        <v>41962</v>
      </c>
      <c r="K1650" s="16">
        <f t="shared" si="174"/>
        <v>78</v>
      </c>
      <c r="L1650" s="13">
        <v>19400</v>
      </c>
      <c r="M1650" s="15">
        <f t="shared" si="172"/>
        <v>349.82906466647967</v>
      </c>
      <c r="N1650" s="13">
        <v>19400</v>
      </c>
      <c r="O1650" s="13">
        <v>1000</v>
      </c>
      <c r="P1650" s="11">
        <f t="shared" si="176"/>
        <v>1</v>
      </c>
    </row>
    <row r="1651" spans="1:16" ht="18.75" customHeight="1" thickBot="1" x14ac:dyDescent="0.3">
      <c r="A1651" s="3" t="s">
        <v>11</v>
      </c>
      <c r="B1651" s="4">
        <v>69002</v>
      </c>
      <c r="C1651" s="3" t="s">
        <v>9</v>
      </c>
      <c r="D1651" s="18">
        <v>0.08</v>
      </c>
      <c r="E1651" s="21">
        <f t="shared" si="175"/>
        <v>6.4340301100034303E-3</v>
      </c>
      <c r="F1651" s="5">
        <v>41886</v>
      </c>
      <c r="G1651" s="5">
        <v>42128</v>
      </c>
      <c r="H1651" s="16">
        <f t="shared" si="173"/>
        <v>242</v>
      </c>
      <c r="I1651" s="5">
        <v>42128</v>
      </c>
      <c r="J1651" s="5">
        <v>42163</v>
      </c>
      <c r="K1651" s="16">
        <f t="shared" si="174"/>
        <v>277</v>
      </c>
      <c r="L1651" s="13">
        <v>2500</v>
      </c>
      <c r="M1651" s="15">
        <f t="shared" si="172"/>
        <v>319.02517968524154</v>
      </c>
      <c r="N1651" s="13">
        <v>2500</v>
      </c>
      <c r="O1651" s="13">
        <v>0</v>
      </c>
      <c r="P1651" s="11">
        <f t="shared" si="176"/>
        <v>1</v>
      </c>
    </row>
    <row r="1652" spans="1:16" ht="18.75" customHeight="1" thickBot="1" x14ac:dyDescent="0.3">
      <c r="A1652" s="3" t="s">
        <v>11</v>
      </c>
      <c r="B1652" s="4">
        <v>962189</v>
      </c>
      <c r="C1652" s="3" t="s">
        <v>9</v>
      </c>
      <c r="D1652" s="18">
        <v>0.14000000000000001</v>
      </c>
      <c r="E1652" s="21">
        <f t="shared" si="175"/>
        <v>1.0978851950173452E-2</v>
      </c>
      <c r="F1652" s="5">
        <v>41887</v>
      </c>
      <c r="G1652" s="5">
        <v>43713</v>
      </c>
      <c r="H1652" s="16">
        <f t="shared" si="173"/>
        <v>1826</v>
      </c>
      <c r="I1652" s="5">
        <v>43713</v>
      </c>
      <c r="J1652" s="5">
        <v>42726</v>
      </c>
      <c r="K1652" s="16">
        <f t="shared" si="174"/>
        <v>839</v>
      </c>
      <c r="L1652" s="13">
        <v>3269.59</v>
      </c>
      <c r="M1652" s="15">
        <f t="shared" si="172"/>
        <v>73.933352648392429</v>
      </c>
      <c r="N1652" s="13">
        <v>3269.59</v>
      </c>
      <c r="O1652" s="13">
        <v>0</v>
      </c>
      <c r="P1652" s="11">
        <f t="shared" si="176"/>
        <v>1</v>
      </c>
    </row>
    <row r="1653" spans="1:16" ht="18.75" customHeight="1" thickBot="1" x14ac:dyDescent="0.3">
      <c r="A1653" s="3" t="s">
        <v>11</v>
      </c>
      <c r="B1653" s="4">
        <v>73255</v>
      </c>
      <c r="C1653" s="3" t="s">
        <v>9</v>
      </c>
      <c r="D1653" s="18">
        <v>0.1</v>
      </c>
      <c r="E1653" s="21">
        <f t="shared" si="175"/>
        <v>7.9741404289037643E-3</v>
      </c>
      <c r="F1653" s="5">
        <v>41892</v>
      </c>
      <c r="G1653" s="5">
        <v>42988</v>
      </c>
      <c r="H1653" s="16">
        <f t="shared" si="173"/>
        <v>1096</v>
      </c>
      <c r="I1653" s="5">
        <v>42988</v>
      </c>
      <c r="J1653" s="5">
        <v>43437</v>
      </c>
      <c r="K1653" s="16">
        <f t="shared" si="174"/>
        <v>1545</v>
      </c>
      <c r="L1653" s="13">
        <v>53.9</v>
      </c>
      <c r="M1653" s="15">
        <f t="shared" si="172"/>
        <v>1.7065210376208344</v>
      </c>
      <c r="N1653" s="13">
        <v>49.02</v>
      </c>
      <c r="O1653" s="13">
        <v>0</v>
      </c>
      <c r="P1653" s="11">
        <f t="shared" si="176"/>
        <v>1</v>
      </c>
    </row>
    <row r="1654" spans="1:16" ht="18.75" customHeight="1" thickBot="1" x14ac:dyDescent="0.3">
      <c r="A1654" s="3" t="s">
        <v>11</v>
      </c>
      <c r="B1654" s="4">
        <v>744241</v>
      </c>
      <c r="C1654" s="3" t="s">
        <v>2</v>
      </c>
      <c r="D1654" s="18">
        <v>0.09</v>
      </c>
      <c r="E1654" s="21">
        <f t="shared" si="175"/>
        <v>7.2073233161367156E-3</v>
      </c>
      <c r="F1654" s="5">
        <v>41898</v>
      </c>
      <c r="G1654" s="5">
        <v>45276</v>
      </c>
      <c r="H1654" s="16">
        <f t="shared" si="173"/>
        <v>3378</v>
      </c>
      <c r="I1654" s="5">
        <v>45276</v>
      </c>
      <c r="J1654" s="5">
        <v>43956</v>
      </c>
      <c r="K1654" s="16">
        <f t="shared" si="174"/>
        <v>2058</v>
      </c>
      <c r="L1654" s="13">
        <v>27712.32</v>
      </c>
      <c r="M1654" s="15">
        <f t="shared" si="172"/>
        <v>360.17935574020385</v>
      </c>
      <c r="N1654" s="13">
        <v>26962.32</v>
      </c>
      <c r="O1654" s="13">
        <v>6000</v>
      </c>
      <c r="P1654" s="11">
        <f t="shared" si="176"/>
        <v>1</v>
      </c>
    </row>
    <row r="1655" spans="1:16" ht="18.75" customHeight="1" thickBot="1" x14ac:dyDescent="0.3">
      <c r="A1655" s="3" t="s">
        <v>11</v>
      </c>
      <c r="B1655" s="4">
        <v>215073</v>
      </c>
      <c r="C1655" s="3" t="s">
        <v>9</v>
      </c>
      <c r="D1655" s="18">
        <v>0.1</v>
      </c>
      <c r="E1655" s="21">
        <f t="shared" si="175"/>
        <v>7.9741404289037643E-3</v>
      </c>
      <c r="F1655" s="5">
        <v>41900</v>
      </c>
      <c r="G1655" s="5">
        <v>44030</v>
      </c>
      <c r="H1655" s="16">
        <f t="shared" si="173"/>
        <v>2130</v>
      </c>
      <c r="I1655" s="5">
        <v>44030</v>
      </c>
      <c r="J1655" s="5">
        <v>42556</v>
      </c>
      <c r="K1655" s="16">
        <f t="shared" si="174"/>
        <v>656</v>
      </c>
      <c r="L1655" s="13">
        <v>4840.42</v>
      </c>
      <c r="M1655" s="15">
        <f t="shared" si="172"/>
        <v>89.549793999173502</v>
      </c>
      <c r="N1655" s="13">
        <v>4840.42</v>
      </c>
      <c r="O1655" s="13">
        <v>0</v>
      </c>
      <c r="P1655" s="11">
        <f t="shared" si="176"/>
        <v>1</v>
      </c>
    </row>
    <row r="1656" spans="1:16" ht="18.75" customHeight="1" thickBot="1" x14ac:dyDescent="0.3">
      <c r="A1656" s="3" t="s">
        <v>11</v>
      </c>
      <c r="B1656" s="4">
        <v>672849</v>
      </c>
      <c r="C1656" s="3" t="s">
        <v>9</v>
      </c>
      <c r="D1656" s="18">
        <v>0.1</v>
      </c>
      <c r="E1656" s="21">
        <f t="shared" si="175"/>
        <v>7.9741404289037643E-3</v>
      </c>
      <c r="F1656" s="5">
        <v>41901</v>
      </c>
      <c r="G1656" s="5">
        <v>42997</v>
      </c>
      <c r="H1656" s="16">
        <f t="shared" si="173"/>
        <v>1096</v>
      </c>
      <c r="I1656" s="5">
        <v>42997</v>
      </c>
      <c r="J1656" s="5">
        <v>42676</v>
      </c>
      <c r="K1656" s="16">
        <f t="shared" si="174"/>
        <v>775</v>
      </c>
      <c r="L1656" s="13">
        <v>4145.28</v>
      </c>
      <c r="M1656" s="15">
        <f t="shared" si="172"/>
        <v>131.24318231593492</v>
      </c>
      <c r="N1656" s="13">
        <v>4145.28</v>
      </c>
      <c r="O1656" s="13">
        <v>0</v>
      </c>
      <c r="P1656" s="11">
        <f t="shared" si="176"/>
        <v>1</v>
      </c>
    </row>
    <row r="1657" spans="1:16" ht="18.75" hidden="1" customHeight="1" thickBot="1" x14ac:dyDescent="0.3">
      <c r="A1657" s="3" t="s">
        <v>11</v>
      </c>
      <c r="B1657" s="4">
        <v>35816</v>
      </c>
      <c r="C1657" s="3" t="s">
        <v>9</v>
      </c>
      <c r="D1657" s="18">
        <v>0.1</v>
      </c>
      <c r="E1657" s="21">
        <f t="shared" si="175"/>
        <v>7.9741404289037643E-3</v>
      </c>
      <c r="F1657" s="5">
        <v>41912</v>
      </c>
      <c r="G1657" s="5">
        <v>42353</v>
      </c>
      <c r="H1657" s="16">
        <f t="shared" si="173"/>
        <v>441</v>
      </c>
      <c r="I1657" s="5">
        <v>42353</v>
      </c>
      <c r="J1657" s="2"/>
      <c r="K1657" s="16">
        <f t="shared" si="174"/>
        <v>-41912</v>
      </c>
      <c r="L1657" s="13">
        <v>15000</v>
      </c>
      <c r="M1657" s="15">
        <f t="shared" si="172"/>
        <v>1085.4407812179199</v>
      </c>
      <c r="N1657" s="13">
        <v>15000</v>
      </c>
      <c r="O1657" s="13">
        <v>0</v>
      </c>
      <c r="P1657" s="11">
        <f t="shared" si="176"/>
        <v>1</v>
      </c>
    </row>
    <row r="1658" spans="1:16" ht="18.75" customHeight="1" thickBot="1" x14ac:dyDescent="0.3">
      <c r="A1658" s="3" t="s">
        <v>11</v>
      </c>
      <c r="B1658" s="4">
        <v>126497</v>
      </c>
      <c r="C1658" s="3" t="s">
        <v>9</v>
      </c>
      <c r="D1658" s="18">
        <v>8.5000000000000006E-2</v>
      </c>
      <c r="E1658" s="21">
        <f t="shared" si="175"/>
        <v>6.8214933659622723E-3</v>
      </c>
      <c r="F1658" s="5">
        <v>41913</v>
      </c>
      <c r="G1658" s="5">
        <v>44470</v>
      </c>
      <c r="H1658" s="16">
        <f t="shared" si="173"/>
        <v>2557</v>
      </c>
      <c r="I1658" s="5">
        <v>44861</v>
      </c>
      <c r="J1658" s="5">
        <v>44102</v>
      </c>
      <c r="K1658" s="16">
        <f t="shared" si="174"/>
        <v>2189</v>
      </c>
      <c r="L1658" s="13">
        <v>48005.59</v>
      </c>
      <c r="M1658" s="15">
        <f t="shared" si="172"/>
        <v>744.60405219011261</v>
      </c>
      <c r="N1658" s="13">
        <v>31746.53</v>
      </c>
      <c r="O1658" s="13">
        <v>31746.53</v>
      </c>
      <c r="P1658" s="11">
        <f t="shared" si="176"/>
        <v>1</v>
      </c>
    </row>
    <row r="1659" spans="1:16" ht="18.75" customHeight="1" thickBot="1" x14ac:dyDescent="0.3">
      <c r="A1659" s="3" t="s">
        <v>11</v>
      </c>
      <c r="B1659" s="4">
        <v>673355</v>
      </c>
      <c r="C1659" s="3" t="s">
        <v>9</v>
      </c>
      <c r="D1659" s="18">
        <v>0.12</v>
      </c>
      <c r="E1659" s="21">
        <f t="shared" si="175"/>
        <v>9.4887929345830457E-3</v>
      </c>
      <c r="F1659" s="5">
        <v>41915</v>
      </c>
      <c r="G1659" s="5">
        <v>43454</v>
      </c>
      <c r="H1659" s="16">
        <f t="shared" si="173"/>
        <v>1539</v>
      </c>
      <c r="I1659" s="5">
        <v>43454</v>
      </c>
      <c r="J1659" s="5">
        <v>43336</v>
      </c>
      <c r="K1659" s="16">
        <f t="shared" si="174"/>
        <v>1421</v>
      </c>
      <c r="L1659" s="13">
        <v>3173.38</v>
      </c>
      <c r="M1659" s="15">
        <f t="shared" si="172"/>
        <v>78.419029392594751</v>
      </c>
      <c r="N1659" s="13">
        <v>3173.38</v>
      </c>
      <c r="O1659" s="13">
        <v>0</v>
      </c>
      <c r="P1659" s="11">
        <f t="shared" si="176"/>
        <v>1</v>
      </c>
    </row>
    <row r="1660" spans="1:16" ht="18.75" customHeight="1" thickBot="1" x14ac:dyDescent="0.3">
      <c r="A1660" s="3" t="s">
        <v>11</v>
      </c>
      <c r="B1660" s="4">
        <v>947701</v>
      </c>
      <c r="C1660" s="3" t="s">
        <v>9</v>
      </c>
      <c r="D1660" s="18">
        <v>0.14000000000000001</v>
      </c>
      <c r="E1660" s="21">
        <f t="shared" si="175"/>
        <v>1.0978851950173452E-2</v>
      </c>
      <c r="F1660" s="5">
        <v>41926</v>
      </c>
      <c r="G1660" s="5">
        <v>43204</v>
      </c>
      <c r="H1660" s="16">
        <f t="shared" si="173"/>
        <v>1278</v>
      </c>
      <c r="I1660" s="5">
        <v>43204</v>
      </c>
      <c r="J1660" s="5">
        <v>43542</v>
      </c>
      <c r="K1660" s="16">
        <f t="shared" si="174"/>
        <v>1616</v>
      </c>
      <c r="L1660" s="13">
        <v>10755</v>
      </c>
      <c r="M1660" s="15">
        <f t="shared" si="172"/>
        <v>317.44749377473107</v>
      </c>
      <c r="N1660" s="13">
        <v>10155</v>
      </c>
      <c r="O1660" s="13">
        <v>0</v>
      </c>
      <c r="P1660" s="11">
        <f t="shared" si="176"/>
        <v>1</v>
      </c>
    </row>
    <row r="1661" spans="1:16" ht="18.75" customHeight="1" thickBot="1" x14ac:dyDescent="0.3">
      <c r="A1661" s="3" t="s">
        <v>11</v>
      </c>
      <c r="B1661" s="4">
        <v>18972</v>
      </c>
      <c r="C1661" s="3" t="s">
        <v>19</v>
      </c>
      <c r="D1661" s="18">
        <v>7.4999999999999997E-2</v>
      </c>
      <c r="E1661" s="21">
        <f t="shared" si="175"/>
        <v>6.0449190242917172E-3</v>
      </c>
      <c r="F1661" s="5">
        <v>41927</v>
      </c>
      <c r="G1661" s="5">
        <v>42658</v>
      </c>
      <c r="H1661" s="16">
        <f t="shared" si="173"/>
        <v>731</v>
      </c>
      <c r="I1661" s="5">
        <v>42658</v>
      </c>
      <c r="J1661" s="5">
        <v>43371</v>
      </c>
      <c r="K1661" s="16">
        <f t="shared" si="174"/>
        <v>1444</v>
      </c>
      <c r="L1661" s="13">
        <v>11905</v>
      </c>
      <c r="M1661" s="15">
        <f t="shared" si="172"/>
        <v>526.91525279009295</v>
      </c>
      <c r="N1661" s="13">
        <v>11905</v>
      </c>
      <c r="O1661" s="13">
        <v>6000</v>
      </c>
      <c r="P1661" s="11">
        <f t="shared" si="176"/>
        <v>1</v>
      </c>
    </row>
    <row r="1662" spans="1:16" ht="18.75" customHeight="1" thickBot="1" x14ac:dyDescent="0.3">
      <c r="A1662" s="3" t="s">
        <v>11</v>
      </c>
      <c r="B1662" s="4">
        <v>439007</v>
      </c>
      <c r="C1662" s="3" t="s">
        <v>9</v>
      </c>
      <c r="D1662" s="18">
        <v>0.12</v>
      </c>
      <c r="E1662" s="21">
        <f t="shared" si="175"/>
        <v>9.4887929345830457E-3</v>
      </c>
      <c r="F1662" s="5">
        <v>41928</v>
      </c>
      <c r="G1662" s="5">
        <v>42294</v>
      </c>
      <c r="H1662" s="16">
        <f t="shared" si="173"/>
        <v>366</v>
      </c>
      <c r="I1662" s="5">
        <v>42294</v>
      </c>
      <c r="J1662" s="5">
        <v>42577</v>
      </c>
      <c r="K1662" s="16">
        <f t="shared" si="174"/>
        <v>649</v>
      </c>
      <c r="L1662" s="13">
        <v>910.58</v>
      </c>
      <c r="M1662" s="15">
        <f t="shared" si="172"/>
        <v>79.394352121388266</v>
      </c>
      <c r="N1662" s="13">
        <v>910.58</v>
      </c>
      <c r="O1662" s="13">
        <v>0</v>
      </c>
      <c r="P1662" s="11">
        <f t="shared" si="176"/>
        <v>1</v>
      </c>
    </row>
    <row r="1663" spans="1:16" ht="18.75" customHeight="1" thickBot="1" x14ac:dyDescent="0.3">
      <c r="A1663" s="3" t="s">
        <v>11</v>
      </c>
      <c r="B1663" s="4">
        <v>966268</v>
      </c>
      <c r="C1663" s="3" t="s">
        <v>9</v>
      </c>
      <c r="D1663" s="18">
        <v>0.1</v>
      </c>
      <c r="E1663" s="21">
        <f t="shared" si="175"/>
        <v>7.9741404289037643E-3</v>
      </c>
      <c r="F1663" s="5">
        <v>41932</v>
      </c>
      <c r="G1663" s="5">
        <v>43941</v>
      </c>
      <c r="H1663" s="16">
        <f t="shared" si="173"/>
        <v>2009</v>
      </c>
      <c r="I1663" s="5">
        <v>43941</v>
      </c>
      <c r="J1663" s="5">
        <v>43594</v>
      </c>
      <c r="K1663" s="16">
        <f t="shared" si="174"/>
        <v>1662</v>
      </c>
      <c r="L1663" s="13">
        <v>2897.54</v>
      </c>
      <c r="M1663" s="15">
        <f t="shared" si="172"/>
        <v>56.012692171925991</v>
      </c>
      <c r="N1663" s="13">
        <v>2695.86</v>
      </c>
      <c r="O1663" s="13">
        <v>2695.86</v>
      </c>
      <c r="P1663" s="11">
        <f t="shared" si="176"/>
        <v>1</v>
      </c>
    </row>
    <row r="1664" spans="1:16" ht="18.75" customHeight="1" thickBot="1" x14ac:dyDescent="0.3">
      <c r="A1664" s="3" t="s">
        <v>11</v>
      </c>
      <c r="B1664" s="4">
        <v>665606</v>
      </c>
      <c r="C1664" s="3" t="s">
        <v>9</v>
      </c>
      <c r="D1664" s="18">
        <v>0.1</v>
      </c>
      <c r="E1664" s="21">
        <f t="shared" si="175"/>
        <v>7.9741404289037643E-3</v>
      </c>
      <c r="F1664" s="5">
        <v>41932</v>
      </c>
      <c r="G1664" s="5">
        <v>44124</v>
      </c>
      <c r="H1664" s="16">
        <f t="shared" si="173"/>
        <v>2192</v>
      </c>
      <c r="I1664" s="5">
        <v>44124</v>
      </c>
      <c r="J1664" s="5">
        <v>43250</v>
      </c>
      <c r="K1664" s="16">
        <f t="shared" si="174"/>
        <v>1318</v>
      </c>
      <c r="L1664" s="13">
        <v>36186.6</v>
      </c>
      <c r="M1664" s="15">
        <f t="shared" si="172"/>
        <v>655.38230305400316</v>
      </c>
      <c r="N1664" s="13">
        <v>36186.6</v>
      </c>
      <c r="O1664" s="13">
        <v>0</v>
      </c>
      <c r="P1664" s="11">
        <f t="shared" si="176"/>
        <v>1</v>
      </c>
    </row>
    <row r="1665" spans="1:16" ht="18.75" customHeight="1" thickBot="1" x14ac:dyDescent="0.3">
      <c r="A1665" s="3" t="s">
        <v>11</v>
      </c>
      <c r="B1665" s="4">
        <v>454734</v>
      </c>
      <c r="C1665" s="3" t="s">
        <v>9</v>
      </c>
      <c r="D1665" s="18">
        <v>0.1</v>
      </c>
      <c r="E1665" s="21">
        <f t="shared" si="175"/>
        <v>7.9741404289037643E-3</v>
      </c>
      <c r="F1665" s="5">
        <v>41939</v>
      </c>
      <c r="G1665" s="5">
        <v>44192</v>
      </c>
      <c r="H1665" s="16">
        <f t="shared" si="173"/>
        <v>2253</v>
      </c>
      <c r="I1665" s="5">
        <v>44192</v>
      </c>
      <c r="J1665" s="5">
        <v>43564</v>
      </c>
      <c r="K1665" s="16">
        <f t="shared" si="174"/>
        <v>1625</v>
      </c>
      <c r="L1665" s="13">
        <v>11555.62</v>
      </c>
      <c r="M1665" s="15">
        <f t="shared" si="172"/>
        <v>205.10888631121713</v>
      </c>
      <c r="N1665" s="13">
        <v>11555.62</v>
      </c>
      <c r="O1665" s="13">
        <v>0</v>
      </c>
      <c r="P1665" s="11">
        <f t="shared" si="176"/>
        <v>1</v>
      </c>
    </row>
    <row r="1666" spans="1:16" ht="18.75" customHeight="1" thickBot="1" x14ac:dyDescent="0.3">
      <c r="A1666" s="3" t="s">
        <v>11</v>
      </c>
      <c r="B1666" s="4">
        <v>857624</v>
      </c>
      <c r="C1666" s="3" t="s">
        <v>9</v>
      </c>
      <c r="D1666" s="18">
        <v>0.12</v>
      </c>
      <c r="E1666" s="21">
        <f t="shared" si="175"/>
        <v>9.4887929345830457E-3</v>
      </c>
      <c r="F1666" s="5">
        <v>41941</v>
      </c>
      <c r="G1666" s="5">
        <v>43494</v>
      </c>
      <c r="H1666" s="16">
        <f t="shared" si="173"/>
        <v>1553</v>
      </c>
      <c r="I1666" s="5">
        <v>43494</v>
      </c>
      <c r="J1666" s="5">
        <v>43525</v>
      </c>
      <c r="K1666" s="16">
        <f t="shared" si="174"/>
        <v>1584</v>
      </c>
      <c r="L1666" s="13">
        <v>11523.98</v>
      </c>
      <c r="M1666" s="15">
        <f t="shared" ref="M1666:M1729" si="177">-PMT(E1666,(H1666/30),L1666)</f>
        <v>282.78003033910807</v>
      </c>
      <c r="N1666" s="13">
        <v>11323.98</v>
      </c>
      <c r="O1666" s="13">
        <v>0</v>
      </c>
      <c r="P1666" s="11">
        <f t="shared" si="176"/>
        <v>1</v>
      </c>
    </row>
    <row r="1667" spans="1:16" ht="18.75" customHeight="1" thickBot="1" x14ac:dyDescent="0.3">
      <c r="A1667" s="3" t="s">
        <v>11</v>
      </c>
      <c r="B1667" s="4">
        <v>99424</v>
      </c>
      <c r="C1667" s="3" t="s">
        <v>3</v>
      </c>
      <c r="D1667" s="18">
        <v>0.08</v>
      </c>
      <c r="E1667" s="21">
        <f t="shared" si="175"/>
        <v>6.4340301100034303E-3</v>
      </c>
      <c r="F1667" s="5">
        <v>41943</v>
      </c>
      <c r="G1667" s="5">
        <v>42951</v>
      </c>
      <c r="H1667" s="16">
        <f t="shared" ref="H1667:H1730" si="178">G1667-F1667</f>
        <v>1008</v>
      </c>
      <c r="I1667" s="5">
        <v>43316</v>
      </c>
      <c r="J1667" s="5">
        <v>43718</v>
      </c>
      <c r="K1667" s="16">
        <f t="shared" ref="K1667:K1730" si="179">J1667-F1667</f>
        <v>1775</v>
      </c>
      <c r="L1667" s="13">
        <v>6500</v>
      </c>
      <c r="M1667" s="15">
        <f t="shared" si="177"/>
        <v>215.73507953147273</v>
      </c>
      <c r="N1667" s="13">
        <v>4692.55</v>
      </c>
      <c r="O1667" s="13">
        <v>0</v>
      </c>
      <c r="P1667" s="11">
        <f t="shared" si="176"/>
        <v>1</v>
      </c>
    </row>
    <row r="1668" spans="1:16" ht="18.75" customHeight="1" thickBot="1" x14ac:dyDescent="0.3">
      <c r="A1668" s="3" t="s">
        <v>11</v>
      </c>
      <c r="B1668" s="4">
        <v>688197</v>
      </c>
      <c r="C1668" s="3" t="s">
        <v>9</v>
      </c>
      <c r="D1668" s="18">
        <v>0.12</v>
      </c>
      <c r="E1668" s="21">
        <f t="shared" si="175"/>
        <v>9.4887929345830457E-3</v>
      </c>
      <c r="F1668" s="5">
        <v>41946</v>
      </c>
      <c r="G1668" s="5">
        <v>43971</v>
      </c>
      <c r="H1668" s="16">
        <f t="shared" si="178"/>
        <v>2025</v>
      </c>
      <c r="I1668" s="5">
        <v>43971</v>
      </c>
      <c r="J1668" s="5">
        <v>42159</v>
      </c>
      <c r="K1668" s="16">
        <f t="shared" si="179"/>
        <v>213</v>
      </c>
      <c r="L1668" s="13">
        <v>12440.23</v>
      </c>
      <c r="M1668" s="15">
        <f t="shared" si="177"/>
        <v>250.42280196805808</v>
      </c>
      <c r="N1668" s="13">
        <v>12440.23</v>
      </c>
      <c r="O1668" s="13">
        <v>0</v>
      </c>
      <c r="P1668" s="11">
        <f t="shared" si="176"/>
        <v>1</v>
      </c>
    </row>
    <row r="1669" spans="1:16" ht="18.75" customHeight="1" thickBot="1" x14ac:dyDescent="0.3">
      <c r="A1669" s="3" t="s">
        <v>11</v>
      </c>
      <c r="B1669" s="4">
        <v>823839</v>
      </c>
      <c r="C1669" s="3" t="s">
        <v>9</v>
      </c>
      <c r="D1669" s="18">
        <v>0.1</v>
      </c>
      <c r="E1669" s="21">
        <f t="shared" si="175"/>
        <v>7.9741404289037643E-3</v>
      </c>
      <c r="F1669" s="5">
        <v>41949</v>
      </c>
      <c r="G1669" s="5">
        <v>44141</v>
      </c>
      <c r="H1669" s="16">
        <f t="shared" si="178"/>
        <v>2192</v>
      </c>
      <c r="I1669" s="5">
        <v>44141</v>
      </c>
      <c r="J1669" s="5">
        <v>42898</v>
      </c>
      <c r="K1669" s="16">
        <f t="shared" si="179"/>
        <v>949</v>
      </c>
      <c r="L1669" s="13">
        <v>20901.97</v>
      </c>
      <c r="M1669" s="15">
        <f t="shared" si="177"/>
        <v>378.55950094691639</v>
      </c>
      <c r="N1669" s="13">
        <v>20901.97</v>
      </c>
      <c r="O1669" s="13">
        <v>0</v>
      </c>
      <c r="P1669" s="11">
        <f t="shared" si="176"/>
        <v>1</v>
      </c>
    </row>
    <row r="1670" spans="1:16" ht="18.75" customHeight="1" thickBot="1" x14ac:dyDescent="0.3">
      <c r="A1670" s="3" t="s">
        <v>11</v>
      </c>
      <c r="B1670" s="4">
        <v>810012</v>
      </c>
      <c r="C1670" s="3" t="s">
        <v>9</v>
      </c>
      <c r="D1670" s="18">
        <v>0.1</v>
      </c>
      <c r="E1670" s="21">
        <f t="shared" si="175"/>
        <v>7.9741404289037643E-3</v>
      </c>
      <c r="F1670" s="5">
        <v>41955</v>
      </c>
      <c r="G1670" s="5">
        <v>44147</v>
      </c>
      <c r="H1670" s="16">
        <f t="shared" si="178"/>
        <v>2192</v>
      </c>
      <c r="I1670" s="5">
        <v>44147</v>
      </c>
      <c r="J1670" s="5">
        <v>42236</v>
      </c>
      <c r="K1670" s="16">
        <f t="shared" si="179"/>
        <v>281</v>
      </c>
      <c r="L1670" s="13">
        <v>6000</v>
      </c>
      <c r="M1670" s="15">
        <f t="shared" si="177"/>
        <v>108.66712590638576</v>
      </c>
      <c r="N1670" s="13">
        <v>6000</v>
      </c>
      <c r="O1670" s="13">
        <v>0</v>
      </c>
      <c r="P1670" s="11">
        <f t="shared" si="176"/>
        <v>1</v>
      </c>
    </row>
    <row r="1671" spans="1:16" ht="18.75" customHeight="1" thickBot="1" x14ac:dyDescent="0.3">
      <c r="A1671" s="3" t="s">
        <v>11</v>
      </c>
      <c r="B1671" s="4">
        <v>973196</v>
      </c>
      <c r="C1671" s="3" t="s">
        <v>9</v>
      </c>
      <c r="D1671" s="18">
        <v>0.12</v>
      </c>
      <c r="E1671" s="21">
        <f t="shared" si="175"/>
        <v>9.4887929345830457E-3</v>
      </c>
      <c r="F1671" s="5">
        <v>41957</v>
      </c>
      <c r="G1671" s="5">
        <v>42318</v>
      </c>
      <c r="H1671" s="16">
        <f t="shared" si="178"/>
        <v>361</v>
      </c>
      <c r="I1671" s="5">
        <v>42318</v>
      </c>
      <c r="J1671" s="5">
        <v>42243</v>
      </c>
      <c r="K1671" s="16">
        <f t="shared" si="179"/>
        <v>286</v>
      </c>
      <c r="L1671" s="13">
        <v>748.72</v>
      </c>
      <c r="M1671" s="15">
        <f t="shared" si="177"/>
        <v>66.134723926251965</v>
      </c>
      <c r="N1671" s="13">
        <v>748.72</v>
      </c>
      <c r="O1671" s="13">
        <v>0</v>
      </c>
      <c r="P1671" s="11">
        <f t="shared" si="176"/>
        <v>1</v>
      </c>
    </row>
    <row r="1672" spans="1:16" ht="18.75" customHeight="1" thickBot="1" x14ac:dyDescent="0.3">
      <c r="A1672" s="3" t="s">
        <v>11</v>
      </c>
      <c r="B1672" s="4">
        <v>133549</v>
      </c>
      <c r="C1672" s="3" t="s">
        <v>9</v>
      </c>
      <c r="D1672" s="18">
        <v>0.14000000000000001</v>
      </c>
      <c r="E1672" s="21">
        <f t="shared" si="175"/>
        <v>1.0978851950173452E-2</v>
      </c>
      <c r="F1672" s="5">
        <v>41956</v>
      </c>
      <c r="G1672" s="5">
        <v>43782</v>
      </c>
      <c r="H1672" s="16">
        <f t="shared" si="178"/>
        <v>1826</v>
      </c>
      <c r="I1672" s="5">
        <v>43782</v>
      </c>
      <c r="J1672" s="5">
        <v>42311</v>
      </c>
      <c r="K1672" s="16">
        <f t="shared" si="179"/>
        <v>355</v>
      </c>
      <c r="L1672" s="13">
        <v>7161.99</v>
      </c>
      <c r="M1672" s="15">
        <f t="shared" si="177"/>
        <v>161.9499485667194</v>
      </c>
      <c r="N1672" s="13">
        <v>7161.99</v>
      </c>
      <c r="O1672" s="13">
        <v>0</v>
      </c>
      <c r="P1672" s="11">
        <f t="shared" si="176"/>
        <v>1</v>
      </c>
    </row>
    <row r="1673" spans="1:16" ht="18.75" customHeight="1" thickBot="1" x14ac:dyDescent="0.3">
      <c r="A1673" s="3" t="s">
        <v>11</v>
      </c>
      <c r="B1673" s="4">
        <v>395700</v>
      </c>
      <c r="C1673" s="3" t="s">
        <v>9</v>
      </c>
      <c r="D1673" s="18">
        <v>0.1</v>
      </c>
      <c r="E1673" s="21">
        <f t="shared" si="175"/>
        <v>7.9741404289037643E-3</v>
      </c>
      <c r="F1673" s="5">
        <v>41957</v>
      </c>
      <c r="G1673" s="5">
        <v>44149</v>
      </c>
      <c r="H1673" s="16">
        <f t="shared" si="178"/>
        <v>2192</v>
      </c>
      <c r="I1673" s="5">
        <v>44149</v>
      </c>
      <c r="J1673" s="5">
        <v>42044</v>
      </c>
      <c r="K1673" s="16">
        <f t="shared" si="179"/>
        <v>87</v>
      </c>
      <c r="L1673" s="13">
        <v>2424.9899999999998</v>
      </c>
      <c r="M1673" s="15">
        <f t="shared" si="177"/>
        <v>43.9194489419544</v>
      </c>
      <c r="N1673" s="13">
        <v>2424.9899999999998</v>
      </c>
      <c r="O1673" s="13">
        <v>0</v>
      </c>
      <c r="P1673" s="11">
        <f t="shared" si="176"/>
        <v>1</v>
      </c>
    </row>
    <row r="1674" spans="1:16" ht="18.75" customHeight="1" thickBot="1" x14ac:dyDescent="0.3">
      <c r="A1674" s="3" t="s">
        <v>11</v>
      </c>
      <c r="B1674" s="4">
        <v>303935</v>
      </c>
      <c r="C1674" s="3" t="s">
        <v>9</v>
      </c>
      <c r="D1674" s="18">
        <v>0.1</v>
      </c>
      <c r="E1674" s="21">
        <f t="shared" si="175"/>
        <v>7.9741404289037643E-3</v>
      </c>
      <c r="F1674" s="5">
        <v>41957</v>
      </c>
      <c r="G1674" s="5">
        <v>43599</v>
      </c>
      <c r="H1674" s="16">
        <f t="shared" si="178"/>
        <v>1642</v>
      </c>
      <c r="I1674" s="5">
        <v>43599</v>
      </c>
      <c r="J1674" s="5">
        <v>42619</v>
      </c>
      <c r="K1674" s="16">
        <f t="shared" si="179"/>
        <v>662</v>
      </c>
      <c r="L1674" s="13">
        <v>1275.44</v>
      </c>
      <c r="M1674" s="15">
        <f t="shared" si="177"/>
        <v>28.84814686881473</v>
      </c>
      <c r="N1674" s="13">
        <v>1275.44</v>
      </c>
      <c r="O1674" s="13">
        <v>0</v>
      </c>
      <c r="P1674" s="11">
        <f t="shared" si="176"/>
        <v>1</v>
      </c>
    </row>
    <row r="1675" spans="1:16" ht="18.75" customHeight="1" thickBot="1" x14ac:dyDescent="0.3">
      <c r="A1675" s="3" t="s">
        <v>11</v>
      </c>
      <c r="B1675" s="4">
        <v>940572</v>
      </c>
      <c r="C1675" s="3" t="s">
        <v>9</v>
      </c>
      <c r="D1675" s="18">
        <v>0.12</v>
      </c>
      <c r="E1675" s="21">
        <f t="shared" si="175"/>
        <v>9.4887929345830457E-3</v>
      </c>
      <c r="F1675" s="5">
        <v>41960</v>
      </c>
      <c r="G1675" s="5">
        <v>43421</v>
      </c>
      <c r="H1675" s="16">
        <f t="shared" si="178"/>
        <v>1461</v>
      </c>
      <c r="I1675" s="5">
        <v>43421</v>
      </c>
      <c r="J1675" s="5">
        <v>42311</v>
      </c>
      <c r="K1675" s="16">
        <f t="shared" si="179"/>
        <v>351</v>
      </c>
      <c r="L1675" s="13">
        <v>2109.64</v>
      </c>
      <c r="M1675" s="15">
        <f t="shared" si="177"/>
        <v>54.297803322225647</v>
      </c>
      <c r="N1675" s="13">
        <v>2109.64</v>
      </c>
      <c r="O1675" s="13">
        <v>0</v>
      </c>
      <c r="P1675" s="11">
        <f t="shared" si="176"/>
        <v>1</v>
      </c>
    </row>
    <row r="1676" spans="1:16" ht="18.75" customHeight="1" thickBot="1" x14ac:dyDescent="0.3">
      <c r="A1676" s="3" t="s">
        <v>11</v>
      </c>
      <c r="B1676" s="4">
        <v>105713</v>
      </c>
      <c r="C1676" s="3" t="s">
        <v>9</v>
      </c>
      <c r="D1676" s="18">
        <v>0.1</v>
      </c>
      <c r="E1676" s="21">
        <f t="shared" si="175"/>
        <v>7.9741404289037643E-3</v>
      </c>
      <c r="F1676" s="5">
        <v>41961</v>
      </c>
      <c r="G1676" s="5">
        <v>43819</v>
      </c>
      <c r="H1676" s="16">
        <f t="shared" si="178"/>
        <v>1858</v>
      </c>
      <c r="I1676" s="5">
        <v>43819</v>
      </c>
      <c r="J1676" s="5">
        <v>42346</v>
      </c>
      <c r="K1676" s="16">
        <f t="shared" si="179"/>
        <v>385</v>
      </c>
      <c r="L1676" s="13">
        <v>9328.0400000000009</v>
      </c>
      <c r="M1676" s="15">
        <f t="shared" si="177"/>
        <v>191.44237459102015</v>
      </c>
      <c r="N1676" s="13">
        <v>9328.0400000000009</v>
      </c>
      <c r="O1676" s="13">
        <v>0</v>
      </c>
      <c r="P1676" s="11">
        <f t="shared" si="176"/>
        <v>1</v>
      </c>
    </row>
    <row r="1677" spans="1:16" ht="18.75" hidden="1" customHeight="1" thickBot="1" x14ac:dyDescent="0.3">
      <c r="A1677" s="3" t="s">
        <v>11</v>
      </c>
      <c r="B1677" s="4">
        <v>774438</v>
      </c>
      <c r="C1677" s="3" t="s">
        <v>9</v>
      </c>
      <c r="D1677" s="18">
        <v>0.1</v>
      </c>
      <c r="E1677" s="21">
        <f t="shared" si="175"/>
        <v>7.9741404289037643E-3</v>
      </c>
      <c r="F1677" s="5">
        <v>41961</v>
      </c>
      <c r="G1677" s="5">
        <v>42112</v>
      </c>
      <c r="H1677" s="16">
        <f t="shared" si="178"/>
        <v>151</v>
      </c>
      <c r="I1677" s="5">
        <v>42112</v>
      </c>
      <c r="J1677" s="2"/>
      <c r="K1677" s="16">
        <f t="shared" si="179"/>
        <v>-41961</v>
      </c>
      <c r="L1677" s="13">
        <v>2000</v>
      </c>
      <c r="M1677" s="15">
        <f t="shared" si="177"/>
        <v>406.96043232846642</v>
      </c>
      <c r="N1677" s="13">
        <v>2000</v>
      </c>
      <c r="O1677" s="13">
        <v>0</v>
      </c>
      <c r="P1677" s="11">
        <f t="shared" si="176"/>
        <v>1</v>
      </c>
    </row>
    <row r="1678" spans="1:16" ht="18.75" customHeight="1" thickBot="1" x14ac:dyDescent="0.3">
      <c r="A1678" s="3" t="s">
        <v>11</v>
      </c>
      <c r="B1678" s="4">
        <v>361668</v>
      </c>
      <c r="C1678" s="3" t="s">
        <v>9</v>
      </c>
      <c r="D1678" s="18">
        <v>0.14000000000000001</v>
      </c>
      <c r="E1678" s="21">
        <f t="shared" si="175"/>
        <v>1.0978851950173452E-2</v>
      </c>
      <c r="F1678" s="5">
        <v>41961</v>
      </c>
      <c r="G1678" s="5">
        <v>43422</v>
      </c>
      <c r="H1678" s="16">
        <f t="shared" si="178"/>
        <v>1461</v>
      </c>
      <c r="I1678" s="5">
        <v>43422</v>
      </c>
      <c r="J1678" s="5">
        <v>42600</v>
      </c>
      <c r="K1678" s="16">
        <f t="shared" si="179"/>
        <v>639</v>
      </c>
      <c r="L1678" s="13">
        <v>4225.28</v>
      </c>
      <c r="M1678" s="15">
        <f t="shared" si="177"/>
        <v>112.47716365975096</v>
      </c>
      <c r="N1678" s="13">
        <v>4225.28</v>
      </c>
      <c r="O1678" s="13">
        <v>0</v>
      </c>
      <c r="P1678" s="11">
        <f t="shared" si="176"/>
        <v>1</v>
      </c>
    </row>
    <row r="1679" spans="1:16" ht="18.75" customHeight="1" thickBot="1" x14ac:dyDescent="0.3">
      <c r="A1679" s="3" t="s">
        <v>11</v>
      </c>
      <c r="B1679" s="4">
        <v>86701</v>
      </c>
      <c r="C1679" s="3" t="s">
        <v>9</v>
      </c>
      <c r="D1679" s="18">
        <v>0.1</v>
      </c>
      <c r="E1679" s="21">
        <f t="shared" si="175"/>
        <v>7.9741404289037643E-3</v>
      </c>
      <c r="F1679" s="5">
        <v>41963</v>
      </c>
      <c r="G1679" s="5">
        <v>43605</v>
      </c>
      <c r="H1679" s="16">
        <f t="shared" si="178"/>
        <v>1642</v>
      </c>
      <c r="I1679" s="5">
        <v>43605</v>
      </c>
      <c r="J1679" s="5">
        <v>42282</v>
      </c>
      <c r="K1679" s="16">
        <f t="shared" si="179"/>
        <v>319</v>
      </c>
      <c r="L1679" s="13">
        <v>12331.94</v>
      </c>
      <c r="M1679" s="15">
        <f t="shared" si="177"/>
        <v>278.92618727451787</v>
      </c>
      <c r="N1679" s="13">
        <v>12331.94</v>
      </c>
      <c r="O1679" s="13">
        <v>0</v>
      </c>
      <c r="P1679" s="11">
        <f t="shared" si="176"/>
        <v>1</v>
      </c>
    </row>
    <row r="1680" spans="1:16" ht="18.75" customHeight="1" thickBot="1" x14ac:dyDescent="0.3">
      <c r="A1680" s="3" t="s">
        <v>11</v>
      </c>
      <c r="B1680" s="4">
        <v>75102</v>
      </c>
      <c r="C1680" s="3" t="s">
        <v>9</v>
      </c>
      <c r="D1680" s="18">
        <v>0.1</v>
      </c>
      <c r="E1680" s="21">
        <f t="shared" si="175"/>
        <v>7.9741404289037643E-3</v>
      </c>
      <c r="F1680" s="5">
        <v>41963</v>
      </c>
      <c r="G1680" s="5">
        <v>42328</v>
      </c>
      <c r="H1680" s="16">
        <f t="shared" si="178"/>
        <v>365</v>
      </c>
      <c r="I1680" s="5">
        <v>44301</v>
      </c>
      <c r="J1680" s="5">
        <v>43634</v>
      </c>
      <c r="K1680" s="16">
        <f t="shared" si="179"/>
        <v>1671</v>
      </c>
      <c r="L1680" s="13">
        <v>6135.91</v>
      </c>
      <c r="M1680" s="15">
        <f t="shared" si="177"/>
        <v>531.18772916347507</v>
      </c>
      <c r="N1680" s="13">
        <v>3155.48</v>
      </c>
      <c r="O1680" s="13">
        <v>3036.33</v>
      </c>
      <c r="P1680" s="11">
        <f t="shared" si="176"/>
        <v>1</v>
      </c>
    </row>
    <row r="1681" spans="1:16" ht="18.75" customHeight="1" thickBot="1" x14ac:dyDescent="0.3">
      <c r="A1681" s="3" t="s">
        <v>11</v>
      </c>
      <c r="B1681" s="4">
        <v>574384</v>
      </c>
      <c r="C1681" s="3" t="s">
        <v>9</v>
      </c>
      <c r="D1681" s="18">
        <v>0.08</v>
      </c>
      <c r="E1681" s="21">
        <f t="shared" si="175"/>
        <v>6.4340301100034303E-3</v>
      </c>
      <c r="F1681" s="5">
        <v>41967</v>
      </c>
      <c r="G1681" s="5">
        <v>43428</v>
      </c>
      <c r="H1681" s="16">
        <f t="shared" si="178"/>
        <v>1461</v>
      </c>
      <c r="I1681" s="5">
        <v>43428</v>
      </c>
      <c r="J1681" s="5">
        <v>43371</v>
      </c>
      <c r="K1681" s="16">
        <f t="shared" si="179"/>
        <v>1404</v>
      </c>
      <c r="L1681" s="13">
        <v>2442.81</v>
      </c>
      <c r="M1681" s="15">
        <f t="shared" si="177"/>
        <v>58.588538584136366</v>
      </c>
      <c r="N1681" s="13">
        <v>2442.81</v>
      </c>
      <c r="O1681" s="13">
        <v>0</v>
      </c>
      <c r="P1681" s="11">
        <f t="shared" si="176"/>
        <v>1</v>
      </c>
    </row>
    <row r="1682" spans="1:16" ht="18.75" customHeight="1" thickBot="1" x14ac:dyDescent="0.3">
      <c r="A1682" s="3" t="s">
        <v>11</v>
      </c>
      <c r="B1682" s="4">
        <v>954277</v>
      </c>
      <c r="C1682" s="3" t="s">
        <v>9</v>
      </c>
      <c r="D1682" s="18">
        <v>0.08</v>
      </c>
      <c r="E1682" s="21">
        <f t="shared" si="175"/>
        <v>6.4340301100034303E-3</v>
      </c>
      <c r="F1682" s="5">
        <v>41968</v>
      </c>
      <c r="G1682" s="5">
        <v>42880</v>
      </c>
      <c r="H1682" s="16">
        <f t="shared" si="178"/>
        <v>912</v>
      </c>
      <c r="I1682" s="5">
        <v>42880</v>
      </c>
      <c r="J1682" s="5">
        <v>43000</v>
      </c>
      <c r="K1682" s="16">
        <f t="shared" si="179"/>
        <v>1032</v>
      </c>
      <c r="L1682" s="13">
        <v>9014.39</v>
      </c>
      <c r="M1682" s="15">
        <f t="shared" si="177"/>
        <v>327.42005424411167</v>
      </c>
      <c r="N1682" s="13">
        <v>9014.39</v>
      </c>
      <c r="O1682" s="13">
        <v>0</v>
      </c>
      <c r="P1682" s="11">
        <f t="shared" si="176"/>
        <v>1</v>
      </c>
    </row>
    <row r="1683" spans="1:16" ht="18.75" customHeight="1" thickBot="1" x14ac:dyDescent="0.3">
      <c r="A1683" s="3" t="s">
        <v>11</v>
      </c>
      <c r="B1683" s="4">
        <v>483069</v>
      </c>
      <c r="C1683" s="3" t="s">
        <v>9</v>
      </c>
      <c r="D1683" s="18">
        <v>9.5000000000000001E-2</v>
      </c>
      <c r="E1683" s="21">
        <f t="shared" si="175"/>
        <v>7.5915342905825689E-3</v>
      </c>
      <c r="F1683" s="5">
        <v>41968</v>
      </c>
      <c r="G1683" s="5">
        <v>44099</v>
      </c>
      <c r="H1683" s="16">
        <f t="shared" si="178"/>
        <v>2131</v>
      </c>
      <c r="I1683" s="5">
        <v>44099</v>
      </c>
      <c r="J1683" s="5">
        <v>43371</v>
      </c>
      <c r="K1683" s="16">
        <f t="shared" si="179"/>
        <v>1403</v>
      </c>
      <c r="L1683" s="13">
        <v>13527.82</v>
      </c>
      <c r="M1683" s="15">
        <f t="shared" si="177"/>
        <v>247.08925481762248</v>
      </c>
      <c r="N1683" s="13">
        <v>13527.82</v>
      </c>
      <c r="O1683" s="13">
        <v>0</v>
      </c>
      <c r="P1683" s="11">
        <f t="shared" si="176"/>
        <v>1</v>
      </c>
    </row>
    <row r="1684" spans="1:16" ht="18.75" customHeight="1" thickBot="1" x14ac:dyDescent="0.3">
      <c r="A1684" s="3" t="s">
        <v>11</v>
      </c>
      <c r="B1684" s="4">
        <v>906283</v>
      </c>
      <c r="C1684" s="3" t="s">
        <v>9</v>
      </c>
      <c r="D1684" s="18">
        <v>0.11</v>
      </c>
      <c r="E1684" s="21">
        <f t="shared" si="175"/>
        <v>8.7345938235519061E-3</v>
      </c>
      <c r="F1684" s="5">
        <v>41968</v>
      </c>
      <c r="G1684" s="5">
        <v>42333</v>
      </c>
      <c r="H1684" s="16">
        <f t="shared" si="178"/>
        <v>365</v>
      </c>
      <c r="I1684" s="5">
        <v>42333</v>
      </c>
      <c r="J1684" s="5">
        <v>42739</v>
      </c>
      <c r="K1684" s="16">
        <f t="shared" si="179"/>
        <v>771</v>
      </c>
      <c r="L1684" s="13">
        <v>826.05</v>
      </c>
      <c r="M1684" s="15">
        <f t="shared" si="177"/>
        <v>71.861819841919711</v>
      </c>
      <c r="N1684" s="13">
        <v>826.05</v>
      </c>
      <c r="O1684" s="13">
        <v>0</v>
      </c>
      <c r="P1684" s="11">
        <f t="shared" si="176"/>
        <v>1</v>
      </c>
    </row>
    <row r="1685" spans="1:16" ht="18.75" customHeight="1" thickBot="1" x14ac:dyDescent="0.3">
      <c r="A1685" s="3" t="s">
        <v>11</v>
      </c>
      <c r="B1685" s="4">
        <v>971366</v>
      </c>
      <c r="C1685" s="3" t="s">
        <v>9</v>
      </c>
      <c r="D1685" s="18">
        <v>0.12</v>
      </c>
      <c r="E1685" s="21">
        <f t="shared" si="175"/>
        <v>9.4887929345830457E-3</v>
      </c>
      <c r="F1685" s="5">
        <v>41974</v>
      </c>
      <c r="G1685" s="5">
        <v>42170</v>
      </c>
      <c r="H1685" s="16">
        <f t="shared" si="178"/>
        <v>196</v>
      </c>
      <c r="I1685" s="5">
        <v>42170</v>
      </c>
      <c r="J1685" s="5">
        <v>42061</v>
      </c>
      <c r="K1685" s="16">
        <f t="shared" si="179"/>
        <v>87</v>
      </c>
      <c r="L1685" s="13">
        <v>339.71</v>
      </c>
      <c r="M1685" s="15">
        <f t="shared" si="177"/>
        <v>53.871023979406168</v>
      </c>
      <c r="N1685" s="13">
        <v>339.71</v>
      </c>
      <c r="O1685" s="13">
        <v>0</v>
      </c>
      <c r="P1685" s="11">
        <f t="shared" si="176"/>
        <v>1</v>
      </c>
    </row>
    <row r="1686" spans="1:16" ht="18.75" customHeight="1" thickBot="1" x14ac:dyDescent="0.3">
      <c r="A1686" s="3" t="s">
        <v>11</v>
      </c>
      <c r="B1686" s="4">
        <v>120750</v>
      </c>
      <c r="C1686" s="3" t="s">
        <v>9</v>
      </c>
      <c r="D1686" s="18">
        <v>0.09</v>
      </c>
      <c r="E1686" s="21">
        <f t="shared" si="175"/>
        <v>7.2073233161367156E-3</v>
      </c>
      <c r="F1686" s="5">
        <v>41976</v>
      </c>
      <c r="G1686" s="5">
        <v>44564</v>
      </c>
      <c r="H1686" s="16">
        <f t="shared" si="178"/>
        <v>2588</v>
      </c>
      <c r="I1686" s="5">
        <v>44564</v>
      </c>
      <c r="J1686" s="5">
        <v>43649</v>
      </c>
      <c r="K1686" s="16">
        <f t="shared" si="179"/>
        <v>1673</v>
      </c>
      <c r="L1686" s="13">
        <v>10130.64</v>
      </c>
      <c r="M1686" s="15">
        <f t="shared" si="177"/>
        <v>158.10971542703368</v>
      </c>
      <c r="N1686" s="13">
        <v>9312.2000000000007</v>
      </c>
      <c r="O1686" s="13">
        <v>9312.2000000000007</v>
      </c>
      <c r="P1686" s="11">
        <f t="shared" si="176"/>
        <v>1</v>
      </c>
    </row>
    <row r="1687" spans="1:16" ht="18.75" customHeight="1" thickBot="1" x14ac:dyDescent="0.3">
      <c r="A1687" s="3" t="s">
        <v>11</v>
      </c>
      <c r="B1687" s="4">
        <v>28253</v>
      </c>
      <c r="C1687" s="3" t="s">
        <v>9</v>
      </c>
      <c r="D1687" s="18">
        <v>0.14000000000000001</v>
      </c>
      <c r="E1687" s="21">
        <f t="shared" si="175"/>
        <v>1.0978851950173452E-2</v>
      </c>
      <c r="F1687" s="5">
        <v>41981</v>
      </c>
      <c r="G1687" s="5">
        <v>42529</v>
      </c>
      <c r="H1687" s="16">
        <f t="shared" si="178"/>
        <v>548</v>
      </c>
      <c r="I1687" s="5">
        <v>42529</v>
      </c>
      <c r="J1687" s="5">
        <v>42558</v>
      </c>
      <c r="K1687" s="16">
        <f t="shared" si="179"/>
        <v>577</v>
      </c>
      <c r="L1687" s="13">
        <v>1388.74</v>
      </c>
      <c r="M1687" s="15">
        <f t="shared" si="177"/>
        <v>84.319128391026879</v>
      </c>
      <c r="N1687" s="13">
        <v>1388.74</v>
      </c>
      <c r="O1687" s="13">
        <v>0</v>
      </c>
      <c r="P1687" s="11">
        <f t="shared" si="176"/>
        <v>1</v>
      </c>
    </row>
    <row r="1688" spans="1:16" ht="18.75" customHeight="1" thickBot="1" x14ac:dyDescent="0.3">
      <c r="A1688" s="3" t="s">
        <v>11</v>
      </c>
      <c r="B1688" s="4">
        <v>193093</v>
      </c>
      <c r="C1688" s="3" t="s">
        <v>9</v>
      </c>
      <c r="D1688" s="18">
        <v>0.1</v>
      </c>
      <c r="E1688" s="21">
        <f t="shared" si="175"/>
        <v>7.9741404289037643E-3</v>
      </c>
      <c r="F1688" s="5">
        <v>41982</v>
      </c>
      <c r="G1688" s="5">
        <v>44539</v>
      </c>
      <c r="H1688" s="16">
        <f t="shared" si="178"/>
        <v>2557</v>
      </c>
      <c r="I1688" s="5">
        <v>44539</v>
      </c>
      <c r="J1688" s="5">
        <v>43633</v>
      </c>
      <c r="K1688" s="16">
        <f t="shared" si="179"/>
        <v>1651</v>
      </c>
      <c r="L1688" s="13">
        <v>12709.52</v>
      </c>
      <c r="M1688" s="15">
        <f t="shared" si="177"/>
        <v>206.0561329174713</v>
      </c>
      <c r="N1688" s="13">
        <v>11522.46</v>
      </c>
      <c r="O1688" s="13">
        <v>10889.69</v>
      </c>
      <c r="P1688" s="11">
        <f t="shared" si="176"/>
        <v>1</v>
      </c>
    </row>
    <row r="1689" spans="1:16" ht="18.75" customHeight="1" thickBot="1" x14ac:dyDescent="0.3">
      <c r="A1689" s="3" t="s">
        <v>11</v>
      </c>
      <c r="B1689" s="4">
        <v>155013</v>
      </c>
      <c r="C1689" s="3" t="s">
        <v>9</v>
      </c>
      <c r="D1689" s="18">
        <v>0.14000000000000001</v>
      </c>
      <c r="E1689" s="21">
        <f t="shared" si="175"/>
        <v>1.0978851950173452E-2</v>
      </c>
      <c r="F1689" s="5">
        <v>41985</v>
      </c>
      <c r="G1689" s="5">
        <v>42350</v>
      </c>
      <c r="H1689" s="16">
        <f t="shared" si="178"/>
        <v>365</v>
      </c>
      <c r="I1689" s="5">
        <v>42350</v>
      </c>
      <c r="J1689" s="5">
        <v>42181</v>
      </c>
      <c r="K1689" s="16">
        <f t="shared" si="179"/>
        <v>196</v>
      </c>
      <c r="L1689" s="13">
        <v>569.86</v>
      </c>
      <c r="M1689" s="15">
        <f t="shared" si="177"/>
        <v>50.291899585196788</v>
      </c>
      <c r="N1689" s="13">
        <v>569.86</v>
      </c>
      <c r="O1689" s="13">
        <v>0</v>
      </c>
      <c r="P1689" s="11">
        <f t="shared" si="176"/>
        <v>1</v>
      </c>
    </row>
    <row r="1690" spans="1:16" ht="18.75" customHeight="1" thickBot="1" x14ac:dyDescent="0.3">
      <c r="A1690" s="3" t="s">
        <v>11</v>
      </c>
      <c r="B1690" s="4">
        <v>602511</v>
      </c>
      <c r="C1690" s="3" t="s">
        <v>9</v>
      </c>
      <c r="D1690" s="18">
        <v>0.1</v>
      </c>
      <c r="E1690" s="21">
        <f t="shared" si="175"/>
        <v>7.9741404289037643E-3</v>
      </c>
      <c r="F1690" s="5">
        <v>41985</v>
      </c>
      <c r="G1690" s="5">
        <v>44177</v>
      </c>
      <c r="H1690" s="16">
        <f t="shared" si="178"/>
        <v>2192</v>
      </c>
      <c r="I1690" s="5">
        <v>44177</v>
      </c>
      <c r="J1690" s="5">
        <v>43173</v>
      </c>
      <c r="K1690" s="16">
        <f t="shared" si="179"/>
        <v>1188</v>
      </c>
      <c r="L1690" s="13">
        <v>12323.3</v>
      </c>
      <c r="M1690" s="15">
        <f t="shared" si="177"/>
        <v>223.1895987803606</v>
      </c>
      <c r="N1690" s="13">
        <v>12323.3</v>
      </c>
      <c r="O1690" s="13">
        <v>0</v>
      </c>
      <c r="P1690" s="11">
        <f t="shared" si="176"/>
        <v>1</v>
      </c>
    </row>
    <row r="1691" spans="1:16" ht="18.75" customHeight="1" thickBot="1" x14ac:dyDescent="0.3">
      <c r="A1691" s="3" t="s">
        <v>11</v>
      </c>
      <c r="B1691" s="4">
        <v>506889</v>
      </c>
      <c r="C1691" s="3" t="s">
        <v>9</v>
      </c>
      <c r="D1691" s="18">
        <v>0.14000000000000001</v>
      </c>
      <c r="E1691" s="21">
        <f t="shared" si="175"/>
        <v>1.0978851950173452E-2</v>
      </c>
      <c r="F1691" s="5">
        <v>41989</v>
      </c>
      <c r="G1691" s="5">
        <v>43578</v>
      </c>
      <c r="H1691" s="16">
        <f t="shared" si="178"/>
        <v>1589</v>
      </c>
      <c r="I1691" s="5">
        <v>43578</v>
      </c>
      <c r="J1691" s="5">
        <v>42464</v>
      </c>
      <c r="K1691" s="16">
        <f t="shared" si="179"/>
        <v>475</v>
      </c>
      <c r="L1691" s="13">
        <v>3116.48</v>
      </c>
      <c r="M1691" s="15">
        <f t="shared" si="177"/>
        <v>77.908504567260721</v>
      </c>
      <c r="N1691" s="13">
        <v>3116.48</v>
      </c>
      <c r="O1691" s="13">
        <v>0</v>
      </c>
      <c r="P1691" s="11">
        <f t="shared" si="176"/>
        <v>1</v>
      </c>
    </row>
    <row r="1692" spans="1:16" ht="18.75" customHeight="1" thickBot="1" x14ac:dyDescent="0.3">
      <c r="A1692" s="3" t="s">
        <v>11</v>
      </c>
      <c r="B1692" s="4">
        <v>27674</v>
      </c>
      <c r="C1692" s="3" t="s">
        <v>9</v>
      </c>
      <c r="D1692" s="18">
        <v>0.12</v>
      </c>
      <c r="E1692" s="21">
        <f t="shared" si="175"/>
        <v>9.4887929345830457E-3</v>
      </c>
      <c r="F1692" s="5">
        <v>41990</v>
      </c>
      <c r="G1692" s="5">
        <v>43513</v>
      </c>
      <c r="H1692" s="16">
        <f t="shared" si="178"/>
        <v>1523</v>
      </c>
      <c r="I1692" s="5">
        <v>43513</v>
      </c>
      <c r="J1692" s="5">
        <v>43210</v>
      </c>
      <c r="K1692" s="16">
        <f t="shared" si="179"/>
        <v>1220</v>
      </c>
      <c r="L1692" s="13">
        <v>4660.6499999999996</v>
      </c>
      <c r="M1692" s="15">
        <f t="shared" si="177"/>
        <v>116.11233883053936</v>
      </c>
      <c r="N1692" s="13">
        <v>4660.6499999999996</v>
      </c>
      <c r="O1692" s="13">
        <v>0</v>
      </c>
      <c r="P1692" s="11">
        <f t="shared" si="176"/>
        <v>1</v>
      </c>
    </row>
    <row r="1693" spans="1:16" ht="18.75" customHeight="1" thickBot="1" x14ac:dyDescent="0.3">
      <c r="A1693" s="3" t="s">
        <v>11</v>
      </c>
      <c r="B1693" s="4">
        <v>946925</v>
      </c>
      <c r="C1693" s="3" t="s">
        <v>9</v>
      </c>
      <c r="D1693" s="18">
        <v>0.1</v>
      </c>
      <c r="E1693" s="21">
        <f t="shared" si="175"/>
        <v>7.9741404289037643E-3</v>
      </c>
      <c r="F1693" s="5">
        <v>41991</v>
      </c>
      <c r="G1693" s="5">
        <v>44122</v>
      </c>
      <c r="H1693" s="16">
        <f t="shared" si="178"/>
        <v>2131</v>
      </c>
      <c r="I1693" s="5">
        <v>44122</v>
      </c>
      <c r="J1693" s="5">
        <v>43301</v>
      </c>
      <c r="K1693" s="16">
        <f t="shared" si="179"/>
        <v>1310</v>
      </c>
      <c r="L1693" s="13">
        <v>1675.66</v>
      </c>
      <c r="M1693" s="15">
        <f t="shared" si="177"/>
        <v>30.989581729183762</v>
      </c>
      <c r="N1693" s="13">
        <v>1675.66</v>
      </c>
      <c r="O1693" s="13">
        <v>0</v>
      </c>
      <c r="P1693" s="11">
        <f t="shared" si="176"/>
        <v>1</v>
      </c>
    </row>
    <row r="1694" spans="1:16" ht="18.75" hidden="1" customHeight="1" thickBot="1" x14ac:dyDescent="0.3">
      <c r="A1694" s="3" t="s">
        <v>11</v>
      </c>
      <c r="B1694" s="4">
        <v>447234</v>
      </c>
      <c r="C1694" s="3" t="s">
        <v>9</v>
      </c>
      <c r="D1694" s="18">
        <v>0.1</v>
      </c>
      <c r="E1694" s="21">
        <f t="shared" si="175"/>
        <v>7.9741404289037643E-3</v>
      </c>
      <c r="F1694" s="5">
        <v>41992</v>
      </c>
      <c r="G1694" s="5">
        <v>42357</v>
      </c>
      <c r="H1694" s="16">
        <f t="shared" si="178"/>
        <v>365</v>
      </c>
      <c r="I1694" s="5">
        <v>42357</v>
      </c>
      <c r="J1694" s="2"/>
      <c r="K1694" s="16">
        <f t="shared" si="179"/>
        <v>-41992</v>
      </c>
      <c r="L1694" s="13">
        <v>2318.38</v>
      </c>
      <c r="M1694" s="15">
        <f t="shared" si="177"/>
        <v>200.70291245113071</v>
      </c>
      <c r="N1694" s="13">
        <v>2318.38</v>
      </c>
      <c r="O1694" s="13">
        <v>0</v>
      </c>
      <c r="P1694" s="11">
        <f t="shared" si="176"/>
        <v>1</v>
      </c>
    </row>
    <row r="1695" spans="1:16" ht="18.75" hidden="1" customHeight="1" thickBot="1" x14ac:dyDescent="0.3">
      <c r="A1695" s="3" t="s">
        <v>11</v>
      </c>
      <c r="B1695" s="4">
        <v>305583</v>
      </c>
      <c r="C1695" s="3" t="s">
        <v>9</v>
      </c>
      <c r="D1695" s="18">
        <v>0.1</v>
      </c>
      <c r="E1695" s="21">
        <f t="shared" si="175"/>
        <v>7.9741404289037643E-3</v>
      </c>
      <c r="F1695" s="5">
        <v>41992</v>
      </c>
      <c r="G1695" s="5">
        <v>42357</v>
      </c>
      <c r="H1695" s="16">
        <f t="shared" si="178"/>
        <v>365</v>
      </c>
      <c r="I1695" s="5">
        <v>42357</v>
      </c>
      <c r="J1695" s="2"/>
      <c r="K1695" s="16">
        <f t="shared" si="179"/>
        <v>-41992</v>
      </c>
      <c r="L1695" s="13">
        <v>7060.58</v>
      </c>
      <c r="M1695" s="15">
        <f t="shared" si="177"/>
        <v>611.23671252952693</v>
      </c>
      <c r="N1695" s="13">
        <v>7060.58</v>
      </c>
      <c r="O1695" s="13">
        <v>0</v>
      </c>
      <c r="P1695" s="11">
        <f t="shared" si="176"/>
        <v>1</v>
      </c>
    </row>
    <row r="1696" spans="1:16" ht="18.75" customHeight="1" thickBot="1" x14ac:dyDescent="0.3">
      <c r="A1696" s="3" t="s">
        <v>11</v>
      </c>
      <c r="B1696" s="4">
        <v>962823</v>
      </c>
      <c r="C1696" s="3" t="s">
        <v>9</v>
      </c>
      <c r="D1696" s="18">
        <v>0.09</v>
      </c>
      <c r="E1696" s="21">
        <f t="shared" si="175"/>
        <v>7.2073233161367156E-3</v>
      </c>
      <c r="F1696" s="5">
        <v>42002</v>
      </c>
      <c r="G1696" s="5">
        <v>43463</v>
      </c>
      <c r="H1696" s="16">
        <f t="shared" si="178"/>
        <v>1461</v>
      </c>
      <c r="I1696" s="5">
        <v>43463</v>
      </c>
      <c r="J1696" s="5">
        <v>43210</v>
      </c>
      <c r="K1696" s="16">
        <f t="shared" si="179"/>
        <v>1208</v>
      </c>
      <c r="L1696" s="13">
        <v>17252.54</v>
      </c>
      <c r="M1696" s="15">
        <f t="shared" si="177"/>
        <v>421.32566473408491</v>
      </c>
      <c r="N1696" s="13">
        <v>17252.54</v>
      </c>
      <c r="O1696" s="13">
        <v>0</v>
      </c>
      <c r="P1696" s="11">
        <f t="shared" si="176"/>
        <v>1</v>
      </c>
    </row>
    <row r="1697" spans="1:16" ht="18.75" customHeight="1" thickBot="1" x14ac:dyDescent="0.3">
      <c r="A1697" s="3" t="s">
        <v>11</v>
      </c>
      <c r="B1697" s="4">
        <v>99016</v>
      </c>
      <c r="C1697" s="3" t="s">
        <v>9</v>
      </c>
      <c r="D1697" s="18">
        <v>0.09</v>
      </c>
      <c r="E1697" s="21">
        <f t="shared" si="175"/>
        <v>7.2073233161367156E-3</v>
      </c>
      <c r="F1697" s="5">
        <v>42003</v>
      </c>
      <c r="G1697" s="5">
        <v>43365</v>
      </c>
      <c r="H1697" s="16">
        <f t="shared" si="178"/>
        <v>1362</v>
      </c>
      <c r="I1697" s="5">
        <v>43365</v>
      </c>
      <c r="J1697" s="5">
        <v>43098</v>
      </c>
      <c r="K1697" s="16">
        <f t="shared" si="179"/>
        <v>1095</v>
      </c>
      <c r="L1697" s="13">
        <v>20000</v>
      </c>
      <c r="M1697" s="15">
        <f t="shared" si="177"/>
        <v>518.09700922751176</v>
      </c>
      <c r="N1697" s="13">
        <v>20000</v>
      </c>
      <c r="O1697" s="13">
        <v>0</v>
      </c>
      <c r="P1697" s="11">
        <f t="shared" si="176"/>
        <v>1</v>
      </c>
    </row>
    <row r="1698" spans="1:16" ht="18.75" customHeight="1" thickBot="1" x14ac:dyDescent="0.3">
      <c r="A1698" s="3" t="s">
        <v>11</v>
      </c>
      <c r="B1698" s="4">
        <v>577698</v>
      </c>
      <c r="C1698" s="3" t="s">
        <v>9</v>
      </c>
      <c r="D1698" s="18">
        <v>0.14000000000000001</v>
      </c>
      <c r="E1698" s="21">
        <f t="shared" si="175"/>
        <v>1.0978851950173452E-2</v>
      </c>
      <c r="F1698" s="5">
        <v>42003</v>
      </c>
      <c r="G1698" s="5">
        <v>42916</v>
      </c>
      <c r="H1698" s="16">
        <f t="shared" si="178"/>
        <v>913</v>
      </c>
      <c r="I1698" s="5">
        <v>42916</v>
      </c>
      <c r="J1698" s="5">
        <v>42991</v>
      </c>
      <c r="K1698" s="16">
        <f t="shared" si="179"/>
        <v>988</v>
      </c>
      <c r="L1698" s="13">
        <v>9761.1200000000008</v>
      </c>
      <c r="M1698" s="15">
        <f t="shared" si="177"/>
        <v>379.0403701558659</v>
      </c>
      <c r="N1698" s="13">
        <v>9761.1200000000008</v>
      </c>
      <c r="O1698" s="13">
        <v>0</v>
      </c>
      <c r="P1698" s="11">
        <f t="shared" si="176"/>
        <v>1</v>
      </c>
    </row>
    <row r="1699" spans="1:16" ht="18.75" hidden="1" customHeight="1" thickBot="1" x14ac:dyDescent="0.3">
      <c r="A1699" s="3" t="s">
        <v>11</v>
      </c>
      <c r="B1699" s="4">
        <v>342248</v>
      </c>
      <c r="C1699" s="3" t="s">
        <v>9</v>
      </c>
      <c r="D1699" s="7">
        <v>9.9999999999999995E-8</v>
      </c>
      <c r="E1699" s="7">
        <f t="shared" ref="E1699" si="180">D1699/12</f>
        <v>8.3333333333333335E-9</v>
      </c>
      <c r="F1699" s="5">
        <v>42016</v>
      </c>
      <c r="G1699" s="5">
        <v>46307</v>
      </c>
      <c r="H1699" s="8">
        <f t="shared" si="178"/>
        <v>4291</v>
      </c>
      <c r="I1699" s="5">
        <v>46307</v>
      </c>
      <c r="J1699" s="5">
        <v>42810</v>
      </c>
      <c r="K1699" s="8">
        <f t="shared" si="179"/>
        <v>794</v>
      </c>
      <c r="L1699" s="6">
        <v>850</v>
      </c>
      <c r="M1699" s="9">
        <f t="shared" si="177"/>
        <v>5.9426742725576052</v>
      </c>
      <c r="N1699" s="6">
        <v>850</v>
      </c>
      <c r="O1699" s="6">
        <v>850</v>
      </c>
      <c r="P1699" s="6">
        <v>8600</v>
      </c>
    </row>
    <row r="1700" spans="1:16" ht="18.75" customHeight="1" thickBot="1" x14ac:dyDescent="0.3">
      <c r="A1700" s="3" t="s">
        <v>11</v>
      </c>
      <c r="B1700" s="4">
        <v>516815</v>
      </c>
      <c r="C1700" s="3" t="s">
        <v>9</v>
      </c>
      <c r="D1700" s="18">
        <v>0.1</v>
      </c>
      <c r="E1700" s="21">
        <f t="shared" ref="E1700:E1763" si="181">(1+D1700)^(1/12)-1</f>
        <v>7.9741404289037643E-3</v>
      </c>
      <c r="F1700" s="5">
        <v>42017</v>
      </c>
      <c r="G1700" s="5">
        <v>43659</v>
      </c>
      <c r="H1700" s="16">
        <f t="shared" si="178"/>
        <v>1642</v>
      </c>
      <c r="I1700" s="5">
        <v>43659</v>
      </c>
      <c r="J1700" s="5">
        <v>42341</v>
      </c>
      <c r="K1700" s="16">
        <f t="shared" si="179"/>
        <v>324</v>
      </c>
      <c r="L1700" s="13">
        <v>5497.78</v>
      </c>
      <c r="M1700" s="15">
        <f t="shared" si="177"/>
        <v>124.34984389107464</v>
      </c>
      <c r="N1700" s="13">
        <v>5497.78</v>
      </c>
      <c r="O1700" s="13">
        <v>0</v>
      </c>
      <c r="P1700" s="11">
        <f t="shared" ref="P1700:P1763" si="182">IF((G1700)&gt;(ConstantDateCutoff),1,0)</f>
        <v>1</v>
      </c>
    </row>
    <row r="1701" spans="1:16" ht="18.75" customHeight="1" thickBot="1" x14ac:dyDescent="0.3">
      <c r="A1701" s="3" t="s">
        <v>11</v>
      </c>
      <c r="B1701" s="4">
        <v>812751</v>
      </c>
      <c r="C1701" s="3" t="s">
        <v>9</v>
      </c>
      <c r="D1701" s="18">
        <v>0.1</v>
      </c>
      <c r="E1701" s="21">
        <f t="shared" si="181"/>
        <v>7.9741404289037643E-3</v>
      </c>
      <c r="F1701" s="5">
        <v>42030</v>
      </c>
      <c r="G1701" s="5">
        <v>44222</v>
      </c>
      <c r="H1701" s="16">
        <f t="shared" si="178"/>
        <v>2192</v>
      </c>
      <c r="I1701" s="5">
        <v>44222</v>
      </c>
      <c r="J1701" s="5">
        <v>42991</v>
      </c>
      <c r="K1701" s="16">
        <f t="shared" si="179"/>
        <v>961</v>
      </c>
      <c r="L1701" s="13">
        <v>3060</v>
      </c>
      <c r="M1701" s="15">
        <f t="shared" si="177"/>
        <v>55.420234212256744</v>
      </c>
      <c r="N1701" s="13">
        <v>3060</v>
      </c>
      <c r="O1701" s="13">
        <v>0</v>
      </c>
      <c r="P1701" s="11">
        <f t="shared" si="182"/>
        <v>1</v>
      </c>
    </row>
    <row r="1702" spans="1:16" ht="18.75" customHeight="1" thickBot="1" x14ac:dyDescent="0.3">
      <c r="A1702" s="3" t="s">
        <v>11</v>
      </c>
      <c r="B1702" s="4">
        <v>809906</v>
      </c>
      <c r="C1702" s="3" t="s">
        <v>9</v>
      </c>
      <c r="D1702" s="18">
        <v>0.1</v>
      </c>
      <c r="E1702" s="21">
        <f t="shared" si="181"/>
        <v>7.9741404289037643E-3</v>
      </c>
      <c r="F1702" s="5">
        <v>42039</v>
      </c>
      <c r="G1702" s="5">
        <v>44381</v>
      </c>
      <c r="H1702" s="16">
        <f t="shared" si="178"/>
        <v>2342</v>
      </c>
      <c r="I1702" s="5">
        <v>44381</v>
      </c>
      <c r="J1702" s="5">
        <v>42558</v>
      </c>
      <c r="K1702" s="16">
        <f t="shared" si="179"/>
        <v>519</v>
      </c>
      <c r="L1702" s="13">
        <v>42185.88</v>
      </c>
      <c r="M1702" s="15">
        <f t="shared" si="177"/>
        <v>728.00388866225171</v>
      </c>
      <c r="N1702" s="13">
        <v>42185.88</v>
      </c>
      <c r="O1702" s="13">
        <v>3000</v>
      </c>
      <c r="P1702" s="11">
        <f t="shared" si="182"/>
        <v>1</v>
      </c>
    </row>
    <row r="1703" spans="1:16" ht="18.75" customHeight="1" thickBot="1" x14ac:dyDescent="0.3">
      <c r="A1703" s="3" t="s">
        <v>11</v>
      </c>
      <c r="B1703" s="4">
        <v>796632</v>
      </c>
      <c r="C1703" s="3" t="s">
        <v>9</v>
      </c>
      <c r="D1703" s="18">
        <v>0.14000000000000001</v>
      </c>
      <c r="E1703" s="21">
        <f t="shared" si="181"/>
        <v>1.0978851950173452E-2</v>
      </c>
      <c r="F1703" s="5">
        <v>42047</v>
      </c>
      <c r="G1703" s="5">
        <v>42594</v>
      </c>
      <c r="H1703" s="16">
        <f t="shared" si="178"/>
        <v>547</v>
      </c>
      <c r="I1703" s="5">
        <v>42594</v>
      </c>
      <c r="J1703" s="5">
        <v>42404</v>
      </c>
      <c r="K1703" s="16">
        <f t="shared" si="179"/>
        <v>357</v>
      </c>
      <c r="L1703" s="13">
        <v>1824.22</v>
      </c>
      <c r="M1703" s="15">
        <f t="shared" si="177"/>
        <v>110.94281916114039</v>
      </c>
      <c r="N1703" s="13">
        <v>1824.22</v>
      </c>
      <c r="O1703" s="13">
        <v>0</v>
      </c>
      <c r="P1703" s="11">
        <f t="shared" si="182"/>
        <v>1</v>
      </c>
    </row>
    <row r="1704" spans="1:16" ht="18.75" customHeight="1" thickBot="1" x14ac:dyDescent="0.3">
      <c r="A1704" s="3" t="s">
        <v>11</v>
      </c>
      <c r="B1704" s="4">
        <v>853172</v>
      </c>
      <c r="C1704" s="3" t="s">
        <v>9</v>
      </c>
      <c r="D1704" s="18">
        <v>0.1</v>
      </c>
      <c r="E1704" s="21">
        <f t="shared" si="181"/>
        <v>7.9741404289037643E-3</v>
      </c>
      <c r="F1704" s="5">
        <v>42058</v>
      </c>
      <c r="G1704" s="5">
        <v>42789</v>
      </c>
      <c r="H1704" s="16">
        <f t="shared" si="178"/>
        <v>731</v>
      </c>
      <c r="I1704" s="5">
        <v>42789</v>
      </c>
      <c r="J1704" s="5">
        <v>42450</v>
      </c>
      <c r="K1704" s="16">
        <f t="shared" si="179"/>
        <v>392</v>
      </c>
      <c r="L1704" s="13">
        <v>1566.33</v>
      </c>
      <c r="M1704" s="15">
        <f t="shared" si="177"/>
        <v>70.984004637154968</v>
      </c>
      <c r="N1704" s="13">
        <v>1566.33</v>
      </c>
      <c r="O1704" s="13">
        <v>0</v>
      </c>
      <c r="P1704" s="11">
        <f t="shared" si="182"/>
        <v>1</v>
      </c>
    </row>
    <row r="1705" spans="1:16" ht="18.75" customHeight="1" thickBot="1" x14ac:dyDescent="0.3">
      <c r="A1705" s="3" t="s">
        <v>11</v>
      </c>
      <c r="B1705" s="4">
        <v>576095</v>
      </c>
      <c r="C1705" s="3" t="s">
        <v>9</v>
      </c>
      <c r="D1705" s="18">
        <v>0.1</v>
      </c>
      <c r="E1705" s="21">
        <f t="shared" si="181"/>
        <v>7.9741404289037643E-3</v>
      </c>
      <c r="F1705" s="5">
        <v>42061</v>
      </c>
      <c r="G1705" s="5">
        <v>44768</v>
      </c>
      <c r="H1705" s="16">
        <f t="shared" si="178"/>
        <v>2707</v>
      </c>
      <c r="I1705" s="5">
        <v>44768</v>
      </c>
      <c r="J1705" s="5">
        <v>43644</v>
      </c>
      <c r="K1705" s="16">
        <f t="shared" si="179"/>
        <v>1583</v>
      </c>
      <c r="L1705" s="13">
        <v>8134.78</v>
      </c>
      <c r="M1705" s="15">
        <f t="shared" si="177"/>
        <v>126.78698338691511</v>
      </c>
      <c r="N1705" s="13">
        <v>8134.78</v>
      </c>
      <c r="O1705" s="13">
        <v>0</v>
      </c>
      <c r="P1705" s="11">
        <f t="shared" si="182"/>
        <v>1</v>
      </c>
    </row>
    <row r="1706" spans="1:16" ht="18.75" customHeight="1" thickBot="1" x14ac:dyDescent="0.3">
      <c r="A1706" s="3" t="s">
        <v>11</v>
      </c>
      <c r="B1706" s="4">
        <v>530851</v>
      </c>
      <c r="C1706" s="3" t="s">
        <v>9</v>
      </c>
      <c r="D1706" s="18">
        <v>0.09</v>
      </c>
      <c r="E1706" s="21">
        <f t="shared" si="181"/>
        <v>7.2073233161367156E-3</v>
      </c>
      <c r="F1706" s="5">
        <v>42062</v>
      </c>
      <c r="G1706" s="5">
        <v>44628</v>
      </c>
      <c r="H1706" s="16">
        <f t="shared" si="178"/>
        <v>2566</v>
      </c>
      <c r="I1706" s="5">
        <v>44628</v>
      </c>
      <c r="J1706" s="5">
        <v>43654</v>
      </c>
      <c r="K1706" s="16">
        <f t="shared" si="179"/>
        <v>1592</v>
      </c>
      <c r="L1706" s="13">
        <v>9185.01</v>
      </c>
      <c r="M1706" s="15">
        <f t="shared" si="177"/>
        <v>144.23882603372022</v>
      </c>
      <c r="N1706" s="13">
        <v>8426.5499999999993</v>
      </c>
      <c r="O1706" s="13">
        <v>8426.5499999999993</v>
      </c>
      <c r="P1706" s="11">
        <f t="shared" si="182"/>
        <v>1</v>
      </c>
    </row>
    <row r="1707" spans="1:16" ht="18.75" customHeight="1" thickBot="1" x14ac:dyDescent="0.3">
      <c r="A1707" s="3" t="s">
        <v>11</v>
      </c>
      <c r="B1707" s="4">
        <v>22899</v>
      </c>
      <c r="C1707" s="3" t="s">
        <v>9</v>
      </c>
      <c r="D1707" s="18">
        <v>0.14000000000000001</v>
      </c>
      <c r="E1707" s="21">
        <f t="shared" si="181"/>
        <v>1.0978851950173452E-2</v>
      </c>
      <c r="F1707" s="5">
        <v>42062</v>
      </c>
      <c r="G1707" s="5">
        <v>44070</v>
      </c>
      <c r="H1707" s="16">
        <f t="shared" si="178"/>
        <v>2008</v>
      </c>
      <c r="I1707" s="5">
        <v>44070</v>
      </c>
      <c r="J1707" s="5">
        <v>42670</v>
      </c>
      <c r="K1707" s="16">
        <f t="shared" si="179"/>
        <v>608</v>
      </c>
      <c r="L1707" s="13">
        <v>7917.88</v>
      </c>
      <c r="M1707" s="15">
        <f t="shared" si="177"/>
        <v>167.65561331188778</v>
      </c>
      <c r="N1707" s="13">
        <v>7917.88</v>
      </c>
      <c r="O1707" s="13">
        <v>0</v>
      </c>
      <c r="P1707" s="11">
        <f t="shared" si="182"/>
        <v>1</v>
      </c>
    </row>
    <row r="1708" spans="1:16" ht="18.75" customHeight="1" thickBot="1" x14ac:dyDescent="0.3">
      <c r="A1708" s="3" t="s">
        <v>11</v>
      </c>
      <c r="B1708" s="4">
        <v>7719</v>
      </c>
      <c r="C1708" s="3" t="s">
        <v>9</v>
      </c>
      <c r="D1708" s="18">
        <v>0.1</v>
      </c>
      <c r="E1708" s="21">
        <f t="shared" si="181"/>
        <v>7.9741404289037643E-3</v>
      </c>
      <c r="F1708" s="5">
        <v>42065</v>
      </c>
      <c r="G1708" s="5">
        <v>42643</v>
      </c>
      <c r="H1708" s="16">
        <f t="shared" si="178"/>
        <v>578</v>
      </c>
      <c r="I1708" s="5">
        <v>42643</v>
      </c>
      <c r="J1708" s="5">
        <v>42529</v>
      </c>
      <c r="K1708" s="16">
        <f t="shared" si="179"/>
        <v>464</v>
      </c>
      <c r="L1708" s="13">
        <v>1281.1600000000001</v>
      </c>
      <c r="M1708" s="15">
        <f t="shared" si="177"/>
        <v>71.999269729344903</v>
      </c>
      <c r="N1708" s="13">
        <v>1281.1600000000001</v>
      </c>
      <c r="O1708" s="13">
        <v>0</v>
      </c>
      <c r="P1708" s="11">
        <f t="shared" si="182"/>
        <v>1</v>
      </c>
    </row>
    <row r="1709" spans="1:16" ht="18.75" customHeight="1" thickBot="1" x14ac:dyDescent="0.3">
      <c r="A1709" s="3" t="s">
        <v>11</v>
      </c>
      <c r="B1709" s="4">
        <v>420428</v>
      </c>
      <c r="C1709" s="3" t="s">
        <v>9</v>
      </c>
      <c r="D1709" s="18">
        <v>0.1</v>
      </c>
      <c r="E1709" s="21">
        <f t="shared" si="181"/>
        <v>7.9741404289037643E-3</v>
      </c>
      <c r="F1709" s="5">
        <v>42065</v>
      </c>
      <c r="G1709" s="5">
        <v>42796</v>
      </c>
      <c r="H1709" s="16">
        <f t="shared" si="178"/>
        <v>731</v>
      </c>
      <c r="I1709" s="5">
        <v>42796</v>
      </c>
      <c r="J1709" s="5">
        <v>42282</v>
      </c>
      <c r="K1709" s="16">
        <f t="shared" si="179"/>
        <v>217</v>
      </c>
      <c r="L1709" s="13">
        <v>2391.5100000000002</v>
      </c>
      <c r="M1709" s="15">
        <f t="shared" si="177"/>
        <v>108.38007120453705</v>
      </c>
      <c r="N1709" s="13">
        <v>2391.5100000000002</v>
      </c>
      <c r="O1709" s="13">
        <v>0</v>
      </c>
      <c r="P1709" s="11">
        <f t="shared" si="182"/>
        <v>1</v>
      </c>
    </row>
    <row r="1710" spans="1:16" ht="18.75" customHeight="1" thickBot="1" x14ac:dyDescent="0.3">
      <c r="A1710" s="3" t="s">
        <v>11</v>
      </c>
      <c r="B1710" s="4">
        <v>791929</v>
      </c>
      <c r="C1710" s="3" t="s">
        <v>9</v>
      </c>
      <c r="D1710" s="18">
        <v>0.11</v>
      </c>
      <c r="E1710" s="21">
        <f t="shared" si="181"/>
        <v>8.7345938235519061E-3</v>
      </c>
      <c r="F1710" s="5">
        <v>42065</v>
      </c>
      <c r="G1710" s="5">
        <v>43892</v>
      </c>
      <c r="H1710" s="16">
        <f t="shared" si="178"/>
        <v>1827</v>
      </c>
      <c r="I1710" s="5">
        <v>43892</v>
      </c>
      <c r="J1710" s="5">
        <v>42857</v>
      </c>
      <c r="K1710" s="16">
        <f t="shared" si="179"/>
        <v>792</v>
      </c>
      <c r="L1710" s="13">
        <v>6372.18</v>
      </c>
      <c r="M1710" s="15">
        <f t="shared" si="177"/>
        <v>135.36411102310348</v>
      </c>
      <c r="N1710" s="13">
        <v>6372.18</v>
      </c>
      <c r="O1710" s="13">
        <v>0</v>
      </c>
      <c r="P1710" s="11">
        <f t="shared" si="182"/>
        <v>1</v>
      </c>
    </row>
    <row r="1711" spans="1:16" ht="18.75" customHeight="1" thickBot="1" x14ac:dyDescent="0.3">
      <c r="A1711" s="3" t="s">
        <v>11</v>
      </c>
      <c r="B1711" s="4">
        <v>251947</v>
      </c>
      <c r="C1711" s="3" t="s">
        <v>9</v>
      </c>
      <c r="D1711" s="18">
        <v>0.14000000000000001</v>
      </c>
      <c r="E1711" s="21">
        <f t="shared" si="181"/>
        <v>1.0978851950173452E-2</v>
      </c>
      <c r="F1711" s="5">
        <v>42067</v>
      </c>
      <c r="G1711" s="5">
        <v>44047</v>
      </c>
      <c r="H1711" s="16">
        <f t="shared" si="178"/>
        <v>1980</v>
      </c>
      <c r="I1711" s="5">
        <v>44047</v>
      </c>
      <c r="J1711" s="5">
        <v>43535</v>
      </c>
      <c r="K1711" s="16">
        <f t="shared" si="179"/>
        <v>1468</v>
      </c>
      <c r="L1711" s="13">
        <v>11219.97</v>
      </c>
      <c r="M1711" s="15">
        <f t="shared" si="177"/>
        <v>239.85666281891176</v>
      </c>
      <c r="N1711" s="13">
        <v>10916.14</v>
      </c>
      <c r="O1711" s="13">
        <v>0</v>
      </c>
      <c r="P1711" s="11">
        <f t="shared" si="182"/>
        <v>1</v>
      </c>
    </row>
    <row r="1712" spans="1:16" ht="18.75" customHeight="1" thickBot="1" x14ac:dyDescent="0.3">
      <c r="A1712" s="3" t="s">
        <v>11</v>
      </c>
      <c r="B1712" s="4">
        <v>138185</v>
      </c>
      <c r="C1712" s="3" t="s">
        <v>9</v>
      </c>
      <c r="D1712" s="18">
        <v>0.11</v>
      </c>
      <c r="E1712" s="21">
        <f t="shared" si="181"/>
        <v>8.7345938235519061E-3</v>
      </c>
      <c r="F1712" s="5">
        <v>42069</v>
      </c>
      <c r="G1712" s="5">
        <v>43896</v>
      </c>
      <c r="H1712" s="16">
        <f t="shared" si="178"/>
        <v>1827</v>
      </c>
      <c r="I1712" s="5">
        <v>43896</v>
      </c>
      <c r="J1712" s="5">
        <v>42662</v>
      </c>
      <c r="K1712" s="16">
        <f t="shared" si="179"/>
        <v>593</v>
      </c>
      <c r="L1712" s="13">
        <v>8000</v>
      </c>
      <c r="M1712" s="15">
        <f t="shared" si="177"/>
        <v>169.94386351057688</v>
      </c>
      <c r="N1712" s="13">
        <v>8000</v>
      </c>
      <c r="O1712" s="13">
        <v>0</v>
      </c>
      <c r="P1712" s="11">
        <f t="shared" si="182"/>
        <v>1</v>
      </c>
    </row>
    <row r="1713" spans="1:16" ht="18.75" customHeight="1" thickBot="1" x14ac:dyDescent="0.3">
      <c r="A1713" s="3" t="s">
        <v>11</v>
      </c>
      <c r="B1713" s="4">
        <v>584535</v>
      </c>
      <c r="C1713" s="3" t="s">
        <v>9</v>
      </c>
      <c r="D1713" s="18">
        <v>0.12</v>
      </c>
      <c r="E1713" s="21">
        <f t="shared" si="181"/>
        <v>9.4887929345830457E-3</v>
      </c>
      <c r="F1713" s="5">
        <v>42072</v>
      </c>
      <c r="G1713" s="5">
        <v>42803</v>
      </c>
      <c r="H1713" s="16">
        <f t="shared" si="178"/>
        <v>731</v>
      </c>
      <c r="I1713" s="5">
        <v>42803</v>
      </c>
      <c r="J1713" s="5">
        <v>42516</v>
      </c>
      <c r="K1713" s="16">
        <f t="shared" si="179"/>
        <v>444</v>
      </c>
      <c r="L1713" s="13">
        <v>4666.8999999999996</v>
      </c>
      <c r="M1713" s="15">
        <f t="shared" si="177"/>
        <v>215.42537957888507</v>
      </c>
      <c r="N1713" s="13">
        <v>4666.8999999999996</v>
      </c>
      <c r="O1713" s="13">
        <v>0</v>
      </c>
      <c r="P1713" s="11">
        <f t="shared" si="182"/>
        <v>1</v>
      </c>
    </row>
    <row r="1714" spans="1:16" ht="18.75" customHeight="1" thickBot="1" x14ac:dyDescent="0.3">
      <c r="A1714" s="3" t="s">
        <v>11</v>
      </c>
      <c r="B1714" s="4">
        <v>46921</v>
      </c>
      <c r="C1714" s="3" t="s">
        <v>9</v>
      </c>
      <c r="D1714" s="18">
        <v>0.14000000000000001</v>
      </c>
      <c r="E1714" s="21">
        <f t="shared" si="181"/>
        <v>1.0978851950173452E-2</v>
      </c>
      <c r="F1714" s="5">
        <v>42073</v>
      </c>
      <c r="G1714" s="5">
        <v>43534</v>
      </c>
      <c r="H1714" s="16">
        <f t="shared" si="178"/>
        <v>1461</v>
      </c>
      <c r="I1714" s="5">
        <v>43534</v>
      </c>
      <c r="J1714" s="5">
        <v>42457</v>
      </c>
      <c r="K1714" s="16">
        <f t="shared" si="179"/>
        <v>384</v>
      </c>
      <c r="L1714" s="13">
        <v>8578.7800000000007</v>
      </c>
      <c r="M1714" s="15">
        <f t="shared" si="177"/>
        <v>228.36755009395787</v>
      </c>
      <c r="N1714" s="13">
        <v>8578.7800000000007</v>
      </c>
      <c r="O1714" s="13">
        <v>0</v>
      </c>
      <c r="P1714" s="11">
        <f t="shared" si="182"/>
        <v>1</v>
      </c>
    </row>
    <row r="1715" spans="1:16" ht="18.75" customHeight="1" thickBot="1" x14ac:dyDescent="0.3">
      <c r="A1715" s="3" t="s">
        <v>11</v>
      </c>
      <c r="B1715" s="4">
        <v>477751</v>
      </c>
      <c r="C1715" s="3" t="s">
        <v>9</v>
      </c>
      <c r="D1715" s="18">
        <v>0.105</v>
      </c>
      <c r="E1715" s="21">
        <f t="shared" si="181"/>
        <v>8.355155683635207E-3</v>
      </c>
      <c r="F1715" s="5">
        <v>42074</v>
      </c>
      <c r="G1715" s="5">
        <v>42715</v>
      </c>
      <c r="H1715" s="16">
        <f t="shared" si="178"/>
        <v>641</v>
      </c>
      <c r="I1715" s="5">
        <v>42715</v>
      </c>
      <c r="J1715" s="5">
        <v>42514</v>
      </c>
      <c r="K1715" s="16">
        <f t="shared" si="179"/>
        <v>440</v>
      </c>
      <c r="L1715" s="13">
        <v>2087.9299999999998</v>
      </c>
      <c r="M1715" s="15">
        <f t="shared" si="177"/>
        <v>107.10749720820129</v>
      </c>
      <c r="N1715" s="13">
        <v>2087.9299999999998</v>
      </c>
      <c r="O1715" s="13">
        <v>0</v>
      </c>
      <c r="P1715" s="11">
        <f t="shared" si="182"/>
        <v>1</v>
      </c>
    </row>
    <row r="1716" spans="1:16" ht="18.75" customHeight="1" thickBot="1" x14ac:dyDescent="0.3">
      <c r="A1716" s="3" t="s">
        <v>11</v>
      </c>
      <c r="B1716" s="4">
        <v>575269</v>
      </c>
      <c r="C1716" s="3" t="s">
        <v>9</v>
      </c>
      <c r="D1716" s="18">
        <v>0.1</v>
      </c>
      <c r="E1716" s="21">
        <f t="shared" si="181"/>
        <v>7.9741404289037643E-3</v>
      </c>
      <c r="F1716" s="5">
        <v>42075</v>
      </c>
      <c r="G1716" s="5">
        <v>43720</v>
      </c>
      <c r="H1716" s="16">
        <f t="shared" si="178"/>
        <v>1645</v>
      </c>
      <c r="I1716" s="5">
        <v>43720</v>
      </c>
      <c r="J1716" s="5">
        <v>42769</v>
      </c>
      <c r="K1716" s="16">
        <f t="shared" si="179"/>
        <v>694</v>
      </c>
      <c r="L1716" s="13">
        <v>3195.04</v>
      </c>
      <c r="M1716" s="15">
        <f t="shared" si="177"/>
        <v>72.160816542307089</v>
      </c>
      <c r="N1716" s="13">
        <v>3195.04</v>
      </c>
      <c r="O1716" s="13">
        <v>0</v>
      </c>
      <c r="P1716" s="11">
        <f t="shared" si="182"/>
        <v>1</v>
      </c>
    </row>
    <row r="1717" spans="1:16" ht="18.75" customHeight="1" thickBot="1" x14ac:dyDescent="0.3">
      <c r="A1717" s="3" t="s">
        <v>11</v>
      </c>
      <c r="B1717" s="4">
        <v>940464</v>
      </c>
      <c r="C1717" s="3" t="s">
        <v>19</v>
      </c>
      <c r="D1717" s="18">
        <v>0.1</v>
      </c>
      <c r="E1717" s="21">
        <f t="shared" si="181"/>
        <v>7.9741404289037643E-3</v>
      </c>
      <c r="F1717" s="5">
        <v>42075</v>
      </c>
      <c r="G1717" s="5">
        <v>43814</v>
      </c>
      <c r="H1717" s="16">
        <f t="shared" si="178"/>
        <v>1739</v>
      </c>
      <c r="I1717" s="5">
        <v>43814</v>
      </c>
      <c r="J1717" s="5">
        <v>43725</v>
      </c>
      <c r="K1717" s="16">
        <f t="shared" si="179"/>
        <v>1650</v>
      </c>
      <c r="L1717" s="13">
        <v>2220.7800000000002</v>
      </c>
      <c r="M1717" s="15">
        <f t="shared" si="177"/>
        <v>47.995323362803958</v>
      </c>
      <c r="N1717" s="13">
        <v>2220.27</v>
      </c>
      <c r="O1717" s="13">
        <v>2220.27</v>
      </c>
      <c r="P1717" s="11">
        <f t="shared" si="182"/>
        <v>1</v>
      </c>
    </row>
    <row r="1718" spans="1:16" ht="18.75" customHeight="1" thickBot="1" x14ac:dyDescent="0.3">
      <c r="A1718" s="3" t="s">
        <v>11</v>
      </c>
      <c r="B1718" s="4">
        <v>607951</v>
      </c>
      <c r="C1718" s="3" t="s">
        <v>9</v>
      </c>
      <c r="D1718" s="18">
        <v>0.08</v>
      </c>
      <c r="E1718" s="21">
        <f t="shared" si="181"/>
        <v>6.4340301100034303E-3</v>
      </c>
      <c r="F1718" s="5">
        <v>42076</v>
      </c>
      <c r="G1718" s="5">
        <v>43903</v>
      </c>
      <c r="H1718" s="16">
        <f t="shared" si="178"/>
        <v>1827</v>
      </c>
      <c r="I1718" s="5">
        <v>43903</v>
      </c>
      <c r="J1718" s="5">
        <v>43012</v>
      </c>
      <c r="K1718" s="16">
        <f t="shared" si="179"/>
        <v>936</v>
      </c>
      <c r="L1718" s="13">
        <v>9352.07</v>
      </c>
      <c r="M1718" s="15">
        <f t="shared" si="177"/>
        <v>186.09711563618305</v>
      </c>
      <c r="N1718" s="13">
        <v>9352.07</v>
      </c>
      <c r="O1718" s="13">
        <v>0</v>
      </c>
      <c r="P1718" s="11">
        <f t="shared" si="182"/>
        <v>1</v>
      </c>
    </row>
    <row r="1719" spans="1:16" ht="18.75" customHeight="1" thickBot="1" x14ac:dyDescent="0.3">
      <c r="A1719" s="3" t="s">
        <v>11</v>
      </c>
      <c r="B1719" s="4">
        <v>586502</v>
      </c>
      <c r="C1719" s="3" t="s">
        <v>9</v>
      </c>
      <c r="D1719" s="18">
        <v>0.1</v>
      </c>
      <c r="E1719" s="21">
        <f t="shared" si="181"/>
        <v>7.9741404289037643E-3</v>
      </c>
      <c r="F1719" s="5">
        <v>42079</v>
      </c>
      <c r="G1719" s="5">
        <v>43906</v>
      </c>
      <c r="H1719" s="16">
        <f t="shared" si="178"/>
        <v>1827</v>
      </c>
      <c r="I1719" s="5">
        <v>43906</v>
      </c>
      <c r="J1719" s="5">
        <v>42681</v>
      </c>
      <c r="K1719" s="16">
        <f t="shared" si="179"/>
        <v>602</v>
      </c>
      <c r="L1719" s="13">
        <v>12513.37</v>
      </c>
      <c r="M1719" s="15">
        <f t="shared" si="177"/>
        <v>260.19039306341836</v>
      </c>
      <c r="N1719" s="13">
        <v>12513.37</v>
      </c>
      <c r="O1719" s="13">
        <v>0</v>
      </c>
      <c r="P1719" s="11">
        <f t="shared" si="182"/>
        <v>1</v>
      </c>
    </row>
    <row r="1720" spans="1:16" ht="18.75" customHeight="1" thickBot="1" x14ac:dyDescent="0.3">
      <c r="A1720" s="3" t="s">
        <v>11</v>
      </c>
      <c r="B1720" s="4">
        <v>815137</v>
      </c>
      <c r="C1720" s="3" t="s">
        <v>9</v>
      </c>
      <c r="D1720" s="18">
        <v>0.12</v>
      </c>
      <c r="E1720" s="21">
        <f t="shared" si="181"/>
        <v>9.4887929345830457E-3</v>
      </c>
      <c r="F1720" s="5">
        <v>42080</v>
      </c>
      <c r="G1720" s="5">
        <v>44272</v>
      </c>
      <c r="H1720" s="16">
        <f t="shared" si="178"/>
        <v>2192</v>
      </c>
      <c r="I1720" s="5">
        <v>44272</v>
      </c>
      <c r="J1720" s="5">
        <v>43543</v>
      </c>
      <c r="K1720" s="16">
        <f t="shared" si="179"/>
        <v>1463</v>
      </c>
      <c r="L1720" s="13">
        <v>9060.9699999999993</v>
      </c>
      <c r="M1720" s="15">
        <f t="shared" si="177"/>
        <v>172.49113200659804</v>
      </c>
      <c r="N1720" s="13">
        <v>8652.01</v>
      </c>
      <c r="O1720" s="13">
        <v>3000</v>
      </c>
      <c r="P1720" s="11">
        <f t="shared" si="182"/>
        <v>1</v>
      </c>
    </row>
    <row r="1721" spans="1:16" ht="18.75" customHeight="1" thickBot="1" x14ac:dyDescent="0.3">
      <c r="A1721" s="3" t="s">
        <v>11</v>
      </c>
      <c r="B1721" s="4">
        <v>224823</v>
      </c>
      <c r="C1721" s="3" t="s">
        <v>9</v>
      </c>
      <c r="D1721" s="18">
        <v>0.1</v>
      </c>
      <c r="E1721" s="21">
        <f t="shared" si="181"/>
        <v>7.9741404289037643E-3</v>
      </c>
      <c r="F1721" s="5">
        <v>42087</v>
      </c>
      <c r="G1721" s="5">
        <v>43914</v>
      </c>
      <c r="H1721" s="16">
        <f t="shared" si="178"/>
        <v>1827</v>
      </c>
      <c r="I1721" s="5">
        <v>43914</v>
      </c>
      <c r="J1721" s="5">
        <v>43637</v>
      </c>
      <c r="K1721" s="16">
        <f t="shared" si="179"/>
        <v>1550</v>
      </c>
      <c r="L1721" s="13">
        <v>4663.67</v>
      </c>
      <c r="M1721" s="15">
        <f t="shared" si="177"/>
        <v>96.971649557079516</v>
      </c>
      <c r="N1721" s="13">
        <v>4275.3900000000003</v>
      </c>
      <c r="O1721" s="13">
        <v>0</v>
      </c>
      <c r="P1721" s="11">
        <f t="shared" si="182"/>
        <v>1</v>
      </c>
    </row>
    <row r="1722" spans="1:16" ht="18.75" customHeight="1" thickBot="1" x14ac:dyDescent="0.3">
      <c r="A1722" s="3" t="s">
        <v>11</v>
      </c>
      <c r="B1722" s="4">
        <v>530054</v>
      </c>
      <c r="C1722" s="3" t="s">
        <v>9</v>
      </c>
      <c r="D1722" s="18">
        <v>0.14000000000000001</v>
      </c>
      <c r="E1722" s="21">
        <f t="shared" si="181"/>
        <v>1.0978851950173452E-2</v>
      </c>
      <c r="F1722" s="5">
        <v>42087</v>
      </c>
      <c r="G1722" s="5">
        <v>43914</v>
      </c>
      <c r="H1722" s="16">
        <f t="shared" si="178"/>
        <v>1827</v>
      </c>
      <c r="I1722" s="5">
        <v>43914</v>
      </c>
      <c r="J1722" s="5">
        <v>42321</v>
      </c>
      <c r="K1722" s="16">
        <f t="shared" si="179"/>
        <v>234</v>
      </c>
      <c r="L1722" s="13">
        <v>16661.86</v>
      </c>
      <c r="M1722" s="15">
        <f t="shared" si="177"/>
        <v>376.61980354878989</v>
      </c>
      <c r="N1722" s="13">
        <v>16661.86</v>
      </c>
      <c r="O1722" s="13">
        <v>0</v>
      </c>
      <c r="P1722" s="11">
        <f t="shared" si="182"/>
        <v>1</v>
      </c>
    </row>
    <row r="1723" spans="1:16" ht="18.75" customHeight="1" thickBot="1" x14ac:dyDescent="0.3">
      <c r="A1723" s="3" t="s">
        <v>11</v>
      </c>
      <c r="B1723" s="4">
        <v>993330</v>
      </c>
      <c r="C1723" s="3" t="s">
        <v>9</v>
      </c>
      <c r="D1723" s="18">
        <v>0.1</v>
      </c>
      <c r="E1723" s="21">
        <f t="shared" si="181"/>
        <v>7.9741404289037643E-3</v>
      </c>
      <c r="F1723" s="5">
        <v>42093</v>
      </c>
      <c r="G1723" s="5">
        <v>44286</v>
      </c>
      <c r="H1723" s="16">
        <f t="shared" si="178"/>
        <v>2193</v>
      </c>
      <c r="I1723" s="5">
        <v>44286</v>
      </c>
      <c r="J1723" s="5">
        <v>42718</v>
      </c>
      <c r="K1723" s="16">
        <f t="shared" si="179"/>
        <v>625</v>
      </c>
      <c r="L1723" s="13">
        <v>16948.43</v>
      </c>
      <c r="M1723" s="15">
        <f t="shared" si="177"/>
        <v>306.85293492012727</v>
      </c>
      <c r="N1723" s="13">
        <v>16948.43</v>
      </c>
      <c r="O1723" s="13">
        <v>0</v>
      </c>
      <c r="P1723" s="11">
        <f t="shared" si="182"/>
        <v>1</v>
      </c>
    </row>
    <row r="1724" spans="1:16" ht="18.75" hidden="1" customHeight="1" thickBot="1" x14ac:dyDescent="0.3">
      <c r="A1724" s="3" t="s">
        <v>11</v>
      </c>
      <c r="B1724" s="4">
        <v>285610</v>
      </c>
      <c r="C1724" s="3" t="s">
        <v>9</v>
      </c>
      <c r="D1724" s="18">
        <v>0.11</v>
      </c>
      <c r="E1724" s="21">
        <f t="shared" si="181"/>
        <v>8.7345938235519061E-3</v>
      </c>
      <c r="F1724" s="5">
        <v>42094</v>
      </c>
      <c r="G1724" s="5">
        <v>42185</v>
      </c>
      <c r="H1724" s="16">
        <f t="shared" si="178"/>
        <v>91</v>
      </c>
      <c r="I1724" s="5">
        <v>42185</v>
      </c>
      <c r="J1724" s="2"/>
      <c r="K1724" s="16">
        <f t="shared" si="179"/>
        <v>-42094</v>
      </c>
      <c r="L1724" s="13">
        <v>5500</v>
      </c>
      <c r="M1724" s="15">
        <f t="shared" si="177"/>
        <v>1845.2198004958525</v>
      </c>
      <c r="N1724" s="13">
        <v>5500</v>
      </c>
      <c r="O1724" s="13">
        <v>0</v>
      </c>
      <c r="P1724" s="11">
        <f t="shared" si="182"/>
        <v>1</v>
      </c>
    </row>
    <row r="1725" spans="1:16" ht="18.75" customHeight="1" thickBot="1" x14ac:dyDescent="0.3">
      <c r="A1725" s="3" t="s">
        <v>11</v>
      </c>
      <c r="B1725" s="4">
        <v>697652</v>
      </c>
      <c r="C1725" s="3" t="s">
        <v>9</v>
      </c>
      <c r="D1725" s="18">
        <v>0.14000000000000001</v>
      </c>
      <c r="E1725" s="21">
        <f t="shared" si="181"/>
        <v>1.0978851950173452E-2</v>
      </c>
      <c r="F1725" s="5">
        <v>42094</v>
      </c>
      <c r="G1725" s="5">
        <v>43555</v>
      </c>
      <c r="H1725" s="16">
        <f t="shared" si="178"/>
        <v>1461</v>
      </c>
      <c r="I1725" s="5">
        <v>43555</v>
      </c>
      <c r="J1725" s="5">
        <v>42635</v>
      </c>
      <c r="K1725" s="16">
        <f t="shared" si="179"/>
        <v>541</v>
      </c>
      <c r="L1725" s="13">
        <v>9363.66</v>
      </c>
      <c r="M1725" s="15">
        <f t="shared" si="177"/>
        <v>249.26109471425886</v>
      </c>
      <c r="N1725" s="13">
        <v>9363.66</v>
      </c>
      <c r="O1725" s="13">
        <v>0</v>
      </c>
      <c r="P1725" s="11">
        <f t="shared" si="182"/>
        <v>1</v>
      </c>
    </row>
    <row r="1726" spans="1:16" ht="18.75" customHeight="1" thickBot="1" x14ac:dyDescent="0.3">
      <c r="A1726" s="3" t="s">
        <v>11</v>
      </c>
      <c r="B1726" s="4">
        <v>919845</v>
      </c>
      <c r="C1726" s="3" t="s">
        <v>9</v>
      </c>
      <c r="D1726" s="18">
        <v>0.14000000000000001</v>
      </c>
      <c r="E1726" s="21">
        <f t="shared" si="181"/>
        <v>1.0978851950173452E-2</v>
      </c>
      <c r="F1726" s="5">
        <v>42095</v>
      </c>
      <c r="G1726" s="5">
        <v>43405</v>
      </c>
      <c r="H1726" s="16">
        <f t="shared" si="178"/>
        <v>1310</v>
      </c>
      <c r="I1726" s="5">
        <v>43405</v>
      </c>
      <c r="J1726" s="5">
        <v>43496</v>
      </c>
      <c r="K1726" s="16">
        <f t="shared" si="179"/>
        <v>1401</v>
      </c>
      <c r="L1726" s="13">
        <v>1472.9</v>
      </c>
      <c r="M1726" s="15">
        <f t="shared" si="177"/>
        <v>42.64082702835767</v>
      </c>
      <c r="N1726" s="13">
        <v>1377.19</v>
      </c>
      <c r="O1726" s="13">
        <v>0</v>
      </c>
      <c r="P1726" s="11">
        <f t="shared" si="182"/>
        <v>1</v>
      </c>
    </row>
    <row r="1727" spans="1:16" ht="18.75" customHeight="1" thickBot="1" x14ac:dyDescent="0.3">
      <c r="A1727" s="3" t="s">
        <v>11</v>
      </c>
      <c r="B1727" s="4">
        <v>176905</v>
      </c>
      <c r="C1727" s="3" t="s">
        <v>9</v>
      </c>
      <c r="D1727" s="18">
        <v>0.1</v>
      </c>
      <c r="E1727" s="21">
        <f t="shared" si="181"/>
        <v>7.9741404289037643E-3</v>
      </c>
      <c r="F1727" s="5">
        <v>42097</v>
      </c>
      <c r="G1727" s="5">
        <v>43924</v>
      </c>
      <c r="H1727" s="16">
        <f t="shared" si="178"/>
        <v>1827</v>
      </c>
      <c r="I1727" s="5">
        <v>43924</v>
      </c>
      <c r="J1727" s="5">
        <v>42341</v>
      </c>
      <c r="K1727" s="16">
        <f t="shared" si="179"/>
        <v>244</v>
      </c>
      <c r="L1727" s="13">
        <v>1542.93</v>
      </c>
      <c r="M1727" s="15">
        <f t="shared" si="177"/>
        <v>32.082130007291404</v>
      </c>
      <c r="N1727" s="13">
        <v>1542.93</v>
      </c>
      <c r="O1727" s="13">
        <v>0</v>
      </c>
      <c r="P1727" s="11">
        <f t="shared" si="182"/>
        <v>1</v>
      </c>
    </row>
    <row r="1728" spans="1:16" ht="18.75" customHeight="1" thickBot="1" x14ac:dyDescent="0.3">
      <c r="A1728" s="3" t="s">
        <v>11</v>
      </c>
      <c r="B1728" s="4">
        <v>978424</v>
      </c>
      <c r="C1728" s="3" t="s">
        <v>9</v>
      </c>
      <c r="D1728" s="18">
        <v>0.1</v>
      </c>
      <c r="E1728" s="21">
        <f t="shared" si="181"/>
        <v>7.9741404289037643E-3</v>
      </c>
      <c r="F1728" s="5">
        <v>42103</v>
      </c>
      <c r="G1728" s="5">
        <v>43941</v>
      </c>
      <c r="H1728" s="16">
        <f t="shared" si="178"/>
        <v>1838</v>
      </c>
      <c r="I1728" s="5">
        <v>43941</v>
      </c>
      <c r="J1728" s="5">
        <v>42830</v>
      </c>
      <c r="K1728" s="16">
        <f t="shared" si="179"/>
        <v>727</v>
      </c>
      <c r="L1728" s="13">
        <v>4344.97</v>
      </c>
      <c r="M1728" s="15">
        <f t="shared" si="177"/>
        <v>89.924544545072322</v>
      </c>
      <c r="N1728" s="13">
        <v>4344.97</v>
      </c>
      <c r="O1728" s="13">
        <v>0</v>
      </c>
      <c r="P1728" s="11">
        <f t="shared" si="182"/>
        <v>1</v>
      </c>
    </row>
    <row r="1729" spans="1:16" ht="18.75" customHeight="1" thickBot="1" x14ac:dyDescent="0.3">
      <c r="A1729" s="3" t="s">
        <v>11</v>
      </c>
      <c r="B1729" s="4">
        <v>751890</v>
      </c>
      <c r="C1729" s="3" t="s">
        <v>9</v>
      </c>
      <c r="D1729" s="18">
        <v>0.09</v>
      </c>
      <c r="E1729" s="21">
        <f t="shared" si="181"/>
        <v>7.2073233161367156E-3</v>
      </c>
      <c r="F1729" s="5">
        <v>42104</v>
      </c>
      <c r="G1729" s="5">
        <v>44296</v>
      </c>
      <c r="H1729" s="16">
        <f t="shared" si="178"/>
        <v>2192</v>
      </c>
      <c r="I1729" s="5">
        <v>44296</v>
      </c>
      <c r="J1729" s="5">
        <v>42577</v>
      </c>
      <c r="K1729" s="16">
        <f t="shared" si="179"/>
        <v>473</v>
      </c>
      <c r="L1729" s="13">
        <v>26877.75</v>
      </c>
      <c r="M1729" s="15">
        <f t="shared" si="177"/>
        <v>474.46683172583329</v>
      </c>
      <c r="N1729" s="13">
        <v>26877.75</v>
      </c>
      <c r="O1729" s="13">
        <v>0</v>
      </c>
      <c r="P1729" s="11">
        <f t="shared" si="182"/>
        <v>1</v>
      </c>
    </row>
    <row r="1730" spans="1:16" ht="18.75" customHeight="1" thickBot="1" x14ac:dyDescent="0.3">
      <c r="A1730" s="3" t="s">
        <v>11</v>
      </c>
      <c r="B1730" s="4">
        <v>227251</v>
      </c>
      <c r="C1730" s="3" t="s">
        <v>9</v>
      </c>
      <c r="D1730" s="18">
        <v>0.1</v>
      </c>
      <c r="E1730" s="21">
        <f t="shared" si="181"/>
        <v>7.9741404289037643E-3</v>
      </c>
      <c r="F1730" s="5">
        <v>42107</v>
      </c>
      <c r="G1730" s="5">
        <v>44664</v>
      </c>
      <c r="H1730" s="16">
        <f t="shared" si="178"/>
        <v>2557</v>
      </c>
      <c r="I1730" s="5">
        <v>44664</v>
      </c>
      <c r="J1730" s="5">
        <v>43738</v>
      </c>
      <c r="K1730" s="16">
        <f t="shared" si="179"/>
        <v>1631</v>
      </c>
      <c r="L1730" s="13">
        <v>36165.71</v>
      </c>
      <c r="M1730" s="15">
        <f t="shared" ref="M1730:M1793" si="183">-PMT(E1730,(H1730/30),L1730)</f>
        <v>586.34522364453744</v>
      </c>
      <c r="N1730" s="13">
        <v>12000</v>
      </c>
      <c r="O1730" s="13">
        <v>0</v>
      </c>
      <c r="P1730" s="11">
        <f t="shared" si="182"/>
        <v>1</v>
      </c>
    </row>
    <row r="1731" spans="1:16" ht="18.75" customHeight="1" thickBot="1" x14ac:dyDescent="0.3">
      <c r="A1731" s="3" t="s">
        <v>11</v>
      </c>
      <c r="B1731" s="4">
        <v>437944</v>
      </c>
      <c r="C1731" s="3" t="s">
        <v>9</v>
      </c>
      <c r="D1731" s="18">
        <v>0.1</v>
      </c>
      <c r="E1731" s="21">
        <f t="shared" si="181"/>
        <v>7.9741404289037643E-3</v>
      </c>
      <c r="F1731" s="5">
        <v>42114</v>
      </c>
      <c r="G1731" s="5">
        <v>44306</v>
      </c>
      <c r="H1731" s="16">
        <f t="shared" ref="H1731:H1794" si="184">G1731-F1731</f>
        <v>2192</v>
      </c>
      <c r="I1731" s="5">
        <v>44306</v>
      </c>
      <c r="J1731" s="5">
        <v>42795</v>
      </c>
      <c r="K1731" s="16">
        <f t="shared" ref="K1731:K1794" si="185">J1731-F1731</f>
        <v>681</v>
      </c>
      <c r="L1731" s="13">
        <v>8138.29</v>
      </c>
      <c r="M1731" s="15">
        <f t="shared" si="183"/>
        <v>147.39409734878004</v>
      </c>
      <c r="N1731" s="13">
        <v>8138.29</v>
      </c>
      <c r="O1731" s="13">
        <v>0</v>
      </c>
      <c r="P1731" s="11">
        <f t="shared" si="182"/>
        <v>1</v>
      </c>
    </row>
    <row r="1732" spans="1:16" ht="18.75" customHeight="1" thickBot="1" x14ac:dyDescent="0.3">
      <c r="A1732" s="3" t="s">
        <v>11</v>
      </c>
      <c r="B1732" s="4">
        <v>60567</v>
      </c>
      <c r="C1732" s="3" t="s">
        <v>9</v>
      </c>
      <c r="D1732" s="18">
        <v>0.1</v>
      </c>
      <c r="E1732" s="21">
        <f t="shared" si="181"/>
        <v>7.9741404289037643E-3</v>
      </c>
      <c r="F1732" s="5">
        <v>42114</v>
      </c>
      <c r="G1732" s="5">
        <v>44306</v>
      </c>
      <c r="H1732" s="16">
        <f t="shared" si="184"/>
        <v>2192</v>
      </c>
      <c r="I1732" s="5">
        <v>44306</v>
      </c>
      <c r="J1732" s="5">
        <v>43644</v>
      </c>
      <c r="K1732" s="16">
        <f t="shared" si="185"/>
        <v>1530</v>
      </c>
      <c r="L1732" s="13">
        <v>5095.7299999999996</v>
      </c>
      <c r="M1732" s="15">
        <f t="shared" si="183"/>
        <v>92.289722249157848</v>
      </c>
      <c r="N1732" s="13">
        <v>5095.7299999999996</v>
      </c>
      <c r="O1732" s="13">
        <v>0</v>
      </c>
      <c r="P1732" s="11">
        <f t="shared" si="182"/>
        <v>1</v>
      </c>
    </row>
    <row r="1733" spans="1:16" ht="18.75" customHeight="1" thickBot="1" x14ac:dyDescent="0.3">
      <c r="A1733" s="3" t="s">
        <v>11</v>
      </c>
      <c r="B1733" s="4">
        <v>677687</v>
      </c>
      <c r="C1733" s="3" t="s">
        <v>9</v>
      </c>
      <c r="D1733" s="18">
        <v>9.5000000000000001E-2</v>
      </c>
      <c r="E1733" s="21">
        <f t="shared" si="181"/>
        <v>7.5915342905825689E-3</v>
      </c>
      <c r="F1733" s="5">
        <v>42115</v>
      </c>
      <c r="G1733" s="5">
        <v>43942</v>
      </c>
      <c r="H1733" s="16">
        <f t="shared" si="184"/>
        <v>1827</v>
      </c>
      <c r="I1733" s="5">
        <v>43942</v>
      </c>
      <c r="J1733" s="5">
        <v>42230</v>
      </c>
      <c r="K1733" s="16">
        <f t="shared" si="185"/>
        <v>115</v>
      </c>
      <c r="L1733" s="13">
        <v>8661.52</v>
      </c>
      <c r="M1733" s="15">
        <f t="shared" si="183"/>
        <v>178.156444000774</v>
      </c>
      <c r="N1733" s="13">
        <v>8661.52</v>
      </c>
      <c r="O1733" s="13">
        <v>500</v>
      </c>
      <c r="P1733" s="11">
        <f t="shared" si="182"/>
        <v>1</v>
      </c>
    </row>
    <row r="1734" spans="1:16" ht="18.75" customHeight="1" thickBot="1" x14ac:dyDescent="0.3">
      <c r="A1734" s="3" t="s">
        <v>11</v>
      </c>
      <c r="B1734" s="4">
        <v>355762</v>
      </c>
      <c r="C1734" s="3" t="s">
        <v>9</v>
      </c>
      <c r="D1734" s="18">
        <v>0.1</v>
      </c>
      <c r="E1734" s="21">
        <f t="shared" si="181"/>
        <v>7.9741404289037643E-3</v>
      </c>
      <c r="F1734" s="5">
        <v>42123</v>
      </c>
      <c r="G1734" s="5">
        <v>44133</v>
      </c>
      <c r="H1734" s="16">
        <f t="shared" si="184"/>
        <v>2010</v>
      </c>
      <c r="I1734" s="5">
        <v>44133</v>
      </c>
      <c r="J1734" s="5">
        <v>43565</v>
      </c>
      <c r="K1734" s="16">
        <f t="shared" si="185"/>
        <v>1442</v>
      </c>
      <c r="L1734" s="13">
        <v>6169.53</v>
      </c>
      <c r="M1734" s="15">
        <f t="shared" si="183"/>
        <v>119.21897476109731</v>
      </c>
      <c r="N1734" s="13">
        <v>6169.53</v>
      </c>
      <c r="O1734" s="13">
        <v>0</v>
      </c>
      <c r="P1734" s="11">
        <f t="shared" si="182"/>
        <v>1</v>
      </c>
    </row>
    <row r="1735" spans="1:16" ht="18.75" customHeight="1" thickBot="1" x14ac:dyDescent="0.3">
      <c r="A1735" s="3" t="s">
        <v>11</v>
      </c>
      <c r="B1735" s="4">
        <v>27529</v>
      </c>
      <c r="C1735" s="3" t="s">
        <v>9</v>
      </c>
      <c r="D1735" s="18">
        <v>0.14000000000000001</v>
      </c>
      <c r="E1735" s="21">
        <f t="shared" si="181"/>
        <v>1.0978851950173452E-2</v>
      </c>
      <c r="F1735" s="5">
        <v>42124</v>
      </c>
      <c r="G1735" s="5">
        <v>43585</v>
      </c>
      <c r="H1735" s="16">
        <f t="shared" si="184"/>
        <v>1461</v>
      </c>
      <c r="I1735" s="5">
        <v>43585</v>
      </c>
      <c r="J1735" s="5">
        <v>42166</v>
      </c>
      <c r="K1735" s="16">
        <f t="shared" si="185"/>
        <v>42</v>
      </c>
      <c r="L1735" s="13">
        <v>5106.74</v>
      </c>
      <c r="M1735" s="15">
        <f t="shared" si="183"/>
        <v>135.94167268152563</v>
      </c>
      <c r="N1735" s="13">
        <v>5106.74</v>
      </c>
      <c r="O1735" s="13">
        <v>0</v>
      </c>
      <c r="P1735" s="11">
        <f t="shared" si="182"/>
        <v>1</v>
      </c>
    </row>
    <row r="1736" spans="1:16" ht="18.75" customHeight="1" thickBot="1" x14ac:dyDescent="0.3">
      <c r="A1736" s="3" t="s">
        <v>11</v>
      </c>
      <c r="B1736" s="4">
        <v>2214</v>
      </c>
      <c r="C1736" s="3" t="s">
        <v>19</v>
      </c>
      <c r="D1736" s="18">
        <v>0.1</v>
      </c>
      <c r="E1736" s="21">
        <f t="shared" si="181"/>
        <v>7.9741404289037643E-3</v>
      </c>
      <c r="F1736" s="5">
        <v>42125</v>
      </c>
      <c r="G1736" s="5">
        <v>43952</v>
      </c>
      <c r="H1736" s="16">
        <f t="shared" si="184"/>
        <v>1827</v>
      </c>
      <c r="I1736" s="5">
        <v>43952</v>
      </c>
      <c r="J1736" s="5">
        <v>43371</v>
      </c>
      <c r="K1736" s="16">
        <f t="shared" si="185"/>
        <v>1246</v>
      </c>
      <c r="L1736" s="13">
        <v>12638.71</v>
      </c>
      <c r="M1736" s="15">
        <f t="shared" si="183"/>
        <v>262.79658658814975</v>
      </c>
      <c r="N1736" s="13">
        <v>12638.71</v>
      </c>
      <c r="O1736" s="13">
        <v>0</v>
      </c>
      <c r="P1736" s="11">
        <f t="shared" si="182"/>
        <v>1</v>
      </c>
    </row>
    <row r="1737" spans="1:16" ht="18.75" customHeight="1" thickBot="1" x14ac:dyDescent="0.3">
      <c r="A1737" s="3" t="s">
        <v>11</v>
      </c>
      <c r="B1737" s="4">
        <v>165078</v>
      </c>
      <c r="C1737" s="3" t="s">
        <v>9</v>
      </c>
      <c r="D1737" s="18">
        <v>0.12</v>
      </c>
      <c r="E1737" s="21">
        <f t="shared" si="181"/>
        <v>9.4887929345830457E-3</v>
      </c>
      <c r="F1737" s="5">
        <v>42130</v>
      </c>
      <c r="G1737" s="5">
        <v>44080</v>
      </c>
      <c r="H1737" s="16">
        <f t="shared" si="184"/>
        <v>1950</v>
      </c>
      <c r="I1737" s="5">
        <v>44080</v>
      </c>
      <c r="J1737" s="5">
        <v>43644</v>
      </c>
      <c r="K1737" s="16">
        <f t="shared" si="185"/>
        <v>1514</v>
      </c>
      <c r="L1737" s="13">
        <v>9536.8700000000008</v>
      </c>
      <c r="M1737" s="15">
        <f t="shared" si="183"/>
        <v>197.26317835815564</v>
      </c>
      <c r="N1737" s="13">
        <v>9536.8700000000008</v>
      </c>
      <c r="O1737" s="13">
        <v>0</v>
      </c>
      <c r="P1737" s="11">
        <f t="shared" si="182"/>
        <v>1</v>
      </c>
    </row>
    <row r="1738" spans="1:16" ht="18.75" customHeight="1" thickBot="1" x14ac:dyDescent="0.3">
      <c r="A1738" s="3" t="s">
        <v>11</v>
      </c>
      <c r="B1738" s="4">
        <v>886388</v>
      </c>
      <c r="C1738" s="3" t="s">
        <v>9</v>
      </c>
      <c r="D1738" s="18">
        <v>0.1</v>
      </c>
      <c r="E1738" s="21">
        <f t="shared" si="181"/>
        <v>7.9741404289037643E-3</v>
      </c>
      <c r="F1738" s="5">
        <v>42136</v>
      </c>
      <c r="G1738" s="5">
        <v>44328</v>
      </c>
      <c r="H1738" s="16">
        <f t="shared" si="184"/>
        <v>2192</v>
      </c>
      <c r="I1738" s="5">
        <v>44328</v>
      </c>
      <c r="J1738" s="5">
        <v>42807</v>
      </c>
      <c r="K1738" s="16">
        <f t="shared" si="185"/>
        <v>671</v>
      </c>
      <c r="L1738" s="13">
        <v>12328.99</v>
      </c>
      <c r="M1738" s="15">
        <f t="shared" si="183"/>
        <v>223.29265143809516</v>
      </c>
      <c r="N1738" s="13">
        <v>12328.99</v>
      </c>
      <c r="O1738" s="13">
        <v>0</v>
      </c>
      <c r="P1738" s="11">
        <f t="shared" si="182"/>
        <v>1</v>
      </c>
    </row>
    <row r="1739" spans="1:16" ht="18.75" customHeight="1" thickBot="1" x14ac:dyDescent="0.3">
      <c r="A1739" s="3" t="s">
        <v>11</v>
      </c>
      <c r="B1739" s="4">
        <v>388072</v>
      </c>
      <c r="C1739" s="3" t="s">
        <v>9</v>
      </c>
      <c r="D1739" s="18">
        <v>0.12</v>
      </c>
      <c r="E1739" s="21">
        <f t="shared" si="181"/>
        <v>9.4887929345830457E-3</v>
      </c>
      <c r="F1739" s="5">
        <v>42137</v>
      </c>
      <c r="G1739" s="5">
        <v>44329</v>
      </c>
      <c r="H1739" s="16">
        <f t="shared" si="184"/>
        <v>2192</v>
      </c>
      <c r="I1739" s="5">
        <v>45425</v>
      </c>
      <c r="J1739" s="5">
        <v>44236</v>
      </c>
      <c r="K1739" s="16">
        <f t="shared" si="185"/>
        <v>2099</v>
      </c>
      <c r="L1739" s="13">
        <v>28031.94</v>
      </c>
      <c r="M1739" s="15">
        <f t="shared" si="183"/>
        <v>533.63614082609649</v>
      </c>
      <c r="N1739" s="13">
        <v>8197.07</v>
      </c>
      <c r="O1739" s="13">
        <v>0</v>
      </c>
      <c r="P1739" s="11">
        <f t="shared" si="182"/>
        <v>1</v>
      </c>
    </row>
    <row r="1740" spans="1:16" ht="18.75" customHeight="1" thickBot="1" x14ac:dyDescent="0.3">
      <c r="A1740" s="3" t="s">
        <v>11</v>
      </c>
      <c r="B1740" s="4">
        <v>276136</v>
      </c>
      <c r="C1740" s="3" t="s">
        <v>9</v>
      </c>
      <c r="D1740" s="18">
        <v>0.09</v>
      </c>
      <c r="E1740" s="21">
        <f t="shared" si="181"/>
        <v>7.2073233161367156E-3</v>
      </c>
      <c r="F1740" s="5">
        <v>42117</v>
      </c>
      <c r="G1740" s="5">
        <v>43457</v>
      </c>
      <c r="H1740" s="16">
        <f t="shared" si="184"/>
        <v>1340</v>
      </c>
      <c r="I1740" s="5">
        <v>43457</v>
      </c>
      <c r="J1740" s="5">
        <v>43592</v>
      </c>
      <c r="K1740" s="16">
        <f t="shared" si="185"/>
        <v>1475</v>
      </c>
      <c r="L1740" s="13">
        <v>25000</v>
      </c>
      <c r="M1740" s="15">
        <f t="shared" si="183"/>
        <v>656.6158370117181</v>
      </c>
      <c r="N1740" s="13">
        <v>24900</v>
      </c>
      <c r="O1740" s="13">
        <v>0</v>
      </c>
      <c r="P1740" s="11">
        <f t="shared" si="182"/>
        <v>1</v>
      </c>
    </row>
    <row r="1741" spans="1:16" ht="18.75" customHeight="1" thickBot="1" x14ac:dyDescent="0.3">
      <c r="A1741" s="3" t="s">
        <v>11</v>
      </c>
      <c r="B1741" s="4">
        <v>92068</v>
      </c>
      <c r="C1741" s="3" t="s">
        <v>9</v>
      </c>
      <c r="D1741" s="18">
        <v>0.1</v>
      </c>
      <c r="E1741" s="21">
        <f t="shared" si="181"/>
        <v>7.9741404289037643E-3</v>
      </c>
      <c r="F1741" s="5">
        <v>42142</v>
      </c>
      <c r="G1741" s="5">
        <v>44699</v>
      </c>
      <c r="H1741" s="16">
        <f t="shared" si="184"/>
        <v>2557</v>
      </c>
      <c r="I1741" s="5">
        <v>44699</v>
      </c>
      <c r="J1741" s="5">
        <v>42839</v>
      </c>
      <c r="K1741" s="16">
        <f t="shared" si="185"/>
        <v>697</v>
      </c>
      <c r="L1741" s="13">
        <v>2039.38</v>
      </c>
      <c r="M1741" s="15">
        <f t="shared" si="183"/>
        <v>33.063936037649938</v>
      </c>
      <c r="N1741" s="13">
        <v>2039.38</v>
      </c>
      <c r="O1741" s="13">
        <v>0</v>
      </c>
      <c r="P1741" s="11">
        <f t="shared" si="182"/>
        <v>1</v>
      </c>
    </row>
    <row r="1742" spans="1:16" ht="18.75" customHeight="1" thickBot="1" x14ac:dyDescent="0.3">
      <c r="A1742" s="3" t="s">
        <v>11</v>
      </c>
      <c r="B1742" s="4">
        <v>376165</v>
      </c>
      <c r="C1742" s="3" t="s">
        <v>9</v>
      </c>
      <c r="D1742" s="18">
        <v>0.1</v>
      </c>
      <c r="E1742" s="21">
        <f t="shared" si="181"/>
        <v>7.9741404289037643E-3</v>
      </c>
      <c r="F1742" s="5">
        <v>42145</v>
      </c>
      <c r="G1742" s="5">
        <v>44337</v>
      </c>
      <c r="H1742" s="16">
        <f t="shared" si="184"/>
        <v>2192</v>
      </c>
      <c r="I1742" s="5">
        <v>44337</v>
      </c>
      <c r="J1742" s="5">
        <v>42478</v>
      </c>
      <c r="K1742" s="16">
        <f t="shared" si="185"/>
        <v>333</v>
      </c>
      <c r="L1742" s="13">
        <v>27579.15</v>
      </c>
      <c r="M1742" s="15">
        <f t="shared" si="183"/>
        <v>499.49116090684981</v>
      </c>
      <c r="N1742" s="13">
        <v>27579.15</v>
      </c>
      <c r="O1742" s="13">
        <v>0</v>
      </c>
      <c r="P1742" s="11">
        <f t="shared" si="182"/>
        <v>1</v>
      </c>
    </row>
    <row r="1743" spans="1:16" ht="18.75" customHeight="1" thickBot="1" x14ac:dyDescent="0.3">
      <c r="A1743" s="3" t="s">
        <v>11</v>
      </c>
      <c r="B1743" s="4">
        <v>925751</v>
      </c>
      <c r="C1743" s="3" t="s">
        <v>9</v>
      </c>
      <c r="D1743" s="18">
        <v>0.1</v>
      </c>
      <c r="E1743" s="21">
        <f t="shared" si="181"/>
        <v>7.9741404289037643E-3</v>
      </c>
      <c r="F1743" s="5">
        <v>42146</v>
      </c>
      <c r="G1743" s="5">
        <v>45936</v>
      </c>
      <c r="H1743" s="16">
        <f t="shared" si="184"/>
        <v>3790</v>
      </c>
      <c r="I1743" s="5">
        <v>45936</v>
      </c>
      <c r="J1743" s="5">
        <v>43560</v>
      </c>
      <c r="K1743" s="16">
        <f t="shared" si="185"/>
        <v>1414</v>
      </c>
      <c r="L1743" s="13">
        <v>12532.51</v>
      </c>
      <c r="M1743" s="15">
        <f t="shared" si="183"/>
        <v>157.78433273716723</v>
      </c>
      <c r="N1743" s="13">
        <v>12532.51</v>
      </c>
      <c r="O1743" s="13">
        <v>0</v>
      </c>
      <c r="P1743" s="11">
        <f t="shared" si="182"/>
        <v>1</v>
      </c>
    </row>
    <row r="1744" spans="1:16" ht="18.75" customHeight="1" thickBot="1" x14ac:dyDescent="0.3">
      <c r="A1744" s="3" t="s">
        <v>11</v>
      </c>
      <c r="B1744" s="4">
        <v>756790</v>
      </c>
      <c r="C1744" s="3" t="s">
        <v>9</v>
      </c>
      <c r="D1744" s="18">
        <v>0.1</v>
      </c>
      <c r="E1744" s="21">
        <f t="shared" si="181"/>
        <v>7.9741404289037643E-3</v>
      </c>
      <c r="F1744" s="5">
        <v>42146</v>
      </c>
      <c r="G1744" s="5">
        <v>44004</v>
      </c>
      <c r="H1744" s="16">
        <f t="shared" si="184"/>
        <v>1858</v>
      </c>
      <c r="I1744" s="5">
        <v>44004</v>
      </c>
      <c r="J1744" s="5">
        <v>42508</v>
      </c>
      <c r="K1744" s="16">
        <f t="shared" si="185"/>
        <v>362</v>
      </c>
      <c r="L1744" s="13">
        <v>21400.39</v>
      </c>
      <c r="M1744" s="15">
        <f t="shared" si="183"/>
        <v>439.20710875745834</v>
      </c>
      <c r="N1744" s="13">
        <v>21400.39</v>
      </c>
      <c r="O1744" s="13">
        <v>0</v>
      </c>
      <c r="P1744" s="11">
        <f t="shared" si="182"/>
        <v>1</v>
      </c>
    </row>
    <row r="1745" spans="1:16" ht="18.75" customHeight="1" thickBot="1" x14ac:dyDescent="0.3">
      <c r="A1745" s="3" t="s">
        <v>11</v>
      </c>
      <c r="B1745" s="4">
        <v>507773</v>
      </c>
      <c r="C1745" s="3" t="s">
        <v>9</v>
      </c>
      <c r="D1745" s="18">
        <v>0.14000000000000001</v>
      </c>
      <c r="E1745" s="21">
        <f t="shared" si="181"/>
        <v>1.0978851950173452E-2</v>
      </c>
      <c r="F1745" s="5">
        <v>42146</v>
      </c>
      <c r="G1745" s="5">
        <v>43607</v>
      </c>
      <c r="H1745" s="16">
        <f t="shared" si="184"/>
        <v>1461</v>
      </c>
      <c r="I1745" s="5">
        <v>43607</v>
      </c>
      <c r="J1745" s="5">
        <v>43633</v>
      </c>
      <c r="K1745" s="16">
        <f t="shared" si="185"/>
        <v>1487</v>
      </c>
      <c r="L1745" s="13">
        <v>4665.79</v>
      </c>
      <c r="M1745" s="15">
        <f t="shared" si="183"/>
        <v>124.203561759701</v>
      </c>
      <c r="N1745" s="13">
        <v>4110.34</v>
      </c>
      <c r="O1745" s="13">
        <v>4110.34</v>
      </c>
      <c r="P1745" s="11">
        <f t="shared" si="182"/>
        <v>1</v>
      </c>
    </row>
    <row r="1746" spans="1:16" ht="18.75" customHeight="1" thickBot="1" x14ac:dyDescent="0.3">
      <c r="A1746" s="3" t="s">
        <v>11</v>
      </c>
      <c r="B1746" s="4">
        <v>256788</v>
      </c>
      <c r="C1746" s="3" t="s">
        <v>12</v>
      </c>
      <c r="D1746" s="18">
        <v>0.1</v>
      </c>
      <c r="E1746" s="21">
        <f t="shared" si="181"/>
        <v>7.9741404289037643E-3</v>
      </c>
      <c r="F1746" s="5">
        <v>42146</v>
      </c>
      <c r="G1746" s="5">
        <v>43973</v>
      </c>
      <c r="H1746" s="16">
        <f t="shared" si="184"/>
        <v>1827</v>
      </c>
      <c r="I1746" s="5">
        <v>44126</v>
      </c>
      <c r="J1746" s="5">
        <v>44011</v>
      </c>
      <c r="K1746" s="16">
        <f t="shared" si="185"/>
        <v>1865</v>
      </c>
      <c r="L1746" s="13">
        <v>13924.09</v>
      </c>
      <c r="M1746" s="15">
        <f t="shared" si="183"/>
        <v>289.52348169601095</v>
      </c>
      <c r="N1746" s="13">
        <v>3655.3</v>
      </c>
      <c r="O1746" s="13">
        <v>0</v>
      </c>
      <c r="P1746" s="11">
        <f t="shared" si="182"/>
        <v>1</v>
      </c>
    </row>
    <row r="1747" spans="1:16" ht="18.75" customHeight="1" thickBot="1" x14ac:dyDescent="0.3">
      <c r="A1747" s="3" t="s">
        <v>11</v>
      </c>
      <c r="B1747" s="4">
        <v>342947</v>
      </c>
      <c r="C1747" s="3" t="s">
        <v>9</v>
      </c>
      <c r="D1747" s="18">
        <v>0.1</v>
      </c>
      <c r="E1747" s="21">
        <f t="shared" si="181"/>
        <v>7.9741404289037643E-3</v>
      </c>
      <c r="F1747" s="5">
        <v>42159</v>
      </c>
      <c r="G1747" s="5">
        <v>43255</v>
      </c>
      <c r="H1747" s="16">
        <f t="shared" si="184"/>
        <v>1096</v>
      </c>
      <c r="I1747" s="5">
        <v>43255</v>
      </c>
      <c r="J1747" s="5">
        <v>42949</v>
      </c>
      <c r="K1747" s="16">
        <f t="shared" si="185"/>
        <v>790</v>
      </c>
      <c r="L1747" s="13">
        <v>4484.8100000000004</v>
      </c>
      <c r="M1747" s="15">
        <f t="shared" si="183"/>
        <v>141.99299841803887</v>
      </c>
      <c r="N1747" s="13">
        <v>4484.8100000000004</v>
      </c>
      <c r="O1747" s="13">
        <v>0</v>
      </c>
      <c r="P1747" s="11">
        <f t="shared" si="182"/>
        <v>1</v>
      </c>
    </row>
    <row r="1748" spans="1:16" ht="18.75" customHeight="1" thickBot="1" x14ac:dyDescent="0.3">
      <c r="A1748" s="3" t="s">
        <v>11</v>
      </c>
      <c r="B1748" s="4">
        <v>168844</v>
      </c>
      <c r="C1748" s="3" t="s">
        <v>9</v>
      </c>
      <c r="D1748" s="18">
        <v>0.09</v>
      </c>
      <c r="E1748" s="21">
        <f t="shared" si="181"/>
        <v>7.2073233161367156E-3</v>
      </c>
      <c r="F1748" s="5">
        <v>42153</v>
      </c>
      <c r="G1748" s="5">
        <v>44941</v>
      </c>
      <c r="H1748" s="16">
        <f t="shared" si="184"/>
        <v>2788</v>
      </c>
      <c r="I1748" s="5">
        <v>44941</v>
      </c>
      <c r="J1748" s="5">
        <v>43623</v>
      </c>
      <c r="K1748" s="16">
        <f t="shared" si="185"/>
        <v>1470</v>
      </c>
      <c r="L1748" s="13">
        <v>12613.58</v>
      </c>
      <c r="M1748" s="15">
        <f t="shared" si="183"/>
        <v>186.68975798056826</v>
      </c>
      <c r="N1748" s="13">
        <v>12113.58</v>
      </c>
      <c r="O1748" s="13">
        <v>0</v>
      </c>
      <c r="P1748" s="11">
        <f t="shared" si="182"/>
        <v>1</v>
      </c>
    </row>
    <row r="1749" spans="1:16" ht="18.75" customHeight="1" thickBot="1" x14ac:dyDescent="0.3">
      <c r="A1749" s="3" t="s">
        <v>11</v>
      </c>
      <c r="B1749" s="4">
        <v>299307</v>
      </c>
      <c r="C1749" s="3" t="s">
        <v>9</v>
      </c>
      <c r="D1749" s="18">
        <v>0.12</v>
      </c>
      <c r="E1749" s="21">
        <f t="shared" si="181"/>
        <v>9.4887929345830457E-3</v>
      </c>
      <c r="F1749" s="5">
        <v>42153</v>
      </c>
      <c r="G1749" s="5">
        <v>43980</v>
      </c>
      <c r="H1749" s="16">
        <f t="shared" si="184"/>
        <v>1827</v>
      </c>
      <c r="I1749" s="5">
        <v>43980</v>
      </c>
      <c r="J1749" s="5">
        <v>43496</v>
      </c>
      <c r="K1749" s="16">
        <f t="shared" si="185"/>
        <v>1343</v>
      </c>
      <c r="L1749" s="13">
        <v>2487.06</v>
      </c>
      <c r="M1749" s="15">
        <f t="shared" si="183"/>
        <v>53.956360183250339</v>
      </c>
      <c r="N1749" s="13">
        <v>2487.06</v>
      </c>
      <c r="O1749" s="13">
        <v>0</v>
      </c>
      <c r="P1749" s="11">
        <f t="shared" si="182"/>
        <v>1</v>
      </c>
    </row>
    <row r="1750" spans="1:16" ht="18.75" customHeight="1" thickBot="1" x14ac:dyDescent="0.3">
      <c r="A1750" s="3" t="s">
        <v>11</v>
      </c>
      <c r="B1750" s="4">
        <v>816857</v>
      </c>
      <c r="C1750" s="3" t="s">
        <v>9</v>
      </c>
      <c r="D1750" s="18">
        <v>0.14000000000000001</v>
      </c>
      <c r="E1750" s="21">
        <f t="shared" si="181"/>
        <v>1.0978851950173452E-2</v>
      </c>
      <c r="F1750" s="5">
        <v>42153</v>
      </c>
      <c r="G1750" s="5">
        <v>43310</v>
      </c>
      <c r="H1750" s="16">
        <f t="shared" si="184"/>
        <v>1157</v>
      </c>
      <c r="I1750" s="5">
        <v>43310</v>
      </c>
      <c r="J1750" s="5">
        <v>42689</v>
      </c>
      <c r="K1750" s="16">
        <f t="shared" si="185"/>
        <v>536</v>
      </c>
      <c r="L1750" s="13">
        <v>2927.51</v>
      </c>
      <c r="M1750" s="15">
        <f t="shared" si="183"/>
        <v>93.518638653577867</v>
      </c>
      <c r="N1750" s="13">
        <v>2927.51</v>
      </c>
      <c r="O1750" s="13">
        <v>0</v>
      </c>
      <c r="P1750" s="11">
        <f t="shared" si="182"/>
        <v>1</v>
      </c>
    </row>
    <row r="1751" spans="1:16" ht="18.75" customHeight="1" thickBot="1" x14ac:dyDescent="0.3">
      <c r="A1751" s="3" t="s">
        <v>11</v>
      </c>
      <c r="B1751" s="4">
        <v>705629</v>
      </c>
      <c r="C1751" s="3" t="s">
        <v>9</v>
      </c>
      <c r="D1751" s="18">
        <v>0.1</v>
      </c>
      <c r="E1751" s="21">
        <f t="shared" si="181"/>
        <v>7.9741404289037643E-3</v>
      </c>
      <c r="F1751" s="5">
        <v>42159</v>
      </c>
      <c r="G1751" s="5">
        <v>43255</v>
      </c>
      <c r="H1751" s="16">
        <f t="shared" si="184"/>
        <v>1096</v>
      </c>
      <c r="I1751" s="5">
        <v>43255</v>
      </c>
      <c r="J1751" s="5">
        <v>43180</v>
      </c>
      <c r="K1751" s="16">
        <f t="shared" si="185"/>
        <v>1021</v>
      </c>
      <c r="L1751" s="13">
        <v>2640.64</v>
      </c>
      <c r="M1751" s="15">
        <f t="shared" si="183"/>
        <v>83.604966841986652</v>
      </c>
      <c r="N1751" s="13">
        <v>2640.64</v>
      </c>
      <c r="O1751" s="13">
        <v>0</v>
      </c>
      <c r="P1751" s="11">
        <f t="shared" si="182"/>
        <v>1</v>
      </c>
    </row>
    <row r="1752" spans="1:16" ht="18.75" customHeight="1" thickBot="1" x14ac:dyDescent="0.3">
      <c r="A1752" s="3" t="s">
        <v>11</v>
      </c>
      <c r="B1752" s="4">
        <v>188744</v>
      </c>
      <c r="C1752" s="3" t="s">
        <v>9</v>
      </c>
      <c r="D1752" s="18">
        <v>0.11</v>
      </c>
      <c r="E1752" s="21">
        <f t="shared" si="181"/>
        <v>8.7345938235519061E-3</v>
      </c>
      <c r="F1752" s="5">
        <v>42160</v>
      </c>
      <c r="G1752" s="5">
        <v>42771</v>
      </c>
      <c r="H1752" s="16">
        <f t="shared" si="184"/>
        <v>611</v>
      </c>
      <c r="I1752" s="5">
        <v>42771</v>
      </c>
      <c r="J1752" s="5">
        <v>42328</v>
      </c>
      <c r="K1752" s="16">
        <f t="shared" si="185"/>
        <v>168</v>
      </c>
      <c r="L1752" s="13">
        <v>4099.93</v>
      </c>
      <c r="M1752" s="15">
        <f t="shared" si="183"/>
        <v>220.61769577246787</v>
      </c>
      <c r="N1752" s="13">
        <v>4099.93</v>
      </c>
      <c r="O1752" s="13">
        <v>0</v>
      </c>
      <c r="P1752" s="11">
        <f t="shared" si="182"/>
        <v>1</v>
      </c>
    </row>
    <row r="1753" spans="1:16" ht="18.75" customHeight="1" thickBot="1" x14ac:dyDescent="0.3">
      <c r="A1753" s="3" t="s">
        <v>11</v>
      </c>
      <c r="B1753" s="4">
        <v>357594</v>
      </c>
      <c r="C1753" s="3" t="s">
        <v>9</v>
      </c>
      <c r="D1753" s="18">
        <v>0.14000000000000001</v>
      </c>
      <c r="E1753" s="21">
        <f t="shared" si="181"/>
        <v>1.0978851950173452E-2</v>
      </c>
      <c r="F1753" s="5">
        <v>42160</v>
      </c>
      <c r="G1753" s="5">
        <v>43074</v>
      </c>
      <c r="H1753" s="16">
        <f t="shared" si="184"/>
        <v>914</v>
      </c>
      <c r="I1753" s="5">
        <v>43074</v>
      </c>
      <c r="J1753" s="5">
        <v>42726</v>
      </c>
      <c r="K1753" s="16">
        <f t="shared" si="185"/>
        <v>566</v>
      </c>
      <c r="L1753" s="13">
        <v>3670.06</v>
      </c>
      <c r="M1753" s="15">
        <f t="shared" si="183"/>
        <v>142.38302802500712</v>
      </c>
      <c r="N1753" s="13">
        <v>3670.06</v>
      </c>
      <c r="O1753" s="13">
        <v>0</v>
      </c>
      <c r="P1753" s="11">
        <f t="shared" si="182"/>
        <v>1</v>
      </c>
    </row>
    <row r="1754" spans="1:16" ht="18.75" customHeight="1" thickBot="1" x14ac:dyDescent="0.3">
      <c r="A1754" s="3" t="s">
        <v>11</v>
      </c>
      <c r="B1754" s="4">
        <v>8762</v>
      </c>
      <c r="C1754" s="3" t="s">
        <v>9</v>
      </c>
      <c r="D1754" s="18">
        <v>0.1</v>
      </c>
      <c r="E1754" s="21">
        <f t="shared" si="181"/>
        <v>7.9741404289037643E-3</v>
      </c>
      <c r="F1754" s="5">
        <v>42170</v>
      </c>
      <c r="G1754" s="5">
        <v>42750</v>
      </c>
      <c r="H1754" s="16">
        <f t="shared" si="184"/>
        <v>580</v>
      </c>
      <c r="I1754" s="5">
        <v>42750</v>
      </c>
      <c r="J1754" s="5">
        <v>43082</v>
      </c>
      <c r="K1754" s="16">
        <f t="shared" si="185"/>
        <v>912</v>
      </c>
      <c r="L1754" s="13">
        <v>3400.95</v>
      </c>
      <c r="M1754" s="15">
        <f t="shared" si="183"/>
        <v>190.51836944703604</v>
      </c>
      <c r="N1754" s="13">
        <v>3400.95</v>
      </c>
      <c r="O1754" s="13">
        <v>0</v>
      </c>
      <c r="P1754" s="11">
        <f t="shared" si="182"/>
        <v>1</v>
      </c>
    </row>
    <row r="1755" spans="1:16" ht="18.75" customHeight="1" thickBot="1" x14ac:dyDescent="0.3">
      <c r="A1755" s="3" t="s">
        <v>11</v>
      </c>
      <c r="B1755" s="4">
        <v>897191</v>
      </c>
      <c r="C1755" s="3" t="s">
        <v>9</v>
      </c>
      <c r="D1755" s="18">
        <v>0.1</v>
      </c>
      <c r="E1755" s="21">
        <f t="shared" si="181"/>
        <v>7.9741404289037643E-3</v>
      </c>
      <c r="F1755" s="5">
        <v>42171</v>
      </c>
      <c r="G1755" s="5">
        <v>43998</v>
      </c>
      <c r="H1755" s="16">
        <f t="shared" si="184"/>
        <v>1827</v>
      </c>
      <c r="I1755" s="5">
        <v>44028</v>
      </c>
      <c r="J1755" s="5">
        <v>44011</v>
      </c>
      <c r="K1755" s="16">
        <f t="shared" si="185"/>
        <v>1840</v>
      </c>
      <c r="L1755" s="13">
        <v>16000</v>
      </c>
      <c r="M1755" s="15">
        <f t="shared" si="183"/>
        <v>332.68786018592056</v>
      </c>
      <c r="N1755" s="13">
        <v>813.89</v>
      </c>
      <c r="O1755" s="13">
        <v>0</v>
      </c>
      <c r="P1755" s="11">
        <f t="shared" si="182"/>
        <v>1</v>
      </c>
    </row>
    <row r="1756" spans="1:16" ht="18.75" customHeight="1" thickBot="1" x14ac:dyDescent="0.3">
      <c r="A1756" s="3" t="s">
        <v>11</v>
      </c>
      <c r="B1756" s="4">
        <v>368163</v>
      </c>
      <c r="C1756" s="3" t="s">
        <v>9</v>
      </c>
      <c r="D1756" s="18">
        <v>0.14000000000000001</v>
      </c>
      <c r="E1756" s="21">
        <f t="shared" si="181"/>
        <v>1.0978851950173452E-2</v>
      </c>
      <c r="F1756" s="5">
        <v>42174</v>
      </c>
      <c r="G1756" s="5">
        <v>42905</v>
      </c>
      <c r="H1756" s="16">
        <f t="shared" si="184"/>
        <v>731</v>
      </c>
      <c r="I1756" s="5">
        <v>42905</v>
      </c>
      <c r="J1756" s="5">
        <v>42619</v>
      </c>
      <c r="K1756" s="16">
        <f t="shared" si="185"/>
        <v>445</v>
      </c>
      <c r="L1756" s="13">
        <v>642.65</v>
      </c>
      <c r="M1756" s="15">
        <f t="shared" si="183"/>
        <v>30.202689407569828</v>
      </c>
      <c r="N1756" s="13">
        <v>642.65</v>
      </c>
      <c r="O1756" s="13">
        <v>0</v>
      </c>
      <c r="P1756" s="11">
        <f t="shared" si="182"/>
        <v>1</v>
      </c>
    </row>
    <row r="1757" spans="1:16" ht="18.75" customHeight="1" thickBot="1" x14ac:dyDescent="0.3">
      <c r="A1757" s="3" t="s">
        <v>11</v>
      </c>
      <c r="B1757" s="4">
        <v>499034</v>
      </c>
      <c r="C1757" s="3" t="s">
        <v>2</v>
      </c>
      <c r="D1757" s="18">
        <v>0.09</v>
      </c>
      <c r="E1757" s="21">
        <f t="shared" si="181"/>
        <v>7.2073233161367156E-3</v>
      </c>
      <c r="F1757" s="5">
        <v>42180</v>
      </c>
      <c r="G1757" s="5">
        <v>44464</v>
      </c>
      <c r="H1757" s="16">
        <f t="shared" si="184"/>
        <v>2284</v>
      </c>
      <c r="I1757" s="5">
        <v>43921</v>
      </c>
      <c r="J1757" s="5">
        <v>44011</v>
      </c>
      <c r="K1757" s="16">
        <f t="shared" si="185"/>
        <v>1831</v>
      </c>
      <c r="L1757" s="13">
        <v>99490.19</v>
      </c>
      <c r="M1757" s="15">
        <f t="shared" si="183"/>
        <v>1702.5307119202812</v>
      </c>
      <c r="N1757" s="13">
        <v>39850</v>
      </c>
      <c r="O1757" s="13">
        <v>0</v>
      </c>
      <c r="P1757" s="11">
        <f t="shared" si="182"/>
        <v>1</v>
      </c>
    </row>
    <row r="1758" spans="1:16" ht="18.75" customHeight="1" thickBot="1" x14ac:dyDescent="0.3">
      <c r="A1758" s="3" t="s">
        <v>11</v>
      </c>
      <c r="B1758" s="4">
        <v>212255</v>
      </c>
      <c r="C1758" s="3" t="s">
        <v>9</v>
      </c>
      <c r="D1758" s="18">
        <v>0.12</v>
      </c>
      <c r="E1758" s="21">
        <f t="shared" si="181"/>
        <v>9.4887929345830457E-3</v>
      </c>
      <c r="F1758" s="5">
        <v>42181</v>
      </c>
      <c r="G1758" s="5">
        <v>43277</v>
      </c>
      <c r="H1758" s="16">
        <f t="shared" si="184"/>
        <v>1096</v>
      </c>
      <c r="I1758" s="5">
        <v>43277</v>
      </c>
      <c r="J1758" s="5">
        <v>42306</v>
      </c>
      <c r="K1758" s="16">
        <f t="shared" si="185"/>
        <v>125</v>
      </c>
      <c r="L1758" s="13">
        <v>6107.27</v>
      </c>
      <c r="M1758" s="15">
        <f t="shared" si="183"/>
        <v>198.59987536927727</v>
      </c>
      <c r="N1758" s="13">
        <v>6107.27</v>
      </c>
      <c r="O1758" s="13">
        <v>0</v>
      </c>
      <c r="P1758" s="11">
        <f t="shared" si="182"/>
        <v>1</v>
      </c>
    </row>
    <row r="1759" spans="1:16" ht="18.75" hidden="1" customHeight="1" thickBot="1" x14ac:dyDescent="0.3">
      <c r="A1759" s="3" t="s">
        <v>11</v>
      </c>
      <c r="B1759" s="4">
        <v>950663</v>
      </c>
      <c r="C1759" s="3" t="s">
        <v>9</v>
      </c>
      <c r="D1759" s="18">
        <v>0.1</v>
      </c>
      <c r="E1759" s="21">
        <f t="shared" si="181"/>
        <v>7.9741404289037643E-3</v>
      </c>
      <c r="F1759" s="5">
        <v>42181</v>
      </c>
      <c r="G1759" s="5">
        <v>42912</v>
      </c>
      <c r="H1759" s="16">
        <f t="shared" si="184"/>
        <v>731</v>
      </c>
      <c r="I1759" s="5">
        <v>42912</v>
      </c>
      <c r="J1759" s="2"/>
      <c r="K1759" s="16">
        <f t="shared" si="185"/>
        <v>-42181</v>
      </c>
      <c r="L1759" s="13">
        <v>2500</v>
      </c>
      <c r="M1759" s="15">
        <f t="shared" si="183"/>
        <v>113.29669456173822</v>
      </c>
      <c r="N1759" s="13">
        <v>2500</v>
      </c>
      <c r="O1759" s="13">
        <v>0</v>
      </c>
      <c r="P1759" s="11">
        <f t="shared" si="182"/>
        <v>1</v>
      </c>
    </row>
    <row r="1760" spans="1:16" ht="18.75" customHeight="1" thickBot="1" x14ac:dyDescent="0.3">
      <c r="A1760" s="3" t="s">
        <v>11</v>
      </c>
      <c r="B1760" s="4">
        <v>919617</v>
      </c>
      <c r="C1760" s="3" t="s">
        <v>9</v>
      </c>
      <c r="D1760" s="18">
        <v>0.1</v>
      </c>
      <c r="E1760" s="21">
        <f t="shared" si="181"/>
        <v>7.9741404289037643E-3</v>
      </c>
      <c r="F1760" s="5">
        <v>42184</v>
      </c>
      <c r="G1760" s="5">
        <v>43828</v>
      </c>
      <c r="H1760" s="16">
        <f t="shared" si="184"/>
        <v>1644</v>
      </c>
      <c r="I1760" s="5">
        <v>43828</v>
      </c>
      <c r="J1760" s="5">
        <v>42508</v>
      </c>
      <c r="K1760" s="16">
        <f t="shared" si="185"/>
        <v>324</v>
      </c>
      <c r="L1760" s="13">
        <v>10033.14</v>
      </c>
      <c r="M1760" s="15">
        <f t="shared" si="183"/>
        <v>226.71109228116438</v>
      </c>
      <c r="N1760" s="13">
        <v>10033.14</v>
      </c>
      <c r="O1760" s="13">
        <v>0</v>
      </c>
      <c r="P1760" s="11">
        <f t="shared" si="182"/>
        <v>1</v>
      </c>
    </row>
    <row r="1761" spans="1:16" ht="18.75" customHeight="1" thickBot="1" x14ac:dyDescent="0.3">
      <c r="A1761" s="3" t="s">
        <v>11</v>
      </c>
      <c r="B1761" s="4">
        <v>722723</v>
      </c>
      <c r="C1761" s="3" t="s">
        <v>9</v>
      </c>
      <c r="D1761" s="18">
        <v>0.1</v>
      </c>
      <c r="E1761" s="21">
        <f t="shared" si="181"/>
        <v>7.9741404289037643E-3</v>
      </c>
      <c r="F1761" s="5">
        <v>42187</v>
      </c>
      <c r="G1761" s="5">
        <v>44379</v>
      </c>
      <c r="H1761" s="16">
        <f t="shared" si="184"/>
        <v>2192</v>
      </c>
      <c r="I1761" s="5">
        <v>44379</v>
      </c>
      <c r="J1761" s="5">
        <v>42299</v>
      </c>
      <c r="K1761" s="16">
        <f t="shared" si="185"/>
        <v>112</v>
      </c>
      <c r="L1761" s="13">
        <v>15687.6</v>
      </c>
      <c r="M1761" s="15">
        <f t="shared" si="183"/>
        <v>284.12106739483625</v>
      </c>
      <c r="N1761" s="13">
        <v>15687.6</v>
      </c>
      <c r="O1761" s="13">
        <v>253.44</v>
      </c>
      <c r="P1761" s="11">
        <f t="shared" si="182"/>
        <v>1</v>
      </c>
    </row>
    <row r="1762" spans="1:16" ht="18.75" customHeight="1" thickBot="1" x14ac:dyDescent="0.3">
      <c r="A1762" s="3" t="s">
        <v>11</v>
      </c>
      <c r="B1762" s="4">
        <v>823185</v>
      </c>
      <c r="C1762" s="3" t="s">
        <v>9</v>
      </c>
      <c r="D1762" s="18">
        <v>0.14000000000000001</v>
      </c>
      <c r="E1762" s="21">
        <f t="shared" si="181"/>
        <v>1.0978851950173452E-2</v>
      </c>
      <c r="F1762" s="5">
        <v>42191</v>
      </c>
      <c r="G1762" s="5">
        <v>43652</v>
      </c>
      <c r="H1762" s="16">
        <f t="shared" si="184"/>
        <v>1461</v>
      </c>
      <c r="I1762" s="5">
        <v>43652</v>
      </c>
      <c r="J1762" s="5">
        <v>43644</v>
      </c>
      <c r="K1762" s="16">
        <f t="shared" si="185"/>
        <v>1453</v>
      </c>
      <c r="L1762" s="13">
        <v>1984.96</v>
      </c>
      <c r="M1762" s="15">
        <f t="shared" si="183"/>
        <v>52.839733882265612</v>
      </c>
      <c r="N1762" s="13">
        <v>1984.96</v>
      </c>
      <c r="O1762" s="13">
        <v>0</v>
      </c>
      <c r="P1762" s="11">
        <f t="shared" si="182"/>
        <v>1</v>
      </c>
    </row>
    <row r="1763" spans="1:16" ht="18.75" customHeight="1" thickBot="1" x14ac:dyDescent="0.3">
      <c r="A1763" s="3" t="s">
        <v>11</v>
      </c>
      <c r="B1763" s="4">
        <v>99744</v>
      </c>
      <c r="C1763" s="3" t="s">
        <v>9</v>
      </c>
      <c r="D1763" s="18">
        <v>0.1</v>
      </c>
      <c r="E1763" s="21">
        <f t="shared" si="181"/>
        <v>7.9741404289037643E-3</v>
      </c>
      <c r="F1763" s="5">
        <v>42194</v>
      </c>
      <c r="G1763" s="5">
        <v>44751</v>
      </c>
      <c r="H1763" s="16">
        <f t="shared" si="184"/>
        <v>2557</v>
      </c>
      <c r="I1763" s="5">
        <v>44751</v>
      </c>
      <c r="J1763" s="5">
        <v>43406</v>
      </c>
      <c r="K1763" s="16">
        <f t="shared" si="185"/>
        <v>1212</v>
      </c>
      <c r="L1763" s="13">
        <v>30748.47</v>
      </c>
      <c r="M1763" s="15">
        <f t="shared" si="183"/>
        <v>498.51692442585392</v>
      </c>
      <c r="N1763" s="13">
        <v>30360.22</v>
      </c>
      <c r="O1763" s="13">
        <v>0</v>
      </c>
      <c r="P1763" s="11">
        <f t="shared" si="182"/>
        <v>1</v>
      </c>
    </row>
    <row r="1764" spans="1:16" ht="18.75" customHeight="1" thickBot="1" x14ac:dyDescent="0.3">
      <c r="A1764" s="3" t="s">
        <v>11</v>
      </c>
      <c r="B1764" s="4">
        <v>813910</v>
      </c>
      <c r="C1764" s="3" t="s">
        <v>9</v>
      </c>
      <c r="D1764" s="18">
        <v>0.1</v>
      </c>
      <c r="E1764" s="21">
        <f t="shared" ref="E1764:E1827" si="186">(1+D1764)^(1/12)-1</f>
        <v>7.9741404289037643E-3</v>
      </c>
      <c r="F1764" s="5">
        <v>42191</v>
      </c>
      <c r="G1764" s="5">
        <v>43287</v>
      </c>
      <c r="H1764" s="16">
        <f t="shared" si="184"/>
        <v>1096</v>
      </c>
      <c r="I1764" s="5">
        <v>43287</v>
      </c>
      <c r="J1764" s="5">
        <v>42244</v>
      </c>
      <c r="K1764" s="16">
        <f t="shared" si="185"/>
        <v>53</v>
      </c>
      <c r="L1764" s="13">
        <v>10313.530000000001</v>
      </c>
      <c r="M1764" s="15">
        <f t="shared" si="183"/>
        <v>326.53536024366616</v>
      </c>
      <c r="N1764" s="13">
        <v>10313.530000000001</v>
      </c>
      <c r="O1764" s="13">
        <v>0</v>
      </c>
      <c r="P1764" s="11">
        <f t="shared" ref="P1764:P1827" si="187">IF((G1764)&gt;(ConstantDateCutoff),1,0)</f>
        <v>1</v>
      </c>
    </row>
    <row r="1765" spans="1:16" ht="18.75" customHeight="1" thickBot="1" x14ac:dyDescent="0.3">
      <c r="A1765" s="3" t="s">
        <v>11</v>
      </c>
      <c r="B1765" s="4">
        <v>759170</v>
      </c>
      <c r="C1765" s="3" t="s">
        <v>9</v>
      </c>
      <c r="D1765" s="18">
        <v>0.1</v>
      </c>
      <c r="E1765" s="21">
        <f t="shared" si="186"/>
        <v>7.9741404289037643E-3</v>
      </c>
      <c r="F1765" s="5">
        <v>42192</v>
      </c>
      <c r="G1765" s="5">
        <v>44081</v>
      </c>
      <c r="H1765" s="16">
        <f t="shared" si="184"/>
        <v>1889</v>
      </c>
      <c r="I1765" s="5">
        <v>44081</v>
      </c>
      <c r="J1765" s="5">
        <v>43496</v>
      </c>
      <c r="K1765" s="16">
        <f t="shared" si="185"/>
        <v>1304</v>
      </c>
      <c r="L1765" s="13">
        <v>10895.37</v>
      </c>
      <c r="M1765" s="15">
        <f t="shared" si="183"/>
        <v>220.7693927653367</v>
      </c>
      <c r="N1765" s="13">
        <v>9771.4599999999991</v>
      </c>
      <c r="O1765" s="13">
        <v>0</v>
      </c>
      <c r="P1765" s="11">
        <f t="shared" si="187"/>
        <v>1</v>
      </c>
    </row>
    <row r="1766" spans="1:16" ht="18.75" customHeight="1" thickBot="1" x14ac:dyDescent="0.3">
      <c r="A1766" s="3" t="s">
        <v>11</v>
      </c>
      <c r="B1766" s="4">
        <v>7385</v>
      </c>
      <c r="C1766" s="3" t="s">
        <v>9</v>
      </c>
      <c r="D1766" s="18">
        <v>0.1</v>
      </c>
      <c r="E1766" s="21">
        <f t="shared" si="186"/>
        <v>7.9741404289037643E-3</v>
      </c>
      <c r="F1766" s="5">
        <v>42198</v>
      </c>
      <c r="G1766" s="5">
        <v>44543</v>
      </c>
      <c r="H1766" s="16">
        <f t="shared" si="184"/>
        <v>2345</v>
      </c>
      <c r="I1766" s="5">
        <v>44543</v>
      </c>
      <c r="J1766" s="5">
        <v>43292</v>
      </c>
      <c r="K1766" s="16">
        <f t="shared" si="185"/>
        <v>1094</v>
      </c>
      <c r="L1766" s="13">
        <v>7161.93</v>
      </c>
      <c r="M1766" s="15">
        <f t="shared" si="183"/>
        <v>123.47966714947101</v>
      </c>
      <c r="N1766" s="13">
        <v>7161.93</v>
      </c>
      <c r="O1766" s="13">
        <v>0</v>
      </c>
      <c r="P1766" s="11">
        <f t="shared" si="187"/>
        <v>1</v>
      </c>
    </row>
    <row r="1767" spans="1:16" ht="18.75" customHeight="1" thickBot="1" x14ac:dyDescent="0.3">
      <c r="A1767" s="3" t="s">
        <v>11</v>
      </c>
      <c r="B1767" s="4">
        <v>373624</v>
      </c>
      <c r="C1767" s="3" t="s">
        <v>12</v>
      </c>
      <c r="D1767" s="18">
        <v>0.12</v>
      </c>
      <c r="E1767" s="21">
        <f t="shared" si="186"/>
        <v>9.4887929345830457E-3</v>
      </c>
      <c r="F1767" s="5">
        <v>42199</v>
      </c>
      <c r="G1767" s="5">
        <v>44026</v>
      </c>
      <c r="H1767" s="16">
        <f t="shared" si="184"/>
        <v>1827</v>
      </c>
      <c r="I1767" s="5">
        <v>44241</v>
      </c>
      <c r="J1767" s="5">
        <v>44375</v>
      </c>
      <c r="K1767" s="16">
        <f t="shared" si="185"/>
        <v>2176</v>
      </c>
      <c r="L1767" s="13">
        <v>10500</v>
      </c>
      <c r="M1767" s="15">
        <f t="shared" si="183"/>
        <v>227.7957837463224</v>
      </c>
      <c r="N1767" s="13">
        <v>67.099999999999994</v>
      </c>
      <c r="O1767" s="13">
        <v>67.099999999999994</v>
      </c>
      <c r="P1767" s="11">
        <f t="shared" si="187"/>
        <v>1</v>
      </c>
    </row>
    <row r="1768" spans="1:16" ht="18.75" customHeight="1" thickBot="1" x14ac:dyDescent="0.3">
      <c r="A1768" s="3" t="s">
        <v>11</v>
      </c>
      <c r="B1768" s="4">
        <v>683715</v>
      </c>
      <c r="C1768" s="3" t="s">
        <v>9</v>
      </c>
      <c r="D1768" s="18">
        <v>0.1</v>
      </c>
      <c r="E1768" s="21">
        <f t="shared" si="186"/>
        <v>7.9741404289037643E-3</v>
      </c>
      <c r="F1768" s="5">
        <v>42199</v>
      </c>
      <c r="G1768" s="5">
        <v>43387</v>
      </c>
      <c r="H1768" s="16">
        <f t="shared" si="184"/>
        <v>1188</v>
      </c>
      <c r="I1768" s="5">
        <v>43387</v>
      </c>
      <c r="J1768" s="5">
        <v>43371</v>
      </c>
      <c r="K1768" s="16">
        <f t="shared" si="185"/>
        <v>1172</v>
      </c>
      <c r="L1768" s="13">
        <v>631.01</v>
      </c>
      <c r="M1768" s="15">
        <f t="shared" si="183"/>
        <v>18.64559245246766</v>
      </c>
      <c r="N1768" s="13">
        <v>631.01</v>
      </c>
      <c r="O1768" s="13">
        <v>225</v>
      </c>
      <c r="P1768" s="11">
        <f t="shared" si="187"/>
        <v>1</v>
      </c>
    </row>
    <row r="1769" spans="1:16" ht="18.75" customHeight="1" thickBot="1" x14ac:dyDescent="0.3">
      <c r="A1769" s="3" t="s">
        <v>11</v>
      </c>
      <c r="B1769" s="4">
        <v>809750</v>
      </c>
      <c r="C1769" s="3" t="s">
        <v>9</v>
      </c>
      <c r="D1769" s="18">
        <v>0.1</v>
      </c>
      <c r="E1769" s="21">
        <f t="shared" si="186"/>
        <v>7.9741404289037643E-3</v>
      </c>
      <c r="F1769" s="5">
        <v>42205</v>
      </c>
      <c r="G1769" s="5">
        <v>44032</v>
      </c>
      <c r="H1769" s="16">
        <f t="shared" si="184"/>
        <v>1827</v>
      </c>
      <c r="I1769" s="5">
        <v>44032</v>
      </c>
      <c r="J1769" s="5">
        <v>42857</v>
      </c>
      <c r="K1769" s="16">
        <f t="shared" si="185"/>
        <v>652</v>
      </c>
      <c r="L1769" s="13">
        <v>4171.6000000000004</v>
      </c>
      <c r="M1769" s="15">
        <f t="shared" si="183"/>
        <v>86.740042346974164</v>
      </c>
      <c r="N1769" s="13">
        <v>4171.6000000000004</v>
      </c>
      <c r="O1769" s="13">
        <v>0</v>
      </c>
      <c r="P1769" s="11">
        <f t="shared" si="187"/>
        <v>1</v>
      </c>
    </row>
    <row r="1770" spans="1:16" ht="18.75" customHeight="1" thickBot="1" x14ac:dyDescent="0.3">
      <c r="A1770" s="3" t="s">
        <v>11</v>
      </c>
      <c r="B1770" s="4">
        <v>754143</v>
      </c>
      <c r="C1770" s="3" t="s">
        <v>9</v>
      </c>
      <c r="D1770" s="18">
        <v>0.14000000000000001</v>
      </c>
      <c r="E1770" s="21">
        <f t="shared" si="186"/>
        <v>1.0978851950173452E-2</v>
      </c>
      <c r="F1770" s="5">
        <v>42206</v>
      </c>
      <c r="G1770" s="5">
        <v>43486</v>
      </c>
      <c r="H1770" s="16">
        <f t="shared" si="184"/>
        <v>1280</v>
      </c>
      <c r="I1770" s="5">
        <v>43486</v>
      </c>
      <c r="J1770" s="5">
        <v>42948</v>
      </c>
      <c r="K1770" s="16">
        <f t="shared" si="185"/>
        <v>742</v>
      </c>
      <c r="L1770" s="13">
        <v>3006.01</v>
      </c>
      <c r="M1770" s="15">
        <f t="shared" si="183"/>
        <v>88.617326237445283</v>
      </c>
      <c r="N1770" s="13">
        <v>3006.01</v>
      </c>
      <c r="O1770" s="13">
        <v>0</v>
      </c>
      <c r="P1770" s="11">
        <f t="shared" si="187"/>
        <v>1</v>
      </c>
    </row>
    <row r="1771" spans="1:16" ht="18.75" hidden="1" customHeight="1" thickBot="1" x14ac:dyDescent="0.3">
      <c r="A1771" s="3" t="s">
        <v>11</v>
      </c>
      <c r="B1771" s="4">
        <v>870565</v>
      </c>
      <c r="C1771" s="3" t="s">
        <v>9</v>
      </c>
      <c r="D1771" s="18">
        <v>0.105</v>
      </c>
      <c r="E1771" s="21">
        <f t="shared" si="186"/>
        <v>8.355155683635207E-3</v>
      </c>
      <c r="F1771" s="5">
        <v>42212</v>
      </c>
      <c r="G1771" s="5">
        <v>43308</v>
      </c>
      <c r="H1771" s="16">
        <f t="shared" si="184"/>
        <v>1096</v>
      </c>
      <c r="I1771" s="5">
        <v>43308</v>
      </c>
      <c r="J1771" s="2"/>
      <c r="K1771" s="16">
        <f t="shared" si="185"/>
        <v>-42212</v>
      </c>
      <c r="L1771" s="13">
        <v>11527.04</v>
      </c>
      <c r="M1771" s="15">
        <f t="shared" si="183"/>
        <v>367.42845898973616</v>
      </c>
      <c r="N1771" s="13">
        <v>11527.04</v>
      </c>
      <c r="O1771" s="13">
        <v>0</v>
      </c>
      <c r="P1771" s="11">
        <f t="shared" si="187"/>
        <v>1</v>
      </c>
    </row>
    <row r="1772" spans="1:16" ht="18.75" customHeight="1" thickBot="1" x14ac:dyDescent="0.3">
      <c r="A1772" s="3" t="s">
        <v>11</v>
      </c>
      <c r="B1772" s="4">
        <v>220324</v>
      </c>
      <c r="C1772" s="3" t="s">
        <v>9</v>
      </c>
      <c r="D1772" s="18">
        <v>0.1</v>
      </c>
      <c r="E1772" s="21">
        <f t="shared" si="186"/>
        <v>7.9741404289037643E-3</v>
      </c>
      <c r="F1772" s="5">
        <v>42213</v>
      </c>
      <c r="G1772" s="5">
        <v>43661</v>
      </c>
      <c r="H1772" s="16">
        <f t="shared" si="184"/>
        <v>1448</v>
      </c>
      <c r="I1772" s="5">
        <v>43661</v>
      </c>
      <c r="J1772" s="5">
        <v>43725</v>
      </c>
      <c r="K1772" s="16">
        <f t="shared" si="185"/>
        <v>1512</v>
      </c>
      <c r="L1772" s="13">
        <v>980.95</v>
      </c>
      <c r="M1772" s="15">
        <f t="shared" si="183"/>
        <v>24.564873889952075</v>
      </c>
      <c r="N1772" s="13">
        <v>980.95</v>
      </c>
      <c r="O1772" s="13">
        <v>0</v>
      </c>
      <c r="P1772" s="11">
        <f t="shared" si="187"/>
        <v>1</v>
      </c>
    </row>
    <row r="1773" spans="1:16" ht="18.75" customHeight="1" thickBot="1" x14ac:dyDescent="0.3">
      <c r="A1773" s="3" t="s">
        <v>11</v>
      </c>
      <c r="B1773" s="4">
        <v>191101</v>
      </c>
      <c r="C1773" s="3" t="s">
        <v>9</v>
      </c>
      <c r="D1773" s="18">
        <v>0.14000000000000001</v>
      </c>
      <c r="E1773" s="21">
        <f t="shared" si="186"/>
        <v>1.0978851950173452E-2</v>
      </c>
      <c r="F1773" s="5">
        <v>42214</v>
      </c>
      <c r="G1773" s="5">
        <v>43188</v>
      </c>
      <c r="H1773" s="16">
        <f t="shared" si="184"/>
        <v>974</v>
      </c>
      <c r="I1773" s="5">
        <v>43188</v>
      </c>
      <c r="J1773" s="5">
        <v>42438</v>
      </c>
      <c r="K1773" s="16">
        <f t="shared" si="185"/>
        <v>224</v>
      </c>
      <c r="L1773" s="13">
        <v>6618.77</v>
      </c>
      <c r="M1773" s="15">
        <f t="shared" si="183"/>
        <v>243.45608973439198</v>
      </c>
      <c r="N1773" s="13">
        <v>6618.77</v>
      </c>
      <c r="O1773" s="13">
        <v>0</v>
      </c>
      <c r="P1773" s="11">
        <f t="shared" si="187"/>
        <v>1</v>
      </c>
    </row>
    <row r="1774" spans="1:16" ht="18.75" customHeight="1" thickBot="1" x14ac:dyDescent="0.3">
      <c r="A1774" s="3" t="s">
        <v>11</v>
      </c>
      <c r="B1774" s="4">
        <v>545074</v>
      </c>
      <c r="C1774" s="3" t="s">
        <v>9</v>
      </c>
      <c r="D1774" s="18">
        <v>0.08</v>
      </c>
      <c r="E1774" s="21">
        <f t="shared" si="186"/>
        <v>6.4340301100034303E-3</v>
      </c>
      <c r="F1774" s="5">
        <v>42215</v>
      </c>
      <c r="G1774" s="5">
        <v>44042</v>
      </c>
      <c r="H1774" s="16">
        <f t="shared" si="184"/>
        <v>1827</v>
      </c>
      <c r="I1774" s="5">
        <v>44042</v>
      </c>
      <c r="J1774" s="5">
        <v>42314</v>
      </c>
      <c r="K1774" s="16">
        <f t="shared" si="185"/>
        <v>99</v>
      </c>
      <c r="L1774" s="13">
        <v>6000</v>
      </c>
      <c r="M1774" s="15">
        <f t="shared" si="183"/>
        <v>119.39417624302409</v>
      </c>
      <c r="N1774" s="13">
        <v>6000</v>
      </c>
      <c r="O1774" s="13">
        <v>6000</v>
      </c>
      <c r="P1774" s="11">
        <f t="shared" si="187"/>
        <v>1</v>
      </c>
    </row>
    <row r="1775" spans="1:16" ht="18.75" customHeight="1" thickBot="1" x14ac:dyDescent="0.3">
      <c r="A1775" s="3" t="s">
        <v>11</v>
      </c>
      <c r="B1775" s="4">
        <v>302050</v>
      </c>
      <c r="C1775" s="3" t="s">
        <v>9</v>
      </c>
      <c r="D1775" s="18">
        <v>0.105</v>
      </c>
      <c r="E1775" s="21">
        <f t="shared" si="186"/>
        <v>8.355155683635207E-3</v>
      </c>
      <c r="F1775" s="5">
        <v>42216</v>
      </c>
      <c r="G1775" s="5">
        <v>44495</v>
      </c>
      <c r="H1775" s="16">
        <f t="shared" si="184"/>
        <v>2279</v>
      </c>
      <c r="I1775" s="5">
        <v>44495</v>
      </c>
      <c r="J1775" s="5">
        <v>43234</v>
      </c>
      <c r="K1775" s="16">
        <f t="shared" si="185"/>
        <v>1018</v>
      </c>
      <c r="L1775" s="13">
        <v>12701.09</v>
      </c>
      <c r="M1775" s="15">
        <f t="shared" si="183"/>
        <v>226.50299225645293</v>
      </c>
      <c r="N1775" s="13">
        <v>12701.09</v>
      </c>
      <c r="O1775" s="13">
        <v>0</v>
      </c>
      <c r="P1775" s="11">
        <f t="shared" si="187"/>
        <v>1</v>
      </c>
    </row>
    <row r="1776" spans="1:16" ht="18.75" customHeight="1" thickBot="1" x14ac:dyDescent="0.3">
      <c r="A1776" s="3" t="s">
        <v>11</v>
      </c>
      <c r="B1776" s="4">
        <v>935911</v>
      </c>
      <c r="C1776" s="3" t="s">
        <v>9</v>
      </c>
      <c r="D1776" s="18">
        <v>0.1</v>
      </c>
      <c r="E1776" s="21">
        <f t="shared" si="186"/>
        <v>7.9741404289037643E-3</v>
      </c>
      <c r="F1776" s="5">
        <v>42221</v>
      </c>
      <c r="G1776" s="5">
        <v>44048</v>
      </c>
      <c r="H1776" s="16">
        <f t="shared" si="184"/>
        <v>1827</v>
      </c>
      <c r="I1776" s="5">
        <v>44048</v>
      </c>
      <c r="J1776" s="5">
        <v>42419</v>
      </c>
      <c r="K1776" s="16">
        <f t="shared" si="185"/>
        <v>198</v>
      </c>
      <c r="L1776" s="13">
        <v>2351.9</v>
      </c>
      <c r="M1776" s="15">
        <f t="shared" si="183"/>
        <v>48.903036148204166</v>
      </c>
      <c r="N1776" s="13">
        <v>2351.9</v>
      </c>
      <c r="O1776" s="13">
        <v>0</v>
      </c>
      <c r="P1776" s="11">
        <f t="shared" si="187"/>
        <v>1</v>
      </c>
    </row>
    <row r="1777" spans="1:16" ht="18.75" customHeight="1" thickBot="1" x14ac:dyDescent="0.3">
      <c r="A1777" s="3" t="s">
        <v>11</v>
      </c>
      <c r="B1777" s="4">
        <v>789526</v>
      </c>
      <c r="C1777" s="3" t="s">
        <v>9</v>
      </c>
      <c r="D1777" s="18">
        <v>0.08</v>
      </c>
      <c r="E1777" s="21">
        <f t="shared" si="186"/>
        <v>6.4340301100034303E-3</v>
      </c>
      <c r="F1777" s="5">
        <v>42226</v>
      </c>
      <c r="G1777" s="5">
        <v>44985</v>
      </c>
      <c r="H1777" s="16">
        <f t="shared" si="184"/>
        <v>2759</v>
      </c>
      <c r="I1777" s="5">
        <v>44985</v>
      </c>
      <c r="J1777" s="5">
        <v>43496</v>
      </c>
      <c r="K1777" s="16">
        <f t="shared" si="185"/>
        <v>1270</v>
      </c>
      <c r="L1777" s="13">
        <v>19927.04</v>
      </c>
      <c r="M1777" s="15">
        <f t="shared" si="183"/>
        <v>287.74422548014024</v>
      </c>
      <c r="N1777" s="13">
        <v>18927.04</v>
      </c>
      <c r="O1777" s="13">
        <v>0</v>
      </c>
      <c r="P1777" s="11">
        <f t="shared" si="187"/>
        <v>1</v>
      </c>
    </row>
    <row r="1778" spans="1:16" ht="18.75" customHeight="1" thickBot="1" x14ac:dyDescent="0.3">
      <c r="A1778" s="3" t="s">
        <v>11</v>
      </c>
      <c r="B1778" s="4">
        <v>554278</v>
      </c>
      <c r="C1778" s="3" t="s">
        <v>9</v>
      </c>
      <c r="D1778" s="18">
        <v>0.1</v>
      </c>
      <c r="E1778" s="21">
        <f t="shared" si="186"/>
        <v>7.9741404289037643E-3</v>
      </c>
      <c r="F1778" s="5">
        <v>42227</v>
      </c>
      <c r="G1778" s="5">
        <v>44525</v>
      </c>
      <c r="H1778" s="16">
        <f t="shared" si="184"/>
        <v>2298</v>
      </c>
      <c r="I1778" s="5">
        <v>44525</v>
      </c>
      <c r="J1778" s="5">
        <v>43238</v>
      </c>
      <c r="K1778" s="16">
        <f t="shared" si="185"/>
        <v>1011</v>
      </c>
      <c r="L1778" s="13">
        <v>30634.84</v>
      </c>
      <c r="M1778" s="15">
        <f t="shared" si="183"/>
        <v>535.97786319541831</v>
      </c>
      <c r="N1778" s="13">
        <v>30634.84</v>
      </c>
      <c r="O1778" s="13">
        <v>0</v>
      </c>
      <c r="P1778" s="11">
        <f t="shared" si="187"/>
        <v>1</v>
      </c>
    </row>
    <row r="1779" spans="1:16" ht="18.75" customHeight="1" thickBot="1" x14ac:dyDescent="0.3">
      <c r="A1779" s="3" t="s">
        <v>11</v>
      </c>
      <c r="B1779" s="4">
        <v>447703</v>
      </c>
      <c r="C1779" s="3" t="s">
        <v>9</v>
      </c>
      <c r="D1779" s="18">
        <v>0.1</v>
      </c>
      <c r="E1779" s="21">
        <f t="shared" si="186"/>
        <v>7.9741404289037643E-3</v>
      </c>
      <c r="F1779" s="5">
        <v>42230</v>
      </c>
      <c r="G1779" s="5">
        <v>44909</v>
      </c>
      <c r="H1779" s="16">
        <f t="shared" si="184"/>
        <v>2679</v>
      </c>
      <c r="I1779" s="5">
        <v>44909</v>
      </c>
      <c r="J1779" s="5">
        <v>43496</v>
      </c>
      <c r="K1779" s="16">
        <f t="shared" si="185"/>
        <v>1266</v>
      </c>
      <c r="L1779" s="13">
        <v>16343.77</v>
      </c>
      <c r="M1779" s="15">
        <f t="shared" si="183"/>
        <v>256.55270893264179</v>
      </c>
      <c r="N1779" s="13">
        <v>14927.54</v>
      </c>
      <c r="O1779" s="13">
        <v>14927.54</v>
      </c>
      <c r="P1779" s="11">
        <f t="shared" si="187"/>
        <v>1</v>
      </c>
    </row>
    <row r="1780" spans="1:16" ht="18.75" customHeight="1" thickBot="1" x14ac:dyDescent="0.3">
      <c r="A1780" s="3" t="s">
        <v>11</v>
      </c>
      <c r="B1780" s="4">
        <v>894320</v>
      </c>
      <c r="C1780" s="3" t="s">
        <v>9</v>
      </c>
      <c r="D1780" s="18">
        <v>0.05</v>
      </c>
      <c r="E1780" s="21">
        <f t="shared" si="186"/>
        <v>4.0741237836483535E-3</v>
      </c>
      <c r="F1780" s="5">
        <v>42230</v>
      </c>
      <c r="G1780" s="5">
        <v>44057</v>
      </c>
      <c r="H1780" s="16">
        <f t="shared" si="184"/>
        <v>1827</v>
      </c>
      <c r="I1780" s="5">
        <v>44057</v>
      </c>
      <c r="J1780" s="5">
        <v>43376</v>
      </c>
      <c r="K1780" s="16">
        <f t="shared" si="185"/>
        <v>1146</v>
      </c>
      <c r="L1780" s="13">
        <v>9266.33</v>
      </c>
      <c r="M1780" s="15">
        <f t="shared" si="183"/>
        <v>172.12050600510608</v>
      </c>
      <c r="N1780" s="13">
        <v>9235.1299999999992</v>
      </c>
      <c r="O1780" s="13">
        <v>0</v>
      </c>
      <c r="P1780" s="11">
        <f t="shared" si="187"/>
        <v>1</v>
      </c>
    </row>
    <row r="1781" spans="1:16" ht="18.75" customHeight="1" thickBot="1" x14ac:dyDescent="0.3">
      <c r="A1781" s="3" t="s">
        <v>11</v>
      </c>
      <c r="B1781" s="4">
        <v>936918</v>
      </c>
      <c r="C1781" s="3" t="s">
        <v>9</v>
      </c>
      <c r="D1781" s="18">
        <v>0.1</v>
      </c>
      <c r="E1781" s="21">
        <f t="shared" si="186"/>
        <v>7.9741404289037643E-3</v>
      </c>
      <c r="F1781" s="5">
        <v>42233</v>
      </c>
      <c r="G1781" s="5">
        <v>43694</v>
      </c>
      <c r="H1781" s="16">
        <f t="shared" si="184"/>
        <v>1461</v>
      </c>
      <c r="I1781" s="5">
        <v>43694</v>
      </c>
      <c r="J1781" s="5">
        <v>43633</v>
      </c>
      <c r="K1781" s="16">
        <f t="shared" si="185"/>
        <v>1400</v>
      </c>
      <c r="L1781" s="13">
        <v>6921.85</v>
      </c>
      <c r="M1781" s="15">
        <f t="shared" si="183"/>
        <v>172.07101362689772</v>
      </c>
      <c r="N1781" s="13">
        <v>6307.38</v>
      </c>
      <c r="O1781" s="13">
        <v>2600.69</v>
      </c>
      <c r="P1781" s="11">
        <f t="shared" si="187"/>
        <v>1</v>
      </c>
    </row>
    <row r="1782" spans="1:16" ht="18.75" customHeight="1" thickBot="1" x14ac:dyDescent="0.3">
      <c r="A1782" s="3" t="s">
        <v>11</v>
      </c>
      <c r="B1782" s="4">
        <v>904813</v>
      </c>
      <c r="C1782" s="3" t="s">
        <v>9</v>
      </c>
      <c r="D1782" s="18">
        <v>0.1</v>
      </c>
      <c r="E1782" s="21">
        <f t="shared" si="186"/>
        <v>7.9741404289037643E-3</v>
      </c>
      <c r="F1782" s="5">
        <v>42233</v>
      </c>
      <c r="G1782" s="5">
        <v>44425</v>
      </c>
      <c r="H1782" s="16">
        <f t="shared" si="184"/>
        <v>2192</v>
      </c>
      <c r="I1782" s="5">
        <v>44425</v>
      </c>
      <c r="J1782" s="5">
        <v>43654</v>
      </c>
      <c r="K1782" s="16">
        <f t="shared" si="185"/>
        <v>1421</v>
      </c>
      <c r="L1782" s="13">
        <v>5306.91</v>
      </c>
      <c r="M1782" s="15">
        <f t="shared" si="183"/>
        <v>96.114442857309626</v>
      </c>
      <c r="N1782" s="13">
        <v>4721.2700000000004</v>
      </c>
      <c r="O1782" s="13">
        <v>4721.2700000000004</v>
      </c>
      <c r="P1782" s="11">
        <f t="shared" si="187"/>
        <v>1</v>
      </c>
    </row>
    <row r="1783" spans="1:16" ht="18.75" customHeight="1" thickBot="1" x14ac:dyDescent="0.3">
      <c r="A1783" s="3" t="s">
        <v>11</v>
      </c>
      <c r="B1783" s="4">
        <v>510508</v>
      </c>
      <c r="C1783" s="3" t="s">
        <v>9</v>
      </c>
      <c r="D1783" s="18">
        <v>0.1</v>
      </c>
      <c r="E1783" s="21">
        <f t="shared" si="186"/>
        <v>7.9741404289037643E-3</v>
      </c>
      <c r="F1783" s="5">
        <v>42233</v>
      </c>
      <c r="G1783" s="5">
        <v>44486</v>
      </c>
      <c r="H1783" s="16">
        <f t="shared" si="184"/>
        <v>2253</v>
      </c>
      <c r="I1783" s="5">
        <v>44486</v>
      </c>
      <c r="J1783" s="5">
        <v>43200</v>
      </c>
      <c r="K1783" s="16">
        <f t="shared" si="185"/>
        <v>967</v>
      </c>
      <c r="L1783" s="13">
        <v>1707.46</v>
      </c>
      <c r="M1783" s="15">
        <f t="shared" si="183"/>
        <v>30.306917242082275</v>
      </c>
      <c r="N1783" s="13">
        <v>1707.46</v>
      </c>
      <c r="O1783" s="13">
        <v>0</v>
      </c>
      <c r="P1783" s="11">
        <f t="shared" si="187"/>
        <v>1</v>
      </c>
    </row>
    <row r="1784" spans="1:16" ht="18.75" customHeight="1" thickBot="1" x14ac:dyDescent="0.3">
      <c r="A1784" s="3" t="s">
        <v>11</v>
      </c>
      <c r="B1784" s="4">
        <v>694365</v>
      </c>
      <c r="C1784" s="3" t="s">
        <v>9</v>
      </c>
      <c r="D1784" s="18">
        <v>0.1</v>
      </c>
      <c r="E1784" s="21">
        <f t="shared" si="186"/>
        <v>7.9741404289037643E-3</v>
      </c>
      <c r="F1784" s="5">
        <v>42235</v>
      </c>
      <c r="G1784" s="5">
        <v>44549</v>
      </c>
      <c r="H1784" s="16">
        <f t="shared" si="184"/>
        <v>2314</v>
      </c>
      <c r="I1784" s="5">
        <v>44549</v>
      </c>
      <c r="J1784" s="5">
        <v>43418</v>
      </c>
      <c r="K1784" s="16">
        <f t="shared" si="185"/>
        <v>1183</v>
      </c>
      <c r="L1784" s="13">
        <v>3996.98</v>
      </c>
      <c r="M1784" s="15">
        <f t="shared" si="183"/>
        <v>69.578762369036852</v>
      </c>
      <c r="N1784" s="13">
        <v>3793.69</v>
      </c>
      <c r="O1784" s="13">
        <v>0</v>
      </c>
      <c r="P1784" s="11">
        <f t="shared" si="187"/>
        <v>1</v>
      </c>
    </row>
    <row r="1785" spans="1:16" ht="18.75" hidden="1" customHeight="1" thickBot="1" x14ac:dyDescent="0.3">
      <c r="A1785" s="3" t="s">
        <v>11</v>
      </c>
      <c r="B1785" s="4">
        <v>43410</v>
      </c>
      <c r="C1785" s="3" t="s">
        <v>9</v>
      </c>
      <c r="D1785" s="18">
        <v>0.08</v>
      </c>
      <c r="E1785" s="21">
        <f t="shared" si="186"/>
        <v>6.4340301100034303E-3</v>
      </c>
      <c r="F1785" s="5">
        <v>42236</v>
      </c>
      <c r="G1785" s="5">
        <v>42967</v>
      </c>
      <c r="H1785" s="16">
        <f t="shared" si="184"/>
        <v>731</v>
      </c>
      <c r="I1785" s="5">
        <v>42967</v>
      </c>
      <c r="J1785" s="2"/>
      <c r="K1785" s="16">
        <f t="shared" si="185"/>
        <v>-42236</v>
      </c>
      <c r="L1785" s="13">
        <v>8000</v>
      </c>
      <c r="M1785" s="15">
        <f t="shared" si="183"/>
        <v>355.77860717935033</v>
      </c>
      <c r="N1785" s="13">
        <v>8000</v>
      </c>
      <c r="O1785" s="13">
        <v>8000</v>
      </c>
      <c r="P1785" s="11">
        <f t="shared" si="187"/>
        <v>1</v>
      </c>
    </row>
    <row r="1786" spans="1:16" ht="18.75" customHeight="1" thickBot="1" x14ac:dyDescent="0.3">
      <c r="A1786" s="3" t="s">
        <v>11</v>
      </c>
      <c r="B1786" s="4">
        <v>17351</v>
      </c>
      <c r="C1786" s="3" t="s">
        <v>9</v>
      </c>
      <c r="D1786" s="18">
        <v>0.1</v>
      </c>
      <c r="E1786" s="21">
        <f t="shared" si="186"/>
        <v>7.9741404289037643E-3</v>
      </c>
      <c r="F1786" s="5">
        <v>42237</v>
      </c>
      <c r="G1786" s="5">
        <v>44429</v>
      </c>
      <c r="H1786" s="16">
        <f t="shared" si="184"/>
        <v>2192</v>
      </c>
      <c r="I1786" s="5">
        <v>44429</v>
      </c>
      <c r="J1786" s="5">
        <v>42514</v>
      </c>
      <c r="K1786" s="16">
        <f t="shared" si="185"/>
        <v>277</v>
      </c>
      <c r="L1786" s="13">
        <v>11375.06</v>
      </c>
      <c r="M1786" s="15">
        <f t="shared" si="183"/>
        <v>206.0158462021154</v>
      </c>
      <c r="N1786" s="13">
        <v>11375.06</v>
      </c>
      <c r="O1786" s="13">
        <v>0</v>
      </c>
      <c r="P1786" s="11">
        <f t="shared" si="187"/>
        <v>1</v>
      </c>
    </row>
    <row r="1787" spans="1:16" ht="18.75" customHeight="1" thickBot="1" x14ac:dyDescent="0.3">
      <c r="A1787" s="3" t="s">
        <v>11</v>
      </c>
      <c r="B1787" s="4">
        <v>390997</v>
      </c>
      <c r="C1787" s="3" t="s">
        <v>9</v>
      </c>
      <c r="D1787" s="18">
        <v>0.1</v>
      </c>
      <c r="E1787" s="21">
        <f t="shared" si="186"/>
        <v>7.9741404289037643E-3</v>
      </c>
      <c r="F1787" s="5">
        <v>42240</v>
      </c>
      <c r="G1787" s="5">
        <v>44279</v>
      </c>
      <c r="H1787" s="16">
        <f t="shared" si="184"/>
        <v>2039</v>
      </c>
      <c r="I1787" s="5">
        <v>44279</v>
      </c>
      <c r="J1787" s="5">
        <v>42734</v>
      </c>
      <c r="K1787" s="16">
        <f t="shared" si="185"/>
        <v>494</v>
      </c>
      <c r="L1787" s="13">
        <v>10000</v>
      </c>
      <c r="M1787" s="15">
        <f t="shared" si="183"/>
        <v>191.15739967919086</v>
      </c>
      <c r="N1787" s="13">
        <v>10000</v>
      </c>
      <c r="O1787" s="13">
        <v>0</v>
      </c>
      <c r="P1787" s="11">
        <f t="shared" si="187"/>
        <v>1</v>
      </c>
    </row>
    <row r="1788" spans="1:16" ht="18.75" customHeight="1" thickBot="1" x14ac:dyDescent="0.3">
      <c r="A1788" s="3" t="s">
        <v>11</v>
      </c>
      <c r="B1788" s="4">
        <v>951948</v>
      </c>
      <c r="C1788" s="3" t="s">
        <v>9</v>
      </c>
      <c r="D1788" s="18">
        <v>0.1</v>
      </c>
      <c r="E1788" s="21">
        <f t="shared" si="186"/>
        <v>7.9741404289037643E-3</v>
      </c>
      <c r="F1788" s="5">
        <v>42277</v>
      </c>
      <c r="G1788" s="5">
        <v>44104</v>
      </c>
      <c r="H1788" s="16">
        <f t="shared" si="184"/>
        <v>1827</v>
      </c>
      <c r="I1788" s="5">
        <v>44104</v>
      </c>
      <c r="J1788" s="5">
        <v>42744</v>
      </c>
      <c r="K1788" s="16">
        <f t="shared" si="185"/>
        <v>467</v>
      </c>
      <c r="L1788" s="13">
        <v>3003.59</v>
      </c>
      <c r="M1788" s="15">
        <f t="shared" si="183"/>
        <v>62.453620623489329</v>
      </c>
      <c r="N1788" s="13">
        <v>3003.59</v>
      </c>
      <c r="O1788" s="13">
        <v>0</v>
      </c>
      <c r="P1788" s="11">
        <f t="shared" si="187"/>
        <v>1</v>
      </c>
    </row>
    <row r="1789" spans="1:16" ht="18.75" customHeight="1" thickBot="1" x14ac:dyDescent="0.3">
      <c r="A1789" s="3" t="s">
        <v>11</v>
      </c>
      <c r="B1789" s="4">
        <v>945013</v>
      </c>
      <c r="C1789" s="3" t="s">
        <v>9</v>
      </c>
      <c r="D1789" s="18">
        <v>9.5000000000000001E-2</v>
      </c>
      <c r="E1789" s="21">
        <f t="shared" si="186"/>
        <v>7.5915342905825689E-3</v>
      </c>
      <c r="F1789" s="5">
        <v>42250</v>
      </c>
      <c r="G1789" s="5">
        <v>43931</v>
      </c>
      <c r="H1789" s="16">
        <f t="shared" si="184"/>
        <v>1681</v>
      </c>
      <c r="I1789" s="5">
        <v>43931</v>
      </c>
      <c r="J1789" s="5">
        <v>43203</v>
      </c>
      <c r="K1789" s="16">
        <f t="shared" si="185"/>
        <v>953</v>
      </c>
      <c r="L1789" s="13">
        <v>9005.01</v>
      </c>
      <c r="M1789" s="15">
        <f t="shared" si="183"/>
        <v>197.90521366326101</v>
      </c>
      <c r="N1789" s="13">
        <v>9005.01</v>
      </c>
      <c r="O1789" s="13">
        <v>0</v>
      </c>
      <c r="P1789" s="11">
        <f t="shared" si="187"/>
        <v>1</v>
      </c>
    </row>
    <row r="1790" spans="1:16" ht="18.75" customHeight="1" thickBot="1" x14ac:dyDescent="0.3">
      <c r="A1790" s="3" t="s">
        <v>11</v>
      </c>
      <c r="B1790" s="4">
        <v>200234</v>
      </c>
      <c r="C1790" s="3" t="s">
        <v>9</v>
      </c>
      <c r="D1790" s="18">
        <v>0.14000000000000001</v>
      </c>
      <c r="E1790" s="21">
        <f t="shared" si="186"/>
        <v>1.0978851950173452E-2</v>
      </c>
      <c r="F1790" s="5">
        <v>42251</v>
      </c>
      <c r="G1790" s="5">
        <v>42829</v>
      </c>
      <c r="H1790" s="16">
        <f t="shared" si="184"/>
        <v>578</v>
      </c>
      <c r="I1790" s="5">
        <v>42829</v>
      </c>
      <c r="J1790" s="5">
        <v>42650</v>
      </c>
      <c r="K1790" s="16">
        <f t="shared" si="185"/>
        <v>399</v>
      </c>
      <c r="L1790" s="13">
        <v>1766.81</v>
      </c>
      <c r="M1790" s="15">
        <f t="shared" si="183"/>
        <v>102.24400395882215</v>
      </c>
      <c r="N1790" s="13">
        <v>1766.81</v>
      </c>
      <c r="O1790" s="13">
        <v>0</v>
      </c>
      <c r="P1790" s="11">
        <f t="shared" si="187"/>
        <v>1</v>
      </c>
    </row>
    <row r="1791" spans="1:16" ht="18.75" customHeight="1" thickBot="1" x14ac:dyDescent="0.3">
      <c r="A1791" s="3" t="s">
        <v>11</v>
      </c>
      <c r="B1791" s="4">
        <v>458115</v>
      </c>
      <c r="C1791" s="3" t="s">
        <v>9</v>
      </c>
      <c r="D1791" s="18">
        <v>0.1</v>
      </c>
      <c r="E1791" s="21">
        <f t="shared" si="186"/>
        <v>7.9741404289037643E-3</v>
      </c>
      <c r="F1791" s="5">
        <v>42255</v>
      </c>
      <c r="G1791" s="5">
        <v>42621</v>
      </c>
      <c r="H1791" s="16">
        <f t="shared" si="184"/>
        <v>366</v>
      </c>
      <c r="I1791" s="5">
        <v>42621</v>
      </c>
      <c r="J1791" s="5">
        <v>42303</v>
      </c>
      <c r="K1791" s="16">
        <f t="shared" si="185"/>
        <v>48</v>
      </c>
      <c r="L1791" s="13">
        <v>913.15</v>
      </c>
      <c r="M1791" s="15">
        <f t="shared" si="183"/>
        <v>78.845973261287355</v>
      </c>
      <c r="N1791" s="13">
        <v>913.15</v>
      </c>
      <c r="O1791" s="13">
        <v>0</v>
      </c>
      <c r="P1791" s="11">
        <f t="shared" si="187"/>
        <v>1</v>
      </c>
    </row>
    <row r="1792" spans="1:16" ht="18.75" customHeight="1" thickBot="1" x14ac:dyDescent="0.3">
      <c r="A1792" s="3" t="s">
        <v>11</v>
      </c>
      <c r="B1792" s="4">
        <v>315992</v>
      </c>
      <c r="C1792" s="3" t="s">
        <v>9</v>
      </c>
      <c r="D1792" s="18">
        <v>0.1</v>
      </c>
      <c r="E1792" s="21">
        <f t="shared" si="186"/>
        <v>7.9741404289037643E-3</v>
      </c>
      <c r="F1792" s="5">
        <v>42255</v>
      </c>
      <c r="G1792" s="5">
        <v>44082</v>
      </c>
      <c r="H1792" s="16">
        <f t="shared" si="184"/>
        <v>1827</v>
      </c>
      <c r="I1792" s="5">
        <v>44082</v>
      </c>
      <c r="J1792" s="5">
        <v>43073</v>
      </c>
      <c r="K1792" s="16">
        <f t="shared" si="185"/>
        <v>818</v>
      </c>
      <c r="L1792" s="13">
        <v>640.74</v>
      </c>
      <c r="M1792" s="15">
        <f t="shared" si="183"/>
        <v>13.322901220970422</v>
      </c>
      <c r="N1792" s="13">
        <v>640.74</v>
      </c>
      <c r="O1792" s="13">
        <v>0</v>
      </c>
      <c r="P1792" s="11">
        <f t="shared" si="187"/>
        <v>1</v>
      </c>
    </row>
    <row r="1793" spans="1:16" ht="18.75" customHeight="1" thickBot="1" x14ac:dyDescent="0.3">
      <c r="A1793" s="3" t="s">
        <v>11</v>
      </c>
      <c r="B1793" s="4">
        <v>727331</v>
      </c>
      <c r="C1793" s="3" t="s">
        <v>19</v>
      </c>
      <c r="D1793" s="18">
        <v>0.1</v>
      </c>
      <c r="E1793" s="21">
        <f t="shared" si="186"/>
        <v>7.9741404289037643E-3</v>
      </c>
      <c r="F1793" s="5">
        <v>42256</v>
      </c>
      <c r="G1793" s="5">
        <v>43717</v>
      </c>
      <c r="H1793" s="16">
        <f t="shared" si="184"/>
        <v>1461</v>
      </c>
      <c r="I1793" s="5">
        <v>43747</v>
      </c>
      <c r="J1793" s="5">
        <v>44033</v>
      </c>
      <c r="K1793" s="16">
        <f t="shared" si="185"/>
        <v>1777</v>
      </c>
      <c r="L1793" s="13">
        <v>4315</v>
      </c>
      <c r="M1793" s="15">
        <f t="shared" si="183"/>
        <v>107.26704909815493</v>
      </c>
      <c r="N1793" s="13">
        <v>99.38</v>
      </c>
      <c r="O1793" s="13">
        <v>99.38</v>
      </c>
      <c r="P1793" s="11">
        <f t="shared" si="187"/>
        <v>1</v>
      </c>
    </row>
    <row r="1794" spans="1:16" ht="18.75" customHeight="1" thickBot="1" x14ac:dyDescent="0.3">
      <c r="A1794" s="3" t="s">
        <v>11</v>
      </c>
      <c r="B1794" s="4">
        <v>379569</v>
      </c>
      <c r="C1794" s="3" t="s">
        <v>9</v>
      </c>
      <c r="D1794" s="18">
        <v>0.1</v>
      </c>
      <c r="E1794" s="21">
        <f t="shared" si="186"/>
        <v>7.9741404289037643E-3</v>
      </c>
      <c r="F1794" s="5">
        <v>42257</v>
      </c>
      <c r="G1794" s="5">
        <v>44145</v>
      </c>
      <c r="H1794" s="16">
        <f t="shared" si="184"/>
        <v>1888</v>
      </c>
      <c r="I1794" s="5">
        <v>44145</v>
      </c>
      <c r="J1794" s="5">
        <v>42464</v>
      </c>
      <c r="K1794" s="16">
        <f t="shared" si="185"/>
        <v>207</v>
      </c>
      <c r="L1794" s="13">
        <v>15229.01</v>
      </c>
      <c r="M1794" s="15">
        <f t="shared" ref="M1794:M1857" si="188">-PMT(E1794,(H1794/30),L1794)</f>
        <v>308.70651902297391</v>
      </c>
      <c r="N1794" s="13">
        <v>15229.01</v>
      </c>
      <c r="O1794" s="13">
        <v>0</v>
      </c>
      <c r="P1794" s="11">
        <f t="shared" si="187"/>
        <v>1</v>
      </c>
    </row>
    <row r="1795" spans="1:16" ht="18.75" customHeight="1" thickBot="1" x14ac:dyDescent="0.3">
      <c r="A1795" s="3" t="s">
        <v>11</v>
      </c>
      <c r="B1795" s="4">
        <v>43512</v>
      </c>
      <c r="C1795" s="3" t="s">
        <v>9</v>
      </c>
      <c r="D1795" s="18">
        <v>0.1</v>
      </c>
      <c r="E1795" s="21">
        <f t="shared" si="186"/>
        <v>7.9741404289037643E-3</v>
      </c>
      <c r="F1795" s="5">
        <v>42256</v>
      </c>
      <c r="G1795" s="5">
        <v>44448</v>
      </c>
      <c r="H1795" s="16">
        <f t="shared" ref="H1795:H1858" si="189">G1795-F1795</f>
        <v>2192</v>
      </c>
      <c r="I1795" s="5">
        <v>44448</v>
      </c>
      <c r="J1795" s="5">
        <v>43154</v>
      </c>
      <c r="K1795" s="16">
        <f t="shared" ref="K1795:K1858" si="190">J1795-F1795</f>
        <v>898</v>
      </c>
      <c r="L1795" s="13">
        <v>0.7</v>
      </c>
      <c r="M1795" s="15">
        <f t="shared" si="188"/>
        <v>1.2677831355745007E-2</v>
      </c>
      <c r="N1795" s="13">
        <v>0.7</v>
      </c>
      <c r="O1795" s="13">
        <v>0</v>
      </c>
      <c r="P1795" s="11">
        <f t="shared" si="187"/>
        <v>1</v>
      </c>
    </row>
    <row r="1796" spans="1:16" ht="18.75" customHeight="1" thickBot="1" x14ac:dyDescent="0.3">
      <c r="A1796" s="3" t="s">
        <v>11</v>
      </c>
      <c r="B1796" s="4">
        <v>683678</v>
      </c>
      <c r="C1796" s="3" t="s">
        <v>9</v>
      </c>
      <c r="D1796" s="18">
        <v>0.1</v>
      </c>
      <c r="E1796" s="21">
        <f t="shared" si="186"/>
        <v>7.9741404289037643E-3</v>
      </c>
      <c r="F1796" s="5">
        <v>42262</v>
      </c>
      <c r="G1796" s="5">
        <v>44454</v>
      </c>
      <c r="H1796" s="16">
        <f t="shared" si="189"/>
        <v>2192</v>
      </c>
      <c r="I1796" s="5">
        <v>44454</v>
      </c>
      <c r="J1796" s="5">
        <v>43131</v>
      </c>
      <c r="K1796" s="16">
        <f t="shared" si="190"/>
        <v>869</v>
      </c>
      <c r="L1796" s="13">
        <v>13345.21</v>
      </c>
      <c r="M1796" s="15">
        <f t="shared" si="188"/>
        <v>241.69760255285971</v>
      </c>
      <c r="N1796" s="13">
        <v>13345.21</v>
      </c>
      <c r="O1796" s="13">
        <v>0</v>
      </c>
      <c r="P1796" s="11">
        <f t="shared" si="187"/>
        <v>1</v>
      </c>
    </row>
    <row r="1797" spans="1:16" ht="18.75" customHeight="1" thickBot="1" x14ac:dyDescent="0.3">
      <c r="A1797" s="3" t="s">
        <v>11</v>
      </c>
      <c r="B1797" s="4">
        <v>105640</v>
      </c>
      <c r="C1797" s="3" t="s">
        <v>9</v>
      </c>
      <c r="D1797" s="18">
        <v>0.14000000000000001</v>
      </c>
      <c r="E1797" s="21">
        <f t="shared" si="186"/>
        <v>1.0978851950173452E-2</v>
      </c>
      <c r="F1797" s="5">
        <v>42263</v>
      </c>
      <c r="G1797" s="5">
        <v>42994</v>
      </c>
      <c r="H1797" s="16">
        <f t="shared" si="189"/>
        <v>731</v>
      </c>
      <c r="I1797" s="5">
        <v>42994</v>
      </c>
      <c r="J1797" s="5">
        <v>42411</v>
      </c>
      <c r="K1797" s="16">
        <f t="shared" si="190"/>
        <v>148</v>
      </c>
      <c r="L1797" s="13">
        <v>3197.01</v>
      </c>
      <c r="M1797" s="15">
        <f t="shared" si="188"/>
        <v>150.25021405569879</v>
      </c>
      <c r="N1797" s="13">
        <v>3197.01</v>
      </c>
      <c r="O1797" s="13">
        <v>0</v>
      </c>
      <c r="P1797" s="11">
        <f t="shared" si="187"/>
        <v>1</v>
      </c>
    </row>
    <row r="1798" spans="1:16" ht="18.75" customHeight="1" thickBot="1" x14ac:dyDescent="0.3">
      <c r="A1798" s="3" t="s">
        <v>11</v>
      </c>
      <c r="B1798" s="4">
        <v>543350</v>
      </c>
      <c r="C1798" s="3" t="s">
        <v>9</v>
      </c>
      <c r="D1798" s="18">
        <v>0.12</v>
      </c>
      <c r="E1798" s="21">
        <f t="shared" si="186"/>
        <v>9.4887929345830457E-3</v>
      </c>
      <c r="F1798" s="5">
        <v>42263</v>
      </c>
      <c r="G1798" s="5">
        <v>42994</v>
      </c>
      <c r="H1798" s="16">
        <f t="shared" si="189"/>
        <v>731</v>
      </c>
      <c r="I1798" s="5">
        <v>42994</v>
      </c>
      <c r="J1798" s="5">
        <v>42949</v>
      </c>
      <c r="K1798" s="16">
        <f t="shared" si="190"/>
        <v>686</v>
      </c>
      <c r="L1798" s="13">
        <v>1008.81</v>
      </c>
      <c r="M1798" s="15">
        <f t="shared" si="188"/>
        <v>46.566945332656594</v>
      </c>
      <c r="N1798" s="13">
        <v>1008.81</v>
      </c>
      <c r="O1798" s="13">
        <v>0</v>
      </c>
      <c r="P1798" s="11">
        <f t="shared" si="187"/>
        <v>1</v>
      </c>
    </row>
    <row r="1799" spans="1:16" ht="18.75" customHeight="1" thickBot="1" x14ac:dyDescent="0.3">
      <c r="A1799" s="3" t="s">
        <v>11</v>
      </c>
      <c r="B1799" s="4">
        <v>287509</v>
      </c>
      <c r="C1799" s="3" t="s">
        <v>9</v>
      </c>
      <c r="D1799" s="18">
        <v>0.1</v>
      </c>
      <c r="E1799" s="21">
        <f t="shared" si="186"/>
        <v>7.9741404289037643E-3</v>
      </c>
      <c r="F1799" s="5">
        <v>42264</v>
      </c>
      <c r="G1799" s="5">
        <v>43376</v>
      </c>
      <c r="H1799" s="16">
        <f t="shared" si="189"/>
        <v>1112</v>
      </c>
      <c r="I1799" s="5">
        <v>43376</v>
      </c>
      <c r="J1799" s="5">
        <v>43269</v>
      </c>
      <c r="K1799" s="16">
        <f t="shared" si="190"/>
        <v>1005</v>
      </c>
      <c r="L1799" s="13">
        <v>3212.45</v>
      </c>
      <c r="M1799" s="15">
        <f t="shared" si="188"/>
        <v>100.44772780608521</v>
      </c>
      <c r="N1799" s="13">
        <v>3212.45</v>
      </c>
      <c r="O1799" s="13">
        <v>0</v>
      </c>
      <c r="P1799" s="11">
        <f t="shared" si="187"/>
        <v>1</v>
      </c>
    </row>
    <row r="1800" spans="1:16" ht="18.75" customHeight="1" thickBot="1" x14ac:dyDescent="0.3">
      <c r="A1800" s="3" t="s">
        <v>11</v>
      </c>
      <c r="B1800" s="4">
        <v>97648</v>
      </c>
      <c r="C1800" s="3" t="s">
        <v>9</v>
      </c>
      <c r="D1800" s="18">
        <v>0.1</v>
      </c>
      <c r="E1800" s="21">
        <f t="shared" si="186"/>
        <v>7.9741404289037643E-3</v>
      </c>
      <c r="F1800" s="5">
        <v>42268</v>
      </c>
      <c r="G1800" s="5">
        <v>43545</v>
      </c>
      <c r="H1800" s="16">
        <f t="shared" si="189"/>
        <v>1277</v>
      </c>
      <c r="I1800" s="5">
        <v>43545</v>
      </c>
      <c r="J1800" s="5">
        <v>42641</v>
      </c>
      <c r="K1800" s="16">
        <f t="shared" si="190"/>
        <v>373</v>
      </c>
      <c r="L1800" s="13">
        <v>3224.7</v>
      </c>
      <c r="M1800" s="15">
        <f t="shared" si="188"/>
        <v>89.638304586896922</v>
      </c>
      <c r="N1800" s="13">
        <v>3224.7</v>
      </c>
      <c r="O1800" s="13">
        <v>0</v>
      </c>
      <c r="P1800" s="11">
        <f t="shared" si="187"/>
        <v>1</v>
      </c>
    </row>
    <row r="1801" spans="1:16" ht="18.75" customHeight="1" thickBot="1" x14ac:dyDescent="0.3">
      <c r="A1801" s="3" t="s">
        <v>11</v>
      </c>
      <c r="B1801" s="4">
        <v>108056</v>
      </c>
      <c r="C1801" s="3" t="s">
        <v>9</v>
      </c>
      <c r="D1801" s="18">
        <v>9.5000000000000001E-2</v>
      </c>
      <c r="E1801" s="21">
        <f t="shared" si="186"/>
        <v>7.5915342905825689E-3</v>
      </c>
      <c r="F1801" s="5">
        <v>42269</v>
      </c>
      <c r="G1801" s="5">
        <v>43365</v>
      </c>
      <c r="H1801" s="16">
        <f t="shared" si="189"/>
        <v>1096</v>
      </c>
      <c r="I1801" s="5">
        <v>43365</v>
      </c>
      <c r="J1801" s="5">
        <v>42366</v>
      </c>
      <c r="K1801" s="16">
        <f t="shared" si="190"/>
        <v>97</v>
      </c>
      <c r="L1801" s="13">
        <v>3205.68</v>
      </c>
      <c r="M1801" s="15">
        <f t="shared" si="188"/>
        <v>100.80699501826105</v>
      </c>
      <c r="N1801" s="13">
        <v>3205.68</v>
      </c>
      <c r="O1801" s="13">
        <v>0</v>
      </c>
      <c r="P1801" s="11">
        <f t="shared" si="187"/>
        <v>1</v>
      </c>
    </row>
    <row r="1802" spans="1:16" ht="18.75" customHeight="1" thickBot="1" x14ac:dyDescent="0.3">
      <c r="A1802" s="3" t="s">
        <v>11</v>
      </c>
      <c r="B1802" s="4">
        <v>241340</v>
      </c>
      <c r="C1802" s="3" t="s">
        <v>9</v>
      </c>
      <c r="D1802" s="18">
        <v>0.1</v>
      </c>
      <c r="E1802" s="21">
        <f t="shared" si="186"/>
        <v>7.9741404289037643E-3</v>
      </c>
      <c r="F1802" s="5">
        <v>42271</v>
      </c>
      <c r="G1802" s="5">
        <v>44098</v>
      </c>
      <c r="H1802" s="16">
        <f t="shared" si="189"/>
        <v>1827</v>
      </c>
      <c r="I1802" s="5">
        <v>44098</v>
      </c>
      <c r="J1802" s="5">
        <v>42899</v>
      </c>
      <c r="K1802" s="16">
        <f t="shared" si="190"/>
        <v>628</v>
      </c>
      <c r="L1802" s="13">
        <v>4252.8100000000004</v>
      </c>
      <c r="M1802" s="15">
        <f t="shared" si="188"/>
        <v>88.428641167330312</v>
      </c>
      <c r="N1802" s="13">
        <v>4252.8100000000004</v>
      </c>
      <c r="O1802" s="13">
        <v>0</v>
      </c>
      <c r="P1802" s="11">
        <f t="shared" si="187"/>
        <v>1</v>
      </c>
    </row>
    <row r="1803" spans="1:16" ht="18.75" customHeight="1" thickBot="1" x14ac:dyDescent="0.3">
      <c r="A1803" s="3" t="s">
        <v>11</v>
      </c>
      <c r="B1803" s="4">
        <v>839854</v>
      </c>
      <c r="C1803" s="3" t="s">
        <v>9</v>
      </c>
      <c r="D1803" s="18">
        <v>0.1</v>
      </c>
      <c r="E1803" s="21">
        <f t="shared" si="186"/>
        <v>7.9741404289037643E-3</v>
      </c>
      <c r="F1803" s="5">
        <v>42272</v>
      </c>
      <c r="G1803" s="5">
        <v>42679</v>
      </c>
      <c r="H1803" s="16">
        <f t="shared" si="189"/>
        <v>407</v>
      </c>
      <c r="I1803" s="5">
        <v>42679</v>
      </c>
      <c r="J1803" s="5">
        <v>42697</v>
      </c>
      <c r="K1803" s="16">
        <f t="shared" si="190"/>
        <v>425</v>
      </c>
      <c r="L1803" s="13">
        <v>451.78</v>
      </c>
      <c r="M1803" s="15">
        <f t="shared" si="188"/>
        <v>35.266955041331009</v>
      </c>
      <c r="N1803" s="13">
        <v>451.78</v>
      </c>
      <c r="O1803" s="13">
        <v>0</v>
      </c>
      <c r="P1803" s="11">
        <f t="shared" si="187"/>
        <v>1</v>
      </c>
    </row>
    <row r="1804" spans="1:16" ht="18.75" customHeight="1" thickBot="1" x14ac:dyDescent="0.3">
      <c r="A1804" s="3" t="s">
        <v>11</v>
      </c>
      <c r="B1804" s="4">
        <v>217743</v>
      </c>
      <c r="C1804" s="3" t="s">
        <v>2</v>
      </c>
      <c r="D1804" s="18">
        <v>0.08</v>
      </c>
      <c r="E1804" s="21">
        <f t="shared" si="186"/>
        <v>6.4340301100034303E-3</v>
      </c>
      <c r="F1804" s="5">
        <v>42276</v>
      </c>
      <c r="G1804" s="5">
        <v>44103</v>
      </c>
      <c r="H1804" s="16">
        <f t="shared" si="189"/>
        <v>1827</v>
      </c>
      <c r="I1804" s="5">
        <v>44255</v>
      </c>
      <c r="J1804" s="5">
        <v>43888</v>
      </c>
      <c r="K1804" s="16">
        <f t="shared" si="190"/>
        <v>1612</v>
      </c>
      <c r="L1804" s="13">
        <v>75000</v>
      </c>
      <c r="M1804" s="15">
        <f t="shared" si="188"/>
        <v>1492.4272030378011</v>
      </c>
      <c r="N1804" s="13">
        <v>40929.370000000003</v>
      </c>
      <c r="O1804" s="13">
        <v>0</v>
      </c>
      <c r="P1804" s="11">
        <f t="shared" si="187"/>
        <v>1</v>
      </c>
    </row>
    <row r="1805" spans="1:16" ht="18.75" customHeight="1" thickBot="1" x14ac:dyDescent="0.3">
      <c r="A1805" s="3" t="s">
        <v>11</v>
      </c>
      <c r="B1805" s="4">
        <v>523268</v>
      </c>
      <c r="C1805" s="3" t="s">
        <v>9</v>
      </c>
      <c r="D1805" s="18">
        <v>0.1</v>
      </c>
      <c r="E1805" s="21">
        <f t="shared" si="186"/>
        <v>7.9741404289037643E-3</v>
      </c>
      <c r="F1805" s="5">
        <v>42277</v>
      </c>
      <c r="G1805" s="5">
        <v>44104</v>
      </c>
      <c r="H1805" s="16">
        <f t="shared" si="189"/>
        <v>1827</v>
      </c>
      <c r="I1805" s="5">
        <v>44104</v>
      </c>
      <c r="J1805" s="5">
        <v>42551</v>
      </c>
      <c r="K1805" s="16">
        <f t="shared" si="190"/>
        <v>274</v>
      </c>
      <c r="L1805" s="13">
        <v>25617.64</v>
      </c>
      <c r="M1805" s="15">
        <f t="shared" si="188"/>
        <v>532.66736466332782</v>
      </c>
      <c r="N1805" s="13">
        <v>25617.64</v>
      </c>
      <c r="O1805" s="13">
        <v>0</v>
      </c>
      <c r="P1805" s="11">
        <f t="shared" si="187"/>
        <v>1</v>
      </c>
    </row>
    <row r="1806" spans="1:16" ht="18.75" customHeight="1" thickBot="1" x14ac:dyDescent="0.3">
      <c r="A1806" s="3" t="s">
        <v>11</v>
      </c>
      <c r="B1806" s="4">
        <v>301448</v>
      </c>
      <c r="C1806" s="3" t="s">
        <v>2</v>
      </c>
      <c r="D1806" s="18">
        <v>0.08</v>
      </c>
      <c r="E1806" s="21">
        <f t="shared" si="186"/>
        <v>6.4340301100034303E-3</v>
      </c>
      <c r="F1806" s="5">
        <v>42277</v>
      </c>
      <c r="G1806" s="5">
        <v>44469</v>
      </c>
      <c r="H1806" s="16">
        <f t="shared" si="189"/>
        <v>2192</v>
      </c>
      <c r="I1806" s="5">
        <v>44469</v>
      </c>
      <c r="J1806" s="5">
        <v>43748</v>
      </c>
      <c r="K1806" s="16">
        <f t="shared" si="190"/>
        <v>1471</v>
      </c>
      <c r="L1806" s="13">
        <v>300000</v>
      </c>
      <c r="M1806" s="15">
        <f t="shared" si="188"/>
        <v>5159.2397546028897</v>
      </c>
      <c r="N1806" s="13">
        <v>132300</v>
      </c>
      <c r="O1806" s="13">
        <v>0</v>
      </c>
      <c r="P1806" s="11">
        <f t="shared" si="187"/>
        <v>1</v>
      </c>
    </row>
    <row r="1807" spans="1:16" ht="18.75" hidden="1" customHeight="1" thickBot="1" x14ac:dyDescent="0.3">
      <c r="A1807" s="3" t="s">
        <v>11</v>
      </c>
      <c r="B1807" s="4">
        <v>20933</v>
      </c>
      <c r="C1807" s="3" t="s">
        <v>9</v>
      </c>
      <c r="D1807" s="18">
        <v>0.1</v>
      </c>
      <c r="E1807" s="21">
        <f t="shared" si="186"/>
        <v>7.9741404289037643E-3</v>
      </c>
      <c r="F1807" s="5">
        <v>42277</v>
      </c>
      <c r="G1807" s="5">
        <v>44104</v>
      </c>
      <c r="H1807" s="16">
        <f t="shared" si="189"/>
        <v>1827</v>
      </c>
      <c r="I1807" s="5">
        <v>44104</v>
      </c>
      <c r="J1807" s="2"/>
      <c r="K1807" s="16">
        <f t="shared" si="190"/>
        <v>-42277</v>
      </c>
      <c r="L1807" s="13">
        <v>17583.349999999999</v>
      </c>
      <c r="M1807" s="15">
        <f t="shared" si="188"/>
        <v>365.61044290000666</v>
      </c>
      <c r="N1807" s="13">
        <v>17583.349999999999</v>
      </c>
      <c r="O1807" s="13">
        <v>0</v>
      </c>
      <c r="P1807" s="11">
        <f t="shared" si="187"/>
        <v>1</v>
      </c>
    </row>
    <row r="1808" spans="1:16" ht="18.75" customHeight="1" thickBot="1" x14ac:dyDescent="0.3">
      <c r="A1808" s="3" t="s">
        <v>11</v>
      </c>
      <c r="B1808" s="4">
        <v>508275</v>
      </c>
      <c r="C1808" s="3" t="s">
        <v>9</v>
      </c>
      <c r="D1808" s="18">
        <v>0.1</v>
      </c>
      <c r="E1808" s="21">
        <f t="shared" si="186"/>
        <v>7.9741404289037643E-3</v>
      </c>
      <c r="F1808" s="5">
        <v>42277</v>
      </c>
      <c r="G1808" s="5">
        <v>44469</v>
      </c>
      <c r="H1808" s="16">
        <f t="shared" si="189"/>
        <v>2192</v>
      </c>
      <c r="I1808" s="5">
        <v>44469</v>
      </c>
      <c r="J1808" s="5">
        <v>42856</v>
      </c>
      <c r="K1808" s="16">
        <f t="shared" si="190"/>
        <v>579</v>
      </c>
      <c r="L1808" s="13">
        <v>24318.9</v>
      </c>
      <c r="M1808" s="15">
        <f t="shared" si="188"/>
        <v>440.44416136746753</v>
      </c>
      <c r="N1808" s="13">
        <v>24318.9</v>
      </c>
      <c r="O1808" s="13">
        <v>0</v>
      </c>
      <c r="P1808" s="11">
        <f t="shared" si="187"/>
        <v>1</v>
      </c>
    </row>
    <row r="1809" spans="1:16" ht="18.75" customHeight="1" thickBot="1" x14ac:dyDescent="0.3">
      <c r="A1809" s="3" t="s">
        <v>11</v>
      </c>
      <c r="B1809" s="4">
        <v>316980</v>
      </c>
      <c r="C1809" s="3" t="s">
        <v>9</v>
      </c>
      <c r="D1809" s="18">
        <v>0.1</v>
      </c>
      <c r="E1809" s="21">
        <f t="shared" si="186"/>
        <v>7.9741404289037643E-3</v>
      </c>
      <c r="F1809" s="5">
        <v>42278</v>
      </c>
      <c r="G1809" s="5">
        <v>44470</v>
      </c>
      <c r="H1809" s="16">
        <f t="shared" si="189"/>
        <v>2192</v>
      </c>
      <c r="I1809" s="5">
        <v>44470</v>
      </c>
      <c r="J1809" s="5">
        <v>43116</v>
      </c>
      <c r="K1809" s="16">
        <f t="shared" si="190"/>
        <v>838</v>
      </c>
      <c r="L1809" s="13">
        <v>12449.54</v>
      </c>
      <c r="M1809" s="15">
        <f t="shared" si="188"/>
        <v>225.475955109431</v>
      </c>
      <c r="N1809" s="13">
        <v>12449.54</v>
      </c>
      <c r="O1809" s="13">
        <v>0</v>
      </c>
      <c r="P1809" s="11">
        <f t="shared" si="187"/>
        <v>1</v>
      </c>
    </row>
    <row r="1810" spans="1:16" ht="18.75" customHeight="1" thickBot="1" x14ac:dyDescent="0.3">
      <c r="A1810" s="3" t="s">
        <v>11</v>
      </c>
      <c r="B1810" s="4">
        <v>975070</v>
      </c>
      <c r="C1810" s="3" t="s">
        <v>9</v>
      </c>
      <c r="D1810" s="18">
        <v>0.09</v>
      </c>
      <c r="E1810" s="21">
        <f t="shared" si="186"/>
        <v>7.2073233161367156E-3</v>
      </c>
      <c r="F1810" s="5">
        <v>42278</v>
      </c>
      <c r="G1810" s="5">
        <v>44835</v>
      </c>
      <c r="H1810" s="16">
        <f t="shared" si="189"/>
        <v>2557</v>
      </c>
      <c r="I1810" s="5">
        <v>44835</v>
      </c>
      <c r="J1810" s="5">
        <v>43725</v>
      </c>
      <c r="K1810" s="16">
        <f t="shared" si="190"/>
        <v>1447</v>
      </c>
      <c r="L1810" s="13">
        <v>19697.580000000002</v>
      </c>
      <c r="M1810" s="15">
        <f t="shared" si="188"/>
        <v>310.11375168126011</v>
      </c>
      <c r="N1810" s="13">
        <v>19697.580000000002</v>
      </c>
      <c r="O1810" s="13">
        <v>0</v>
      </c>
      <c r="P1810" s="11">
        <f t="shared" si="187"/>
        <v>1</v>
      </c>
    </row>
    <row r="1811" spans="1:16" ht="18.75" customHeight="1" thickBot="1" x14ac:dyDescent="0.3">
      <c r="A1811" s="3" t="s">
        <v>11</v>
      </c>
      <c r="B1811" s="4">
        <v>161478</v>
      </c>
      <c r="C1811" s="3" t="s">
        <v>9</v>
      </c>
      <c r="D1811" s="18">
        <v>0.09</v>
      </c>
      <c r="E1811" s="21">
        <f t="shared" si="186"/>
        <v>7.2073233161367156E-3</v>
      </c>
      <c r="F1811" s="5">
        <v>42283</v>
      </c>
      <c r="G1811" s="5">
        <v>43972</v>
      </c>
      <c r="H1811" s="16">
        <f t="shared" si="189"/>
        <v>1689</v>
      </c>
      <c r="I1811" s="5">
        <v>43972</v>
      </c>
      <c r="J1811" s="5">
        <v>43210</v>
      </c>
      <c r="K1811" s="16">
        <f t="shared" si="190"/>
        <v>927</v>
      </c>
      <c r="L1811" s="13">
        <v>7489.54</v>
      </c>
      <c r="M1811" s="15">
        <f t="shared" si="188"/>
        <v>162.31151709747544</v>
      </c>
      <c r="N1811" s="13">
        <v>7489.54</v>
      </c>
      <c r="O1811" s="13">
        <v>0</v>
      </c>
      <c r="P1811" s="11">
        <f t="shared" si="187"/>
        <v>1</v>
      </c>
    </row>
    <row r="1812" spans="1:16" ht="18.75" customHeight="1" thickBot="1" x14ac:dyDescent="0.3">
      <c r="A1812" s="3" t="s">
        <v>11</v>
      </c>
      <c r="B1812" s="4">
        <v>359640</v>
      </c>
      <c r="C1812" s="3" t="s">
        <v>9</v>
      </c>
      <c r="D1812" s="18">
        <v>0.1</v>
      </c>
      <c r="E1812" s="21">
        <f t="shared" si="186"/>
        <v>7.9741404289037643E-3</v>
      </c>
      <c r="F1812" s="5">
        <v>42286</v>
      </c>
      <c r="G1812" s="5">
        <v>44478</v>
      </c>
      <c r="H1812" s="16">
        <f t="shared" si="189"/>
        <v>2192</v>
      </c>
      <c r="I1812" s="5">
        <v>44478</v>
      </c>
      <c r="J1812" s="5">
        <v>43971</v>
      </c>
      <c r="K1812" s="16">
        <f t="shared" si="190"/>
        <v>1685</v>
      </c>
      <c r="L1812" s="13">
        <v>29029.61</v>
      </c>
      <c r="M1812" s="15">
        <f t="shared" si="188"/>
        <v>525.76071414721252</v>
      </c>
      <c r="N1812" s="13">
        <v>7408</v>
      </c>
      <c r="O1812" s="13">
        <v>0</v>
      </c>
      <c r="P1812" s="11">
        <f t="shared" si="187"/>
        <v>1</v>
      </c>
    </row>
    <row r="1813" spans="1:16" ht="18.75" customHeight="1" thickBot="1" x14ac:dyDescent="0.3">
      <c r="A1813" s="3" t="s">
        <v>11</v>
      </c>
      <c r="B1813" s="4">
        <v>896845</v>
      </c>
      <c r="C1813" s="3" t="s">
        <v>9</v>
      </c>
      <c r="D1813" s="18">
        <v>8.5000000000000006E-2</v>
      </c>
      <c r="E1813" s="21">
        <f t="shared" si="186"/>
        <v>6.8214933659622723E-3</v>
      </c>
      <c r="F1813" s="5">
        <v>42299</v>
      </c>
      <c r="G1813" s="5">
        <v>43281</v>
      </c>
      <c r="H1813" s="16">
        <f t="shared" si="189"/>
        <v>982</v>
      </c>
      <c r="I1813" s="5">
        <v>43281</v>
      </c>
      <c r="J1813" s="5">
        <v>42999</v>
      </c>
      <c r="K1813" s="16">
        <f t="shared" si="190"/>
        <v>700</v>
      </c>
      <c r="L1813" s="13">
        <v>8600</v>
      </c>
      <c r="M1813" s="15">
        <f t="shared" si="188"/>
        <v>294.04363680530946</v>
      </c>
      <c r="N1813" s="13">
        <v>8600</v>
      </c>
      <c r="O1813" s="13">
        <v>8600</v>
      </c>
      <c r="P1813" s="11">
        <f t="shared" si="187"/>
        <v>1</v>
      </c>
    </row>
    <row r="1814" spans="1:16" ht="18.75" customHeight="1" thickBot="1" x14ac:dyDescent="0.3">
      <c r="A1814" s="3" t="s">
        <v>11</v>
      </c>
      <c r="B1814" s="4">
        <v>457277</v>
      </c>
      <c r="C1814" s="3" t="s">
        <v>9</v>
      </c>
      <c r="D1814" s="18">
        <v>0.08</v>
      </c>
      <c r="E1814" s="21">
        <f t="shared" si="186"/>
        <v>6.4340301100034303E-3</v>
      </c>
      <c r="F1814" s="5">
        <v>42305</v>
      </c>
      <c r="G1814" s="5">
        <v>44497</v>
      </c>
      <c r="H1814" s="16">
        <f t="shared" si="189"/>
        <v>2192</v>
      </c>
      <c r="I1814" s="5">
        <v>44497</v>
      </c>
      <c r="J1814" s="5">
        <v>43633</v>
      </c>
      <c r="K1814" s="16">
        <f t="shared" si="190"/>
        <v>1328</v>
      </c>
      <c r="L1814" s="13">
        <v>1787.45</v>
      </c>
      <c r="M1814" s="15">
        <f t="shared" si="188"/>
        <v>30.739610331216454</v>
      </c>
      <c r="N1814" s="13">
        <v>1676.11</v>
      </c>
      <c r="O1814" s="13">
        <v>80.430000000000007</v>
      </c>
      <c r="P1814" s="11">
        <f t="shared" si="187"/>
        <v>1</v>
      </c>
    </row>
    <row r="1815" spans="1:16" ht="18.75" customHeight="1" thickBot="1" x14ac:dyDescent="0.3">
      <c r="A1815" s="3" t="s">
        <v>11</v>
      </c>
      <c r="B1815" s="4">
        <v>360931</v>
      </c>
      <c r="C1815" s="3" t="s">
        <v>9</v>
      </c>
      <c r="D1815" s="18">
        <v>0.1</v>
      </c>
      <c r="E1815" s="21">
        <f t="shared" si="186"/>
        <v>7.9741404289037643E-3</v>
      </c>
      <c r="F1815" s="5">
        <v>42305</v>
      </c>
      <c r="G1815" s="5">
        <v>43661</v>
      </c>
      <c r="H1815" s="16">
        <f t="shared" si="189"/>
        <v>1356</v>
      </c>
      <c r="I1815" s="5">
        <v>43661</v>
      </c>
      <c r="J1815" s="5">
        <v>43725</v>
      </c>
      <c r="K1815" s="16">
        <f t="shared" si="190"/>
        <v>1420</v>
      </c>
      <c r="L1815" s="13">
        <v>15379.86</v>
      </c>
      <c r="M1815" s="15">
        <f t="shared" si="188"/>
        <v>406.59900009852544</v>
      </c>
      <c r="N1815" s="13">
        <v>15379.86</v>
      </c>
      <c r="O1815" s="13">
        <v>3000</v>
      </c>
      <c r="P1815" s="11">
        <f t="shared" si="187"/>
        <v>1</v>
      </c>
    </row>
    <row r="1816" spans="1:16" ht="18.75" customHeight="1" thickBot="1" x14ac:dyDescent="0.3">
      <c r="A1816" s="3" t="s">
        <v>11</v>
      </c>
      <c r="B1816" s="4">
        <v>70032</v>
      </c>
      <c r="C1816" s="3" t="s">
        <v>9</v>
      </c>
      <c r="D1816" s="18">
        <v>0.1</v>
      </c>
      <c r="E1816" s="21">
        <f t="shared" si="186"/>
        <v>7.9741404289037643E-3</v>
      </c>
      <c r="F1816" s="5">
        <v>42307</v>
      </c>
      <c r="G1816" s="5">
        <v>44500</v>
      </c>
      <c r="H1816" s="16">
        <f t="shared" si="189"/>
        <v>2193</v>
      </c>
      <c r="I1816" s="5">
        <v>44500</v>
      </c>
      <c r="J1816" s="5">
        <v>43171</v>
      </c>
      <c r="K1816" s="16">
        <f t="shared" si="190"/>
        <v>864</v>
      </c>
      <c r="L1816" s="13">
        <v>2789.4</v>
      </c>
      <c r="M1816" s="15">
        <f t="shared" si="188"/>
        <v>50.502351938569113</v>
      </c>
      <c r="N1816" s="13">
        <v>2789.4</v>
      </c>
      <c r="O1816" s="13">
        <v>0</v>
      </c>
      <c r="P1816" s="11">
        <f t="shared" si="187"/>
        <v>1</v>
      </c>
    </row>
    <row r="1817" spans="1:16" ht="18.75" customHeight="1" thickBot="1" x14ac:dyDescent="0.3">
      <c r="A1817" s="3" t="s">
        <v>11</v>
      </c>
      <c r="B1817" s="4">
        <v>357860</v>
      </c>
      <c r="C1817" s="3" t="s">
        <v>3</v>
      </c>
      <c r="D1817" s="18">
        <v>8.5000000000000006E-2</v>
      </c>
      <c r="E1817" s="21">
        <f t="shared" si="186"/>
        <v>6.8214933659622723E-3</v>
      </c>
      <c r="F1817" s="5">
        <v>42310</v>
      </c>
      <c r="G1817" s="5">
        <v>42676</v>
      </c>
      <c r="H1817" s="16">
        <f t="shared" si="189"/>
        <v>366</v>
      </c>
      <c r="I1817" s="5">
        <v>43921</v>
      </c>
      <c r="J1817" s="5">
        <v>44011</v>
      </c>
      <c r="K1817" s="16">
        <f t="shared" si="190"/>
        <v>1701</v>
      </c>
      <c r="L1817" s="13">
        <v>102500</v>
      </c>
      <c r="M1817" s="15">
        <f t="shared" si="188"/>
        <v>8784.6963585269677</v>
      </c>
      <c r="N1817" s="13">
        <v>38000</v>
      </c>
      <c r="O1817" s="13">
        <v>2000</v>
      </c>
      <c r="P1817" s="11">
        <f t="shared" si="187"/>
        <v>1</v>
      </c>
    </row>
    <row r="1818" spans="1:16" ht="18.75" customHeight="1" thickBot="1" x14ac:dyDescent="0.3">
      <c r="A1818" s="3" t="s">
        <v>11</v>
      </c>
      <c r="B1818" s="4">
        <v>780466</v>
      </c>
      <c r="C1818" s="3" t="s">
        <v>9</v>
      </c>
      <c r="D1818" s="18">
        <v>0.12</v>
      </c>
      <c r="E1818" s="21">
        <f t="shared" si="186"/>
        <v>9.4887929345830457E-3</v>
      </c>
      <c r="F1818" s="5">
        <v>42311</v>
      </c>
      <c r="G1818" s="5">
        <v>43407</v>
      </c>
      <c r="H1818" s="16">
        <f t="shared" si="189"/>
        <v>1096</v>
      </c>
      <c r="I1818" s="5">
        <v>43407</v>
      </c>
      <c r="J1818" s="5">
        <v>43003</v>
      </c>
      <c r="K1818" s="16">
        <f t="shared" si="190"/>
        <v>692</v>
      </c>
      <c r="L1818" s="13">
        <v>6271.43</v>
      </c>
      <c r="M1818" s="15">
        <f t="shared" si="188"/>
        <v>203.9381288836332</v>
      </c>
      <c r="N1818" s="13">
        <v>6271.43</v>
      </c>
      <c r="O1818" s="13">
        <v>300</v>
      </c>
      <c r="P1818" s="11">
        <f t="shared" si="187"/>
        <v>1</v>
      </c>
    </row>
    <row r="1819" spans="1:16" ht="18.75" customHeight="1" thickBot="1" x14ac:dyDescent="0.3">
      <c r="A1819" s="3" t="s">
        <v>11</v>
      </c>
      <c r="B1819" s="4">
        <v>266672</v>
      </c>
      <c r="C1819" s="3" t="s">
        <v>9</v>
      </c>
      <c r="D1819" s="18">
        <v>0.1</v>
      </c>
      <c r="E1819" s="21">
        <f t="shared" si="186"/>
        <v>7.9741404289037643E-3</v>
      </c>
      <c r="F1819" s="5">
        <v>42312</v>
      </c>
      <c r="G1819" s="5">
        <v>44290</v>
      </c>
      <c r="H1819" s="16">
        <f t="shared" si="189"/>
        <v>1978</v>
      </c>
      <c r="I1819" s="5">
        <v>44290</v>
      </c>
      <c r="J1819" s="5">
        <v>43657</v>
      </c>
      <c r="K1819" s="16">
        <f t="shared" si="190"/>
        <v>1345</v>
      </c>
      <c r="L1819" s="13">
        <v>4631.55</v>
      </c>
      <c r="M1819" s="15">
        <f t="shared" si="188"/>
        <v>90.596385711911964</v>
      </c>
      <c r="N1819" s="13">
        <v>4222.0600000000004</v>
      </c>
      <c r="O1819" s="13">
        <v>64.67</v>
      </c>
      <c r="P1819" s="11">
        <f t="shared" si="187"/>
        <v>1</v>
      </c>
    </row>
    <row r="1820" spans="1:16" ht="18.75" customHeight="1" thickBot="1" x14ac:dyDescent="0.3">
      <c r="A1820" s="3" t="s">
        <v>11</v>
      </c>
      <c r="B1820" s="4">
        <v>60420</v>
      </c>
      <c r="C1820" s="3" t="s">
        <v>9</v>
      </c>
      <c r="D1820" s="18">
        <v>0.14000000000000001</v>
      </c>
      <c r="E1820" s="21">
        <f t="shared" si="186"/>
        <v>1.0978851950173452E-2</v>
      </c>
      <c r="F1820" s="5">
        <v>42314</v>
      </c>
      <c r="G1820" s="5">
        <v>42741</v>
      </c>
      <c r="H1820" s="16">
        <f t="shared" si="189"/>
        <v>427</v>
      </c>
      <c r="I1820" s="5">
        <v>42741</v>
      </c>
      <c r="J1820" s="5">
        <v>42632</v>
      </c>
      <c r="K1820" s="16">
        <f t="shared" si="190"/>
        <v>318</v>
      </c>
      <c r="L1820" s="13">
        <v>1042.81</v>
      </c>
      <c r="M1820" s="15">
        <f t="shared" si="188"/>
        <v>79.539437097388912</v>
      </c>
      <c r="N1820" s="13">
        <v>1042.81</v>
      </c>
      <c r="O1820" s="13">
        <v>0</v>
      </c>
      <c r="P1820" s="11">
        <f t="shared" si="187"/>
        <v>1</v>
      </c>
    </row>
    <row r="1821" spans="1:16" ht="18.75" hidden="1" customHeight="1" thickBot="1" x14ac:dyDescent="0.3">
      <c r="A1821" s="3" t="s">
        <v>11</v>
      </c>
      <c r="B1821" s="4">
        <v>538025</v>
      </c>
      <c r="C1821" s="3" t="s">
        <v>9</v>
      </c>
      <c r="D1821" s="18">
        <v>0.12</v>
      </c>
      <c r="E1821" s="21">
        <f t="shared" si="186"/>
        <v>9.4887929345830457E-3</v>
      </c>
      <c r="F1821" s="5">
        <v>42317</v>
      </c>
      <c r="G1821" s="5">
        <v>44144</v>
      </c>
      <c r="H1821" s="16">
        <f t="shared" si="189"/>
        <v>1827</v>
      </c>
      <c r="I1821" s="5">
        <v>44144</v>
      </c>
      <c r="J1821" s="2"/>
      <c r="K1821" s="16">
        <f t="shared" si="190"/>
        <v>-42317</v>
      </c>
      <c r="L1821" s="13">
        <v>9825.44</v>
      </c>
      <c r="M1821" s="15">
        <f t="shared" si="188"/>
        <v>213.16131480499675</v>
      </c>
      <c r="N1821" s="13">
        <v>9825.44</v>
      </c>
      <c r="O1821" s="13">
        <v>0</v>
      </c>
      <c r="P1821" s="11">
        <f t="shared" si="187"/>
        <v>1</v>
      </c>
    </row>
    <row r="1822" spans="1:16" ht="18.75" customHeight="1" thickBot="1" x14ac:dyDescent="0.3">
      <c r="A1822" s="3" t="s">
        <v>11</v>
      </c>
      <c r="B1822" s="4">
        <v>919057</v>
      </c>
      <c r="C1822" s="3" t="s">
        <v>9</v>
      </c>
      <c r="D1822" s="18">
        <v>0.1</v>
      </c>
      <c r="E1822" s="21">
        <f t="shared" si="186"/>
        <v>7.9741404289037643E-3</v>
      </c>
      <c r="F1822" s="5">
        <v>42317</v>
      </c>
      <c r="G1822" s="5">
        <v>42925</v>
      </c>
      <c r="H1822" s="16">
        <f t="shared" si="189"/>
        <v>608</v>
      </c>
      <c r="I1822" s="5">
        <v>42925</v>
      </c>
      <c r="J1822" s="5">
        <v>42556</v>
      </c>
      <c r="K1822" s="16">
        <f t="shared" si="190"/>
        <v>239</v>
      </c>
      <c r="L1822" s="13">
        <v>1720.28</v>
      </c>
      <c r="M1822" s="15">
        <f t="shared" si="188"/>
        <v>92.263028317931827</v>
      </c>
      <c r="N1822" s="13">
        <v>1720.28</v>
      </c>
      <c r="O1822" s="13">
        <v>0</v>
      </c>
      <c r="P1822" s="11">
        <f t="shared" si="187"/>
        <v>1</v>
      </c>
    </row>
    <row r="1823" spans="1:16" ht="18.75" customHeight="1" thickBot="1" x14ac:dyDescent="0.3">
      <c r="A1823" s="3" t="s">
        <v>11</v>
      </c>
      <c r="B1823" s="4">
        <v>32035</v>
      </c>
      <c r="C1823" s="3" t="s">
        <v>9</v>
      </c>
      <c r="D1823" s="18">
        <v>0.1</v>
      </c>
      <c r="E1823" s="21">
        <f t="shared" si="186"/>
        <v>7.9741404289037643E-3</v>
      </c>
      <c r="F1823" s="5">
        <v>42320</v>
      </c>
      <c r="G1823" s="5">
        <v>44877</v>
      </c>
      <c r="H1823" s="16">
        <f t="shared" si="189"/>
        <v>2557</v>
      </c>
      <c r="I1823" s="5">
        <v>44877</v>
      </c>
      <c r="J1823" s="5">
        <v>43167</v>
      </c>
      <c r="K1823" s="16">
        <f t="shared" si="190"/>
        <v>847</v>
      </c>
      <c r="L1823" s="13">
        <v>5550.68</v>
      </c>
      <c r="M1823" s="15">
        <f t="shared" si="188"/>
        <v>89.991727135434658</v>
      </c>
      <c r="N1823" s="13">
        <v>5550.68</v>
      </c>
      <c r="O1823" s="13">
        <v>0</v>
      </c>
      <c r="P1823" s="11">
        <f t="shared" si="187"/>
        <v>1</v>
      </c>
    </row>
    <row r="1824" spans="1:16" ht="18.75" customHeight="1" thickBot="1" x14ac:dyDescent="0.3">
      <c r="A1824" s="3" t="s">
        <v>11</v>
      </c>
      <c r="B1824" s="4">
        <v>19186</v>
      </c>
      <c r="C1824" s="3" t="s">
        <v>9</v>
      </c>
      <c r="D1824" s="18">
        <v>0.09</v>
      </c>
      <c r="E1824" s="21">
        <f t="shared" si="186"/>
        <v>7.2073233161367156E-3</v>
      </c>
      <c r="F1824" s="5">
        <v>42320</v>
      </c>
      <c r="G1824" s="5">
        <v>44938</v>
      </c>
      <c r="H1824" s="16">
        <f t="shared" si="189"/>
        <v>2618</v>
      </c>
      <c r="I1824" s="5">
        <v>44938</v>
      </c>
      <c r="J1824" s="5">
        <v>42858</v>
      </c>
      <c r="K1824" s="16">
        <f t="shared" si="190"/>
        <v>538</v>
      </c>
      <c r="L1824" s="13">
        <v>32671.97</v>
      </c>
      <c r="M1824" s="15">
        <f t="shared" si="188"/>
        <v>505.69673632281882</v>
      </c>
      <c r="N1824" s="13">
        <v>32671.97</v>
      </c>
      <c r="O1824" s="13">
        <v>0</v>
      </c>
      <c r="P1824" s="11">
        <f t="shared" si="187"/>
        <v>1</v>
      </c>
    </row>
    <row r="1825" spans="1:16" ht="18.75" customHeight="1" thickBot="1" x14ac:dyDescent="0.3">
      <c r="A1825" s="3" t="s">
        <v>11</v>
      </c>
      <c r="B1825" s="4">
        <v>282851</v>
      </c>
      <c r="C1825" s="3" t="s">
        <v>9</v>
      </c>
      <c r="D1825" s="18">
        <v>0.1</v>
      </c>
      <c r="E1825" s="21">
        <f t="shared" si="186"/>
        <v>7.9741404289037643E-3</v>
      </c>
      <c r="F1825" s="5">
        <v>42321</v>
      </c>
      <c r="G1825" s="5">
        <v>43860</v>
      </c>
      <c r="H1825" s="16">
        <f t="shared" si="189"/>
        <v>1539</v>
      </c>
      <c r="I1825" s="5">
        <v>43860</v>
      </c>
      <c r="J1825" s="5">
        <v>43633</v>
      </c>
      <c r="K1825" s="16">
        <f t="shared" si="190"/>
        <v>1312</v>
      </c>
      <c r="L1825" s="13">
        <v>3513.35</v>
      </c>
      <c r="M1825" s="15">
        <f t="shared" si="188"/>
        <v>83.715665124435418</v>
      </c>
      <c r="N1825" s="13">
        <v>3230.98</v>
      </c>
      <c r="O1825" s="13">
        <v>2517</v>
      </c>
      <c r="P1825" s="11">
        <f t="shared" si="187"/>
        <v>1</v>
      </c>
    </row>
    <row r="1826" spans="1:16" ht="18.75" customHeight="1" thickBot="1" x14ac:dyDescent="0.3">
      <c r="A1826" s="3" t="s">
        <v>11</v>
      </c>
      <c r="B1826" s="4">
        <v>278175</v>
      </c>
      <c r="C1826" s="3" t="s">
        <v>9</v>
      </c>
      <c r="D1826" s="18">
        <v>0.1</v>
      </c>
      <c r="E1826" s="21">
        <f t="shared" si="186"/>
        <v>7.9741404289037643E-3</v>
      </c>
      <c r="F1826" s="5">
        <v>42328</v>
      </c>
      <c r="G1826" s="5">
        <v>43986</v>
      </c>
      <c r="H1826" s="16">
        <f t="shared" si="189"/>
        <v>1658</v>
      </c>
      <c r="I1826" s="5">
        <v>43986</v>
      </c>
      <c r="J1826" s="5">
        <v>42426</v>
      </c>
      <c r="K1826" s="16">
        <f t="shared" si="190"/>
        <v>98</v>
      </c>
      <c r="L1826" s="13">
        <v>24492.87</v>
      </c>
      <c r="M1826" s="15">
        <f t="shared" si="188"/>
        <v>549.71713040663747</v>
      </c>
      <c r="N1826" s="13">
        <v>24492.87</v>
      </c>
      <c r="O1826" s="13">
        <v>0</v>
      </c>
      <c r="P1826" s="11">
        <f t="shared" si="187"/>
        <v>1</v>
      </c>
    </row>
    <row r="1827" spans="1:16" ht="18.75" customHeight="1" thickBot="1" x14ac:dyDescent="0.3">
      <c r="A1827" s="3" t="s">
        <v>11</v>
      </c>
      <c r="B1827" s="4">
        <v>383982</v>
      </c>
      <c r="C1827" s="3" t="s">
        <v>9</v>
      </c>
      <c r="D1827" s="18">
        <v>7.4999999999999997E-2</v>
      </c>
      <c r="E1827" s="21">
        <f t="shared" si="186"/>
        <v>6.0449190242917172E-3</v>
      </c>
      <c r="F1827" s="5">
        <v>42333</v>
      </c>
      <c r="G1827" s="5">
        <v>44525</v>
      </c>
      <c r="H1827" s="16">
        <f t="shared" si="189"/>
        <v>2192</v>
      </c>
      <c r="I1827" s="5">
        <v>44525</v>
      </c>
      <c r="J1827" s="5">
        <v>42732</v>
      </c>
      <c r="K1827" s="16">
        <f t="shared" si="190"/>
        <v>399</v>
      </c>
      <c r="L1827" s="13">
        <v>37000</v>
      </c>
      <c r="M1827" s="15">
        <f t="shared" si="188"/>
        <v>627.92796593568164</v>
      </c>
      <c r="N1827" s="13">
        <v>37000</v>
      </c>
      <c r="O1827" s="13">
        <v>0</v>
      </c>
      <c r="P1827" s="11">
        <f t="shared" si="187"/>
        <v>1</v>
      </c>
    </row>
    <row r="1828" spans="1:16" ht="18.75" customHeight="1" thickBot="1" x14ac:dyDescent="0.3">
      <c r="A1828" s="3" t="s">
        <v>11</v>
      </c>
      <c r="B1828" s="4">
        <v>918086</v>
      </c>
      <c r="C1828" s="3" t="s">
        <v>9</v>
      </c>
      <c r="D1828" s="18">
        <v>0.1</v>
      </c>
      <c r="E1828" s="21">
        <f t="shared" ref="E1828:E1891" si="191">(1+D1828)^(1/12)-1</f>
        <v>7.9741404289037643E-3</v>
      </c>
      <c r="F1828" s="5">
        <v>42335</v>
      </c>
      <c r="G1828" s="5">
        <v>43066</v>
      </c>
      <c r="H1828" s="16">
        <f t="shared" si="189"/>
        <v>731</v>
      </c>
      <c r="I1828" s="5">
        <v>43066</v>
      </c>
      <c r="J1828" s="5">
        <v>42877</v>
      </c>
      <c r="K1828" s="16">
        <f t="shared" si="190"/>
        <v>542</v>
      </c>
      <c r="L1828" s="13">
        <v>2104.38</v>
      </c>
      <c r="M1828" s="15">
        <f t="shared" si="188"/>
        <v>95.367719240732271</v>
      </c>
      <c r="N1828" s="13">
        <v>2104.38</v>
      </c>
      <c r="O1828" s="13">
        <v>0</v>
      </c>
      <c r="P1828" s="11">
        <f t="shared" ref="P1828:P1891" si="192">IF((G1828)&gt;(ConstantDateCutoff),1,0)</f>
        <v>1</v>
      </c>
    </row>
    <row r="1829" spans="1:16" ht="18.75" customHeight="1" thickBot="1" x14ac:dyDescent="0.3">
      <c r="A1829" s="3" t="s">
        <v>11</v>
      </c>
      <c r="B1829" s="4">
        <v>358572</v>
      </c>
      <c r="C1829" s="3" t="s">
        <v>9</v>
      </c>
      <c r="D1829" s="18">
        <v>0.1</v>
      </c>
      <c r="E1829" s="21">
        <f t="shared" si="191"/>
        <v>7.9741404289037643E-3</v>
      </c>
      <c r="F1829" s="5">
        <v>42338</v>
      </c>
      <c r="G1829" s="5">
        <v>42855</v>
      </c>
      <c r="H1829" s="16">
        <f t="shared" si="189"/>
        <v>517</v>
      </c>
      <c r="I1829" s="5">
        <v>42855</v>
      </c>
      <c r="J1829" s="5">
        <v>42628</v>
      </c>
      <c r="K1829" s="16">
        <f t="shared" si="190"/>
        <v>290</v>
      </c>
      <c r="L1829" s="13">
        <v>2699.92</v>
      </c>
      <c r="M1829" s="15">
        <f t="shared" si="188"/>
        <v>168.30256037860707</v>
      </c>
      <c r="N1829" s="13">
        <v>2699.92</v>
      </c>
      <c r="O1829" s="13">
        <v>2699.92</v>
      </c>
      <c r="P1829" s="11">
        <f t="shared" si="192"/>
        <v>1</v>
      </c>
    </row>
    <row r="1830" spans="1:16" ht="18.75" customHeight="1" thickBot="1" x14ac:dyDescent="0.3">
      <c r="A1830" s="3" t="s">
        <v>11</v>
      </c>
      <c r="B1830" s="4">
        <v>453781</v>
      </c>
      <c r="C1830" s="3" t="s">
        <v>9</v>
      </c>
      <c r="D1830" s="18">
        <v>0.1</v>
      </c>
      <c r="E1830" s="21">
        <f t="shared" si="191"/>
        <v>7.9741404289037643E-3</v>
      </c>
      <c r="F1830" s="5">
        <v>42338</v>
      </c>
      <c r="G1830" s="5">
        <v>44895</v>
      </c>
      <c r="H1830" s="16">
        <f t="shared" si="189"/>
        <v>2557</v>
      </c>
      <c r="I1830" s="5">
        <v>44895</v>
      </c>
      <c r="J1830" s="5">
        <v>42916</v>
      </c>
      <c r="K1830" s="16">
        <f t="shared" si="190"/>
        <v>578</v>
      </c>
      <c r="L1830" s="13">
        <v>9000</v>
      </c>
      <c r="M1830" s="15">
        <f t="shared" si="188"/>
        <v>145.91465265857732</v>
      </c>
      <c r="N1830" s="13">
        <v>9000</v>
      </c>
      <c r="O1830" s="13">
        <v>0</v>
      </c>
      <c r="P1830" s="11">
        <f t="shared" si="192"/>
        <v>1</v>
      </c>
    </row>
    <row r="1831" spans="1:16" ht="18.75" customHeight="1" thickBot="1" x14ac:dyDescent="0.3">
      <c r="A1831" s="3" t="s">
        <v>11</v>
      </c>
      <c r="B1831" s="4">
        <v>100094</v>
      </c>
      <c r="C1831" s="3" t="s">
        <v>9</v>
      </c>
      <c r="D1831" s="18">
        <v>0.1</v>
      </c>
      <c r="E1831" s="21">
        <f t="shared" si="191"/>
        <v>7.9741404289037643E-3</v>
      </c>
      <c r="F1831" s="5">
        <v>42338</v>
      </c>
      <c r="G1831" s="5">
        <v>44895</v>
      </c>
      <c r="H1831" s="16">
        <f t="shared" si="189"/>
        <v>2557</v>
      </c>
      <c r="I1831" s="5">
        <v>44925</v>
      </c>
      <c r="J1831" s="5">
        <v>43818</v>
      </c>
      <c r="K1831" s="16">
        <f t="shared" si="190"/>
        <v>1480</v>
      </c>
      <c r="L1831" s="13">
        <v>40164.870000000003</v>
      </c>
      <c r="M1831" s="15">
        <f t="shared" si="188"/>
        <v>651.18256168076812</v>
      </c>
      <c r="N1831" s="13">
        <v>21422.07</v>
      </c>
      <c r="O1831" s="13">
        <v>21422.07</v>
      </c>
      <c r="P1831" s="11">
        <f t="shared" si="192"/>
        <v>1</v>
      </c>
    </row>
    <row r="1832" spans="1:16" ht="18.75" customHeight="1" thickBot="1" x14ac:dyDescent="0.3">
      <c r="A1832" s="3" t="s">
        <v>11</v>
      </c>
      <c r="B1832" s="4">
        <v>156732</v>
      </c>
      <c r="C1832" s="3" t="s">
        <v>9</v>
      </c>
      <c r="D1832" s="18">
        <v>0.1</v>
      </c>
      <c r="E1832" s="21">
        <f t="shared" si="191"/>
        <v>7.9741404289037643E-3</v>
      </c>
      <c r="F1832" s="5">
        <v>42339</v>
      </c>
      <c r="G1832" s="5">
        <v>44907</v>
      </c>
      <c r="H1832" s="16">
        <f t="shared" si="189"/>
        <v>2568</v>
      </c>
      <c r="I1832" s="5">
        <v>44907</v>
      </c>
      <c r="J1832" s="5">
        <v>44099</v>
      </c>
      <c r="K1832" s="16">
        <f t="shared" si="190"/>
        <v>1760</v>
      </c>
      <c r="L1832" s="13">
        <v>42264.27</v>
      </c>
      <c r="M1832" s="15">
        <f t="shared" si="188"/>
        <v>683.16703694409512</v>
      </c>
      <c r="N1832" s="13">
        <v>11848.86</v>
      </c>
      <c r="O1832" s="13">
        <v>11848.86</v>
      </c>
      <c r="P1832" s="11">
        <f t="shared" si="192"/>
        <v>1</v>
      </c>
    </row>
    <row r="1833" spans="1:16" ht="18.75" customHeight="1" thickBot="1" x14ac:dyDescent="0.3">
      <c r="A1833" s="3" t="s">
        <v>11</v>
      </c>
      <c r="B1833" s="4">
        <v>37376</v>
      </c>
      <c r="C1833" s="3" t="s">
        <v>9</v>
      </c>
      <c r="D1833" s="18">
        <v>0.09</v>
      </c>
      <c r="E1833" s="21">
        <f t="shared" si="191"/>
        <v>7.2073233161367156E-3</v>
      </c>
      <c r="F1833" s="5">
        <v>42342</v>
      </c>
      <c r="G1833" s="5">
        <v>43438</v>
      </c>
      <c r="H1833" s="16">
        <f t="shared" si="189"/>
        <v>1096</v>
      </c>
      <c r="I1833" s="5">
        <v>43438</v>
      </c>
      <c r="J1833" s="5">
        <v>42905</v>
      </c>
      <c r="K1833" s="16">
        <f t="shared" si="190"/>
        <v>563</v>
      </c>
      <c r="L1833" s="13">
        <v>2067.2199999999998</v>
      </c>
      <c r="M1833" s="15">
        <f t="shared" si="188"/>
        <v>64.563093167337698</v>
      </c>
      <c r="N1833" s="13">
        <v>2067.2199999999998</v>
      </c>
      <c r="O1833" s="13">
        <v>0</v>
      </c>
      <c r="P1833" s="11">
        <f t="shared" si="192"/>
        <v>1</v>
      </c>
    </row>
    <row r="1834" spans="1:16" ht="18.75" customHeight="1" thickBot="1" x14ac:dyDescent="0.3">
      <c r="A1834" s="3" t="s">
        <v>11</v>
      </c>
      <c r="B1834" s="4">
        <v>557447</v>
      </c>
      <c r="C1834" s="3" t="s">
        <v>2</v>
      </c>
      <c r="D1834" s="18">
        <v>0.1</v>
      </c>
      <c r="E1834" s="21">
        <f t="shared" si="191"/>
        <v>7.9741404289037643E-3</v>
      </c>
      <c r="F1834" s="5">
        <v>42345</v>
      </c>
      <c r="G1834" s="5">
        <v>43661</v>
      </c>
      <c r="H1834" s="16">
        <f t="shared" si="189"/>
        <v>1316</v>
      </c>
      <c r="I1834" s="5">
        <v>43661</v>
      </c>
      <c r="J1834" s="5">
        <v>43725</v>
      </c>
      <c r="K1834" s="16">
        <f t="shared" si="190"/>
        <v>1380</v>
      </c>
      <c r="L1834" s="13">
        <v>2829</v>
      </c>
      <c r="M1834" s="15">
        <f t="shared" si="188"/>
        <v>76.680751400054405</v>
      </c>
      <c r="N1834" s="13">
        <v>2829</v>
      </c>
      <c r="O1834" s="13">
        <v>0</v>
      </c>
      <c r="P1834" s="11">
        <f t="shared" si="192"/>
        <v>1</v>
      </c>
    </row>
    <row r="1835" spans="1:16" ht="18.75" customHeight="1" thickBot="1" x14ac:dyDescent="0.3">
      <c r="A1835" s="3" t="s">
        <v>11</v>
      </c>
      <c r="B1835" s="4">
        <v>519072</v>
      </c>
      <c r="C1835" s="3" t="s">
        <v>9</v>
      </c>
      <c r="D1835" s="18">
        <v>0.1</v>
      </c>
      <c r="E1835" s="21">
        <f t="shared" si="191"/>
        <v>7.9741404289037643E-3</v>
      </c>
      <c r="F1835" s="5">
        <v>42346</v>
      </c>
      <c r="G1835" s="5">
        <v>42833</v>
      </c>
      <c r="H1835" s="16">
        <f t="shared" si="189"/>
        <v>487</v>
      </c>
      <c r="I1835" s="5">
        <v>42833</v>
      </c>
      <c r="J1835" s="5">
        <v>42583</v>
      </c>
      <c r="K1835" s="16">
        <f t="shared" si="190"/>
        <v>237</v>
      </c>
      <c r="L1835" s="13">
        <v>1438.76</v>
      </c>
      <c r="M1835" s="15">
        <f t="shared" si="188"/>
        <v>94.842558453050486</v>
      </c>
      <c r="N1835" s="13">
        <v>1438.76</v>
      </c>
      <c r="O1835" s="13">
        <v>0</v>
      </c>
      <c r="P1835" s="11">
        <f t="shared" si="192"/>
        <v>1</v>
      </c>
    </row>
    <row r="1836" spans="1:16" ht="18.75" customHeight="1" thickBot="1" x14ac:dyDescent="0.3">
      <c r="A1836" s="3" t="s">
        <v>11</v>
      </c>
      <c r="B1836" s="4">
        <v>613124</v>
      </c>
      <c r="C1836" s="3" t="s">
        <v>9</v>
      </c>
      <c r="D1836" s="18">
        <v>0.12</v>
      </c>
      <c r="E1836" s="21">
        <f t="shared" si="191"/>
        <v>9.4887929345830457E-3</v>
      </c>
      <c r="F1836" s="5">
        <v>42346</v>
      </c>
      <c r="G1836" s="5">
        <v>44217</v>
      </c>
      <c r="H1836" s="16">
        <f t="shared" si="189"/>
        <v>1871</v>
      </c>
      <c r="I1836" s="5">
        <v>44217</v>
      </c>
      <c r="J1836" s="5">
        <v>42802</v>
      </c>
      <c r="K1836" s="16">
        <f t="shared" si="190"/>
        <v>456</v>
      </c>
      <c r="L1836" s="13">
        <v>6445.69</v>
      </c>
      <c r="M1836" s="15">
        <f t="shared" si="188"/>
        <v>137.40678293736076</v>
      </c>
      <c r="N1836" s="13">
        <v>6445.69</v>
      </c>
      <c r="O1836" s="13">
        <v>0</v>
      </c>
      <c r="P1836" s="11">
        <f t="shared" si="192"/>
        <v>1</v>
      </c>
    </row>
    <row r="1837" spans="1:16" ht="18.75" customHeight="1" thickBot="1" x14ac:dyDescent="0.3">
      <c r="A1837" s="3" t="s">
        <v>11</v>
      </c>
      <c r="B1837" s="4">
        <v>556919</v>
      </c>
      <c r="C1837" s="3" t="s">
        <v>19</v>
      </c>
      <c r="D1837" s="18">
        <v>8.5000000000000006E-2</v>
      </c>
      <c r="E1837" s="21">
        <f t="shared" si="191"/>
        <v>6.8214933659622723E-3</v>
      </c>
      <c r="F1837" s="5">
        <v>42348</v>
      </c>
      <c r="G1837" s="5">
        <v>44653</v>
      </c>
      <c r="H1837" s="16">
        <f t="shared" si="189"/>
        <v>2305</v>
      </c>
      <c r="I1837" s="5">
        <v>44653</v>
      </c>
      <c r="J1837" s="5">
        <v>43592</v>
      </c>
      <c r="K1837" s="16">
        <f t="shared" si="190"/>
        <v>1244</v>
      </c>
      <c r="L1837" s="13">
        <v>17926.59</v>
      </c>
      <c r="M1837" s="15">
        <f t="shared" si="188"/>
        <v>300.55466523267347</v>
      </c>
      <c r="N1837" s="13">
        <v>16270.16</v>
      </c>
      <c r="O1837" s="13">
        <v>0</v>
      </c>
      <c r="P1837" s="11">
        <f t="shared" si="192"/>
        <v>1</v>
      </c>
    </row>
    <row r="1838" spans="1:16" ht="18.75" customHeight="1" thickBot="1" x14ac:dyDescent="0.3">
      <c r="A1838" s="3" t="s">
        <v>11</v>
      </c>
      <c r="B1838" s="4">
        <v>691520</v>
      </c>
      <c r="C1838" s="3" t="s">
        <v>9</v>
      </c>
      <c r="D1838" s="18">
        <v>0.1</v>
      </c>
      <c r="E1838" s="21">
        <f t="shared" si="191"/>
        <v>7.9741404289037643E-3</v>
      </c>
      <c r="F1838" s="5">
        <v>42354</v>
      </c>
      <c r="G1838" s="5">
        <v>43937</v>
      </c>
      <c r="H1838" s="16">
        <f t="shared" si="189"/>
        <v>1583</v>
      </c>
      <c r="I1838" s="5">
        <v>43937</v>
      </c>
      <c r="J1838" s="5">
        <v>43621</v>
      </c>
      <c r="K1838" s="16">
        <f t="shared" si="190"/>
        <v>1267</v>
      </c>
      <c r="L1838" s="13">
        <v>9110.8700000000008</v>
      </c>
      <c r="M1838" s="15">
        <f t="shared" si="188"/>
        <v>212.20650069638563</v>
      </c>
      <c r="N1838" s="13">
        <v>8498.6299999999992</v>
      </c>
      <c r="O1838" s="13">
        <v>125.9</v>
      </c>
      <c r="P1838" s="11">
        <f t="shared" si="192"/>
        <v>1</v>
      </c>
    </row>
    <row r="1839" spans="1:16" ht="18.75" customHeight="1" thickBot="1" x14ac:dyDescent="0.3">
      <c r="A1839" s="3" t="s">
        <v>11</v>
      </c>
      <c r="B1839" s="4">
        <v>864896</v>
      </c>
      <c r="C1839" s="3" t="s">
        <v>9</v>
      </c>
      <c r="D1839" s="18">
        <v>0.1</v>
      </c>
      <c r="E1839" s="21">
        <f t="shared" si="191"/>
        <v>7.9741404289037643E-3</v>
      </c>
      <c r="F1839" s="5">
        <v>42356</v>
      </c>
      <c r="G1839" s="5">
        <v>43452</v>
      </c>
      <c r="H1839" s="16">
        <f t="shared" si="189"/>
        <v>1096</v>
      </c>
      <c r="I1839" s="5">
        <v>43452</v>
      </c>
      <c r="J1839" s="5">
        <v>42636</v>
      </c>
      <c r="K1839" s="16">
        <f t="shared" si="190"/>
        <v>280</v>
      </c>
      <c r="L1839" s="13">
        <v>5241.28</v>
      </c>
      <c r="M1839" s="15">
        <f t="shared" si="188"/>
        <v>165.943498776648</v>
      </c>
      <c r="N1839" s="13">
        <v>5241.28</v>
      </c>
      <c r="O1839" s="13">
        <v>0</v>
      </c>
      <c r="P1839" s="11">
        <f t="shared" si="192"/>
        <v>1</v>
      </c>
    </row>
    <row r="1840" spans="1:16" ht="18.75" customHeight="1" thickBot="1" x14ac:dyDescent="0.3">
      <c r="A1840" s="3" t="s">
        <v>11</v>
      </c>
      <c r="B1840" s="4">
        <v>855296</v>
      </c>
      <c r="C1840" s="3" t="s">
        <v>9</v>
      </c>
      <c r="D1840" s="18">
        <v>0.1</v>
      </c>
      <c r="E1840" s="21">
        <f t="shared" si="191"/>
        <v>7.9741404289037643E-3</v>
      </c>
      <c r="F1840" s="5">
        <v>42359</v>
      </c>
      <c r="G1840" s="5">
        <v>44186</v>
      </c>
      <c r="H1840" s="16">
        <f t="shared" si="189"/>
        <v>1827</v>
      </c>
      <c r="I1840" s="5">
        <v>44186</v>
      </c>
      <c r="J1840" s="5">
        <v>43935</v>
      </c>
      <c r="K1840" s="16">
        <f t="shared" si="190"/>
        <v>1576</v>
      </c>
      <c r="L1840" s="13">
        <v>7931.79</v>
      </c>
      <c r="M1840" s="15">
        <f t="shared" si="188"/>
        <v>164.92564015900521</v>
      </c>
      <c r="N1840" s="13">
        <v>324.67</v>
      </c>
      <c r="O1840" s="13">
        <v>324.67</v>
      </c>
      <c r="P1840" s="11">
        <f t="shared" si="192"/>
        <v>1</v>
      </c>
    </row>
    <row r="1841" spans="1:16" ht="18.75" customHeight="1" thickBot="1" x14ac:dyDescent="0.3">
      <c r="A1841" s="3" t="s">
        <v>11</v>
      </c>
      <c r="B1841" s="4">
        <v>315229</v>
      </c>
      <c r="C1841" s="3" t="s">
        <v>9</v>
      </c>
      <c r="D1841" s="18">
        <v>0.08</v>
      </c>
      <c r="E1841" s="21">
        <f t="shared" si="191"/>
        <v>6.4340301100034303E-3</v>
      </c>
      <c r="F1841" s="5">
        <v>42361</v>
      </c>
      <c r="G1841" s="5">
        <v>44370</v>
      </c>
      <c r="H1841" s="16">
        <f t="shared" si="189"/>
        <v>2009</v>
      </c>
      <c r="I1841" s="5">
        <v>44370</v>
      </c>
      <c r="J1841" s="5">
        <v>42641</v>
      </c>
      <c r="K1841" s="16">
        <f t="shared" si="190"/>
        <v>280</v>
      </c>
      <c r="L1841" s="13">
        <v>10274.57</v>
      </c>
      <c r="M1841" s="15">
        <f t="shared" si="188"/>
        <v>189.33337609410555</v>
      </c>
      <c r="N1841" s="13">
        <v>10274.57</v>
      </c>
      <c r="O1841" s="13">
        <v>0</v>
      </c>
      <c r="P1841" s="11">
        <f t="shared" si="192"/>
        <v>1</v>
      </c>
    </row>
    <row r="1842" spans="1:16" ht="18.75" hidden="1" customHeight="1" thickBot="1" x14ac:dyDescent="0.3">
      <c r="A1842" s="3" t="s">
        <v>11</v>
      </c>
      <c r="B1842" s="4">
        <v>878863</v>
      </c>
      <c r="C1842" s="3" t="s">
        <v>9</v>
      </c>
      <c r="D1842" s="18">
        <v>0.1</v>
      </c>
      <c r="E1842" s="21">
        <f t="shared" si="191"/>
        <v>7.9741404289037643E-3</v>
      </c>
      <c r="F1842" s="5">
        <v>42362</v>
      </c>
      <c r="G1842" s="5">
        <v>42484</v>
      </c>
      <c r="H1842" s="16">
        <f t="shared" si="189"/>
        <v>122</v>
      </c>
      <c r="I1842" s="5">
        <v>42484</v>
      </c>
      <c r="J1842" s="2"/>
      <c r="K1842" s="16">
        <f t="shared" si="190"/>
        <v>-42362</v>
      </c>
      <c r="L1842" s="13">
        <v>500</v>
      </c>
      <c r="M1842" s="15">
        <f t="shared" si="188"/>
        <v>125.44465094110065</v>
      </c>
      <c r="N1842" s="13">
        <v>500</v>
      </c>
      <c r="O1842" s="13">
        <v>0</v>
      </c>
      <c r="P1842" s="11">
        <f t="shared" si="192"/>
        <v>1</v>
      </c>
    </row>
    <row r="1843" spans="1:16" ht="18.75" hidden="1" customHeight="1" thickBot="1" x14ac:dyDescent="0.3">
      <c r="A1843" s="3" t="s">
        <v>11</v>
      </c>
      <c r="B1843" s="4">
        <v>681266</v>
      </c>
      <c r="C1843" s="3" t="s">
        <v>9</v>
      </c>
      <c r="D1843" s="18">
        <v>0.1</v>
      </c>
      <c r="E1843" s="21">
        <f t="shared" si="191"/>
        <v>7.9741404289037643E-3</v>
      </c>
      <c r="F1843" s="5">
        <v>42361</v>
      </c>
      <c r="G1843" s="5">
        <v>42423</v>
      </c>
      <c r="H1843" s="16">
        <f t="shared" si="189"/>
        <v>62</v>
      </c>
      <c r="I1843" s="5">
        <v>42423</v>
      </c>
      <c r="J1843" s="2"/>
      <c r="K1843" s="16">
        <f t="shared" si="190"/>
        <v>-42361</v>
      </c>
      <c r="L1843" s="13">
        <v>1000</v>
      </c>
      <c r="M1843" s="15">
        <f t="shared" si="188"/>
        <v>489.79561926137774</v>
      </c>
      <c r="N1843" s="13">
        <v>1000</v>
      </c>
      <c r="O1843" s="13">
        <v>0</v>
      </c>
      <c r="P1843" s="11">
        <f t="shared" si="192"/>
        <v>1</v>
      </c>
    </row>
    <row r="1844" spans="1:16" ht="18.75" customHeight="1" thickBot="1" x14ac:dyDescent="0.3">
      <c r="A1844" s="3" t="s">
        <v>11</v>
      </c>
      <c r="B1844" s="4">
        <v>621962</v>
      </c>
      <c r="C1844" s="3" t="s">
        <v>9</v>
      </c>
      <c r="D1844" s="18">
        <v>8.5000000000000006E-2</v>
      </c>
      <c r="E1844" s="21">
        <f t="shared" si="191"/>
        <v>6.8214933659622723E-3</v>
      </c>
      <c r="F1844" s="5">
        <v>42608</v>
      </c>
      <c r="G1844" s="5">
        <v>44635</v>
      </c>
      <c r="H1844" s="16">
        <f t="shared" si="189"/>
        <v>2027</v>
      </c>
      <c r="I1844" s="5">
        <v>44635</v>
      </c>
      <c r="J1844" s="5">
        <v>43644</v>
      </c>
      <c r="K1844" s="16">
        <f t="shared" si="190"/>
        <v>1036</v>
      </c>
      <c r="L1844" s="13">
        <v>12011.42</v>
      </c>
      <c r="M1844" s="15">
        <f t="shared" si="188"/>
        <v>222.47034036454482</v>
      </c>
      <c r="N1844" s="13">
        <v>12011.42</v>
      </c>
      <c r="O1844" s="13">
        <v>0</v>
      </c>
      <c r="P1844" s="11">
        <f t="shared" si="192"/>
        <v>1</v>
      </c>
    </row>
    <row r="1845" spans="1:16" ht="18.75" hidden="1" customHeight="1" thickBot="1" x14ac:dyDescent="0.3">
      <c r="A1845" s="3" t="s">
        <v>11</v>
      </c>
      <c r="B1845" s="4">
        <v>202230</v>
      </c>
      <c r="C1845" s="3" t="s">
        <v>9</v>
      </c>
      <c r="D1845" s="18">
        <v>0.1</v>
      </c>
      <c r="E1845" s="21">
        <f t="shared" si="191"/>
        <v>7.9741404289037643E-3</v>
      </c>
      <c r="F1845" s="5">
        <v>42362</v>
      </c>
      <c r="G1845" s="5">
        <v>43093</v>
      </c>
      <c r="H1845" s="16">
        <f t="shared" si="189"/>
        <v>731</v>
      </c>
      <c r="I1845" s="5">
        <v>43093</v>
      </c>
      <c r="J1845" s="2"/>
      <c r="K1845" s="16">
        <f t="shared" si="190"/>
        <v>-42362</v>
      </c>
      <c r="L1845" s="13">
        <v>3000</v>
      </c>
      <c r="M1845" s="15">
        <f t="shared" si="188"/>
        <v>135.95603347408587</v>
      </c>
      <c r="N1845" s="13">
        <v>3000</v>
      </c>
      <c r="O1845" s="13">
        <v>0</v>
      </c>
      <c r="P1845" s="11">
        <f t="shared" si="192"/>
        <v>1</v>
      </c>
    </row>
    <row r="1846" spans="1:16" ht="18.75" customHeight="1" thickBot="1" x14ac:dyDescent="0.3">
      <c r="A1846" s="3" t="s">
        <v>11</v>
      </c>
      <c r="B1846" s="4">
        <v>950858</v>
      </c>
      <c r="C1846" s="3" t="s">
        <v>9</v>
      </c>
      <c r="D1846" s="18">
        <v>0.1</v>
      </c>
      <c r="E1846" s="21">
        <f t="shared" si="191"/>
        <v>7.9741404289037643E-3</v>
      </c>
      <c r="F1846" s="5">
        <v>42367</v>
      </c>
      <c r="G1846" s="5">
        <v>43613</v>
      </c>
      <c r="H1846" s="16">
        <f t="shared" si="189"/>
        <v>1246</v>
      </c>
      <c r="I1846" s="5">
        <v>43613</v>
      </c>
      <c r="J1846" s="5">
        <v>43725</v>
      </c>
      <c r="K1846" s="16">
        <f t="shared" si="190"/>
        <v>1358</v>
      </c>
      <c r="L1846" s="13">
        <v>527.12</v>
      </c>
      <c r="M1846" s="15">
        <f t="shared" si="188"/>
        <v>14.95903229429639</v>
      </c>
      <c r="N1846" s="13">
        <v>527.12</v>
      </c>
      <c r="O1846" s="13">
        <v>0</v>
      </c>
      <c r="P1846" s="11">
        <f t="shared" si="192"/>
        <v>1</v>
      </c>
    </row>
    <row r="1847" spans="1:16" ht="18.75" customHeight="1" thickBot="1" x14ac:dyDescent="0.3">
      <c r="A1847" s="3" t="s">
        <v>11</v>
      </c>
      <c r="B1847" s="4">
        <v>636323</v>
      </c>
      <c r="C1847" s="3" t="s">
        <v>9</v>
      </c>
      <c r="D1847" s="18">
        <v>0.1</v>
      </c>
      <c r="E1847" s="21">
        <f t="shared" si="191"/>
        <v>7.9741404289037643E-3</v>
      </c>
      <c r="F1847" s="5">
        <v>42367</v>
      </c>
      <c r="G1847" s="5">
        <v>43828</v>
      </c>
      <c r="H1847" s="16">
        <f t="shared" si="189"/>
        <v>1461</v>
      </c>
      <c r="I1847" s="5">
        <v>43828</v>
      </c>
      <c r="J1847" s="5">
        <v>43210</v>
      </c>
      <c r="K1847" s="16">
        <f t="shared" si="190"/>
        <v>843</v>
      </c>
      <c r="L1847" s="13">
        <v>24704.39</v>
      </c>
      <c r="M1847" s="15">
        <f t="shared" si="188"/>
        <v>614.12908808110478</v>
      </c>
      <c r="N1847" s="13">
        <v>24704.39</v>
      </c>
      <c r="O1847" s="13">
        <v>0</v>
      </c>
      <c r="P1847" s="11">
        <f t="shared" si="192"/>
        <v>1</v>
      </c>
    </row>
    <row r="1848" spans="1:16" ht="18.75" customHeight="1" thickBot="1" x14ac:dyDescent="0.3">
      <c r="A1848" s="3" t="s">
        <v>11</v>
      </c>
      <c r="B1848" s="4">
        <v>572329</v>
      </c>
      <c r="C1848" s="3" t="s">
        <v>9</v>
      </c>
      <c r="D1848" s="18">
        <v>0.1</v>
      </c>
      <c r="E1848" s="21">
        <f t="shared" si="191"/>
        <v>7.9741404289037643E-3</v>
      </c>
      <c r="F1848" s="5">
        <v>42374</v>
      </c>
      <c r="G1848" s="5">
        <v>44597</v>
      </c>
      <c r="H1848" s="16">
        <f t="shared" si="189"/>
        <v>2223</v>
      </c>
      <c r="I1848" s="5">
        <v>44597</v>
      </c>
      <c r="J1848" s="5">
        <v>43215</v>
      </c>
      <c r="K1848" s="16">
        <f t="shared" si="190"/>
        <v>841</v>
      </c>
      <c r="L1848" s="13">
        <v>11295.78</v>
      </c>
      <c r="M1848" s="15">
        <f t="shared" si="188"/>
        <v>202.47612116087652</v>
      </c>
      <c r="N1848" s="13">
        <v>11295.78</v>
      </c>
      <c r="O1848" s="13">
        <v>0</v>
      </c>
      <c r="P1848" s="11">
        <f t="shared" si="192"/>
        <v>1</v>
      </c>
    </row>
    <row r="1849" spans="1:16" ht="18.75" customHeight="1" thickBot="1" x14ac:dyDescent="0.3">
      <c r="A1849" s="3" t="s">
        <v>11</v>
      </c>
      <c r="B1849" s="4">
        <v>369984</v>
      </c>
      <c r="C1849" s="3" t="s">
        <v>9</v>
      </c>
      <c r="D1849" s="18">
        <v>0.1</v>
      </c>
      <c r="E1849" s="21">
        <f t="shared" si="191"/>
        <v>7.9741404289037643E-3</v>
      </c>
      <c r="F1849" s="5">
        <v>42377</v>
      </c>
      <c r="G1849" s="5">
        <v>44569</v>
      </c>
      <c r="H1849" s="16">
        <f t="shared" si="189"/>
        <v>2192</v>
      </c>
      <c r="I1849" s="5">
        <v>44569</v>
      </c>
      <c r="J1849" s="5">
        <v>43234</v>
      </c>
      <c r="K1849" s="16">
        <f t="shared" si="190"/>
        <v>857</v>
      </c>
      <c r="L1849" s="13">
        <v>27995.08</v>
      </c>
      <c r="M1849" s="15">
        <f t="shared" si="188"/>
        <v>507.02414718655706</v>
      </c>
      <c r="N1849" s="13">
        <v>27995.08</v>
      </c>
      <c r="O1849" s="13">
        <v>6133.37</v>
      </c>
      <c r="P1849" s="11">
        <f t="shared" si="192"/>
        <v>1</v>
      </c>
    </row>
    <row r="1850" spans="1:16" ht="18.75" customHeight="1" thickBot="1" x14ac:dyDescent="0.3">
      <c r="A1850" s="3" t="s">
        <v>11</v>
      </c>
      <c r="B1850" s="4">
        <v>550341</v>
      </c>
      <c r="C1850" s="3" t="s">
        <v>9</v>
      </c>
      <c r="D1850" s="18">
        <v>0.1</v>
      </c>
      <c r="E1850" s="21">
        <f t="shared" si="191"/>
        <v>7.9741404289037643E-3</v>
      </c>
      <c r="F1850" s="5">
        <v>42377</v>
      </c>
      <c r="G1850" s="5">
        <v>45013</v>
      </c>
      <c r="H1850" s="16">
        <f t="shared" si="189"/>
        <v>2636</v>
      </c>
      <c r="I1850" s="5">
        <v>45319</v>
      </c>
      <c r="J1850" s="5">
        <v>43971</v>
      </c>
      <c r="K1850" s="16">
        <f t="shared" si="190"/>
        <v>1594</v>
      </c>
      <c r="L1850" s="13">
        <v>26281.56</v>
      </c>
      <c r="M1850" s="15">
        <f t="shared" si="188"/>
        <v>417.174989421693</v>
      </c>
      <c r="N1850" s="13">
        <v>16524.95</v>
      </c>
      <c r="O1850" s="13">
        <v>0</v>
      </c>
      <c r="P1850" s="11">
        <f t="shared" si="192"/>
        <v>1</v>
      </c>
    </row>
    <row r="1851" spans="1:16" ht="18.75" customHeight="1" thickBot="1" x14ac:dyDescent="0.3">
      <c r="A1851" s="3" t="s">
        <v>11</v>
      </c>
      <c r="B1851" s="4">
        <v>14844</v>
      </c>
      <c r="C1851" s="3" t="s">
        <v>9</v>
      </c>
      <c r="D1851" s="18">
        <v>0.1</v>
      </c>
      <c r="E1851" s="21">
        <f t="shared" si="191"/>
        <v>7.9741404289037643E-3</v>
      </c>
      <c r="F1851" s="5">
        <v>42383</v>
      </c>
      <c r="G1851" s="5">
        <v>44210</v>
      </c>
      <c r="H1851" s="16">
        <f t="shared" si="189"/>
        <v>1827</v>
      </c>
      <c r="I1851" s="5">
        <v>44210</v>
      </c>
      <c r="J1851" s="5">
        <v>42495</v>
      </c>
      <c r="K1851" s="16">
        <f t="shared" si="190"/>
        <v>112</v>
      </c>
      <c r="L1851" s="13">
        <v>3773.69</v>
      </c>
      <c r="M1851" s="15">
        <f t="shared" si="188"/>
        <v>78.466303194062917</v>
      </c>
      <c r="N1851" s="13">
        <v>3773.69</v>
      </c>
      <c r="O1851" s="13">
        <v>0</v>
      </c>
      <c r="P1851" s="11">
        <f t="shared" si="192"/>
        <v>1</v>
      </c>
    </row>
    <row r="1852" spans="1:16" ht="18.75" customHeight="1" thickBot="1" x14ac:dyDescent="0.3">
      <c r="A1852" s="3" t="s">
        <v>11</v>
      </c>
      <c r="B1852" s="4">
        <v>97265</v>
      </c>
      <c r="C1852" s="3" t="s">
        <v>9</v>
      </c>
      <c r="D1852" s="18">
        <v>0.1</v>
      </c>
      <c r="E1852" s="21">
        <f t="shared" si="191"/>
        <v>7.9741404289037643E-3</v>
      </c>
      <c r="F1852" s="5">
        <v>42384</v>
      </c>
      <c r="G1852" s="5">
        <v>43661</v>
      </c>
      <c r="H1852" s="16">
        <f t="shared" si="189"/>
        <v>1277</v>
      </c>
      <c r="I1852" s="5">
        <v>43661</v>
      </c>
      <c r="J1852" s="5">
        <v>43154</v>
      </c>
      <c r="K1852" s="16">
        <f t="shared" si="190"/>
        <v>770</v>
      </c>
      <c r="L1852" s="13">
        <v>2568.77</v>
      </c>
      <c r="M1852" s="15">
        <f t="shared" si="188"/>
        <v>71.405150145341651</v>
      </c>
      <c r="N1852" s="13">
        <v>2568.77</v>
      </c>
      <c r="O1852" s="13">
        <v>0</v>
      </c>
      <c r="P1852" s="11">
        <f t="shared" si="192"/>
        <v>1</v>
      </c>
    </row>
    <row r="1853" spans="1:16" ht="18.75" customHeight="1" thickBot="1" x14ac:dyDescent="0.3">
      <c r="A1853" s="3" t="s">
        <v>11</v>
      </c>
      <c r="B1853" s="4">
        <v>387885</v>
      </c>
      <c r="C1853" s="3" t="s">
        <v>9</v>
      </c>
      <c r="D1853" s="18">
        <v>0.1</v>
      </c>
      <c r="E1853" s="21">
        <f t="shared" si="191"/>
        <v>7.9741404289037643E-3</v>
      </c>
      <c r="F1853" s="5">
        <v>42384</v>
      </c>
      <c r="G1853" s="5">
        <v>44576</v>
      </c>
      <c r="H1853" s="16">
        <f t="shared" si="189"/>
        <v>2192</v>
      </c>
      <c r="I1853" s="5">
        <v>44576</v>
      </c>
      <c r="J1853" s="5">
        <v>43644</v>
      </c>
      <c r="K1853" s="16">
        <f t="shared" si="190"/>
        <v>1260</v>
      </c>
      <c r="L1853" s="13">
        <v>9510.06</v>
      </c>
      <c r="M1853" s="15">
        <f t="shared" si="188"/>
        <v>172.23848123288047</v>
      </c>
      <c r="N1853" s="13">
        <v>9510.06</v>
      </c>
      <c r="O1853" s="13">
        <v>0</v>
      </c>
      <c r="P1853" s="11">
        <f t="shared" si="192"/>
        <v>1</v>
      </c>
    </row>
    <row r="1854" spans="1:16" ht="18.75" customHeight="1" thickBot="1" x14ac:dyDescent="0.3">
      <c r="A1854" s="3" t="s">
        <v>11</v>
      </c>
      <c r="B1854" s="4">
        <v>27019</v>
      </c>
      <c r="C1854" s="3" t="s">
        <v>9</v>
      </c>
      <c r="D1854" s="18">
        <v>0.1</v>
      </c>
      <c r="E1854" s="21">
        <f t="shared" si="191"/>
        <v>7.9741404289037643E-3</v>
      </c>
      <c r="F1854" s="5">
        <v>42388</v>
      </c>
      <c r="G1854" s="5">
        <v>43119</v>
      </c>
      <c r="H1854" s="16">
        <f t="shared" si="189"/>
        <v>731</v>
      </c>
      <c r="I1854" s="5">
        <v>43119</v>
      </c>
      <c r="J1854" s="5">
        <v>43496</v>
      </c>
      <c r="K1854" s="16">
        <f t="shared" si="190"/>
        <v>1108</v>
      </c>
      <c r="L1854" s="13">
        <v>24292.85</v>
      </c>
      <c r="M1854" s="15">
        <f t="shared" si="188"/>
        <v>1100.9198425936488</v>
      </c>
      <c r="N1854" s="13">
        <v>24292.85</v>
      </c>
      <c r="O1854" s="13">
        <v>0</v>
      </c>
      <c r="P1854" s="11">
        <f t="shared" si="192"/>
        <v>1</v>
      </c>
    </row>
    <row r="1855" spans="1:16" ht="18.75" customHeight="1" thickBot="1" x14ac:dyDescent="0.3">
      <c r="A1855" s="3" t="s">
        <v>11</v>
      </c>
      <c r="B1855" s="4">
        <v>886809</v>
      </c>
      <c r="C1855" s="3" t="s">
        <v>9</v>
      </c>
      <c r="D1855" s="18">
        <v>0.14000000000000001</v>
      </c>
      <c r="E1855" s="21">
        <f t="shared" si="191"/>
        <v>1.0978851950173452E-2</v>
      </c>
      <c r="F1855" s="5">
        <v>42390</v>
      </c>
      <c r="G1855" s="5">
        <v>43486</v>
      </c>
      <c r="H1855" s="16">
        <f t="shared" si="189"/>
        <v>1096</v>
      </c>
      <c r="I1855" s="5">
        <v>43486</v>
      </c>
      <c r="J1855" s="5">
        <v>43236</v>
      </c>
      <c r="K1855" s="16">
        <f t="shared" si="190"/>
        <v>846</v>
      </c>
      <c r="L1855" s="13">
        <v>5189.1899999999996</v>
      </c>
      <c r="M1855" s="15">
        <f t="shared" si="188"/>
        <v>173.19270306016483</v>
      </c>
      <c r="N1855" s="13">
        <v>5189.1899999999996</v>
      </c>
      <c r="O1855" s="13">
        <v>0</v>
      </c>
      <c r="P1855" s="11">
        <f t="shared" si="192"/>
        <v>1</v>
      </c>
    </row>
    <row r="1856" spans="1:16" ht="18.75" customHeight="1" thickBot="1" x14ac:dyDescent="0.3">
      <c r="A1856" s="3" t="s">
        <v>11</v>
      </c>
      <c r="B1856" s="4">
        <v>788540</v>
      </c>
      <c r="C1856" s="3" t="s">
        <v>9</v>
      </c>
      <c r="D1856" s="18">
        <v>0.11</v>
      </c>
      <c r="E1856" s="21">
        <f t="shared" si="191"/>
        <v>8.7345938235519061E-3</v>
      </c>
      <c r="F1856" s="5">
        <v>42394</v>
      </c>
      <c r="G1856" s="5">
        <v>44252</v>
      </c>
      <c r="H1856" s="16">
        <f t="shared" si="189"/>
        <v>1858</v>
      </c>
      <c r="I1856" s="5">
        <v>44252</v>
      </c>
      <c r="J1856" s="5">
        <v>43011</v>
      </c>
      <c r="K1856" s="16">
        <f t="shared" si="190"/>
        <v>617</v>
      </c>
      <c r="L1856" s="13">
        <v>8857.14</v>
      </c>
      <c r="M1856" s="15">
        <f t="shared" si="188"/>
        <v>185.772044018397</v>
      </c>
      <c r="N1856" s="13">
        <v>8857.14</v>
      </c>
      <c r="O1856" s="13">
        <v>325</v>
      </c>
      <c r="P1856" s="11">
        <f t="shared" si="192"/>
        <v>1</v>
      </c>
    </row>
    <row r="1857" spans="1:16" ht="18.75" customHeight="1" thickBot="1" x14ac:dyDescent="0.3">
      <c r="A1857" s="3" t="s">
        <v>11</v>
      </c>
      <c r="B1857" s="4">
        <v>625496</v>
      </c>
      <c r="C1857" s="3" t="s">
        <v>9</v>
      </c>
      <c r="D1857" s="18">
        <v>0.11</v>
      </c>
      <c r="E1857" s="21">
        <f t="shared" si="191"/>
        <v>8.7345938235519061E-3</v>
      </c>
      <c r="F1857" s="5">
        <v>42394</v>
      </c>
      <c r="G1857" s="5">
        <v>44221</v>
      </c>
      <c r="H1857" s="16">
        <f t="shared" si="189"/>
        <v>1827</v>
      </c>
      <c r="I1857" s="5">
        <v>44221</v>
      </c>
      <c r="J1857" s="5">
        <v>43817</v>
      </c>
      <c r="K1857" s="16">
        <f t="shared" si="190"/>
        <v>1423</v>
      </c>
      <c r="L1857" s="13">
        <v>5015.0200000000004</v>
      </c>
      <c r="M1857" s="15">
        <f t="shared" si="188"/>
        <v>106.53398429785166</v>
      </c>
      <c r="N1857" s="13">
        <v>3922.68</v>
      </c>
      <c r="O1857" s="13">
        <v>3500</v>
      </c>
      <c r="P1857" s="11">
        <f t="shared" si="192"/>
        <v>1</v>
      </c>
    </row>
    <row r="1858" spans="1:16" ht="18.75" customHeight="1" thickBot="1" x14ac:dyDescent="0.3">
      <c r="A1858" s="3" t="s">
        <v>11</v>
      </c>
      <c r="B1858" s="4">
        <v>465868</v>
      </c>
      <c r="C1858" s="3" t="s">
        <v>9</v>
      </c>
      <c r="D1858" s="18">
        <v>0.12</v>
      </c>
      <c r="E1858" s="21">
        <f t="shared" si="191"/>
        <v>9.4887929345830457E-3</v>
      </c>
      <c r="F1858" s="5">
        <v>42395</v>
      </c>
      <c r="G1858" s="5">
        <v>44008</v>
      </c>
      <c r="H1858" s="16">
        <f t="shared" si="189"/>
        <v>1613</v>
      </c>
      <c r="I1858" s="5">
        <v>44008</v>
      </c>
      <c r="J1858" s="5">
        <v>43640</v>
      </c>
      <c r="K1858" s="16">
        <f t="shared" si="190"/>
        <v>1245</v>
      </c>
      <c r="L1858" s="13">
        <v>5527.68</v>
      </c>
      <c r="M1858" s="15">
        <f t="shared" ref="M1858:M1921" si="193">-PMT(E1858,(H1858/30),L1858)</f>
        <v>131.73114769539964</v>
      </c>
      <c r="N1858" s="13">
        <v>4990.7299999999996</v>
      </c>
      <c r="O1858" s="13">
        <v>4990.7299999999996</v>
      </c>
      <c r="P1858" s="11">
        <f t="shared" si="192"/>
        <v>1</v>
      </c>
    </row>
    <row r="1859" spans="1:16" ht="18.75" customHeight="1" thickBot="1" x14ac:dyDescent="0.3">
      <c r="A1859" s="3" t="s">
        <v>11</v>
      </c>
      <c r="B1859" s="4">
        <v>337549</v>
      </c>
      <c r="C1859" s="3" t="s">
        <v>9</v>
      </c>
      <c r="D1859" s="18">
        <v>0.1</v>
      </c>
      <c r="E1859" s="21">
        <f t="shared" si="191"/>
        <v>7.9741404289037643E-3</v>
      </c>
      <c r="F1859" s="5">
        <v>42515</v>
      </c>
      <c r="G1859" s="5">
        <v>42729</v>
      </c>
      <c r="H1859" s="16">
        <f t="shared" ref="H1859:H1922" si="194">G1859-F1859</f>
        <v>214</v>
      </c>
      <c r="I1859" s="5">
        <v>42729</v>
      </c>
      <c r="J1859" s="5">
        <v>43006</v>
      </c>
      <c r="K1859" s="16">
        <f t="shared" ref="K1859:K1922" si="195">J1859-F1859</f>
        <v>491</v>
      </c>
      <c r="L1859" s="13">
        <v>1075.48</v>
      </c>
      <c r="M1859" s="15">
        <f t="shared" si="193"/>
        <v>155.69705488890571</v>
      </c>
      <c r="N1859" s="13">
        <v>1075.48</v>
      </c>
      <c r="O1859" s="13">
        <v>0</v>
      </c>
      <c r="P1859" s="11">
        <f t="shared" si="192"/>
        <v>1</v>
      </c>
    </row>
    <row r="1860" spans="1:16" ht="18.75" customHeight="1" thickBot="1" x14ac:dyDescent="0.3">
      <c r="A1860" s="3" t="s">
        <v>11</v>
      </c>
      <c r="B1860" s="4">
        <v>327157</v>
      </c>
      <c r="C1860" s="3" t="s">
        <v>9</v>
      </c>
      <c r="D1860" s="18">
        <v>0.1</v>
      </c>
      <c r="E1860" s="21">
        <f t="shared" si="191"/>
        <v>7.9741404289037643E-3</v>
      </c>
      <c r="F1860" s="5">
        <v>42405</v>
      </c>
      <c r="G1860" s="5">
        <v>44232</v>
      </c>
      <c r="H1860" s="16">
        <f t="shared" si="194"/>
        <v>1827</v>
      </c>
      <c r="I1860" s="5">
        <v>44232</v>
      </c>
      <c r="J1860" s="5">
        <v>42695</v>
      </c>
      <c r="K1860" s="16">
        <f t="shared" si="195"/>
        <v>290</v>
      </c>
      <c r="L1860" s="13">
        <v>9831.42</v>
      </c>
      <c r="M1860" s="15">
        <f t="shared" si="193"/>
        <v>204.42463014931647</v>
      </c>
      <c r="N1860" s="13">
        <v>9831.42</v>
      </c>
      <c r="O1860" s="13">
        <v>0</v>
      </c>
      <c r="P1860" s="11">
        <f t="shared" si="192"/>
        <v>1</v>
      </c>
    </row>
    <row r="1861" spans="1:16" ht="18.75" customHeight="1" thickBot="1" x14ac:dyDescent="0.3">
      <c r="A1861" s="3" t="s">
        <v>11</v>
      </c>
      <c r="B1861" s="4">
        <v>834892</v>
      </c>
      <c r="C1861" s="3" t="s">
        <v>9</v>
      </c>
      <c r="D1861" s="18">
        <v>0.1</v>
      </c>
      <c r="E1861" s="21">
        <f t="shared" si="191"/>
        <v>7.9741404289037643E-3</v>
      </c>
      <c r="F1861" s="5">
        <v>42405</v>
      </c>
      <c r="G1861" s="5">
        <v>44247</v>
      </c>
      <c r="H1861" s="16">
        <f t="shared" si="194"/>
        <v>1842</v>
      </c>
      <c r="I1861" s="5">
        <v>44247</v>
      </c>
      <c r="J1861" s="5">
        <v>43818</v>
      </c>
      <c r="K1861" s="16">
        <f t="shared" si="195"/>
        <v>1413</v>
      </c>
      <c r="L1861" s="13">
        <v>8506.39</v>
      </c>
      <c r="M1861" s="15">
        <f t="shared" si="193"/>
        <v>175.75350651432933</v>
      </c>
      <c r="N1861" s="13">
        <v>4656.6099999999997</v>
      </c>
      <c r="O1861" s="13">
        <v>4152.76</v>
      </c>
      <c r="P1861" s="11">
        <f t="shared" si="192"/>
        <v>1</v>
      </c>
    </row>
    <row r="1862" spans="1:16" ht="18.75" customHeight="1" thickBot="1" x14ac:dyDescent="0.3">
      <c r="A1862" s="3" t="s">
        <v>11</v>
      </c>
      <c r="B1862" s="4">
        <v>527897</v>
      </c>
      <c r="C1862" s="3" t="s">
        <v>9</v>
      </c>
      <c r="D1862" s="18">
        <v>0.1</v>
      </c>
      <c r="E1862" s="21">
        <f t="shared" si="191"/>
        <v>7.9741404289037643E-3</v>
      </c>
      <c r="F1862" s="5">
        <v>42422</v>
      </c>
      <c r="G1862" s="5">
        <v>43668</v>
      </c>
      <c r="H1862" s="16">
        <f t="shared" si="194"/>
        <v>1246</v>
      </c>
      <c r="I1862" s="5">
        <v>43668</v>
      </c>
      <c r="J1862" s="5">
        <v>43738</v>
      </c>
      <c r="K1862" s="16">
        <f t="shared" si="195"/>
        <v>1316</v>
      </c>
      <c r="L1862" s="13">
        <v>629.03</v>
      </c>
      <c r="M1862" s="15">
        <f t="shared" si="193"/>
        <v>17.8511156550335</v>
      </c>
      <c r="N1862" s="13">
        <v>629.03</v>
      </c>
      <c r="O1862" s="13">
        <v>629.03</v>
      </c>
      <c r="P1862" s="11">
        <f t="shared" si="192"/>
        <v>1</v>
      </c>
    </row>
    <row r="1863" spans="1:16" ht="18.75" customHeight="1" thickBot="1" x14ac:dyDescent="0.3">
      <c r="A1863" s="3" t="s">
        <v>11</v>
      </c>
      <c r="B1863" s="4">
        <v>195682</v>
      </c>
      <c r="C1863" s="3" t="s">
        <v>9</v>
      </c>
      <c r="D1863" s="18">
        <v>8.5000000000000006E-2</v>
      </c>
      <c r="E1863" s="21">
        <f t="shared" si="191"/>
        <v>6.8214933659622723E-3</v>
      </c>
      <c r="F1863" s="5">
        <v>42422</v>
      </c>
      <c r="G1863" s="5">
        <v>43518</v>
      </c>
      <c r="H1863" s="16">
        <f t="shared" si="194"/>
        <v>1096</v>
      </c>
      <c r="I1863" s="5">
        <v>43518</v>
      </c>
      <c r="J1863" s="5">
        <v>43227</v>
      </c>
      <c r="K1863" s="16">
        <f t="shared" si="195"/>
        <v>805</v>
      </c>
      <c r="L1863" s="13">
        <v>18000</v>
      </c>
      <c r="M1863" s="15">
        <f t="shared" si="193"/>
        <v>558.31147248292473</v>
      </c>
      <c r="N1863" s="13">
        <v>18000</v>
      </c>
      <c r="O1863" s="13">
        <v>18000</v>
      </c>
      <c r="P1863" s="11">
        <f t="shared" si="192"/>
        <v>1</v>
      </c>
    </row>
    <row r="1864" spans="1:16" ht="18.75" customHeight="1" thickBot="1" x14ac:dyDescent="0.3">
      <c r="A1864" s="3" t="s">
        <v>11</v>
      </c>
      <c r="B1864" s="4">
        <v>303428</v>
      </c>
      <c r="C1864" s="3" t="s">
        <v>9</v>
      </c>
      <c r="D1864" s="18">
        <v>0.08</v>
      </c>
      <c r="E1864" s="21">
        <f t="shared" si="191"/>
        <v>6.4340301100034303E-3</v>
      </c>
      <c r="F1864" s="5">
        <v>42423</v>
      </c>
      <c r="G1864" s="5">
        <v>43884</v>
      </c>
      <c r="H1864" s="16">
        <f t="shared" si="194"/>
        <v>1461</v>
      </c>
      <c r="I1864" s="5">
        <v>43884</v>
      </c>
      <c r="J1864" s="5">
        <v>43321</v>
      </c>
      <c r="K1864" s="16">
        <f t="shared" si="195"/>
        <v>898</v>
      </c>
      <c r="L1864" s="13">
        <v>6203.11</v>
      </c>
      <c r="M1864" s="15">
        <f t="shared" si="193"/>
        <v>148.77585631982924</v>
      </c>
      <c r="N1864" s="13">
        <v>6203.11</v>
      </c>
      <c r="O1864" s="13">
        <v>0</v>
      </c>
      <c r="P1864" s="11">
        <f t="shared" si="192"/>
        <v>1</v>
      </c>
    </row>
    <row r="1865" spans="1:16" ht="18.75" hidden="1" customHeight="1" thickBot="1" x14ac:dyDescent="0.3">
      <c r="A1865" s="3" t="s">
        <v>11</v>
      </c>
      <c r="B1865" s="4">
        <v>160042</v>
      </c>
      <c r="C1865" s="3" t="s">
        <v>9</v>
      </c>
      <c r="D1865" s="18">
        <v>0.1</v>
      </c>
      <c r="E1865" s="21">
        <f t="shared" si="191"/>
        <v>7.9741404289037643E-3</v>
      </c>
      <c r="F1865" s="5">
        <v>42424</v>
      </c>
      <c r="G1865" s="5">
        <v>44251</v>
      </c>
      <c r="H1865" s="16">
        <f t="shared" si="194"/>
        <v>1827</v>
      </c>
      <c r="I1865" s="5">
        <v>44251</v>
      </c>
      <c r="J1865" s="2"/>
      <c r="K1865" s="16">
        <f t="shared" si="195"/>
        <v>-42424</v>
      </c>
      <c r="L1865" s="13">
        <v>14000</v>
      </c>
      <c r="M1865" s="15">
        <f t="shared" si="193"/>
        <v>291.10187766268052</v>
      </c>
      <c r="N1865" s="13">
        <v>14000</v>
      </c>
      <c r="O1865" s="13">
        <v>0</v>
      </c>
      <c r="P1865" s="11">
        <f t="shared" si="192"/>
        <v>1</v>
      </c>
    </row>
    <row r="1866" spans="1:16" ht="18.75" customHeight="1" thickBot="1" x14ac:dyDescent="0.3">
      <c r="A1866" s="3" t="s">
        <v>11</v>
      </c>
      <c r="B1866" s="4">
        <v>170118</v>
      </c>
      <c r="C1866" s="3" t="s">
        <v>9</v>
      </c>
      <c r="D1866" s="18">
        <v>0.1</v>
      </c>
      <c r="E1866" s="21">
        <f t="shared" si="191"/>
        <v>7.9741404289037643E-3</v>
      </c>
      <c r="F1866" s="5">
        <v>42429</v>
      </c>
      <c r="G1866" s="5">
        <v>44255</v>
      </c>
      <c r="H1866" s="16">
        <f t="shared" si="194"/>
        <v>1826</v>
      </c>
      <c r="I1866" s="5">
        <v>44255</v>
      </c>
      <c r="J1866" s="5">
        <v>43546</v>
      </c>
      <c r="K1866" s="16">
        <f t="shared" si="195"/>
        <v>1117</v>
      </c>
      <c r="L1866" s="13">
        <v>7496.78</v>
      </c>
      <c r="M1866" s="15">
        <f t="shared" si="193"/>
        <v>155.94686085947836</v>
      </c>
      <c r="N1866" s="13">
        <v>7012.06</v>
      </c>
      <c r="O1866" s="13">
        <v>3856.3</v>
      </c>
      <c r="P1866" s="11">
        <f t="shared" si="192"/>
        <v>1</v>
      </c>
    </row>
    <row r="1867" spans="1:16" ht="18.75" customHeight="1" thickBot="1" x14ac:dyDescent="0.3">
      <c r="A1867" s="3" t="s">
        <v>11</v>
      </c>
      <c r="B1867" s="4">
        <v>50345</v>
      </c>
      <c r="C1867" s="3" t="s">
        <v>9</v>
      </c>
      <c r="D1867" s="18">
        <v>0.14000000000000001</v>
      </c>
      <c r="E1867" s="21">
        <f t="shared" si="191"/>
        <v>1.0978851950173452E-2</v>
      </c>
      <c r="F1867" s="5">
        <v>42429</v>
      </c>
      <c r="G1867" s="5">
        <v>44255</v>
      </c>
      <c r="H1867" s="16">
        <f t="shared" si="194"/>
        <v>1826</v>
      </c>
      <c r="I1867" s="5">
        <v>44255</v>
      </c>
      <c r="J1867" s="5">
        <v>42780</v>
      </c>
      <c r="K1867" s="16">
        <f t="shared" si="195"/>
        <v>351</v>
      </c>
      <c r="L1867" s="13">
        <v>6202.8</v>
      </c>
      <c r="M1867" s="15">
        <f t="shared" si="193"/>
        <v>140.26033839333024</v>
      </c>
      <c r="N1867" s="13">
        <v>6202.8</v>
      </c>
      <c r="O1867" s="13">
        <v>0</v>
      </c>
      <c r="P1867" s="11">
        <f t="shared" si="192"/>
        <v>1</v>
      </c>
    </row>
    <row r="1868" spans="1:16" ht="18.75" customHeight="1" thickBot="1" x14ac:dyDescent="0.3">
      <c r="A1868" s="3" t="s">
        <v>11</v>
      </c>
      <c r="B1868" s="4">
        <v>885751</v>
      </c>
      <c r="C1868" s="3" t="s">
        <v>9</v>
      </c>
      <c r="D1868" s="18">
        <v>0.1</v>
      </c>
      <c r="E1868" s="21">
        <f t="shared" si="191"/>
        <v>7.9741404289037643E-3</v>
      </c>
      <c r="F1868" s="5">
        <v>42430</v>
      </c>
      <c r="G1868" s="5">
        <v>44621</v>
      </c>
      <c r="H1868" s="16">
        <f t="shared" si="194"/>
        <v>2191</v>
      </c>
      <c r="I1868" s="5">
        <v>44927</v>
      </c>
      <c r="J1868" s="5">
        <v>43829</v>
      </c>
      <c r="K1868" s="16">
        <f t="shared" si="195"/>
        <v>1399</v>
      </c>
      <c r="L1868" s="13">
        <v>35037.089999999997</v>
      </c>
      <c r="M1868" s="15">
        <f t="shared" si="193"/>
        <v>634.7769814858483</v>
      </c>
      <c r="N1868" s="13">
        <v>25342.240000000002</v>
      </c>
      <c r="O1868" s="13">
        <v>22500</v>
      </c>
      <c r="P1868" s="11">
        <f t="shared" si="192"/>
        <v>1</v>
      </c>
    </row>
    <row r="1869" spans="1:16" ht="18.75" customHeight="1" thickBot="1" x14ac:dyDescent="0.3">
      <c r="A1869" s="3" t="s">
        <v>11</v>
      </c>
      <c r="B1869" s="4">
        <v>729125</v>
      </c>
      <c r="C1869" s="3" t="s">
        <v>9</v>
      </c>
      <c r="D1869" s="18">
        <v>0.1</v>
      </c>
      <c r="E1869" s="21">
        <f t="shared" si="191"/>
        <v>7.9741404289037643E-3</v>
      </c>
      <c r="F1869" s="5">
        <v>42433</v>
      </c>
      <c r="G1869" s="5">
        <v>44351</v>
      </c>
      <c r="H1869" s="16">
        <f t="shared" si="194"/>
        <v>1918</v>
      </c>
      <c r="I1869" s="5">
        <v>44351</v>
      </c>
      <c r="J1869" s="5">
        <v>42643</v>
      </c>
      <c r="K1869" s="16">
        <f t="shared" si="195"/>
        <v>210</v>
      </c>
      <c r="L1869" s="13">
        <v>7791.43</v>
      </c>
      <c r="M1869" s="15">
        <f t="shared" si="193"/>
        <v>156.03613010210842</v>
      </c>
      <c r="N1869" s="13">
        <v>7791.43</v>
      </c>
      <c r="O1869" s="13">
        <v>0</v>
      </c>
      <c r="P1869" s="11">
        <f t="shared" si="192"/>
        <v>1</v>
      </c>
    </row>
    <row r="1870" spans="1:16" ht="18.75" customHeight="1" thickBot="1" x14ac:dyDescent="0.3">
      <c r="A1870" s="3" t="s">
        <v>11</v>
      </c>
      <c r="B1870" s="4">
        <v>226269</v>
      </c>
      <c r="C1870" s="3" t="s">
        <v>9</v>
      </c>
      <c r="D1870" s="18">
        <v>0.1</v>
      </c>
      <c r="E1870" s="21">
        <f t="shared" si="191"/>
        <v>7.9741404289037643E-3</v>
      </c>
      <c r="F1870" s="5">
        <v>42437</v>
      </c>
      <c r="G1870" s="5">
        <v>43661</v>
      </c>
      <c r="H1870" s="16">
        <f t="shared" si="194"/>
        <v>1224</v>
      </c>
      <c r="I1870" s="5">
        <v>43661</v>
      </c>
      <c r="J1870" s="5">
        <v>43725</v>
      </c>
      <c r="K1870" s="16">
        <f t="shared" si="195"/>
        <v>1288</v>
      </c>
      <c r="L1870" s="13">
        <v>2733.84</v>
      </c>
      <c r="M1870" s="15">
        <f t="shared" si="193"/>
        <v>78.760369989606644</v>
      </c>
      <c r="N1870" s="13">
        <v>2733.84</v>
      </c>
      <c r="O1870" s="13">
        <v>0</v>
      </c>
      <c r="P1870" s="11">
        <f t="shared" si="192"/>
        <v>1</v>
      </c>
    </row>
    <row r="1871" spans="1:16" ht="18.75" customHeight="1" thickBot="1" x14ac:dyDescent="0.3">
      <c r="A1871" s="3" t="s">
        <v>11</v>
      </c>
      <c r="B1871" s="4">
        <v>974288</v>
      </c>
      <c r="C1871" s="3" t="s">
        <v>9</v>
      </c>
      <c r="D1871" s="18">
        <v>0.1</v>
      </c>
      <c r="E1871" s="21">
        <f t="shared" si="191"/>
        <v>7.9741404289037643E-3</v>
      </c>
      <c r="F1871" s="5">
        <v>42440</v>
      </c>
      <c r="G1871" s="5">
        <v>44631</v>
      </c>
      <c r="H1871" s="16">
        <f t="shared" si="194"/>
        <v>2191</v>
      </c>
      <c r="I1871" s="5">
        <v>44631</v>
      </c>
      <c r="J1871" s="5">
        <v>42795</v>
      </c>
      <c r="K1871" s="16">
        <f t="shared" si="195"/>
        <v>355</v>
      </c>
      <c r="L1871" s="13">
        <v>12509.09</v>
      </c>
      <c r="M1871" s="15">
        <f t="shared" si="193"/>
        <v>226.63076161104735</v>
      </c>
      <c r="N1871" s="13">
        <v>12509.09</v>
      </c>
      <c r="O1871" s="13">
        <v>0</v>
      </c>
      <c r="P1871" s="11">
        <f t="shared" si="192"/>
        <v>1</v>
      </c>
    </row>
    <row r="1872" spans="1:16" ht="18.75" customHeight="1" thickBot="1" x14ac:dyDescent="0.3">
      <c r="A1872" s="3" t="s">
        <v>11</v>
      </c>
      <c r="B1872" s="4">
        <v>454181</v>
      </c>
      <c r="C1872" s="3" t="s">
        <v>9</v>
      </c>
      <c r="D1872" s="18">
        <v>0.12</v>
      </c>
      <c r="E1872" s="21">
        <f t="shared" si="191"/>
        <v>9.4887929345830457E-3</v>
      </c>
      <c r="F1872" s="5">
        <v>42443</v>
      </c>
      <c r="G1872" s="5">
        <v>44269</v>
      </c>
      <c r="H1872" s="16">
        <f t="shared" si="194"/>
        <v>1826</v>
      </c>
      <c r="I1872" s="5">
        <v>44269</v>
      </c>
      <c r="J1872" s="5">
        <v>42649</v>
      </c>
      <c r="K1872" s="16">
        <f t="shared" si="195"/>
        <v>206</v>
      </c>
      <c r="L1872" s="13">
        <v>12835.65</v>
      </c>
      <c r="M1872" s="15">
        <f t="shared" si="193"/>
        <v>278.58015749373624</v>
      </c>
      <c r="N1872" s="13">
        <v>12835.65</v>
      </c>
      <c r="O1872" s="13">
        <v>0</v>
      </c>
      <c r="P1872" s="11">
        <f t="shared" si="192"/>
        <v>1</v>
      </c>
    </row>
    <row r="1873" spans="1:16" ht="18.75" hidden="1" customHeight="1" thickBot="1" x14ac:dyDescent="0.3">
      <c r="A1873" s="3" t="s">
        <v>11</v>
      </c>
      <c r="B1873" s="4">
        <v>136095</v>
      </c>
      <c r="C1873" s="3" t="s">
        <v>9</v>
      </c>
      <c r="D1873" s="18">
        <v>0.13</v>
      </c>
      <c r="E1873" s="21">
        <f t="shared" si="191"/>
        <v>1.02368443581764E-2</v>
      </c>
      <c r="F1873" s="5">
        <v>42443</v>
      </c>
      <c r="G1873" s="5">
        <v>42900</v>
      </c>
      <c r="H1873" s="16">
        <f t="shared" si="194"/>
        <v>457</v>
      </c>
      <c r="I1873" s="5">
        <v>42900</v>
      </c>
      <c r="J1873" s="2"/>
      <c r="K1873" s="16">
        <f t="shared" si="195"/>
        <v>-42443</v>
      </c>
      <c r="L1873" s="13">
        <v>2064.54</v>
      </c>
      <c r="M1873" s="15">
        <f t="shared" si="193"/>
        <v>147.06062583631041</v>
      </c>
      <c r="N1873" s="13">
        <v>2064.54</v>
      </c>
      <c r="O1873" s="13">
        <v>0</v>
      </c>
      <c r="P1873" s="11">
        <f t="shared" si="192"/>
        <v>1</v>
      </c>
    </row>
    <row r="1874" spans="1:16" ht="18.75" customHeight="1" thickBot="1" x14ac:dyDescent="0.3">
      <c r="A1874" s="3" t="s">
        <v>11</v>
      </c>
      <c r="B1874" s="4">
        <v>670737</v>
      </c>
      <c r="C1874" s="3" t="s">
        <v>9</v>
      </c>
      <c r="D1874" s="18">
        <v>0.08</v>
      </c>
      <c r="E1874" s="21">
        <f t="shared" si="191"/>
        <v>6.4340301100034303E-3</v>
      </c>
      <c r="F1874" s="5">
        <v>42444</v>
      </c>
      <c r="G1874" s="5">
        <v>45008</v>
      </c>
      <c r="H1874" s="16">
        <f t="shared" si="194"/>
        <v>2564</v>
      </c>
      <c r="I1874" s="5">
        <v>45008</v>
      </c>
      <c r="J1874" s="5">
        <v>43810</v>
      </c>
      <c r="K1874" s="16">
        <f t="shared" si="195"/>
        <v>1366</v>
      </c>
      <c r="L1874" s="13">
        <v>22294.66</v>
      </c>
      <c r="M1874" s="15">
        <f t="shared" si="193"/>
        <v>339.93815302378493</v>
      </c>
      <c r="N1874" s="13">
        <v>8660.2800000000007</v>
      </c>
      <c r="O1874" s="13">
        <v>0</v>
      </c>
      <c r="P1874" s="11">
        <f t="shared" si="192"/>
        <v>1</v>
      </c>
    </row>
    <row r="1875" spans="1:16" ht="18.75" customHeight="1" thickBot="1" x14ac:dyDescent="0.3">
      <c r="A1875" s="3" t="s">
        <v>11</v>
      </c>
      <c r="B1875" s="4">
        <v>566139</v>
      </c>
      <c r="C1875" s="3" t="s">
        <v>9</v>
      </c>
      <c r="D1875" s="18">
        <v>0.1</v>
      </c>
      <c r="E1875" s="21">
        <f t="shared" si="191"/>
        <v>7.9741404289037643E-3</v>
      </c>
      <c r="F1875" s="5">
        <v>42444</v>
      </c>
      <c r="G1875" s="5">
        <v>44392</v>
      </c>
      <c r="H1875" s="16">
        <f t="shared" si="194"/>
        <v>1948</v>
      </c>
      <c r="I1875" s="5">
        <v>44392</v>
      </c>
      <c r="J1875" s="5">
        <v>43657</v>
      </c>
      <c r="K1875" s="16">
        <f t="shared" si="195"/>
        <v>1213</v>
      </c>
      <c r="L1875" s="13">
        <v>8828.1</v>
      </c>
      <c r="M1875" s="15">
        <f t="shared" si="193"/>
        <v>174.7081316586158</v>
      </c>
      <c r="N1875" s="13">
        <v>8091.28</v>
      </c>
      <c r="O1875" s="13">
        <v>5106.33</v>
      </c>
      <c r="P1875" s="11">
        <f t="shared" si="192"/>
        <v>1</v>
      </c>
    </row>
    <row r="1876" spans="1:16" ht="18.75" customHeight="1" thickBot="1" x14ac:dyDescent="0.3">
      <c r="A1876" s="3" t="s">
        <v>11</v>
      </c>
      <c r="B1876" s="4">
        <v>251051</v>
      </c>
      <c r="C1876" s="3" t="s">
        <v>9</v>
      </c>
      <c r="D1876" s="18">
        <v>0.09</v>
      </c>
      <c r="E1876" s="21">
        <f t="shared" si="191"/>
        <v>7.2073233161367156E-3</v>
      </c>
      <c r="F1876" s="5">
        <v>42444</v>
      </c>
      <c r="G1876" s="5">
        <v>44706</v>
      </c>
      <c r="H1876" s="16">
        <f t="shared" si="194"/>
        <v>2262</v>
      </c>
      <c r="I1876" s="5">
        <v>44706</v>
      </c>
      <c r="J1876" s="5">
        <v>43249</v>
      </c>
      <c r="K1876" s="16">
        <f t="shared" si="195"/>
        <v>805</v>
      </c>
      <c r="L1876" s="13">
        <v>35904.769999999997</v>
      </c>
      <c r="M1876" s="15">
        <f t="shared" si="193"/>
        <v>618.91349815763158</v>
      </c>
      <c r="N1876" s="13">
        <v>35904.769999999997</v>
      </c>
      <c r="O1876" s="13">
        <v>0</v>
      </c>
      <c r="P1876" s="11">
        <f t="shared" si="192"/>
        <v>1</v>
      </c>
    </row>
    <row r="1877" spans="1:16" ht="18.75" customHeight="1" thickBot="1" x14ac:dyDescent="0.3">
      <c r="A1877" s="3" t="s">
        <v>11</v>
      </c>
      <c r="B1877" s="4">
        <v>534947</v>
      </c>
      <c r="C1877" s="3" t="s">
        <v>9</v>
      </c>
      <c r="D1877" s="18">
        <v>0.1</v>
      </c>
      <c r="E1877" s="21">
        <f t="shared" si="191"/>
        <v>7.9741404289037643E-3</v>
      </c>
      <c r="F1877" s="5">
        <v>42445</v>
      </c>
      <c r="G1877" s="5">
        <v>44333</v>
      </c>
      <c r="H1877" s="16">
        <f t="shared" si="194"/>
        <v>1888</v>
      </c>
      <c r="I1877" s="5">
        <v>44333</v>
      </c>
      <c r="J1877" s="5">
        <v>42999</v>
      </c>
      <c r="K1877" s="16">
        <f t="shared" si="195"/>
        <v>554</v>
      </c>
      <c r="L1877" s="13">
        <v>6992.72</v>
      </c>
      <c r="M1877" s="15">
        <f t="shared" si="193"/>
        <v>141.74908609964339</v>
      </c>
      <c r="N1877" s="13">
        <v>6992.72</v>
      </c>
      <c r="O1877" s="13">
        <v>0</v>
      </c>
      <c r="P1877" s="11">
        <f t="shared" si="192"/>
        <v>1</v>
      </c>
    </row>
    <row r="1878" spans="1:16" ht="18.75" customHeight="1" thickBot="1" x14ac:dyDescent="0.3">
      <c r="A1878" s="3" t="s">
        <v>11</v>
      </c>
      <c r="B1878" s="4">
        <v>900882</v>
      </c>
      <c r="C1878" s="3" t="s">
        <v>9</v>
      </c>
      <c r="D1878" s="18">
        <v>0.1</v>
      </c>
      <c r="E1878" s="21">
        <f t="shared" si="191"/>
        <v>7.9741404289037643E-3</v>
      </c>
      <c r="F1878" s="5">
        <v>42451</v>
      </c>
      <c r="G1878" s="5">
        <v>42816</v>
      </c>
      <c r="H1878" s="16">
        <f t="shared" si="194"/>
        <v>365</v>
      </c>
      <c r="I1878" s="5">
        <v>42816</v>
      </c>
      <c r="J1878" s="5">
        <v>42523</v>
      </c>
      <c r="K1878" s="16">
        <f t="shared" si="195"/>
        <v>72</v>
      </c>
      <c r="L1878" s="13">
        <v>1828.13</v>
      </c>
      <c r="M1878" s="15">
        <f t="shared" si="193"/>
        <v>158.26181011710145</v>
      </c>
      <c r="N1878" s="13">
        <v>1828.13</v>
      </c>
      <c r="O1878" s="13">
        <v>0</v>
      </c>
      <c r="P1878" s="11">
        <f t="shared" si="192"/>
        <v>1</v>
      </c>
    </row>
    <row r="1879" spans="1:16" ht="18.75" customHeight="1" thickBot="1" x14ac:dyDescent="0.3">
      <c r="A1879" s="3" t="s">
        <v>11</v>
      </c>
      <c r="B1879" s="4">
        <v>865088</v>
      </c>
      <c r="C1879" s="3" t="s">
        <v>9</v>
      </c>
      <c r="D1879" s="18">
        <v>0.1</v>
      </c>
      <c r="E1879" s="21">
        <f t="shared" si="191"/>
        <v>7.9741404289037643E-3</v>
      </c>
      <c r="F1879" s="5">
        <v>42452</v>
      </c>
      <c r="G1879" s="5">
        <v>44278</v>
      </c>
      <c r="H1879" s="16">
        <f t="shared" si="194"/>
        <v>1826</v>
      </c>
      <c r="I1879" s="5">
        <v>44278</v>
      </c>
      <c r="J1879" s="5">
        <v>43893</v>
      </c>
      <c r="K1879" s="16">
        <f t="shared" si="195"/>
        <v>1441</v>
      </c>
      <c r="L1879" s="13">
        <v>6874.2</v>
      </c>
      <c r="M1879" s="15">
        <f t="shared" si="193"/>
        <v>142.99604775920145</v>
      </c>
      <c r="N1879" s="13">
        <v>1203.46</v>
      </c>
      <c r="O1879" s="13">
        <v>0</v>
      </c>
      <c r="P1879" s="11">
        <f t="shared" si="192"/>
        <v>1</v>
      </c>
    </row>
    <row r="1880" spans="1:16" ht="18.75" customHeight="1" thickBot="1" x14ac:dyDescent="0.3">
      <c r="A1880" s="3" t="s">
        <v>11</v>
      </c>
      <c r="B1880" s="4">
        <v>100827</v>
      </c>
      <c r="C1880" s="3" t="s">
        <v>9</v>
      </c>
      <c r="D1880" s="18">
        <v>0.14000000000000001</v>
      </c>
      <c r="E1880" s="21">
        <f t="shared" si="191"/>
        <v>1.0978851950173452E-2</v>
      </c>
      <c r="F1880" s="5">
        <v>42454</v>
      </c>
      <c r="G1880" s="5">
        <v>43899</v>
      </c>
      <c r="H1880" s="16">
        <f t="shared" si="194"/>
        <v>1445</v>
      </c>
      <c r="I1880" s="5">
        <v>43899</v>
      </c>
      <c r="J1880" s="5">
        <v>43620</v>
      </c>
      <c r="K1880" s="16">
        <f t="shared" si="195"/>
        <v>1166</v>
      </c>
      <c r="L1880" s="13">
        <v>5599.45</v>
      </c>
      <c r="M1880" s="15">
        <f t="shared" si="193"/>
        <v>150.30831016409127</v>
      </c>
      <c r="N1880" s="13">
        <v>4829.57</v>
      </c>
      <c r="O1880" s="13">
        <v>0</v>
      </c>
      <c r="P1880" s="11">
        <f t="shared" si="192"/>
        <v>1</v>
      </c>
    </row>
    <row r="1881" spans="1:16" ht="18.75" customHeight="1" thickBot="1" x14ac:dyDescent="0.3">
      <c r="A1881" s="3" t="s">
        <v>11</v>
      </c>
      <c r="B1881" s="4">
        <v>531271</v>
      </c>
      <c r="C1881" s="3" t="s">
        <v>9</v>
      </c>
      <c r="D1881" s="18">
        <v>9.5000000000000001E-2</v>
      </c>
      <c r="E1881" s="21">
        <f t="shared" si="191"/>
        <v>7.5915342905825689E-3</v>
      </c>
      <c r="F1881" s="5">
        <v>42454</v>
      </c>
      <c r="G1881" s="5">
        <v>43459</v>
      </c>
      <c r="H1881" s="16">
        <f t="shared" si="194"/>
        <v>1005</v>
      </c>
      <c r="I1881" s="5">
        <v>43459</v>
      </c>
      <c r="J1881" s="5">
        <v>43069</v>
      </c>
      <c r="K1881" s="16">
        <f t="shared" si="195"/>
        <v>615</v>
      </c>
      <c r="L1881" s="13">
        <v>12000</v>
      </c>
      <c r="M1881" s="15">
        <f t="shared" si="193"/>
        <v>407.03743063534807</v>
      </c>
      <c r="N1881" s="13">
        <v>12000</v>
      </c>
      <c r="O1881" s="13">
        <v>0</v>
      </c>
      <c r="P1881" s="11">
        <f t="shared" si="192"/>
        <v>1</v>
      </c>
    </row>
    <row r="1882" spans="1:16" ht="18.75" customHeight="1" thickBot="1" x14ac:dyDescent="0.3">
      <c r="A1882" s="3" t="s">
        <v>11</v>
      </c>
      <c r="B1882" s="4">
        <v>417431</v>
      </c>
      <c r="C1882" s="3" t="s">
        <v>9</v>
      </c>
      <c r="D1882" s="18">
        <v>0.1</v>
      </c>
      <c r="E1882" s="21">
        <f t="shared" si="191"/>
        <v>7.9741404289037643E-3</v>
      </c>
      <c r="F1882" s="5">
        <v>42454</v>
      </c>
      <c r="G1882" s="5">
        <v>44635</v>
      </c>
      <c r="H1882" s="16">
        <f t="shared" si="194"/>
        <v>2181</v>
      </c>
      <c r="I1882" s="5">
        <v>44635</v>
      </c>
      <c r="J1882" s="5">
        <v>43173</v>
      </c>
      <c r="K1882" s="16">
        <f t="shared" si="195"/>
        <v>719</v>
      </c>
      <c r="L1882" s="13">
        <v>5589.23</v>
      </c>
      <c r="M1882" s="15">
        <f t="shared" si="193"/>
        <v>101.60429861744109</v>
      </c>
      <c r="N1882" s="13">
        <v>5589.23</v>
      </c>
      <c r="O1882" s="13">
        <v>0</v>
      </c>
      <c r="P1882" s="11">
        <f t="shared" si="192"/>
        <v>1</v>
      </c>
    </row>
    <row r="1883" spans="1:16" ht="18.75" customHeight="1" thickBot="1" x14ac:dyDescent="0.3">
      <c r="A1883" s="3" t="s">
        <v>11</v>
      </c>
      <c r="B1883" s="4">
        <v>234530</v>
      </c>
      <c r="C1883" s="3" t="s">
        <v>9</v>
      </c>
      <c r="D1883" s="18">
        <v>0.09</v>
      </c>
      <c r="E1883" s="21">
        <f t="shared" si="191"/>
        <v>7.2073233161367156E-3</v>
      </c>
      <c r="F1883" s="5">
        <v>42459</v>
      </c>
      <c r="G1883" s="5">
        <v>42520</v>
      </c>
      <c r="H1883" s="16">
        <f t="shared" si="194"/>
        <v>61</v>
      </c>
      <c r="I1883" s="5">
        <v>42520</v>
      </c>
      <c r="J1883" s="5">
        <v>42956</v>
      </c>
      <c r="K1883" s="16">
        <f t="shared" si="195"/>
        <v>497</v>
      </c>
      <c r="L1883" s="13">
        <v>2281.0700000000002</v>
      </c>
      <c r="M1883" s="15">
        <f t="shared" si="193"/>
        <v>1134.1157997794908</v>
      </c>
      <c r="N1883" s="13">
        <v>2281.0700000000002</v>
      </c>
      <c r="O1883" s="13">
        <v>0</v>
      </c>
      <c r="P1883" s="11">
        <f t="shared" si="192"/>
        <v>1</v>
      </c>
    </row>
    <row r="1884" spans="1:16" ht="18.75" customHeight="1" thickBot="1" x14ac:dyDescent="0.3">
      <c r="A1884" s="3" t="s">
        <v>11</v>
      </c>
      <c r="B1884" s="4">
        <v>233517</v>
      </c>
      <c r="C1884" s="3" t="s">
        <v>19</v>
      </c>
      <c r="D1884" s="18">
        <v>0.09</v>
      </c>
      <c r="E1884" s="21">
        <f t="shared" si="191"/>
        <v>7.2073233161367156E-3</v>
      </c>
      <c r="F1884" s="5">
        <v>42459</v>
      </c>
      <c r="G1884" s="5">
        <v>43554</v>
      </c>
      <c r="H1884" s="16">
        <f t="shared" si="194"/>
        <v>1095</v>
      </c>
      <c r="I1884" s="5">
        <v>43554</v>
      </c>
      <c r="J1884" s="5">
        <v>43502</v>
      </c>
      <c r="K1884" s="16">
        <f t="shared" si="195"/>
        <v>1043</v>
      </c>
      <c r="L1884" s="13">
        <v>9398.65</v>
      </c>
      <c r="M1884" s="15">
        <f t="shared" si="193"/>
        <v>293.7716151346699</v>
      </c>
      <c r="N1884" s="13">
        <v>9398.65</v>
      </c>
      <c r="O1884" s="13">
        <v>0</v>
      </c>
      <c r="P1884" s="11">
        <f t="shared" si="192"/>
        <v>1</v>
      </c>
    </row>
    <row r="1885" spans="1:16" ht="18.75" customHeight="1" thickBot="1" x14ac:dyDescent="0.3">
      <c r="A1885" s="3" t="s">
        <v>11</v>
      </c>
      <c r="B1885" s="4">
        <v>638621</v>
      </c>
      <c r="C1885" s="3" t="s">
        <v>9</v>
      </c>
      <c r="D1885" s="18">
        <v>0.14000000000000001</v>
      </c>
      <c r="E1885" s="21">
        <f t="shared" si="191"/>
        <v>1.0978851950173452E-2</v>
      </c>
      <c r="F1885" s="5">
        <v>42464</v>
      </c>
      <c r="G1885" s="5">
        <v>43559</v>
      </c>
      <c r="H1885" s="16">
        <f t="shared" si="194"/>
        <v>1095</v>
      </c>
      <c r="I1885" s="5">
        <v>43559</v>
      </c>
      <c r="J1885" s="5">
        <v>43525</v>
      </c>
      <c r="K1885" s="16">
        <f t="shared" si="195"/>
        <v>1061</v>
      </c>
      <c r="L1885" s="13">
        <v>10601.32</v>
      </c>
      <c r="M1885" s="15">
        <f t="shared" si="193"/>
        <v>354.08913470323603</v>
      </c>
      <c r="N1885" s="13">
        <v>10301.32</v>
      </c>
      <c r="O1885" s="13">
        <v>0</v>
      </c>
      <c r="P1885" s="11">
        <f t="shared" si="192"/>
        <v>1</v>
      </c>
    </row>
    <row r="1886" spans="1:16" ht="18.75" customHeight="1" thickBot="1" x14ac:dyDescent="0.3">
      <c r="A1886" s="3" t="s">
        <v>11</v>
      </c>
      <c r="B1886" s="4">
        <v>840122</v>
      </c>
      <c r="C1886" s="3" t="s">
        <v>9</v>
      </c>
      <c r="D1886" s="18">
        <v>0.1</v>
      </c>
      <c r="E1886" s="21">
        <f t="shared" si="191"/>
        <v>7.9741404289037643E-3</v>
      </c>
      <c r="F1886" s="5">
        <v>42464</v>
      </c>
      <c r="G1886" s="5">
        <v>44108</v>
      </c>
      <c r="H1886" s="16">
        <f t="shared" si="194"/>
        <v>1644</v>
      </c>
      <c r="I1886" s="5">
        <v>44108</v>
      </c>
      <c r="J1886" s="5">
        <v>43371</v>
      </c>
      <c r="K1886" s="16">
        <f t="shared" si="195"/>
        <v>907</v>
      </c>
      <c r="L1886" s="13">
        <v>4369.43</v>
      </c>
      <c r="M1886" s="15">
        <f t="shared" si="193"/>
        <v>98.732624875770512</v>
      </c>
      <c r="N1886" s="13">
        <v>3949.76</v>
      </c>
      <c r="O1886" s="13">
        <v>1683.6</v>
      </c>
      <c r="P1886" s="11">
        <f t="shared" si="192"/>
        <v>1</v>
      </c>
    </row>
    <row r="1887" spans="1:16" ht="18.75" customHeight="1" thickBot="1" x14ac:dyDescent="0.3">
      <c r="A1887" s="3" t="s">
        <v>11</v>
      </c>
      <c r="B1887" s="4">
        <v>868380</v>
      </c>
      <c r="C1887" s="3" t="s">
        <v>9</v>
      </c>
      <c r="D1887" s="18">
        <v>0.1</v>
      </c>
      <c r="E1887" s="21">
        <f t="shared" si="191"/>
        <v>7.9741404289037643E-3</v>
      </c>
      <c r="F1887" s="5">
        <v>42472</v>
      </c>
      <c r="G1887" s="5">
        <v>44785</v>
      </c>
      <c r="H1887" s="16">
        <f t="shared" si="194"/>
        <v>2313</v>
      </c>
      <c r="I1887" s="5">
        <v>44785</v>
      </c>
      <c r="J1887" s="5">
        <v>43644</v>
      </c>
      <c r="K1887" s="16">
        <f t="shared" si="195"/>
        <v>1172</v>
      </c>
      <c r="L1887" s="13">
        <v>31116.22</v>
      </c>
      <c r="M1887" s="15">
        <f t="shared" si="193"/>
        <v>541.83570756401718</v>
      </c>
      <c r="N1887" s="13">
        <v>28321.94</v>
      </c>
      <c r="O1887" s="13">
        <v>28321.94</v>
      </c>
      <c r="P1887" s="11">
        <f t="shared" si="192"/>
        <v>1</v>
      </c>
    </row>
    <row r="1888" spans="1:16" ht="18.75" customHeight="1" thickBot="1" x14ac:dyDescent="0.3">
      <c r="A1888" s="3" t="s">
        <v>11</v>
      </c>
      <c r="B1888" s="4">
        <v>620591</v>
      </c>
      <c r="C1888" s="3" t="s">
        <v>9</v>
      </c>
      <c r="D1888" s="18">
        <v>0.1</v>
      </c>
      <c r="E1888" s="21">
        <f t="shared" si="191"/>
        <v>7.9741404289037643E-3</v>
      </c>
      <c r="F1888" s="5">
        <v>42478</v>
      </c>
      <c r="G1888" s="5">
        <v>42661</v>
      </c>
      <c r="H1888" s="16">
        <f t="shared" si="194"/>
        <v>183</v>
      </c>
      <c r="I1888" s="5">
        <v>42661</v>
      </c>
      <c r="J1888" s="5">
        <v>43374</v>
      </c>
      <c r="K1888" s="16">
        <f t="shared" si="195"/>
        <v>896</v>
      </c>
      <c r="L1888" s="13">
        <v>3748.34</v>
      </c>
      <c r="M1888" s="15">
        <f t="shared" si="193"/>
        <v>631.99427522601957</v>
      </c>
      <c r="N1888" s="13">
        <v>3733</v>
      </c>
      <c r="O1888" s="13">
        <v>0</v>
      </c>
      <c r="P1888" s="11">
        <f t="shared" si="192"/>
        <v>1</v>
      </c>
    </row>
    <row r="1889" spans="1:16" ht="18.75" customHeight="1" thickBot="1" x14ac:dyDescent="0.3">
      <c r="A1889" s="3" t="s">
        <v>11</v>
      </c>
      <c r="B1889" s="4">
        <v>4987</v>
      </c>
      <c r="C1889" s="3" t="s">
        <v>9</v>
      </c>
      <c r="D1889" s="18">
        <v>0.1</v>
      </c>
      <c r="E1889" s="21">
        <f t="shared" si="191"/>
        <v>7.9741404289037643E-3</v>
      </c>
      <c r="F1889" s="5">
        <v>42480</v>
      </c>
      <c r="G1889" s="5">
        <v>43575</v>
      </c>
      <c r="H1889" s="16">
        <f t="shared" si="194"/>
        <v>1095</v>
      </c>
      <c r="I1889" s="5">
        <v>43575</v>
      </c>
      <c r="J1889" s="5">
        <v>43221</v>
      </c>
      <c r="K1889" s="16">
        <f t="shared" si="195"/>
        <v>741</v>
      </c>
      <c r="L1889" s="13">
        <v>4661.4799999999996</v>
      </c>
      <c r="M1889" s="15">
        <f t="shared" si="193"/>
        <v>147.70269746672437</v>
      </c>
      <c r="N1889" s="13">
        <v>4661.4799999999996</v>
      </c>
      <c r="O1889" s="13">
        <v>0</v>
      </c>
      <c r="P1889" s="11">
        <f t="shared" si="192"/>
        <v>1</v>
      </c>
    </row>
    <row r="1890" spans="1:16" ht="18.75" hidden="1" customHeight="1" thickBot="1" x14ac:dyDescent="0.3">
      <c r="A1890" s="3" t="s">
        <v>11</v>
      </c>
      <c r="B1890" s="4">
        <v>217319</v>
      </c>
      <c r="C1890" s="3" t="s">
        <v>9</v>
      </c>
      <c r="D1890" s="18">
        <v>0.1</v>
      </c>
      <c r="E1890" s="21">
        <f t="shared" si="191"/>
        <v>7.9741404289037643E-3</v>
      </c>
      <c r="F1890" s="5">
        <v>42485</v>
      </c>
      <c r="G1890" s="5">
        <v>43580</v>
      </c>
      <c r="H1890" s="16">
        <f t="shared" si="194"/>
        <v>1095</v>
      </c>
      <c r="I1890" s="5">
        <v>43580</v>
      </c>
      <c r="J1890" s="2"/>
      <c r="K1890" s="16">
        <f t="shared" si="195"/>
        <v>-42485</v>
      </c>
      <c r="L1890" s="13">
        <v>4921.38</v>
      </c>
      <c r="M1890" s="15">
        <f t="shared" si="193"/>
        <v>155.93783546401318</v>
      </c>
      <c r="N1890" s="13">
        <v>4921.38</v>
      </c>
      <c r="O1890" s="13">
        <v>0</v>
      </c>
      <c r="P1890" s="11">
        <f t="shared" si="192"/>
        <v>1</v>
      </c>
    </row>
    <row r="1891" spans="1:16" ht="18.75" hidden="1" customHeight="1" thickBot="1" x14ac:dyDescent="0.3">
      <c r="A1891" s="3" t="s">
        <v>11</v>
      </c>
      <c r="B1891" s="4">
        <v>667928</v>
      </c>
      <c r="C1891" s="3" t="s">
        <v>9</v>
      </c>
      <c r="D1891" s="18">
        <v>0.1</v>
      </c>
      <c r="E1891" s="21">
        <f t="shared" si="191"/>
        <v>7.9741404289037643E-3</v>
      </c>
      <c r="F1891" s="5">
        <v>42486</v>
      </c>
      <c r="G1891" s="5">
        <v>44677</v>
      </c>
      <c r="H1891" s="16">
        <f t="shared" si="194"/>
        <v>2191</v>
      </c>
      <c r="I1891" s="5">
        <v>44677</v>
      </c>
      <c r="J1891" s="2"/>
      <c r="K1891" s="16">
        <f t="shared" si="195"/>
        <v>-42486</v>
      </c>
      <c r="L1891" s="13">
        <v>7949.93</v>
      </c>
      <c r="M1891" s="15">
        <f t="shared" si="193"/>
        <v>144.03115579586634</v>
      </c>
      <c r="N1891" s="13">
        <v>7949.93</v>
      </c>
      <c r="O1891" s="13">
        <v>2000</v>
      </c>
      <c r="P1891" s="11">
        <f t="shared" si="192"/>
        <v>1</v>
      </c>
    </row>
    <row r="1892" spans="1:16" ht="18.75" customHeight="1" thickBot="1" x14ac:dyDescent="0.3">
      <c r="A1892" s="3" t="s">
        <v>11</v>
      </c>
      <c r="B1892" s="4">
        <v>459360</v>
      </c>
      <c r="C1892" s="3" t="s">
        <v>2</v>
      </c>
      <c r="D1892" s="18">
        <v>7.0000000000000007E-2</v>
      </c>
      <c r="E1892" s="21">
        <f t="shared" ref="E1892:E1918" si="196">(1+D1892)^(1/12)-1</f>
        <v>5.6541453874052738E-3</v>
      </c>
      <c r="F1892" s="5">
        <v>42489</v>
      </c>
      <c r="G1892" s="5">
        <v>44680</v>
      </c>
      <c r="H1892" s="16">
        <f t="shared" si="194"/>
        <v>2191</v>
      </c>
      <c r="I1892" s="5">
        <v>44680</v>
      </c>
      <c r="J1892" s="5">
        <v>43734</v>
      </c>
      <c r="K1892" s="16">
        <f t="shared" si="195"/>
        <v>1245</v>
      </c>
      <c r="L1892" s="13">
        <v>169000</v>
      </c>
      <c r="M1892" s="15">
        <f t="shared" si="193"/>
        <v>2831.0201556084598</v>
      </c>
      <c r="N1892" s="13">
        <v>1389.46</v>
      </c>
      <c r="O1892" s="13">
        <v>0</v>
      </c>
      <c r="P1892" s="11">
        <f t="shared" ref="P1892:P1918" si="197">IF((G1892)&gt;(ConstantDateCutoff),1,0)</f>
        <v>1</v>
      </c>
    </row>
    <row r="1893" spans="1:16" ht="18.75" customHeight="1" thickBot="1" x14ac:dyDescent="0.3">
      <c r="A1893" s="3" t="s">
        <v>11</v>
      </c>
      <c r="B1893" s="4">
        <v>764671</v>
      </c>
      <c r="C1893" s="3" t="s">
        <v>9</v>
      </c>
      <c r="D1893" s="18">
        <v>0.1</v>
      </c>
      <c r="E1893" s="21">
        <f t="shared" si="196"/>
        <v>7.9741404289037643E-3</v>
      </c>
      <c r="F1893" s="5">
        <v>42492</v>
      </c>
      <c r="G1893" s="5">
        <v>44683</v>
      </c>
      <c r="H1893" s="16">
        <f t="shared" si="194"/>
        <v>2191</v>
      </c>
      <c r="I1893" s="5">
        <v>44836</v>
      </c>
      <c r="J1893" s="5">
        <v>44236</v>
      </c>
      <c r="K1893" s="16">
        <f t="shared" si="195"/>
        <v>1744</v>
      </c>
      <c r="L1893" s="13">
        <v>22194.53</v>
      </c>
      <c r="M1893" s="15">
        <f t="shared" si="193"/>
        <v>402.10464849955019</v>
      </c>
      <c r="N1893" s="13">
        <v>7746.7</v>
      </c>
      <c r="O1893" s="13">
        <v>0</v>
      </c>
      <c r="P1893" s="11">
        <f t="shared" si="197"/>
        <v>1</v>
      </c>
    </row>
    <row r="1894" spans="1:16" ht="18.75" customHeight="1" thickBot="1" x14ac:dyDescent="0.3">
      <c r="A1894" s="3" t="s">
        <v>11</v>
      </c>
      <c r="B1894" s="4">
        <v>25921</v>
      </c>
      <c r="C1894" s="3" t="s">
        <v>9</v>
      </c>
      <c r="D1894" s="18">
        <v>0.08</v>
      </c>
      <c r="E1894" s="21">
        <f t="shared" si="196"/>
        <v>6.4340301100034303E-3</v>
      </c>
      <c r="F1894" s="5">
        <v>42494</v>
      </c>
      <c r="G1894" s="5">
        <v>45366</v>
      </c>
      <c r="H1894" s="16">
        <f t="shared" si="194"/>
        <v>2872</v>
      </c>
      <c r="I1894" s="5">
        <v>45366</v>
      </c>
      <c r="J1894" s="5">
        <v>43371</v>
      </c>
      <c r="K1894" s="16">
        <f t="shared" si="195"/>
        <v>877</v>
      </c>
      <c r="L1894" s="13">
        <v>8430.26</v>
      </c>
      <c r="M1894" s="15">
        <f t="shared" si="193"/>
        <v>118.22100704563105</v>
      </c>
      <c r="N1894" s="13">
        <v>8330.26</v>
      </c>
      <c r="O1894" s="13">
        <v>0</v>
      </c>
      <c r="P1894" s="11">
        <f t="shared" si="197"/>
        <v>1</v>
      </c>
    </row>
    <row r="1895" spans="1:16" ht="18.75" customHeight="1" thickBot="1" x14ac:dyDescent="0.3">
      <c r="A1895" s="3" t="s">
        <v>11</v>
      </c>
      <c r="B1895" s="4">
        <v>442919</v>
      </c>
      <c r="C1895" s="3" t="s">
        <v>9</v>
      </c>
      <c r="D1895" s="18">
        <v>0.08</v>
      </c>
      <c r="E1895" s="21">
        <f t="shared" si="196"/>
        <v>6.4340301100034303E-3</v>
      </c>
      <c r="F1895" s="5">
        <v>42502</v>
      </c>
      <c r="G1895" s="5">
        <v>45058</v>
      </c>
      <c r="H1895" s="16">
        <f t="shared" si="194"/>
        <v>2556</v>
      </c>
      <c r="I1895" s="5">
        <v>45058</v>
      </c>
      <c r="J1895" s="5">
        <v>42795</v>
      </c>
      <c r="K1895" s="16">
        <f t="shared" si="195"/>
        <v>293</v>
      </c>
      <c r="L1895" s="13">
        <v>21471.96</v>
      </c>
      <c r="M1895" s="15">
        <f t="shared" si="193"/>
        <v>328.16348031777147</v>
      </c>
      <c r="N1895" s="13">
        <v>21471.96</v>
      </c>
      <c r="O1895" s="13">
        <v>0</v>
      </c>
      <c r="P1895" s="11">
        <f t="shared" si="197"/>
        <v>1</v>
      </c>
    </row>
    <row r="1896" spans="1:16" ht="18.75" customHeight="1" thickBot="1" x14ac:dyDescent="0.3">
      <c r="A1896" s="3" t="s">
        <v>11</v>
      </c>
      <c r="B1896" s="4">
        <v>310946</v>
      </c>
      <c r="C1896" s="3" t="s">
        <v>9</v>
      </c>
      <c r="D1896" s="18">
        <v>0.1</v>
      </c>
      <c r="E1896" s="21">
        <f t="shared" si="196"/>
        <v>7.9741404289037643E-3</v>
      </c>
      <c r="F1896" s="5">
        <v>42503</v>
      </c>
      <c r="G1896" s="5">
        <v>44240</v>
      </c>
      <c r="H1896" s="16">
        <f t="shared" si="194"/>
        <v>1737</v>
      </c>
      <c r="I1896" s="5">
        <v>44240</v>
      </c>
      <c r="J1896" s="5">
        <v>42821</v>
      </c>
      <c r="K1896" s="16">
        <f t="shared" si="195"/>
        <v>318</v>
      </c>
      <c r="L1896" s="13">
        <v>5813.06</v>
      </c>
      <c r="M1896" s="15">
        <f t="shared" si="193"/>
        <v>125.74529979863753</v>
      </c>
      <c r="N1896" s="13">
        <v>5813.06</v>
      </c>
      <c r="O1896" s="13">
        <v>0</v>
      </c>
      <c r="P1896" s="11">
        <f t="shared" si="197"/>
        <v>1</v>
      </c>
    </row>
    <row r="1897" spans="1:16" ht="18.75" customHeight="1" thickBot="1" x14ac:dyDescent="0.3">
      <c r="A1897" s="3" t="s">
        <v>11</v>
      </c>
      <c r="B1897" s="4">
        <v>713530</v>
      </c>
      <c r="C1897" s="3" t="s">
        <v>9</v>
      </c>
      <c r="D1897" s="18">
        <v>0.1</v>
      </c>
      <c r="E1897" s="21">
        <f t="shared" si="196"/>
        <v>7.9741404289037643E-3</v>
      </c>
      <c r="F1897" s="5">
        <v>42506</v>
      </c>
      <c r="G1897" s="5">
        <v>44401</v>
      </c>
      <c r="H1897" s="16">
        <f t="shared" si="194"/>
        <v>1895</v>
      </c>
      <c r="I1897" s="5">
        <v>44401</v>
      </c>
      <c r="J1897" s="5">
        <v>43376</v>
      </c>
      <c r="K1897" s="16">
        <f t="shared" si="195"/>
        <v>870</v>
      </c>
      <c r="L1897" s="13">
        <v>6126.31</v>
      </c>
      <c r="M1897" s="15">
        <f t="shared" si="193"/>
        <v>123.83256082053974</v>
      </c>
      <c r="N1897" s="13">
        <v>6097.15</v>
      </c>
      <c r="O1897" s="13">
        <v>0</v>
      </c>
      <c r="P1897" s="11">
        <f t="shared" si="197"/>
        <v>1</v>
      </c>
    </row>
    <row r="1898" spans="1:16" ht="18.75" customHeight="1" thickBot="1" x14ac:dyDescent="0.3">
      <c r="A1898" s="3" t="s">
        <v>11</v>
      </c>
      <c r="B1898" s="4">
        <v>958702</v>
      </c>
      <c r="C1898" s="3" t="s">
        <v>9</v>
      </c>
      <c r="D1898" s="18">
        <v>0.1</v>
      </c>
      <c r="E1898" s="21">
        <f t="shared" si="196"/>
        <v>7.9741404289037643E-3</v>
      </c>
      <c r="F1898" s="5">
        <v>42506</v>
      </c>
      <c r="G1898" s="5">
        <v>45062</v>
      </c>
      <c r="H1898" s="16">
        <f t="shared" si="194"/>
        <v>2556</v>
      </c>
      <c r="I1898" s="5">
        <v>45062</v>
      </c>
      <c r="J1898" s="5">
        <v>43406</v>
      </c>
      <c r="K1898" s="16">
        <f t="shared" si="195"/>
        <v>900</v>
      </c>
      <c r="L1898" s="13">
        <v>11162.12</v>
      </c>
      <c r="M1898" s="15">
        <f t="shared" si="193"/>
        <v>181.01806087654734</v>
      </c>
      <c r="N1898" s="13">
        <v>11020.77</v>
      </c>
      <c r="O1898" s="13">
        <v>0</v>
      </c>
      <c r="P1898" s="11">
        <f t="shared" si="197"/>
        <v>1</v>
      </c>
    </row>
    <row r="1899" spans="1:16" ht="18.75" customHeight="1" thickBot="1" x14ac:dyDescent="0.3">
      <c r="A1899" s="3" t="s">
        <v>11</v>
      </c>
      <c r="B1899" s="4">
        <v>930365</v>
      </c>
      <c r="C1899" s="3" t="s">
        <v>9</v>
      </c>
      <c r="D1899" s="18">
        <v>0.1</v>
      </c>
      <c r="E1899" s="21">
        <f t="shared" si="196"/>
        <v>7.9741404289037643E-3</v>
      </c>
      <c r="F1899" s="5">
        <v>42513</v>
      </c>
      <c r="G1899" s="5">
        <v>45192</v>
      </c>
      <c r="H1899" s="16">
        <f t="shared" si="194"/>
        <v>2679</v>
      </c>
      <c r="I1899" s="5">
        <v>45192</v>
      </c>
      <c r="J1899" s="5">
        <v>44333</v>
      </c>
      <c r="K1899" s="16">
        <f t="shared" si="195"/>
        <v>1820</v>
      </c>
      <c r="L1899" s="13">
        <v>26587.27</v>
      </c>
      <c r="M1899" s="15">
        <f t="shared" si="193"/>
        <v>417.34778093570571</v>
      </c>
      <c r="N1899" s="13">
        <v>10897.71</v>
      </c>
      <c r="O1899" s="13">
        <v>0</v>
      </c>
      <c r="P1899" s="11">
        <f t="shared" si="197"/>
        <v>1</v>
      </c>
    </row>
    <row r="1900" spans="1:16" ht="18.75" customHeight="1" thickBot="1" x14ac:dyDescent="0.3">
      <c r="A1900" s="3" t="s">
        <v>11</v>
      </c>
      <c r="B1900" s="4">
        <v>318073</v>
      </c>
      <c r="C1900" s="3" t="s">
        <v>9</v>
      </c>
      <c r="D1900" s="18">
        <v>0.1</v>
      </c>
      <c r="E1900" s="21">
        <f t="shared" si="196"/>
        <v>7.9741404289037643E-3</v>
      </c>
      <c r="F1900" s="5">
        <v>42513</v>
      </c>
      <c r="G1900" s="5">
        <v>44339</v>
      </c>
      <c r="H1900" s="16">
        <f t="shared" si="194"/>
        <v>1826</v>
      </c>
      <c r="I1900" s="5">
        <v>44339</v>
      </c>
      <c r="J1900" s="5">
        <v>43762</v>
      </c>
      <c r="K1900" s="16">
        <f t="shared" si="195"/>
        <v>1249</v>
      </c>
      <c r="L1900" s="13">
        <v>10420.69</v>
      </c>
      <c r="M1900" s="15">
        <f t="shared" si="193"/>
        <v>216.76958554069316</v>
      </c>
      <c r="N1900" s="13">
        <v>2396.58</v>
      </c>
      <c r="O1900" s="13">
        <v>0</v>
      </c>
      <c r="P1900" s="11">
        <f t="shared" si="197"/>
        <v>1</v>
      </c>
    </row>
    <row r="1901" spans="1:16" ht="18.75" customHeight="1" thickBot="1" x14ac:dyDescent="0.3">
      <c r="A1901" s="3" t="s">
        <v>11</v>
      </c>
      <c r="B1901" s="4">
        <v>344125</v>
      </c>
      <c r="C1901" s="3" t="s">
        <v>9</v>
      </c>
      <c r="D1901" s="18">
        <v>8.5000000000000006E-2</v>
      </c>
      <c r="E1901" s="21">
        <f t="shared" si="196"/>
        <v>6.8214933659622723E-3</v>
      </c>
      <c r="F1901" s="5">
        <v>42513</v>
      </c>
      <c r="G1901" s="5">
        <v>44677</v>
      </c>
      <c r="H1901" s="16">
        <f t="shared" si="194"/>
        <v>2164</v>
      </c>
      <c r="I1901" s="5">
        <v>44677</v>
      </c>
      <c r="J1901" s="5">
        <v>43642</v>
      </c>
      <c r="K1901" s="16">
        <f t="shared" si="195"/>
        <v>1129</v>
      </c>
      <c r="L1901" s="13">
        <v>14323.04</v>
      </c>
      <c r="M1901" s="15">
        <f t="shared" si="193"/>
        <v>252.06897975002036</v>
      </c>
      <c r="N1901" s="13">
        <v>13341.22</v>
      </c>
      <c r="O1901" s="13">
        <v>13297.2</v>
      </c>
      <c r="P1901" s="11">
        <f t="shared" si="197"/>
        <v>1</v>
      </c>
    </row>
    <row r="1902" spans="1:16" ht="18.75" customHeight="1" thickBot="1" x14ac:dyDescent="0.3">
      <c r="A1902" s="3" t="s">
        <v>11</v>
      </c>
      <c r="B1902" s="4">
        <v>99818</v>
      </c>
      <c r="C1902" s="3" t="s">
        <v>9</v>
      </c>
      <c r="D1902" s="18">
        <v>9.5000000000000001E-2</v>
      </c>
      <c r="E1902" s="21">
        <f t="shared" si="196"/>
        <v>7.5915342905825689E-3</v>
      </c>
      <c r="F1902" s="5">
        <v>42516</v>
      </c>
      <c r="G1902" s="5">
        <v>44707</v>
      </c>
      <c r="H1902" s="16">
        <f t="shared" si="194"/>
        <v>2191</v>
      </c>
      <c r="I1902" s="5">
        <v>44707</v>
      </c>
      <c r="J1902" s="5">
        <v>43496</v>
      </c>
      <c r="K1902" s="16">
        <f t="shared" si="195"/>
        <v>980</v>
      </c>
      <c r="L1902" s="13">
        <v>40398.57</v>
      </c>
      <c r="M1902" s="15">
        <f t="shared" si="193"/>
        <v>722.63811063252911</v>
      </c>
      <c r="N1902" s="13">
        <v>40398.57</v>
      </c>
      <c r="O1902" s="13">
        <v>0</v>
      </c>
      <c r="P1902" s="11">
        <f t="shared" si="197"/>
        <v>1</v>
      </c>
    </row>
    <row r="1903" spans="1:16" ht="18.75" customHeight="1" thickBot="1" x14ac:dyDescent="0.3">
      <c r="A1903" s="3" t="s">
        <v>11</v>
      </c>
      <c r="B1903" s="4">
        <v>728558</v>
      </c>
      <c r="C1903" s="3" t="s">
        <v>12</v>
      </c>
      <c r="D1903" s="18">
        <v>0.1</v>
      </c>
      <c r="E1903" s="21">
        <f t="shared" si="196"/>
        <v>7.9741404289037643E-3</v>
      </c>
      <c r="F1903" s="5">
        <v>42516</v>
      </c>
      <c r="G1903" s="5">
        <v>44707</v>
      </c>
      <c r="H1903" s="16">
        <f t="shared" si="194"/>
        <v>2191</v>
      </c>
      <c r="I1903" s="5">
        <v>44952</v>
      </c>
      <c r="J1903" s="5">
        <v>44179</v>
      </c>
      <c r="K1903" s="16">
        <f t="shared" si="195"/>
        <v>1663</v>
      </c>
      <c r="L1903" s="13">
        <v>17029.080000000002</v>
      </c>
      <c r="M1903" s="15">
        <f t="shared" si="193"/>
        <v>308.52071333210125</v>
      </c>
      <c r="N1903" s="13">
        <v>8060.25</v>
      </c>
      <c r="O1903" s="13">
        <v>4900</v>
      </c>
      <c r="P1903" s="11">
        <f t="shared" si="197"/>
        <v>1</v>
      </c>
    </row>
    <row r="1904" spans="1:16" ht="18.75" customHeight="1" thickBot="1" x14ac:dyDescent="0.3">
      <c r="A1904" s="3" t="s">
        <v>11</v>
      </c>
      <c r="B1904" s="4">
        <v>85392</v>
      </c>
      <c r="C1904" s="3" t="s">
        <v>9</v>
      </c>
      <c r="D1904" s="18">
        <v>0.11</v>
      </c>
      <c r="E1904" s="21">
        <f t="shared" si="196"/>
        <v>8.7345938235519061E-3</v>
      </c>
      <c r="F1904" s="5">
        <v>42521</v>
      </c>
      <c r="G1904" s="5">
        <v>43245</v>
      </c>
      <c r="H1904" s="16">
        <f t="shared" si="194"/>
        <v>724</v>
      </c>
      <c r="I1904" s="5">
        <v>43245</v>
      </c>
      <c r="J1904" s="5">
        <v>43056</v>
      </c>
      <c r="K1904" s="16">
        <f t="shared" si="195"/>
        <v>535</v>
      </c>
      <c r="L1904" s="13">
        <v>1499.62</v>
      </c>
      <c r="M1904" s="15">
        <f t="shared" si="193"/>
        <v>69.188147519111936</v>
      </c>
      <c r="N1904" s="13">
        <v>1499.62</v>
      </c>
      <c r="O1904" s="13">
        <v>1499.62</v>
      </c>
      <c r="P1904" s="11">
        <f t="shared" si="197"/>
        <v>1</v>
      </c>
    </row>
    <row r="1905" spans="1:16" ht="18.75" customHeight="1" thickBot="1" x14ac:dyDescent="0.3">
      <c r="A1905" s="3" t="s">
        <v>11</v>
      </c>
      <c r="B1905" s="4">
        <v>538611</v>
      </c>
      <c r="C1905" s="3" t="s">
        <v>9</v>
      </c>
      <c r="D1905" s="18">
        <v>0.1</v>
      </c>
      <c r="E1905" s="21">
        <f t="shared" si="196"/>
        <v>7.9741404289037643E-3</v>
      </c>
      <c r="F1905" s="5">
        <v>42524</v>
      </c>
      <c r="G1905" s="5">
        <v>44715</v>
      </c>
      <c r="H1905" s="16">
        <f t="shared" si="194"/>
        <v>2191</v>
      </c>
      <c r="I1905" s="5">
        <v>44715</v>
      </c>
      <c r="J1905" s="5">
        <v>42807</v>
      </c>
      <c r="K1905" s="16">
        <f t="shared" si="195"/>
        <v>283</v>
      </c>
      <c r="L1905" s="13">
        <v>18707.810000000001</v>
      </c>
      <c r="M1905" s="15">
        <f t="shared" si="193"/>
        <v>338.93474492347309</v>
      </c>
      <c r="N1905" s="13">
        <v>18707.810000000001</v>
      </c>
      <c r="O1905" s="13">
        <v>0</v>
      </c>
      <c r="P1905" s="11">
        <f t="shared" si="197"/>
        <v>1</v>
      </c>
    </row>
    <row r="1906" spans="1:16" ht="18.75" customHeight="1" thickBot="1" x14ac:dyDescent="0.3">
      <c r="A1906" s="3" t="s">
        <v>11</v>
      </c>
      <c r="B1906" s="4">
        <v>270535</v>
      </c>
      <c r="C1906" s="3" t="s">
        <v>9</v>
      </c>
      <c r="D1906" s="18">
        <v>0.14000000000000001</v>
      </c>
      <c r="E1906" s="21">
        <f t="shared" si="196"/>
        <v>1.0978851950173452E-2</v>
      </c>
      <c r="F1906" s="5">
        <v>42524</v>
      </c>
      <c r="G1906" s="5">
        <v>43772</v>
      </c>
      <c r="H1906" s="16">
        <f t="shared" si="194"/>
        <v>1248</v>
      </c>
      <c r="I1906" s="5">
        <v>43772</v>
      </c>
      <c r="J1906" s="5">
        <v>43371</v>
      </c>
      <c r="K1906" s="16">
        <f t="shared" si="195"/>
        <v>847</v>
      </c>
      <c r="L1906" s="13">
        <v>1202.42</v>
      </c>
      <c r="M1906" s="15">
        <f t="shared" si="193"/>
        <v>36.161291494010896</v>
      </c>
      <c r="N1906" s="13">
        <v>1202.42</v>
      </c>
      <c r="O1906" s="13">
        <v>0</v>
      </c>
      <c r="P1906" s="11">
        <f t="shared" si="197"/>
        <v>1</v>
      </c>
    </row>
    <row r="1907" spans="1:16" ht="18.75" customHeight="1" thickBot="1" x14ac:dyDescent="0.3">
      <c r="A1907" s="3" t="s">
        <v>11</v>
      </c>
      <c r="B1907" s="4">
        <v>789227</v>
      </c>
      <c r="C1907" s="3" t="s">
        <v>9</v>
      </c>
      <c r="D1907" s="18">
        <v>0.08</v>
      </c>
      <c r="E1907" s="21">
        <f t="shared" si="196"/>
        <v>6.4340301100034303E-3</v>
      </c>
      <c r="F1907" s="5">
        <v>42527</v>
      </c>
      <c r="G1907" s="5">
        <v>44383</v>
      </c>
      <c r="H1907" s="16">
        <f t="shared" si="194"/>
        <v>1856</v>
      </c>
      <c r="I1907" s="5">
        <v>44383</v>
      </c>
      <c r="J1907" s="5">
        <v>43655</v>
      </c>
      <c r="K1907" s="16">
        <f t="shared" si="195"/>
        <v>1128</v>
      </c>
      <c r="L1907" s="13">
        <v>7166.8</v>
      </c>
      <c r="M1907" s="15">
        <f t="shared" si="193"/>
        <v>140.79132146404393</v>
      </c>
      <c r="N1907" s="13">
        <v>6647.37</v>
      </c>
      <c r="O1907" s="13">
        <v>6647.37</v>
      </c>
      <c r="P1907" s="11">
        <f t="shared" si="197"/>
        <v>1</v>
      </c>
    </row>
    <row r="1908" spans="1:16" ht="18.75" customHeight="1" thickBot="1" x14ac:dyDescent="0.3">
      <c r="A1908" s="3" t="s">
        <v>11</v>
      </c>
      <c r="B1908" s="4">
        <v>794664</v>
      </c>
      <c r="C1908" s="3" t="s">
        <v>9</v>
      </c>
      <c r="D1908" s="18">
        <v>0.1</v>
      </c>
      <c r="E1908" s="21">
        <f t="shared" si="196"/>
        <v>7.9741404289037643E-3</v>
      </c>
      <c r="F1908" s="5">
        <v>42528</v>
      </c>
      <c r="G1908" s="5">
        <v>43148</v>
      </c>
      <c r="H1908" s="16">
        <f t="shared" si="194"/>
        <v>620</v>
      </c>
      <c r="I1908" s="5">
        <v>43148</v>
      </c>
      <c r="J1908" s="5">
        <v>43199</v>
      </c>
      <c r="K1908" s="16">
        <f t="shared" si="195"/>
        <v>671</v>
      </c>
      <c r="L1908" s="13">
        <v>1025.93</v>
      </c>
      <c r="M1908" s="15">
        <f t="shared" si="193"/>
        <v>54.041746986535358</v>
      </c>
      <c r="N1908" s="13">
        <v>1025.93</v>
      </c>
      <c r="O1908" s="13">
        <v>0</v>
      </c>
      <c r="P1908" s="11">
        <f t="shared" si="197"/>
        <v>1</v>
      </c>
    </row>
    <row r="1909" spans="1:16" ht="18.75" hidden="1" customHeight="1" thickBot="1" x14ac:dyDescent="0.3">
      <c r="A1909" s="3" t="s">
        <v>11</v>
      </c>
      <c r="B1909" s="4">
        <v>751416</v>
      </c>
      <c r="C1909" s="3" t="s">
        <v>9</v>
      </c>
      <c r="D1909" s="18">
        <v>0.09</v>
      </c>
      <c r="E1909" s="21">
        <f t="shared" si="196"/>
        <v>7.2073233161367156E-3</v>
      </c>
      <c r="F1909" s="5">
        <v>42529</v>
      </c>
      <c r="G1909" s="5">
        <v>42712</v>
      </c>
      <c r="H1909" s="16">
        <f t="shared" si="194"/>
        <v>183</v>
      </c>
      <c r="I1909" s="5">
        <v>42712</v>
      </c>
      <c r="J1909" s="2"/>
      <c r="K1909" s="16">
        <f t="shared" si="195"/>
        <v>-42529</v>
      </c>
      <c r="L1909" s="13">
        <v>13850</v>
      </c>
      <c r="M1909" s="15">
        <f t="shared" si="193"/>
        <v>2328.9392030189861</v>
      </c>
      <c r="N1909" s="13">
        <v>13850</v>
      </c>
      <c r="O1909" s="13">
        <v>0</v>
      </c>
      <c r="P1909" s="11">
        <f t="shared" si="197"/>
        <v>1</v>
      </c>
    </row>
    <row r="1910" spans="1:16" ht="18.75" customHeight="1" thickBot="1" x14ac:dyDescent="0.3">
      <c r="A1910" s="3" t="s">
        <v>11</v>
      </c>
      <c r="B1910" s="4">
        <v>171282</v>
      </c>
      <c r="C1910" s="3" t="s">
        <v>9</v>
      </c>
      <c r="D1910" s="18">
        <v>0.1</v>
      </c>
      <c r="E1910" s="21">
        <f t="shared" si="196"/>
        <v>7.9741404289037643E-3</v>
      </c>
      <c r="F1910" s="5">
        <v>42531</v>
      </c>
      <c r="G1910" s="5">
        <v>44357</v>
      </c>
      <c r="H1910" s="16">
        <f t="shared" si="194"/>
        <v>1826</v>
      </c>
      <c r="I1910" s="5">
        <v>44357</v>
      </c>
      <c r="J1910" s="5">
        <v>43726</v>
      </c>
      <c r="K1910" s="16">
        <f t="shared" si="195"/>
        <v>1195</v>
      </c>
      <c r="L1910" s="13">
        <v>5463.86</v>
      </c>
      <c r="M1910" s="15">
        <f t="shared" si="193"/>
        <v>113.65837268476191</v>
      </c>
      <c r="N1910" s="13">
        <v>4963.8599999999997</v>
      </c>
      <c r="O1910" s="13">
        <v>4963.8599999999997</v>
      </c>
      <c r="P1910" s="11">
        <f t="shared" si="197"/>
        <v>1</v>
      </c>
    </row>
    <row r="1911" spans="1:16" ht="18.75" customHeight="1" thickBot="1" x14ac:dyDescent="0.3">
      <c r="A1911" s="3" t="s">
        <v>11</v>
      </c>
      <c r="B1911" s="4">
        <v>784023</v>
      </c>
      <c r="C1911" s="3" t="s">
        <v>19</v>
      </c>
      <c r="D1911" s="18">
        <v>0.1</v>
      </c>
      <c r="E1911" s="21">
        <f t="shared" si="196"/>
        <v>7.9741404289037643E-3</v>
      </c>
      <c r="F1911" s="5">
        <v>42534</v>
      </c>
      <c r="G1911" s="5">
        <v>43205</v>
      </c>
      <c r="H1911" s="16">
        <f t="shared" si="194"/>
        <v>671</v>
      </c>
      <c r="I1911" s="5">
        <v>43205</v>
      </c>
      <c r="J1911" s="5">
        <v>43371</v>
      </c>
      <c r="K1911" s="16">
        <f t="shared" si="195"/>
        <v>837</v>
      </c>
      <c r="L1911" s="13">
        <v>144.79</v>
      </c>
      <c r="M1911" s="15">
        <f t="shared" si="193"/>
        <v>7.0936196651003609</v>
      </c>
      <c r="N1911" s="13">
        <v>144.79</v>
      </c>
      <c r="O1911" s="13">
        <v>144.79</v>
      </c>
      <c r="P1911" s="11">
        <f t="shared" si="197"/>
        <v>1</v>
      </c>
    </row>
    <row r="1912" spans="1:16" ht="18.75" customHeight="1" thickBot="1" x14ac:dyDescent="0.3">
      <c r="A1912" s="3" t="s">
        <v>11</v>
      </c>
      <c r="B1912" s="4">
        <v>274993</v>
      </c>
      <c r="C1912" s="3" t="s">
        <v>9</v>
      </c>
      <c r="D1912" s="18">
        <v>0.1</v>
      </c>
      <c r="E1912" s="21">
        <f t="shared" si="196"/>
        <v>7.9741404289037643E-3</v>
      </c>
      <c r="F1912" s="5">
        <v>42541</v>
      </c>
      <c r="G1912" s="5">
        <v>46073</v>
      </c>
      <c r="H1912" s="16">
        <f t="shared" si="194"/>
        <v>3532</v>
      </c>
      <c r="I1912" s="5">
        <v>46073</v>
      </c>
      <c r="J1912" s="5">
        <v>43371</v>
      </c>
      <c r="K1912" s="16">
        <f t="shared" si="195"/>
        <v>830</v>
      </c>
      <c r="L1912" s="13">
        <v>15365.76</v>
      </c>
      <c r="M1912" s="15">
        <f t="shared" si="193"/>
        <v>201.70901618798447</v>
      </c>
      <c r="N1912" s="13">
        <v>13934.38</v>
      </c>
      <c r="O1912" s="13">
        <v>5411.16</v>
      </c>
      <c r="P1912" s="11">
        <f t="shared" si="197"/>
        <v>1</v>
      </c>
    </row>
    <row r="1913" spans="1:16" ht="18.75" customHeight="1" thickBot="1" x14ac:dyDescent="0.3">
      <c r="A1913" s="3" t="s">
        <v>11</v>
      </c>
      <c r="B1913" s="4">
        <v>199959</v>
      </c>
      <c r="C1913" s="3" t="s">
        <v>9</v>
      </c>
      <c r="D1913" s="18">
        <v>0.1</v>
      </c>
      <c r="E1913" s="21">
        <f t="shared" si="196"/>
        <v>7.9741404289037643E-3</v>
      </c>
      <c r="F1913" s="5">
        <v>42542</v>
      </c>
      <c r="G1913" s="5">
        <v>43090</v>
      </c>
      <c r="H1913" s="16">
        <f t="shared" si="194"/>
        <v>548</v>
      </c>
      <c r="I1913" s="5">
        <v>43090</v>
      </c>
      <c r="J1913" s="5">
        <v>42828</v>
      </c>
      <c r="K1913" s="16">
        <f t="shared" si="195"/>
        <v>286</v>
      </c>
      <c r="L1913" s="13">
        <v>1389.59</v>
      </c>
      <c r="M1913" s="15">
        <f t="shared" si="193"/>
        <v>82.049665581120593</v>
      </c>
      <c r="N1913" s="13">
        <v>1389.59</v>
      </c>
      <c r="O1913" s="13">
        <v>0</v>
      </c>
      <c r="P1913" s="11">
        <f t="shared" si="197"/>
        <v>1</v>
      </c>
    </row>
    <row r="1914" spans="1:16" ht="18.75" customHeight="1" thickBot="1" x14ac:dyDescent="0.3">
      <c r="A1914" s="3" t="s">
        <v>11</v>
      </c>
      <c r="B1914" s="4">
        <v>585448</v>
      </c>
      <c r="C1914" s="3" t="s">
        <v>9</v>
      </c>
      <c r="D1914" s="18">
        <v>0.1</v>
      </c>
      <c r="E1914" s="21">
        <f t="shared" si="196"/>
        <v>7.9741404289037643E-3</v>
      </c>
      <c r="F1914" s="5">
        <v>42551</v>
      </c>
      <c r="G1914" s="5">
        <v>44742</v>
      </c>
      <c r="H1914" s="16">
        <f t="shared" si="194"/>
        <v>2191</v>
      </c>
      <c r="I1914" s="5">
        <v>44742</v>
      </c>
      <c r="J1914" s="5">
        <v>44179</v>
      </c>
      <c r="K1914" s="16">
        <f t="shared" si="195"/>
        <v>1628</v>
      </c>
      <c r="L1914" s="13">
        <v>15402.94</v>
      </c>
      <c r="M1914" s="15">
        <f t="shared" si="193"/>
        <v>279.05946981349285</v>
      </c>
      <c r="N1914" s="13">
        <v>1960.15</v>
      </c>
      <c r="O1914" s="13">
        <v>1960.15</v>
      </c>
      <c r="P1914" s="11">
        <f t="shared" si="197"/>
        <v>1</v>
      </c>
    </row>
    <row r="1915" spans="1:16" ht="18.75" customHeight="1" thickBot="1" x14ac:dyDescent="0.3">
      <c r="A1915" s="3" t="s">
        <v>11</v>
      </c>
      <c r="B1915" s="4">
        <v>798257</v>
      </c>
      <c r="C1915" s="3" t="s">
        <v>9</v>
      </c>
      <c r="D1915" s="18">
        <v>0.08</v>
      </c>
      <c r="E1915" s="21">
        <f t="shared" si="196"/>
        <v>6.4340301100034303E-3</v>
      </c>
      <c r="F1915" s="5">
        <v>42556</v>
      </c>
      <c r="G1915" s="5">
        <v>43378</v>
      </c>
      <c r="H1915" s="16">
        <f t="shared" si="194"/>
        <v>822</v>
      </c>
      <c r="I1915" s="5">
        <v>43378</v>
      </c>
      <c r="J1915" s="5">
        <v>43255</v>
      </c>
      <c r="K1915" s="16">
        <f t="shared" si="195"/>
        <v>699</v>
      </c>
      <c r="L1915" s="13">
        <v>21908.52</v>
      </c>
      <c r="M1915" s="15">
        <f t="shared" si="193"/>
        <v>874.69372961843749</v>
      </c>
      <c r="N1915" s="13">
        <v>21908.52</v>
      </c>
      <c r="O1915" s="13">
        <v>0</v>
      </c>
      <c r="P1915" s="11">
        <f t="shared" si="197"/>
        <v>1</v>
      </c>
    </row>
    <row r="1916" spans="1:16" ht="18.75" customHeight="1" thickBot="1" x14ac:dyDescent="0.3">
      <c r="A1916" s="3" t="s">
        <v>11</v>
      </c>
      <c r="B1916" s="4">
        <v>677811</v>
      </c>
      <c r="C1916" s="3" t="s">
        <v>9</v>
      </c>
      <c r="D1916" s="18">
        <v>0.1</v>
      </c>
      <c r="E1916" s="21">
        <f t="shared" si="196"/>
        <v>7.9741404289037643E-3</v>
      </c>
      <c r="F1916" s="5">
        <v>42556</v>
      </c>
      <c r="G1916" s="5">
        <v>45112</v>
      </c>
      <c r="H1916" s="16">
        <f t="shared" si="194"/>
        <v>2556</v>
      </c>
      <c r="I1916" s="5">
        <v>45112</v>
      </c>
      <c r="J1916" s="5">
        <v>43397</v>
      </c>
      <c r="K1916" s="16">
        <f t="shared" si="195"/>
        <v>841</v>
      </c>
      <c r="L1916" s="13">
        <v>33715.97</v>
      </c>
      <c r="M1916" s="15">
        <f t="shared" si="193"/>
        <v>546.77780833496172</v>
      </c>
      <c r="N1916" s="13">
        <v>33227.089999999997</v>
      </c>
      <c r="O1916" s="13">
        <v>0</v>
      </c>
      <c r="P1916" s="11">
        <f t="shared" si="197"/>
        <v>1</v>
      </c>
    </row>
    <row r="1917" spans="1:16" ht="18.75" customHeight="1" thickBot="1" x14ac:dyDescent="0.3">
      <c r="A1917" s="3" t="s">
        <v>11</v>
      </c>
      <c r="B1917" s="4">
        <v>262708</v>
      </c>
      <c r="C1917" s="3" t="s">
        <v>9</v>
      </c>
      <c r="D1917" s="18">
        <v>0.1</v>
      </c>
      <c r="E1917" s="21">
        <f t="shared" si="196"/>
        <v>7.9741404289037643E-3</v>
      </c>
      <c r="F1917" s="5">
        <v>42556</v>
      </c>
      <c r="G1917" s="5">
        <v>44524</v>
      </c>
      <c r="H1917" s="16">
        <f t="shared" si="194"/>
        <v>1968</v>
      </c>
      <c r="I1917" s="5">
        <v>44524</v>
      </c>
      <c r="J1917" s="5">
        <v>43173</v>
      </c>
      <c r="K1917" s="16">
        <f t="shared" si="195"/>
        <v>617</v>
      </c>
      <c r="L1917" s="13">
        <v>16785.04</v>
      </c>
      <c r="M1917" s="15">
        <f t="shared" si="193"/>
        <v>329.59682112009904</v>
      </c>
      <c r="N1917" s="13">
        <v>16785.04</v>
      </c>
      <c r="O1917" s="13">
        <v>4500</v>
      </c>
      <c r="P1917" s="11">
        <f t="shared" si="197"/>
        <v>1</v>
      </c>
    </row>
    <row r="1918" spans="1:16" ht="18.75" customHeight="1" thickBot="1" x14ac:dyDescent="0.3">
      <c r="A1918" s="3" t="s">
        <v>11</v>
      </c>
      <c r="B1918" s="4">
        <v>877753</v>
      </c>
      <c r="C1918" s="3" t="s">
        <v>9</v>
      </c>
      <c r="D1918" s="18">
        <v>0.1</v>
      </c>
      <c r="E1918" s="21">
        <f t="shared" si="196"/>
        <v>7.9741404289037643E-3</v>
      </c>
      <c r="F1918" s="5">
        <v>42557</v>
      </c>
      <c r="G1918" s="5">
        <v>44779</v>
      </c>
      <c r="H1918" s="16">
        <f t="shared" si="194"/>
        <v>2222</v>
      </c>
      <c r="I1918" s="5">
        <v>44779</v>
      </c>
      <c r="J1918" s="5">
        <v>43496</v>
      </c>
      <c r="K1918" s="16">
        <f t="shared" si="195"/>
        <v>939</v>
      </c>
      <c r="L1918" s="13">
        <v>14004.56</v>
      </c>
      <c r="M1918" s="15">
        <f t="shared" si="193"/>
        <v>251.11379969430769</v>
      </c>
      <c r="N1918" s="13">
        <v>14004.56</v>
      </c>
      <c r="O1918" s="13">
        <v>4500</v>
      </c>
      <c r="P1918" s="11">
        <f t="shared" si="197"/>
        <v>1</v>
      </c>
    </row>
    <row r="1919" spans="1:16" ht="18.75" hidden="1" customHeight="1" thickBot="1" x14ac:dyDescent="0.3">
      <c r="A1919" s="3" t="s">
        <v>11</v>
      </c>
      <c r="B1919" s="4">
        <v>367096</v>
      </c>
      <c r="C1919" s="3" t="s">
        <v>9</v>
      </c>
      <c r="D1919" s="7">
        <v>0.1</v>
      </c>
      <c r="E1919" s="7">
        <f t="shared" ref="E1919" si="198">D1919/12</f>
        <v>8.3333333333333332E-3</v>
      </c>
      <c r="F1919" s="5">
        <v>42558</v>
      </c>
      <c r="G1919" s="5">
        <v>46130</v>
      </c>
      <c r="H1919" s="8">
        <f t="shared" si="194"/>
        <v>3572</v>
      </c>
      <c r="I1919" s="5">
        <v>46130</v>
      </c>
      <c r="J1919" s="5">
        <v>43371</v>
      </c>
      <c r="K1919" s="8">
        <f t="shared" si="195"/>
        <v>813</v>
      </c>
      <c r="L1919" s="6">
        <v>10685.24</v>
      </c>
      <c r="M1919" s="9">
        <f t="shared" si="193"/>
        <v>141.8523756743005</v>
      </c>
      <c r="N1919" s="6">
        <v>10186.77</v>
      </c>
      <c r="O1919" s="6">
        <v>38.92</v>
      </c>
      <c r="P1919" s="6">
        <v>0</v>
      </c>
    </row>
    <row r="1920" spans="1:16" ht="18.75" customHeight="1" thickBot="1" x14ac:dyDescent="0.3">
      <c r="A1920" s="3" t="s">
        <v>11</v>
      </c>
      <c r="B1920" s="4">
        <v>60809</v>
      </c>
      <c r="C1920" s="3" t="s">
        <v>9</v>
      </c>
      <c r="D1920" s="18">
        <v>0.1</v>
      </c>
      <c r="E1920" s="21">
        <f t="shared" ref="E1920:E1946" si="199">(1+D1920)^(1/12)-1</f>
        <v>7.9741404289037643E-3</v>
      </c>
      <c r="F1920" s="5">
        <v>42562</v>
      </c>
      <c r="G1920" s="5">
        <v>43688</v>
      </c>
      <c r="H1920" s="16">
        <f t="shared" si="194"/>
        <v>1126</v>
      </c>
      <c r="I1920" s="5">
        <v>43688</v>
      </c>
      <c r="J1920" s="5">
        <v>43735</v>
      </c>
      <c r="K1920" s="16">
        <f t="shared" si="195"/>
        <v>1173</v>
      </c>
      <c r="L1920" s="13">
        <v>1209.93</v>
      </c>
      <c r="M1920" s="15">
        <f t="shared" si="193"/>
        <v>37.427908348023578</v>
      </c>
      <c r="N1920" s="13">
        <v>600</v>
      </c>
      <c r="O1920" s="13">
        <v>431.89</v>
      </c>
      <c r="P1920" s="11">
        <f t="shared" ref="P1920:P1946" si="200">IF((G1920)&gt;(ConstantDateCutoff),1,0)</f>
        <v>1</v>
      </c>
    </row>
    <row r="1921" spans="1:16" ht="18.75" customHeight="1" thickBot="1" x14ac:dyDescent="0.3">
      <c r="A1921" s="3" t="s">
        <v>11</v>
      </c>
      <c r="B1921" s="4">
        <v>467959</v>
      </c>
      <c r="C1921" s="3" t="s">
        <v>9</v>
      </c>
      <c r="D1921" s="18">
        <v>0.1</v>
      </c>
      <c r="E1921" s="21">
        <f t="shared" si="199"/>
        <v>7.9741404289037643E-3</v>
      </c>
      <c r="F1921" s="5">
        <v>42565</v>
      </c>
      <c r="G1921" s="5">
        <v>44756</v>
      </c>
      <c r="H1921" s="16">
        <f t="shared" si="194"/>
        <v>2191</v>
      </c>
      <c r="I1921" s="5">
        <v>44756</v>
      </c>
      <c r="J1921" s="5">
        <v>43130</v>
      </c>
      <c r="K1921" s="16">
        <f t="shared" si="195"/>
        <v>565</v>
      </c>
      <c r="L1921" s="13">
        <v>10122.98</v>
      </c>
      <c r="M1921" s="15">
        <f t="shared" si="193"/>
        <v>183.40092422177793</v>
      </c>
      <c r="N1921" s="13">
        <v>10122.98</v>
      </c>
      <c r="O1921" s="13">
        <v>0</v>
      </c>
      <c r="P1921" s="11">
        <f t="shared" si="200"/>
        <v>1</v>
      </c>
    </row>
    <row r="1922" spans="1:16" ht="18.75" customHeight="1" thickBot="1" x14ac:dyDescent="0.3">
      <c r="A1922" s="3" t="s">
        <v>11</v>
      </c>
      <c r="B1922" s="4">
        <v>140012</v>
      </c>
      <c r="C1922" s="3" t="s">
        <v>9</v>
      </c>
      <c r="D1922" s="18">
        <v>0.1</v>
      </c>
      <c r="E1922" s="21">
        <f t="shared" si="199"/>
        <v>7.9741404289037643E-3</v>
      </c>
      <c r="F1922" s="5">
        <v>42566</v>
      </c>
      <c r="G1922" s="5">
        <v>44819</v>
      </c>
      <c r="H1922" s="16">
        <f t="shared" si="194"/>
        <v>2253</v>
      </c>
      <c r="I1922" s="5">
        <v>44819</v>
      </c>
      <c r="J1922" s="5">
        <v>43357</v>
      </c>
      <c r="K1922" s="16">
        <f t="shared" si="195"/>
        <v>791</v>
      </c>
      <c r="L1922" s="13">
        <v>9703.14</v>
      </c>
      <c r="M1922" s="15">
        <f t="shared" ref="M1922:M1985" si="201">-PMT(E1922,(H1922/30),L1922)</f>
        <v>172.22790634529545</v>
      </c>
      <c r="N1922" s="13">
        <v>9703.14</v>
      </c>
      <c r="O1922" s="13">
        <v>0</v>
      </c>
      <c r="P1922" s="11">
        <f t="shared" si="200"/>
        <v>1</v>
      </c>
    </row>
    <row r="1923" spans="1:16" ht="18.75" customHeight="1" thickBot="1" x14ac:dyDescent="0.3">
      <c r="A1923" s="3" t="s">
        <v>11</v>
      </c>
      <c r="B1923" s="4">
        <v>506905</v>
      </c>
      <c r="C1923" s="3" t="s">
        <v>9</v>
      </c>
      <c r="D1923" s="18">
        <v>0.1</v>
      </c>
      <c r="E1923" s="21">
        <f t="shared" si="199"/>
        <v>7.9741404289037643E-3</v>
      </c>
      <c r="F1923" s="5">
        <v>42571</v>
      </c>
      <c r="G1923" s="5">
        <v>44489</v>
      </c>
      <c r="H1923" s="16">
        <f t="shared" ref="H1923:H1986" si="202">G1923-F1923</f>
        <v>1918</v>
      </c>
      <c r="I1923" s="5">
        <v>44489</v>
      </c>
      <c r="J1923" s="5">
        <v>43216</v>
      </c>
      <c r="K1923" s="16">
        <f t="shared" ref="K1923:K1986" si="203">J1923-F1923</f>
        <v>645</v>
      </c>
      <c r="L1923" s="13">
        <v>20725.03</v>
      </c>
      <c r="M1923" s="15">
        <f t="shared" si="201"/>
        <v>415.05262544232573</v>
      </c>
      <c r="N1923" s="13">
        <v>20725.03</v>
      </c>
      <c r="O1923" s="13">
        <v>0</v>
      </c>
      <c r="P1923" s="11">
        <f t="shared" si="200"/>
        <v>1</v>
      </c>
    </row>
    <row r="1924" spans="1:16" ht="18.75" hidden="1" customHeight="1" thickBot="1" x14ac:dyDescent="0.3">
      <c r="A1924" s="3" t="s">
        <v>11</v>
      </c>
      <c r="B1924" s="4">
        <v>981511</v>
      </c>
      <c r="C1924" s="3" t="s">
        <v>9</v>
      </c>
      <c r="D1924" s="18">
        <v>0.08</v>
      </c>
      <c r="E1924" s="21">
        <f t="shared" si="199"/>
        <v>6.4340301100034303E-3</v>
      </c>
      <c r="F1924" s="5">
        <v>42572</v>
      </c>
      <c r="G1924" s="5">
        <v>43302</v>
      </c>
      <c r="H1924" s="16">
        <f t="shared" si="202"/>
        <v>730</v>
      </c>
      <c r="I1924" s="5">
        <v>43302</v>
      </c>
      <c r="J1924" s="2"/>
      <c r="K1924" s="16">
        <f t="shared" si="203"/>
        <v>-42572</v>
      </c>
      <c r="L1924" s="13">
        <v>2300</v>
      </c>
      <c r="M1924" s="15">
        <f t="shared" si="201"/>
        <v>102.41580485370589</v>
      </c>
      <c r="N1924" s="13">
        <v>2300</v>
      </c>
      <c r="O1924" s="13">
        <v>0</v>
      </c>
      <c r="P1924" s="11">
        <f t="shared" si="200"/>
        <v>1</v>
      </c>
    </row>
    <row r="1925" spans="1:16" ht="18.75" customHeight="1" thickBot="1" x14ac:dyDescent="0.3">
      <c r="A1925" s="3" t="s">
        <v>11</v>
      </c>
      <c r="B1925" s="4">
        <v>493736</v>
      </c>
      <c r="C1925" s="3" t="s">
        <v>9</v>
      </c>
      <c r="D1925" s="18">
        <v>0.1</v>
      </c>
      <c r="E1925" s="21">
        <f t="shared" si="199"/>
        <v>7.9741404289037643E-3</v>
      </c>
      <c r="F1925" s="5">
        <v>42577</v>
      </c>
      <c r="G1925" s="5">
        <v>44387</v>
      </c>
      <c r="H1925" s="16">
        <f t="shared" si="202"/>
        <v>1810</v>
      </c>
      <c r="I1925" s="5">
        <v>44387</v>
      </c>
      <c r="J1925" s="5">
        <v>43602</v>
      </c>
      <c r="K1925" s="16">
        <f t="shared" si="203"/>
        <v>1025</v>
      </c>
      <c r="L1925" s="13">
        <v>7905.52</v>
      </c>
      <c r="M1925" s="15">
        <f t="shared" si="201"/>
        <v>165.58011459824627</v>
      </c>
      <c r="N1925" s="13">
        <v>7478.76</v>
      </c>
      <c r="O1925" s="13">
        <v>0</v>
      </c>
      <c r="P1925" s="11">
        <f t="shared" si="200"/>
        <v>1</v>
      </c>
    </row>
    <row r="1926" spans="1:16" ht="18.75" hidden="1" customHeight="1" thickBot="1" x14ac:dyDescent="0.3">
      <c r="A1926" s="3" t="s">
        <v>11</v>
      </c>
      <c r="B1926" s="4">
        <v>44061</v>
      </c>
      <c r="C1926" s="3" t="s">
        <v>9</v>
      </c>
      <c r="D1926" s="18">
        <v>0.11</v>
      </c>
      <c r="E1926" s="21">
        <f t="shared" si="199"/>
        <v>8.7345938235519061E-3</v>
      </c>
      <c r="F1926" s="5">
        <v>42578</v>
      </c>
      <c r="G1926" s="5">
        <v>44404</v>
      </c>
      <c r="H1926" s="16">
        <f t="shared" si="202"/>
        <v>1826</v>
      </c>
      <c r="I1926" s="5">
        <v>44404</v>
      </c>
      <c r="J1926" s="2"/>
      <c r="K1926" s="16">
        <f t="shared" si="203"/>
        <v>-42578</v>
      </c>
      <c r="L1926" s="13">
        <v>11619.53</v>
      </c>
      <c r="M1926" s="15">
        <f t="shared" si="201"/>
        <v>246.93600441000183</v>
      </c>
      <c r="N1926" s="13">
        <v>11619.53</v>
      </c>
      <c r="O1926" s="13">
        <v>0</v>
      </c>
      <c r="P1926" s="11">
        <f t="shared" si="200"/>
        <v>1</v>
      </c>
    </row>
    <row r="1927" spans="1:16" ht="18.75" customHeight="1" thickBot="1" x14ac:dyDescent="0.3">
      <c r="A1927" s="3" t="s">
        <v>11</v>
      </c>
      <c r="B1927" s="4">
        <v>800621</v>
      </c>
      <c r="C1927" s="3" t="s">
        <v>9</v>
      </c>
      <c r="D1927" s="18">
        <v>0.1</v>
      </c>
      <c r="E1927" s="21">
        <f t="shared" si="199"/>
        <v>7.9741404289037643E-3</v>
      </c>
      <c r="F1927" s="5">
        <v>42578</v>
      </c>
      <c r="G1927" s="5">
        <v>44892</v>
      </c>
      <c r="H1927" s="16">
        <f t="shared" si="202"/>
        <v>2314</v>
      </c>
      <c r="I1927" s="5">
        <v>44892</v>
      </c>
      <c r="J1927" s="5">
        <v>43731</v>
      </c>
      <c r="K1927" s="16">
        <f t="shared" si="203"/>
        <v>1153</v>
      </c>
      <c r="L1927" s="13">
        <v>19705.59</v>
      </c>
      <c r="M1927" s="15">
        <f t="shared" si="201"/>
        <v>343.03162986846792</v>
      </c>
      <c r="N1927" s="13">
        <v>5605.59</v>
      </c>
      <c r="O1927" s="13">
        <v>0</v>
      </c>
      <c r="P1927" s="11">
        <f t="shared" si="200"/>
        <v>1</v>
      </c>
    </row>
    <row r="1928" spans="1:16" ht="18.75" hidden="1" customHeight="1" thickBot="1" x14ac:dyDescent="0.3">
      <c r="A1928" s="3" t="s">
        <v>11</v>
      </c>
      <c r="B1928" s="4">
        <v>273832</v>
      </c>
      <c r="C1928" s="3" t="s">
        <v>9</v>
      </c>
      <c r="D1928" s="18">
        <v>0.14000000000000001</v>
      </c>
      <c r="E1928" s="21">
        <f t="shared" si="199"/>
        <v>1.0978851950173452E-2</v>
      </c>
      <c r="F1928" s="5">
        <v>42593</v>
      </c>
      <c r="G1928" s="5">
        <v>43741</v>
      </c>
      <c r="H1928" s="16">
        <f t="shared" si="202"/>
        <v>1148</v>
      </c>
      <c r="I1928" s="5">
        <v>43741</v>
      </c>
      <c r="J1928" s="2"/>
      <c r="K1928" s="16">
        <f t="shared" si="203"/>
        <v>-42593</v>
      </c>
      <c r="L1928" s="13">
        <v>7114.27</v>
      </c>
      <c r="M1928" s="15">
        <f t="shared" si="201"/>
        <v>228.69668876816255</v>
      </c>
      <c r="N1928" s="13">
        <v>7114.27</v>
      </c>
      <c r="O1928" s="13">
        <v>0</v>
      </c>
      <c r="P1928" s="11">
        <f t="shared" si="200"/>
        <v>1</v>
      </c>
    </row>
    <row r="1929" spans="1:16" ht="18.75" customHeight="1" thickBot="1" x14ac:dyDescent="0.3">
      <c r="A1929" s="3" t="s">
        <v>11</v>
      </c>
      <c r="B1929" s="4">
        <v>709170</v>
      </c>
      <c r="C1929" s="3" t="s">
        <v>9</v>
      </c>
      <c r="D1929" s="18">
        <v>0.1</v>
      </c>
      <c r="E1929" s="21">
        <f t="shared" si="199"/>
        <v>7.9741404289037643E-3</v>
      </c>
      <c r="F1929" s="5">
        <v>42594</v>
      </c>
      <c r="G1929" s="5">
        <v>44816</v>
      </c>
      <c r="H1929" s="16">
        <f t="shared" si="202"/>
        <v>2222</v>
      </c>
      <c r="I1929" s="5">
        <v>44816</v>
      </c>
      <c r="J1929" s="5">
        <v>43502</v>
      </c>
      <c r="K1929" s="16">
        <f t="shared" si="203"/>
        <v>908</v>
      </c>
      <c r="L1929" s="13">
        <v>2661.09</v>
      </c>
      <c r="M1929" s="15">
        <f t="shared" si="201"/>
        <v>47.715631282134197</v>
      </c>
      <c r="N1929" s="13">
        <v>2661.09</v>
      </c>
      <c r="O1929" s="13">
        <v>2661.09</v>
      </c>
      <c r="P1929" s="11">
        <f t="shared" si="200"/>
        <v>1</v>
      </c>
    </row>
    <row r="1930" spans="1:16" ht="18.75" customHeight="1" thickBot="1" x14ac:dyDescent="0.3">
      <c r="A1930" s="3" t="s">
        <v>11</v>
      </c>
      <c r="B1930" s="4">
        <v>340157</v>
      </c>
      <c r="C1930" s="3" t="s">
        <v>9</v>
      </c>
      <c r="D1930" s="18">
        <v>0.1</v>
      </c>
      <c r="E1930" s="21">
        <f t="shared" si="199"/>
        <v>7.9741404289037643E-3</v>
      </c>
      <c r="F1930" s="5">
        <v>42594</v>
      </c>
      <c r="G1930" s="5">
        <v>44854</v>
      </c>
      <c r="H1930" s="16">
        <f t="shared" si="202"/>
        <v>2260</v>
      </c>
      <c r="I1930" s="5">
        <v>44854</v>
      </c>
      <c r="J1930" s="5">
        <v>43369</v>
      </c>
      <c r="K1930" s="16">
        <f t="shared" si="203"/>
        <v>775</v>
      </c>
      <c r="L1930" s="13">
        <v>1419.79</v>
      </c>
      <c r="M1930" s="15">
        <f t="shared" si="201"/>
        <v>25.143786842745381</v>
      </c>
      <c r="N1930" s="13">
        <v>1362.18</v>
      </c>
      <c r="O1930" s="13">
        <v>0</v>
      </c>
      <c r="P1930" s="11">
        <f t="shared" si="200"/>
        <v>1</v>
      </c>
    </row>
    <row r="1931" spans="1:16" ht="18.75" customHeight="1" thickBot="1" x14ac:dyDescent="0.3">
      <c r="A1931" s="3" t="s">
        <v>11</v>
      </c>
      <c r="B1931" s="4">
        <v>366083</v>
      </c>
      <c r="C1931" s="3" t="s">
        <v>9</v>
      </c>
      <c r="D1931" s="18">
        <v>0.09</v>
      </c>
      <c r="E1931" s="21">
        <f t="shared" si="199"/>
        <v>7.2073233161367156E-3</v>
      </c>
      <c r="F1931" s="5">
        <v>42598</v>
      </c>
      <c r="G1931" s="5">
        <v>45536</v>
      </c>
      <c r="H1931" s="16">
        <f t="shared" si="202"/>
        <v>2938</v>
      </c>
      <c r="I1931" s="5">
        <v>45536</v>
      </c>
      <c r="J1931" s="5">
        <v>43655</v>
      </c>
      <c r="K1931" s="16">
        <f t="shared" si="203"/>
        <v>1057</v>
      </c>
      <c r="L1931" s="13">
        <v>14929.8</v>
      </c>
      <c r="M1931" s="15">
        <f t="shared" si="201"/>
        <v>213.05441838299615</v>
      </c>
      <c r="N1931" s="13">
        <v>14929.8</v>
      </c>
      <c r="O1931" s="13">
        <v>0</v>
      </c>
      <c r="P1931" s="11">
        <f t="shared" si="200"/>
        <v>1</v>
      </c>
    </row>
    <row r="1932" spans="1:16" ht="18.75" customHeight="1" thickBot="1" x14ac:dyDescent="0.3">
      <c r="A1932" s="3" t="s">
        <v>11</v>
      </c>
      <c r="B1932" s="4">
        <v>790787</v>
      </c>
      <c r="C1932" s="3" t="s">
        <v>9</v>
      </c>
      <c r="D1932" s="18">
        <v>0.1</v>
      </c>
      <c r="E1932" s="21">
        <f t="shared" si="199"/>
        <v>7.9741404289037643E-3</v>
      </c>
      <c r="F1932" s="5">
        <v>42601</v>
      </c>
      <c r="G1932" s="5">
        <v>44299</v>
      </c>
      <c r="H1932" s="16">
        <f t="shared" si="202"/>
        <v>1698</v>
      </c>
      <c r="I1932" s="5">
        <v>44299</v>
      </c>
      <c r="J1932" s="5">
        <v>43644</v>
      </c>
      <c r="K1932" s="16">
        <f t="shared" si="203"/>
        <v>1043</v>
      </c>
      <c r="L1932" s="13">
        <v>2969.94</v>
      </c>
      <c r="M1932" s="15">
        <f t="shared" si="201"/>
        <v>65.406964484364408</v>
      </c>
      <c r="N1932" s="13">
        <v>2969.94</v>
      </c>
      <c r="O1932" s="13">
        <v>0</v>
      </c>
      <c r="P1932" s="11">
        <f t="shared" si="200"/>
        <v>1</v>
      </c>
    </row>
    <row r="1933" spans="1:16" ht="18.75" customHeight="1" thickBot="1" x14ac:dyDescent="0.3">
      <c r="A1933" s="3" t="s">
        <v>11</v>
      </c>
      <c r="B1933" s="4">
        <v>878518</v>
      </c>
      <c r="C1933" s="3" t="s">
        <v>9</v>
      </c>
      <c r="D1933" s="18">
        <v>0.1</v>
      </c>
      <c r="E1933" s="21">
        <f t="shared" si="199"/>
        <v>7.9741404289037643E-3</v>
      </c>
      <c r="F1933" s="5">
        <v>42600</v>
      </c>
      <c r="G1933" s="5">
        <v>44852</v>
      </c>
      <c r="H1933" s="16">
        <f t="shared" si="202"/>
        <v>2252</v>
      </c>
      <c r="I1933" s="5">
        <v>44852</v>
      </c>
      <c r="J1933" s="5">
        <v>43371</v>
      </c>
      <c r="K1933" s="16">
        <f t="shared" si="203"/>
        <v>771</v>
      </c>
      <c r="L1933" s="13">
        <v>8407.09</v>
      </c>
      <c r="M1933" s="15">
        <f t="shared" si="201"/>
        <v>149.27185074564571</v>
      </c>
      <c r="N1933" s="13">
        <v>8407.09</v>
      </c>
      <c r="O1933" s="13">
        <v>0</v>
      </c>
      <c r="P1933" s="11">
        <f t="shared" si="200"/>
        <v>1</v>
      </c>
    </row>
    <row r="1934" spans="1:16" ht="18.75" customHeight="1" thickBot="1" x14ac:dyDescent="0.3">
      <c r="A1934" s="3" t="s">
        <v>11</v>
      </c>
      <c r="B1934" s="4">
        <v>809191</v>
      </c>
      <c r="C1934" s="3" t="s">
        <v>9</v>
      </c>
      <c r="D1934" s="18">
        <v>0.1</v>
      </c>
      <c r="E1934" s="21">
        <f t="shared" si="199"/>
        <v>7.9741404289037643E-3</v>
      </c>
      <c r="F1934" s="5">
        <v>42601</v>
      </c>
      <c r="G1934" s="5">
        <v>44428</v>
      </c>
      <c r="H1934" s="16">
        <f t="shared" si="202"/>
        <v>1827</v>
      </c>
      <c r="I1934" s="5">
        <v>44428</v>
      </c>
      <c r="J1934" s="5">
        <v>43563</v>
      </c>
      <c r="K1934" s="16">
        <f t="shared" si="203"/>
        <v>962</v>
      </c>
      <c r="L1934" s="13">
        <v>36505.730000000003</v>
      </c>
      <c r="M1934" s="15">
        <f t="shared" si="201"/>
        <v>759.06332488906048</v>
      </c>
      <c r="N1934" s="13">
        <v>36505.730000000003</v>
      </c>
      <c r="O1934" s="13">
        <v>0</v>
      </c>
      <c r="P1934" s="11">
        <f t="shared" si="200"/>
        <v>1</v>
      </c>
    </row>
    <row r="1935" spans="1:16" ht="18.75" customHeight="1" thickBot="1" x14ac:dyDescent="0.3">
      <c r="A1935" s="3" t="s">
        <v>11</v>
      </c>
      <c r="B1935" s="4">
        <v>951188</v>
      </c>
      <c r="C1935" s="3" t="s">
        <v>19</v>
      </c>
      <c r="D1935" s="18">
        <v>0.1</v>
      </c>
      <c r="E1935" s="21">
        <f t="shared" si="199"/>
        <v>7.9741404289037643E-3</v>
      </c>
      <c r="F1935" s="5">
        <v>42606</v>
      </c>
      <c r="G1935" s="5">
        <v>43701</v>
      </c>
      <c r="H1935" s="16">
        <f t="shared" si="202"/>
        <v>1095</v>
      </c>
      <c r="I1935" s="5">
        <v>43701</v>
      </c>
      <c r="J1935" s="5">
        <v>43371</v>
      </c>
      <c r="K1935" s="16">
        <f t="shared" si="203"/>
        <v>765</v>
      </c>
      <c r="L1935" s="13">
        <v>1646.82</v>
      </c>
      <c r="M1935" s="15">
        <f t="shared" si="201"/>
        <v>52.180800141189295</v>
      </c>
      <c r="N1935" s="13">
        <v>1646.82</v>
      </c>
      <c r="O1935" s="13">
        <v>0</v>
      </c>
      <c r="P1935" s="11">
        <f t="shared" si="200"/>
        <v>1</v>
      </c>
    </row>
    <row r="1936" spans="1:16" ht="18.75" customHeight="1" thickBot="1" x14ac:dyDescent="0.3">
      <c r="A1936" s="3" t="s">
        <v>11</v>
      </c>
      <c r="B1936" s="4">
        <v>927550</v>
      </c>
      <c r="C1936" s="3" t="s">
        <v>9</v>
      </c>
      <c r="D1936" s="18">
        <v>0.1</v>
      </c>
      <c r="E1936" s="21">
        <f t="shared" si="199"/>
        <v>7.9741404289037643E-3</v>
      </c>
      <c r="F1936" s="5">
        <v>42619</v>
      </c>
      <c r="G1936" s="5">
        <v>44110</v>
      </c>
      <c r="H1936" s="16">
        <f t="shared" si="202"/>
        <v>1491</v>
      </c>
      <c r="I1936" s="5">
        <v>44110</v>
      </c>
      <c r="J1936" s="5">
        <v>43496</v>
      </c>
      <c r="K1936" s="16">
        <f t="shared" si="203"/>
        <v>877</v>
      </c>
      <c r="L1936" s="13">
        <v>2557.2399999999998</v>
      </c>
      <c r="M1936" s="15">
        <f t="shared" si="201"/>
        <v>62.523351212959348</v>
      </c>
      <c r="N1936" s="13">
        <v>2397.14</v>
      </c>
      <c r="O1936" s="13">
        <v>2397.14</v>
      </c>
      <c r="P1936" s="11">
        <f t="shared" si="200"/>
        <v>1</v>
      </c>
    </row>
    <row r="1937" spans="1:16" ht="18.75" customHeight="1" thickBot="1" x14ac:dyDescent="0.3">
      <c r="A1937" s="3" t="s">
        <v>11</v>
      </c>
      <c r="B1937" s="4">
        <v>787773</v>
      </c>
      <c r="C1937" s="3" t="s">
        <v>3</v>
      </c>
      <c r="D1937" s="18">
        <v>0.08</v>
      </c>
      <c r="E1937" s="21">
        <f t="shared" si="199"/>
        <v>6.4340301100034303E-3</v>
      </c>
      <c r="F1937" s="5">
        <v>42620</v>
      </c>
      <c r="G1937" s="5">
        <v>42985</v>
      </c>
      <c r="H1937" s="16">
        <f t="shared" si="202"/>
        <v>365</v>
      </c>
      <c r="I1937" s="5">
        <v>43350</v>
      </c>
      <c r="J1937" s="5">
        <v>43718</v>
      </c>
      <c r="K1937" s="16">
        <f t="shared" si="203"/>
        <v>1098</v>
      </c>
      <c r="L1937" s="13">
        <v>3800</v>
      </c>
      <c r="M1937" s="15">
        <f t="shared" si="201"/>
        <v>325.71608210398779</v>
      </c>
      <c r="N1937" s="13">
        <v>3491.39</v>
      </c>
      <c r="O1937" s="13">
        <v>0</v>
      </c>
      <c r="P1937" s="11">
        <f t="shared" si="200"/>
        <v>1</v>
      </c>
    </row>
    <row r="1938" spans="1:16" ht="18.75" customHeight="1" thickBot="1" x14ac:dyDescent="0.3">
      <c r="A1938" s="3" t="s">
        <v>11</v>
      </c>
      <c r="B1938" s="4">
        <v>95913</v>
      </c>
      <c r="C1938" s="3" t="s">
        <v>9</v>
      </c>
      <c r="D1938" s="18">
        <v>0.14000000000000001</v>
      </c>
      <c r="E1938" s="21">
        <f t="shared" si="199"/>
        <v>1.0978851950173452E-2</v>
      </c>
      <c r="F1938" s="5">
        <v>42625</v>
      </c>
      <c r="G1938" s="5">
        <v>44816</v>
      </c>
      <c r="H1938" s="16">
        <f t="shared" si="202"/>
        <v>2191</v>
      </c>
      <c r="I1938" s="5">
        <v>44816</v>
      </c>
      <c r="J1938" s="5">
        <v>42690</v>
      </c>
      <c r="K1938" s="16">
        <f t="shared" si="203"/>
        <v>65</v>
      </c>
      <c r="L1938" s="13">
        <v>18782.04</v>
      </c>
      <c r="M1938" s="15">
        <f t="shared" si="201"/>
        <v>375.24272613101999</v>
      </c>
      <c r="N1938" s="13">
        <v>18782.04</v>
      </c>
      <c r="O1938" s="13">
        <v>0</v>
      </c>
      <c r="P1938" s="11">
        <f t="shared" si="200"/>
        <v>1</v>
      </c>
    </row>
    <row r="1939" spans="1:16" ht="18.75" customHeight="1" thickBot="1" x14ac:dyDescent="0.3">
      <c r="A1939" s="3" t="s">
        <v>11</v>
      </c>
      <c r="B1939" s="4">
        <v>862749</v>
      </c>
      <c r="C1939" s="3" t="s">
        <v>9</v>
      </c>
      <c r="D1939" s="18">
        <v>8.5000000000000006E-2</v>
      </c>
      <c r="E1939" s="21">
        <f t="shared" si="199"/>
        <v>6.8214933659622723E-3</v>
      </c>
      <c r="F1939" s="5">
        <v>42635</v>
      </c>
      <c r="G1939" s="5">
        <v>43546</v>
      </c>
      <c r="H1939" s="16">
        <f t="shared" si="202"/>
        <v>911</v>
      </c>
      <c r="I1939" s="5">
        <v>43546</v>
      </c>
      <c r="J1939" s="5">
        <v>43371</v>
      </c>
      <c r="K1939" s="16">
        <f t="shared" si="203"/>
        <v>736</v>
      </c>
      <c r="L1939" s="13">
        <v>1281.8499999999999</v>
      </c>
      <c r="M1939" s="15">
        <f t="shared" si="201"/>
        <v>46.878605692497771</v>
      </c>
      <c r="N1939" s="13">
        <v>1281.8499999999999</v>
      </c>
      <c r="O1939" s="13">
        <v>1000</v>
      </c>
      <c r="P1939" s="11">
        <f t="shared" si="200"/>
        <v>1</v>
      </c>
    </row>
    <row r="1940" spans="1:16" ht="18.75" customHeight="1" thickBot="1" x14ac:dyDescent="0.3">
      <c r="A1940" s="3" t="s">
        <v>11</v>
      </c>
      <c r="B1940" s="4">
        <v>739336</v>
      </c>
      <c r="C1940" s="3" t="s">
        <v>9</v>
      </c>
      <c r="D1940" s="18">
        <v>0.1</v>
      </c>
      <c r="E1940" s="21">
        <f t="shared" si="199"/>
        <v>7.9741404289037643E-3</v>
      </c>
      <c r="F1940" s="5">
        <v>42636</v>
      </c>
      <c r="G1940" s="5">
        <v>44827</v>
      </c>
      <c r="H1940" s="16">
        <f t="shared" si="202"/>
        <v>2191</v>
      </c>
      <c r="I1940" s="5">
        <v>45192</v>
      </c>
      <c r="J1940" s="5">
        <v>43830</v>
      </c>
      <c r="K1940" s="16">
        <f t="shared" si="203"/>
        <v>1194</v>
      </c>
      <c r="L1940" s="13">
        <v>23000</v>
      </c>
      <c r="M1940" s="15">
        <f t="shared" si="201"/>
        <v>416.69757888496196</v>
      </c>
      <c r="N1940" s="13">
        <v>19355.21</v>
      </c>
      <c r="O1940" s="13">
        <v>6391.26</v>
      </c>
      <c r="P1940" s="11">
        <f t="shared" si="200"/>
        <v>1</v>
      </c>
    </row>
    <row r="1941" spans="1:16" ht="18.75" customHeight="1" thickBot="1" x14ac:dyDescent="0.3">
      <c r="A1941" s="3" t="s">
        <v>11</v>
      </c>
      <c r="B1941" s="4">
        <v>595169</v>
      </c>
      <c r="C1941" s="3" t="s">
        <v>9</v>
      </c>
      <c r="D1941" s="18">
        <v>0.1</v>
      </c>
      <c r="E1941" s="21">
        <f t="shared" si="199"/>
        <v>7.9741404289037643E-3</v>
      </c>
      <c r="F1941" s="5">
        <v>42639</v>
      </c>
      <c r="G1941" s="5">
        <v>44281</v>
      </c>
      <c r="H1941" s="16">
        <f t="shared" si="202"/>
        <v>1642</v>
      </c>
      <c r="I1941" s="5">
        <v>44281</v>
      </c>
      <c r="J1941" s="5">
        <v>43644</v>
      </c>
      <c r="K1941" s="16">
        <f t="shared" si="203"/>
        <v>1005</v>
      </c>
      <c r="L1941" s="13">
        <v>2535.14</v>
      </c>
      <c r="M1941" s="15">
        <f t="shared" si="201"/>
        <v>57.34028339475551</v>
      </c>
      <c r="N1941" s="13">
        <v>2535.14</v>
      </c>
      <c r="O1941" s="13">
        <v>0</v>
      </c>
      <c r="P1941" s="11">
        <f t="shared" si="200"/>
        <v>1</v>
      </c>
    </row>
    <row r="1942" spans="1:16" ht="18.75" customHeight="1" thickBot="1" x14ac:dyDescent="0.3">
      <c r="A1942" s="3" t="s">
        <v>11</v>
      </c>
      <c r="B1942" s="4">
        <v>647725</v>
      </c>
      <c r="C1942" s="3" t="s">
        <v>9</v>
      </c>
      <c r="D1942" s="18">
        <v>0.1</v>
      </c>
      <c r="E1942" s="21">
        <f t="shared" si="199"/>
        <v>7.9741404289037643E-3</v>
      </c>
      <c r="F1942" s="5">
        <v>42640</v>
      </c>
      <c r="G1942" s="5">
        <v>44131</v>
      </c>
      <c r="H1942" s="16">
        <f t="shared" si="202"/>
        <v>1491</v>
      </c>
      <c r="I1942" s="5">
        <v>44131</v>
      </c>
      <c r="J1942" s="5">
        <v>43628</v>
      </c>
      <c r="K1942" s="16">
        <f t="shared" si="203"/>
        <v>988</v>
      </c>
      <c r="L1942" s="13">
        <v>6044.67</v>
      </c>
      <c r="M1942" s="15">
        <f t="shared" si="201"/>
        <v>147.78942350989308</v>
      </c>
      <c r="N1942" s="13">
        <v>6044.67</v>
      </c>
      <c r="O1942" s="13">
        <v>0</v>
      </c>
      <c r="P1942" s="11">
        <f t="shared" si="200"/>
        <v>1</v>
      </c>
    </row>
    <row r="1943" spans="1:16" ht="18.75" customHeight="1" thickBot="1" x14ac:dyDescent="0.3">
      <c r="A1943" s="3" t="s">
        <v>11</v>
      </c>
      <c r="B1943" s="4">
        <v>729752</v>
      </c>
      <c r="C1943" s="3" t="s">
        <v>9</v>
      </c>
      <c r="D1943" s="18">
        <v>0.1</v>
      </c>
      <c r="E1943" s="21">
        <f t="shared" si="199"/>
        <v>7.9741404289037643E-3</v>
      </c>
      <c r="F1943" s="5">
        <v>42641</v>
      </c>
      <c r="G1943" s="5">
        <v>43736</v>
      </c>
      <c r="H1943" s="16">
        <f t="shared" si="202"/>
        <v>1095</v>
      </c>
      <c r="I1943" s="5">
        <v>43736</v>
      </c>
      <c r="J1943" s="5">
        <v>42682</v>
      </c>
      <c r="K1943" s="16">
        <f t="shared" si="203"/>
        <v>41</v>
      </c>
      <c r="L1943" s="13">
        <v>6071.99</v>
      </c>
      <c r="M1943" s="15">
        <f t="shared" si="201"/>
        <v>192.39582750349157</v>
      </c>
      <c r="N1943" s="13">
        <v>6071.99</v>
      </c>
      <c r="O1943" s="13">
        <v>0</v>
      </c>
      <c r="P1943" s="11">
        <f t="shared" si="200"/>
        <v>1</v>
      </c>
    </row>
    <row r="1944" spans="1:16" ht="18.75" customHeight="1" thickBot="1" x14ac:dyDescent="0.3">
      <c r="A1944" s="3" t="s">
        <v>11</v>
      </c>
      <c r="B1944" s="4">
        <v>675973</v>
      </c>
      <c r="C1944" s="3" t="s">
        <v>9</v>
      </c>
      <c r="D1944" s="18">
        <v>0.1</v>
      </c>
      <c r="E1944" s="21">
        <f t="shared" si="199"/>
        <v>7.9741404289037643E-3</v>
      </c>
      <c r="F1944" s="5">
        <v>42641</v>
      </c>
      <c r="G1944" s="5">
        <v>44079</v>
      </c>
      <c r="H1944" s="16">
        <f t="shared" si="202"/>
        <v>1438</v>
      </c>
      <c r="I1944" s="5">
        <v>44079</v>
      </c>
      <c r="J1944" s="5">
        <v>43496</v>
      </c>
      <c r="K1944" s="16">
        <f t="shared" si="203"/>
        <v>855</v>
      </c>
      <c r="L1944" s="13">
        <v>8943.9</v>
      </c>
      <c r="M1944" s="15">
        <f t="shared" si="201"/>
        <v>225.25056867745025</v>
      </c>
      <c r="N1944" s="13">
        <v>8808.92</v>
      </c>
      <c r="O1944" s="13">
        <v>2577.8000000000002</v>
      </c>
      <c r="P1944" s="11">
        <f t="shared" si="200"/>
        <v>1</v>
      </c>
    </row>
    <row r="1945" spans="1:16" ht="18.75" hidden="1" customHeight="1" thickBot="1" x14ac:dyDescent="0.3">
      <c r="A1945" s="3" t="s">
        <v>11</v>
      </c>
      <c r="B1945" s="4">
        <v>789408</v>
      </c>
      <c r="C1945" s="3" t="s">
        <v>9</v>
      </c>
      <c r="D1945" s="18">
        <v>0.09</v>
      </c>
      <c r="E1945" s="21">
        <f t="shared" si="199"/>
        <v>7.2073233161367156E-3</v>
      </c>
      <c r="F1945" s="5">
        <v>42643</v>
      </c>
      <c r="G1945" s="5">
        <v>42704</v>
      </c>
      <c r="H1945" s="16">
        <f t="shared" si="202"/>
        <v>61</v>
      </c>
      <c r="I1945" s="5">
        <v>42704</v>
      </c>
      <c r="J1945" s="2"/>
      <c r="K1945" s="16">
        <f t="shared" si="203"/>
        <v>-42643</v>
      </c>
      <c r="L1945" s="13">
        <v>24000</v>
      </c>
      <c r="M1945" s="15">
        <f t="shared" si="201"/>
        <v>11932.461167218795</v>
      </c>
      <c r="N1945" s="13">
        <v>24000</v>
      </c>
      <c r="O1945" s="13">
        <v>0</v>
      </c>
      <c r="P1945" s="11">
        <f t="shared" si="200"/>
        <v>1</v>
      </c>
    </row>
    <row r="1946" spans="1:16" ht="18.75" customHeight="1" thickBot="1" x14ac:dyDescent="0.3">
      <c r="A1946" s="3" t="s">
        <v>11</v>
      </c>
      <c r="B1946" s="4">
        <v>162756</v>
      </c>
      <c r="C1946" s="3" t="s">
        <v>9</v>
      </c>
      <c r="D1946" s="18">
        <v>0.1</v>
      </c>
      <c r="E1946" s="21">
        <f t="shared" si="199"/>
        <v>7.9741404289037643E-3</v>
      </c>
      <c r="F1946" s="5">
        <v>42646</v>
      </c>
      <c r="G1946" s="5">
        <v>44472</v>
      </c>
      <c r="H1946" s="16">
        <f t="shared" si="202"/>
        <v>1826</v>
      </c>
      <c r="I1946" s="5">
        <v>44472</v>
      </c>
      <c r="J1946" s="5">
        <v>42810</v>
      </c>
      <c r="K1946" s="16">
        <f t="shared" si="203"/>
        <v>164</v>
      </c>
      <c r="L1946" s="13">
        <v>4573.04</v>
      </c>
      <c r="M1946" s="15">
        <f t="shared" si="201"/>
        <v>95.127672492033767</v>
      </c>
      <c r="N1946" s="13">
        <v>4573.04</v>
      </c>
      <c r="O1946" s="13">
        <v>0</v>
      </c>
      <c r="P1946" s="11">
        <f t="shared" si="200"/>
        <v>1</v>
      </c>
    </row>
    <row r="1947" spans="1:16" ht="18.75" hidden="1" customHeight="1" thickBot="1" x14ac:dyDescent="0.3">
      <c r="A1947" s="3" t="s">
        <v>11</v>
      </c>
      <c r="B1947" s="4">
        <v>613022</v>
      </c>
      <c r="C1947" s="3" t="s">
        <v>9</v>
      </c>
      <c r="D1947" s="7">
        <v>0.09</v>
      </c>
      <c r="E1947" s="7">
        <f t="shared" ref="E1947" si="204">D1947/12</f>
        <v>7.4999999999999997E-3</v>
      </c>
      <c r="F1947" s="5">
        <v>42649</v>
      </c>
      <c r="G1947" s="5">
        <v>46803</v>
      </c>
      <c r="H1947" s="8">
        <f t="shared" si="202"/>
        <v>4154</v>
      </c>
      <c r="I1947" s="5">
        <v>46803</v>
      </c>
      <c r="J1947" s="5">
        <v>43371</v>
      </c>
      <c r="K1947" s="8">
        <f t="shared" si="203"/>
        <v>722</v>
      </c>
      <c r="L1947" s="6">
        <v>6723.32</v>
      </c>
      <c r="M1947" s="9">
        <f t="shared" si="201"/>
        <v>78.221752110673364</v>
      </c>
      <c r="N1947" s="6">
        <v>5513.81</v>
      </c>
      <c r="O1947" s="6">
        <v>1797.29</v>
      </c>
      <c r="P1947" s="6">
        <v>0</v>
      </c>
    </row>
    <row r="1948" spans="1:16" ht="18.75" customHeight="1" thickBot="1" x14ac:dyDescent="0.3">
      <c r="A1948" s="3" t="s">
        <v>11</v>
      </c>
      <c r="B1948" s="4">
        <v>567799</v>
      </c>
      <c r="C1948" s="3" t="s">
        <v>9</v>
      </c>
      <c r="D1948" s="18">
        <v>0.14000000000000001</v>
      </c>
      <c r="E1948" s="21">
        <f t="shared" ref="E1948:E1997" si="205">(1+D1948)^(1/12)-1</f>
        <v>1.0978851950173452E-2</v>
      </c>
      <c r="F1948" s="5">
        <v>42654</v>
      </c>
      <c r="G1948" s="5">
        <v>43819</v>
      </c>
      <c r="H1948" s="16">
        <f t="shared" si="202"/>
        <v>1165</v>
      </c>
      <c r="I1948" s="5">
        <v>43819</v>
      </c>
      <c r="J1948" s="5">
        <v>43371</v>
      </c>
      <c r="K1948" s="16">
        <f t="shared" si="203"/>
        <v>717</v>
      </c>
      <c r="L1948" s="13">
        <v>3403.05</v>
      </c>
      <c r="M1948" s="15">
        <f t="shared" si="201"/>
        <v>108.10939351235712</v>
      </c>
      <c r="N1948" s="13">
        <v>3403.05</v>
      </c>
      <c r="O1948" s="13">
        <v>0</v>
      </c>
      <c r="P1948" s="11">
        <f t="shared" ref="P1948:P1979" si="206">IF((G1948)&gt;(ConstantDateCutoff),1,0)</f>
        <v>1</v>
      </c>
    </row>
    <row r="1949" spans="1:16" ht="18.75" customHeight="1" thickBot="1" x14ac:dyDescent="0.3">
      <c r="A1949" s="3" t="s">
        <v>11</v>
      </c>
      <c r="B1949" s="4">
        <v>508374</v>
      </c>
      <c r="C1949" s="3" t="s">
        <v>9</v>
      </c>
      <c r="D1949" s="18">
        <v>0.1</v>
      </c>
      <c r="E1949" s="21">
        <f t="shared" si="205"/>
        <v>7.9741404289037643E-3</v>
      </c>
      <c r="F1949" s="5">
        <v>42654</v>
      </c>
      <c r="G1949" s="5">
        <v>45210</v>
      </c>
      <c r="H1949" s="16">
        <f t="shared" si="202"/>
        <v>2556</v>
      </c>
      <c r="I1949" s="5">
        <v>45210</v>
      </c>
      <c r="J1949" s="5">
        <v>43542</v>
      </c>
      <c r="K1949" s="16">
        <f t="shared" si="203"/>
        <v>888</v>
      </c>
      <c r="L1949" s="13">
        <v>5184.63</v>
      </c>
      <c r="M1949" s="15">
        <f t="shared" si="201"/>
        <v>84.080055487879847</v>
      </c>
      <c r="N1949" s="13">
        <v>4692.6000000000004</v>
      </c>
      <c r="O1949" s="13">
        <v>0</v>
      </c>
      <c r="P1949" s="11">
        <f t="shared" si="206"/>
        <v>1</v>
      </c>
    </row>
    <row r="1950" spans="1:16" ht="18.75" customHeight="1" thickBot="1" x14ac:dyDescent="0.3">
      <c r="A1950" s="3" t="s">
        <v>11</v>
      </c>
      <c r="B1950" s="4">
        <v>436782</v>
      </c>
      <c r="C1950" s="3" t="s">
        <v>9</v>
      </c>
      <c r="D1950" s="18">
        <v>0.12</v>
      </c>
      <c r="E1950" s="21">
        <f t="shared" si="205"/>
        <v>9.4887929345830457E-3</v>
      </c>
      <c r="F1950" s="5">
        <v>42655</v>
      </c>
      <c r="G1950" s="5">
        <v>44481</v>
      </c>
      <c r="H1950" s="16">
        <f t="shared" si="202"/>
        <v>1826</v>
      </c>
      <c r="I1950" s="5">
        <v>44481</v>
      </c>
      <c r="J1950" s="5">
        <v>43131</v>
      </c>
      <c r="K1950" s="16">
        <f t="shared" si="203"/>
        <v>476</v>
      </c>
      <c r="L1950" s="13">
        <v>18251.849999999999</v>
      </c>
      <c r="M1950" s="15">
        <f t="shared" si="201"/>
        <v>396.13134103470014</v>
      </c>
      <c r="N1950" s="13">
        <v>18251.849999999999</v>
      </c>
      <c r="O1950" s="13">
        <v>0</v>
      </c>
      <c r="P1950" s="11">
        <f t="shared" si="206"/>
        <v>1</v>
      </c>
    </row>
    <row r="1951" spans="1:16" ht="18.75" hidden="1" customHeight="1" thickBot="1" x14ac:dyDescent="0.3">
      <c r="A1951" s="3" t="s">
        <v>11</v>
      </c>
      <c r="B1951" s="4">
        <v>883936</v>
      </c>
      <c r="C1951" s="3" t="s">
        <v>9</v>
      </c>
      <c r="D1951" s="18">
        <v>0.1</v>
      </c>
      <c r="E1951" s="21">
        <f t="shared" si="205"/>
        <v>7.9741404289037643E-3</v>
      </c>
      <c r="F1951" s="5">
        <v>42656</v>
      </c>
      <c r="G1951" s="5">
        <v>43447</v>
      </c>
      <c r="H1951" s="16">
        <f t="shared" si="202"/>
        <v>791</v>
      </c>
      <c r="I1951" s="5">
        <v>43447</v>
      </c>
      <c r="J1951" s="2"/>
      <c r="K1951" s="16">
        <f t="shared" si="203"/>
        <v>-42656</v>
      </c>
      <c r="L1951" s="13">
        <v>2500</v>
      </c>
      <c r="M1951" s="15">
        <f t="shared" si="201"/>
        <v>105.50955079647396</v>
      </c>
      <c r="N1951" s="13">
        <v>2500</v>
      </c>
      <c r="O1951" s="13">
        <v>0</v>
      </c>
      <c r="P1951" s="11">
        <f t="shared" si="206"/>
        <v>1</v>
      </c>
    </row>
    <row r="1952" spans="1:16" ht="18.75" customHeight="1" thickBot="1" x14ac:dyDescent="0.3">
      <c r="A1952" s="3" t="s">
        <v>11</v>
      </c>
      <c r="B1952" s="4">
        <v>617741</v>
      </c>
      <c r="C1952" s="3" t="s">
        <v>9</v>
      </c>
      <c r="D1952" s="18">
        <v>0.1</v>
      </c>
      <c r="E1952" s="21">
        <f t="shared" si="205"/>
        <v>7.9741404289037643E-3</v>
      </c>
      <c r="F1952" s="5">
        <v>42661</v>
      </c>
      <c r="G1952" s="5">
        <v>44122</v>
      </c>
      <c r="H1952" s="16">
        <f t="shared" si="202"/>
        <v>1461</v>
      </c>
      <c r="I1952" s="5">
        <v>44153</v>
      </c>
      <c r="J1952" s="5">
        <v>44180</v>
      </c>
      <c r="K1952" s="16">
        <f t="shared" si="203"/>
        <v>1519</v>
      </c>
      <c r="L1952" s="13">
        <v>9456.69</v>
      </c>
      <c r="M1952" s="15">
        <f t="shared" si="201"/>
        <v>235.08487382063282</v>
      </c>
      <c r="N1952" s="13">
        <v>1051.58</v>
      </c>
      <c r="O1952" s="13">
        <v>1051.58</v>
      </c>
      <c r="P1952" s="11">
        <f t="shared" si="206"/>
        <v>1</v>
      </c>
    </row>
    <row r="1953" spans="1:16" ht="18.75" customHeight="1" thickBot="1" x14ac:dyDescent="0.3">
      <c r="A1953" s="3" t="s">
        <v>11</v>
      </c>
      <c r="B1953" s="4">
        <v>861190</v>
      </c>
      <c r="C1953" s="3" t="s">
        <v>9</v>
      </c>
      <c r="D1953" s="18">
        <v>0.1</v>
      </c>
      <c r="E1953" s="21">
        <f t="shared" si="205"/>
        <v>7.9741404289037643E-3</v>
      </c>
      <c r="F1953" s="5">
        <v>42662</v>
      </c>
      <c r="G1953" s="5">
        <v>44853</v>
      </c>
      <c r="H1953" s="16">
        <f t="shared" si="202"/>
        <v>2191</v>
      </c>
      <c r="I1953" s="5">
        <v>45065</v>
      </c>
      <c r="J1953" s="5">
        <v>44099</v>
      </c>
      <c r="K1953" s="16">
        <f t="shared" si="203"/>
        <v>1437</v>
      </c>
      <c r="L1953" s="13">
        <v>15345.74</v>
      </c>
      <c r="M1953" s="15">
        <f t="shared" si="201"/>
        <v>278.02316105209195</v>
      </c>
      <c r="N1953" s="13">
        <v>6119.72</v>
      </c>
      <c r="O1953" s="13">
        <v>0</v>
      </c>
      <c r="P1953" s="11">
        <f t="shared" si="206"/>
        <v>1</v>
      </c>
    </row>
    <row r="1954" spans="1:16" ht="18.75" customHeight="1" thickBot="1" x14ac:dyDescent="0.3">
      <c r="A1954" s="3" t="s">
        <v>11</v>
      </c>
      <c r="B1954" s="4">
        <v>770053</v>
      </c>
      <c r="C1954" s="3" t="s">
        <v>2</v>
      </c>
      <c r="D1954" s="18">
        <v>0.09</v>
      </c>
      <c r="E1954" s="21">
        <f t="shared" si="205"/>
        <v>7.2073233161367156E-3</v>
      </c>
      <c r="F1954" s="5">
        <v>42663</v>
      </c>
      <c r="G1954" s="5">
        <v>42755</v>
      </c>
      <c r="H1954" s="16">
        <f t="shared" si="202"/>
        <v>92</v>
      </c>
      <c r="I1954" s="5">
        <v>44711</v>
      </c>
      <c r="J1954" s="5">
        <v>44102</v>
      </c>
      <c r="K1954" s="16">
        <f t="shared" si="203"/>
        <v>1439</v>
      </c>
      <c r="L1954" s="13">
        <v>25000</v>
      </c>
      <c r="M1954" s="15">
        <f t="shared" si="201"/>
        <v>8271.9386497472515</v>
      </c>
      <c r="N1954" s="13">
        <v>22250</v>
      </c>
      <c r="O1954" s="13">
        <v>6384.1</v>
      </c>
      <c r="P1954" s="11">
        <f t="shared" si="206"/>
        <v>1</v>
      </c>
    </row>
    <row r="1955" spans="1:16" ht="18.75" customHeight="1" thickBot="1" x14ac:dyDescent="0.3">
      <c r="A1955" s="3" t="s">
        <v>11</v>
      </c>
      <c r="B1955" s="4">
        <v>306349</v>
      </c>
      <c r="C1955" s="3" t="s">
        <v>2</v>
      </c>
      <c r="D1955" s="18">
        <v>0.1</v>
      </c>
      <c r="E1955" s="21">
        <f t="shared" si="205"/>
        <v>7.9741404289037643E-3</v>
      </c>
      <c r="F1955" s="5">
        <v>42674</v>
      </c>
      <c r="G1955" s="5">
        <v>44135</v>
      </c>
      <c r="H1955" s="16">
        <f t="shared" si="202"/>
        <v>1461</v>
      </c>
      <c r="I1955" s="5">
        <v>44285</v>
      </c>
      <c r="J1955" s="5">
        <v>43731</v>
      </c>
      <c r="K1955" s="16">
        <f t="shared" si="203"/>
        <v>1057</v>
      </c>
      <c r="L1955" s="13">
        <v>45448.4</v>
      </c>
      <c r="M1955" s="15">
        <f t="shared" si="201"/>
        <v>1129.8066637850716</v>
      </c>
      <c r="N1955" s="13">
        <v>9952.25</v>
      </c>
      <c r="O1955" s="13">
        <v>0</v>
      </c>
      <c r="P1955" s="11">
        <f t="shared" si="206"/>
        <v>1</v>
      </c>
    </row>
    <row r="1956" spans="1:16" ht="18.75" customHeight="1" thickBot="1" x14ac:dyDescent="0.3">
      <c r="A1956" s="3" t="s">
        <v>11</v>
      </c>
      <c r="B1956" s="4">
        <v>562718</v>
      </c>
      <c r="C1956" s="3" t="s">
        <v>9</v>
      </c>
      <c r="D1956" s="18">
        <v>0.1</v>
      </c>
      <c r="E1956" s="21">
        <f t="shared" si="205"/>
        <v>7.9741404289037643E-3</v>
      </c>
      <c r="F1956" s="5">
        <v>42674</v>
      </c>
      <c r="G1956" s="5">
        <v>44865</v>
      </c>
      <c r="H1956" s="16">
        <f t="shared" si="202"/>
        <v>2191</v>
      </c>
      <c r="I1956" s="5">
        <v>44865</v>
      </c>
      <c r="J1956" s="5">
        <v>43731</v>
      </c>
      <c r="K1956" s="16">
        <f t="shared" si="203"/>
        <v>1057</v>
      </c>
      <c r="L1956" s="13">
        <v>21974.61</v>
      </c>
      <c r="M1956" s="15">
        <f t="shared" si="201"/>
        <v>398.12029495396848</v>
      </c>
      <c r="N1956" s="13">
        <v>7825.04</v>
      </c>
      <c r="O1956" s="13">
        <v>0</v>
      </c>
      <c r="P1956" s="11">
        <f t="shared" si="206"/>
        <v>1</v>
      </c>
    </row>
    <row r="1957" spans="1:16" ht="18.75" customHeight="1" thickBot="1" x14ac:dyDescent="0.3">
      <c r="A1957" s="3" t="s">
        <v>11</v>
      </c>
      <c r="B1957" s="4">
        <v>570644</v>
      </c>
      <c r="C1957" s="3" t="s">
        <v>9</v>
      </c>
      <c r="D1957" s="18">
        <v>0.08</v>
      </c>
      <c r="E1957" s="21">
        <f t="shared" si="205"/>
        <v>6.4340301100034303E-3</v>
      </c>
      <c r="F1957" s="5">
        <v>42675</v>
      </c>
      <c r="G1957" s="5">
        <v>44896</v>
      </c>
      <c r="H1957" s="16">
        <f t="shared" si="202"/>
        <v>2221</v>
      </c>
      <c r="I1957" s="5">
        <v>44896</v>
      </c>
      <c r="J1957" s="5">
        <v>43502</v>
      </c>
      <c r="K1957" s="16">
        <f t="shared" si="203"/>
        <v>827</v>
      </c>
      <c r="L1957" s="13">
        <v>19477.560000000001</v>
      </c>
      <c r="M1957" s="15">
        <f t="shared" si="201"/>
        <v>331.53683316772913</v>
      </c>
      <c r="N1957" s="13">
        <v>19477.560000000001</v>
      </c>
      <c r="O1957" s="13">
        <v>0</v>
      </c>
      <c r="P1957" s="11">
        <f t="shared" si="206"/>
        <v>1</v>
      </c>
    </row>
    <row r="1958" spans="1:16" ht="18.75" customHeight="1" thickBot="1" x14ac:dyDescent="0.3">
      <c r="A1958" s="3" t="s">
        <v>11</v>
      </c>
      <c r="B1958" s="4">
        <v>492741</v>
      </c>
      <c r="C1958" s="3" t="s">
        <v>9</v>
      </c>
      <c r="D1958" s="18">
        <v>0.1</v>
      </c>
      <c r="E1958" s="21">
        <f t="shared" si="205"/>
        <v>7.9741404289037643E-3</v>
      </c>
      <c r="F1958" s="5">
        <v>42676</v>
      </c>
      <c r="G1958" s="5">
        <v>44502</v>
      </c>
      <c r="H1958" s="16">
        <f t="shared" si="202"/>
        <v>1826</v>
      </c>
      <c r="I1958" s="5">
        <v>44502</v>
      </c>
      <c r="J1958" s="5">
        <v>44011</v>
      </c>
      <c r="K1958" s="16">
        <f t="shared" si="203"/>
        <v>1335</v>
      </c>
      <c r="L1958" s="13">
        <v>38524.1</v>
      </c>
      <c r="M1958" s="15">
        <f t="shared" si="201"/>
        <v>801.37238420183462</v>
      </c>
      <c r="N1958" s="13">
        <v>12913</v>
      </c>
      <c r="O1958" s="13">
        <v>0</v>
      </c>
      <c r="P1958" s="11">
        <f t="shared" si="206"/>
        <v>1</v>
      </c>
    </row>
    <row r="1959" spans="1:16" ht="18.75" customHeight="1" thickBot="1" x14ac:dyDescent="0.3">
      <c r="A1959" s="3" t="s">
        <v>11</v>
      </c>
      <c r="B1959" s="4">
        <v>307087</v>
      </c>
      <c r="C1959" s="3" t="s">
        <v>9</v>
      </c>
      <c r="D1959" s="18">
        <v>0.12</v>
      </c>
      <c r="E1959" s="21">
        <f t="shared" si="205"/>
        <v>9.4887929345830457E-3</v>
      </c>
      <c r="F1959" s="5">
        <v>42688</v>
      </c>
      <c r="G1959" s="5">
        <v>44149</v>
      </c>
      <c r="H1959" s="16">
        <f t="shared" si="202"/>
        <v>1461</v>
      </c>
      <c r="I1959" s="5">
        <v>44149</v>
      </c>
      <c r="J1959" s="5">
        <v>43598</v>
      </c>
      <c r="K1959" s="16">
        <f t="shared" si="203"/>
        <v>910</v>
      </c>
      <c r="L1959" s="13">
        <v>7738.34</v>
      </c>
      <c r="M1959" s="15">
        <f t="shared" si="201"/>
        <v>199.16898777066783</v>
      </c>
      <c r="N1959" s="13">
        <v>7438.34</v>
      </c>
      <c r="O1959" s="13">
        <v>3979.78</v>
      </c>
      <c r="P1959" s="11">
        <f t="shared" si="206"/>
        <v>1</v>
      </c>
    </row>
    <row r="1960" spans="1:16" ht="18.75" customHeight="1" thickBot="1" x14ac:dyDescent="0.3">
      <c r="A1960" s="3" t="s">
        <v>11</v>
      </c>
      <c r="B1960" s="4">
        <v>369216</v>
      </c>
      <c r="C1960" s="3" t="s">
        <v>19</v>
      </c>
      <c r="D1960" s="18">
        <v>0.1</v>
      </c>
      <c r="E1960" s="21">
        <f t="shared" si="205"/>
        <v>7.9741404289037643E-3</v>
      </c>
      <c r="F1960" s="5">
        <v>42688</v>
      </c>
      <c r="G1960" s="5">
        <v>43661</v>
      </c>
      <c r="H1960" s="16">
        <f t="shared" si="202"/>
        <v>973</v>
      </c>
      <c r="I1960" s="5">
        <v>43661</v>
      </c>
      <c r="J1960" s="5">
        <v>43725</v>
      </c>
      <c r="K1960" s="16">
        <f t="shared" si="203"/>
        <v>1037</v>
      </c>
      <c r="L1960" s="13">
        <v>5939.67</v>
      </c>
      <c r="M1960" s="15">
        <f t="shared" si="201"/>
        <v>208.56145195523413</v>
      </c>
      <c r="N1960" s="13">
        <v>4973.1000000000004</v>
      </c>
      <c r="O1960" s="13">
        <v>0</v>
      </c>
      <c r="P1960" s="11">
        <f t="shared" si="206"/>
        <v>1</v>
      </c>
    </row>
    <row r="1961" spans="1:16" ht="18.75" customHeight="1" thickBot="1" x14ac:dyDescent="0.3">
      <c r="A1961" s="3" t="s">
        <v>11</v>
      </c>
      <c r="B1961" s="4">
        <v>825571</v>
      </c>
      <c r="C1961" s="3" t="s">
        <v>9</v>
      </c>
      <c r="D1961" s="18">
        <v>0.09</v>
      </c>
      <c r="E1961" s="21">
        <f t="shared" si="205"/>
        <v>7.2073233161367156E-3</v>
      </c>
      <c r="F1961" s="5">
        <v>42691</v>
      </c>
      <c r="G1961" s="5">
        <v>43056</v>
      </c>
      <c r="H1961" s="16">
        <f t="shared" si="202"/>
        <v>365</v>
      </c>
      <c r="I1961" s="5">
        <v>43056</v>
      </c>
      <c r="J1961" s="5">
        <v>43525</v>
      </c>
      <c r="K1961" s="16">
        <f t="shared" si="203"/>
        <v>834</v>
      </c>
      <c r="L1961" s="13">
        <v>15236.24</v>
      </c>
      <c r="M1961" s="15">
        <f t="shared" si="201"/>
        <v>1312.5068608685244</v>
      </c>
      <c r="N1961" s="13">
        <v>14695</v>
      </c>
      <c r="O1961" s="13">
        <v>300</v>
      </c>
      <c r="P1961" s="11">
        <f t="shared" si="206"/>
        <v>1</v>
      </c>
    </row>
    <row r="1962" spans="1:16" ht="18.75" customHeight="1" thickBot="1" x14ac:dyDescent="0.3">
      <c r="A1962" s="3" t="s">
        <v>11</v>
      </c>
      <c r="B1962" s="4">
        <v>572002</v>
      </c>
      <c r="C1962" s="3" t="s">
        <v>9</v>
      </c>
      <c r="D1962" s="18">
        <v>0.1</v>
      </c>
      <c r="E1962" s="21">
        <f t="shared" si="205"/>
        <v>7.9741404289037643E-3</v>
      </c>
      <c r="F1962" s="5">
        <v>42691</v>
      </c>
      <c r="G1962" s="5">
        <v>43421</v>
      </c>
      <c r="H1962" s="16">
        <f t="shared" si="202"/>
        <v>730</v>
      </c>
      <c r="I1962" s="5">
        <v>43421</v>
      </c>
      <c r="J1962" s="5">
        <v>43213</v>
      </c>
      <c r="K1962" s="16">
        <f t="shared" si="203"/>
        <v>522</v>
      </c>
      <c r="L1962" s="13">
        <v>1061.76</v>
      </c>
      <c r="M1962" s="15">
        <f t="shared" si="201"/>
        <v>48.177301394093575</v>
      </c>
      <c r="N1962" s="13">
        <v>1061.76</v>
      </c>
      <c r="O1962" s="13">
        <v>0</v>
      </c>
      <c r="P1962" s="11">
        <f t="shared" si="206"/>
        <v>1</v>
      </c>
    </row>
    <row r="1963" spans="1:16" ht="18.75" customHeight="1" thickBot="1" x14ac:dyDescent="0.3">
      <c r="A1963" s="3" t="s">
        <v>11</v>
      </c>
      <c r="B1963" s="4">
        <v>769990</v>
      </c>
      <c r="C1963" s="3" t="s">
        <v>9</v>
      </c>
      <c r="D1963" s="18">
        <v>0.1</v>
      </c>
      <c r="E1963" s="21">
        <f t="shared" si="205"/>
        <v>7.9741404289037643E-3</v>
      </c>
      <c r="F1963" s="5">
        <v>42697</v>
      </c>
      <c r="G1963" s="5">
        <v>44523</v>
      </c>
      <c r="H1963" s="16">
        <f t="shared" si="202"/>
        <v>1826</v>
      </c>
      <c r="I1963" s="5">
        <v>44553</v>
      </c>
      <c r="J1963" s="5">
        <v>44011</v>
      </c>
      <c r="K1963" s="16">
        <f t="shared" si="203"/>
        <v>1314</v>
      </c>
      <c r="L1963" s="13">
        <v>10500</v>
      </c>
      <c r="M1963" s="15">
        <f t="shared" si="201"/>
        <v>218.41937992371697</v>
      </c>
      <c r="N1963" s="13">
        <v>4542.88</v>
      </c>
      <c r="O1963" s="13">
        <v>0</v>
      </c>
      <c r="P1963" s="11">
        <f t="shared" si="206"/>
        <v>1</v>
      </c>
    </row>
    <row r="1964" spans="1:16" ht="18.75" customHeight="1" thickBot="1" x14ac:dyDescent="0.3">
      <c r="A1964" s="3" t="s">
        <v>11</v>
      </c>
      <c r="B1964" s="4">
        <v>213986</v>
      </c>
      <c r="C1964" s="3" t="s">
        <v>9</v>
      </c>
      <c r="D1964" s="18">
        <v>0.1</v>
      </c>
      <c r="E1964" s="21">
        <f t="shared" si="205"/>
        <v>7.9741404289037643E-3</v>
      </c>
      <c r="F1964" s="5">
        <v>42702</v>
      </c>
      <c r="G1964" s="5">
        <v>44709</v>
      </c>
      <c r="H1964" s="16">
        <f t="shared" si="202"/>
        <v>2007</v>
      </c>
      <c r="I1964" s="5">
        <v>44801</v>
      </c>
      <c r="J1964" s="5">
        <v>43829</v>
      </c>
      <c r="K1964" s="16">
        <f t="shared" si="203"/>
        <v>1127</v>
      </c>
      <c r="L1964" s="13">
        <v>30305.7</v>
      </c>
      <c r="M1964" s="15">
        <f t="shared" si="201"/>
        <v>586.28536203245915</v>
      </c>
      <c r="N1964" s="13">
        <v>19724.919999999998</v>
      </c>
      <c r="O1964" s="13">
        <v>2505.71</v>
      </c>
      <c r="P1964" s="11">
        <f t="shared" si="206"/>
        <v>1</v>
      </c>
    </row>
    <row r="1965" spans="1:16" ht="18.75" customHeight="1" thickBot="1" x14ac:dyDescent="0.3">
      <c r="A1965" s="3" t="s">
        <v>11</v>
      </c>
      <c r="B1965" s="4">
        <v>283509</v>
      </c>
      <c r="C1965" s="3" t="s">
        <v>9</v>
      </c>
      <c r="D1965" s="18">
        <v>0.1</v>
      </c>
      <c r="E1965" s="21">
        <f t="shared" si="205"/>
        <v>7.9741404289037643E-3</v>
      </c>
      <c r="F1965" s="5">
        <v>42702</v>
      </c>
      <c r="G1965" s="5">
        <v>44528</v>
      </c>
      <c r="H1965" s="16">
        <f t="shared" si="202"/>
        <v>1826</v>
      </c>
      <c r="I1965" s="5">
        <v>44528</v>
      </c>
      <c r="J1965" s="5">
        <v>42865</v>
      </c>
      <c r="K1965" s="16">
        <f t="shared" si="203"/>
        <v>163</v>
      </c>
      <c r="L1965" s="13">
        <v>16731.91</v>
      </c>
      <c r="M1965" s="15">
        <f t="shared" si="201"/>
        <v>348.05461020375611</v>
      </c>
      <c r="N1965" s="13">
        <v>16731.91</v>
      </c>
      <c r="O1965" s="13">
        <v>0</v>
      </c>
      <c r="P1965" s="11">
        <f t="shared" si="206"/>
        <v>1</v>
      </c>
    </row>
    <row r="1966" spans="1:16" ht="18.75" customHeight="1" thickBot="1" x14ac:dyDescent="0.3">
      <c r="A1966" s="3" t="s">
        <v>11</v>
      </c>
      <c r="B1966" s="4">
        <v>555768</v>
      </c>
      <c r="C1966" s="3" t="s">
        <v>9</v>
      </c>
      <c r="D1966" s="18">
        <v>0.09</v>
      </c>
      <c r="E1966" s="21">
        <f t="shared" si="205"/>
        <v>7.2073233161367156E-3</v>
      </c>
      <c r="F1966" s="5">
        <v>42702</v>
      </c>
      <c r="G1966" s="5">
        <v>45105</v>
      </c>
      <c r="H1966" s="16">
        <f t="shared" si="202"/>
        <v>2403</v>
      </c>
      <c r="I1966" s="5">
        <v>45105</v>
      </c>
      <c r="J1966" s="5">
        <v>43664</v>
      </c>
      <c r="K1966" s="16">
        <f t="shared" si="203"/>
        <v>962</v>
      </c>
      <c r="L1966" s="13">
        <v>15658.34</v>
      </c>
      <c r="M1966" s="15">
        <f t="shared" si="201"/>
        <v>257.99611233798754</v>
      </c>
      <c r="N1966" s="13">
        <v>15658.34</v>
      </c>
      <c r="O1966" s="13">
        <v>0</v>
      </c>
      <c r="P1966" s="11">
        <f t="shared" si="206"/>
        <v>1</v>
      </c>
    </row>
    <row r="1967" spans="1:16" ht="18.75" customHeight="1" thickBot="1" x14ac:dyDescent="0.3">
      <c r="A1967" s="3" t="s">
        <v>11</v>
      </c>
      <c r="B1967" s="4">
        <v>515326</v>
      </c>
      <c r="C1967" s="3" t="s">
        <v>9</v>
      </c>
      <c r="D1967" s="18">
        <v>0.1</v>
      </c>
      <c r="E1967" s="21">
        <f t="shared" si="205"/>
        <v>7.9741404289037643E-3</v>
      </c>
      <c r="F1967" s="5">
        <v>42704</v>
      </c>
      <c r="G1967" s="5">
        <v>44895</v>
      </c>
      <c r="H1967" s="16">
        <f t="shared" si="202"/>
        <v>2191</v>
      </c>
      <c r="I1967" s="5">
        <v>44895</v>
      </c>
      <c r="J1967" s="5">
        <v>42898</v>
      </c>
      <c r="K1967" s="16">
        <f t="shared" si="203"/>
        <v>194</v>
      </c>
      <c r="L1967" s="13">
        <v>12007.72</v>
      </c>
      <c r="M1967" s="15">
        <f t="shared" si="201"/>
        <v>217.54729790993633</v>
      </c>
      <c r="N1967" s="13">
        <v>12007.72</v>
      </c>
      <c r="O1967" s="13">
        <v>0</v>
      </c>
      <c r="P1967" s="11">
        <f t="shared" si="206"/>
        <v>1</v>
      </c>
    </row>
    <row r="1968" spans="1:16" ht="18.75" customHeight="1" thickBot="1" x14ac:dyDescent="0.3">
      <c r="A1968" s="3" t="s">
        <v>11</v>
      </c>
      <c r="B1968" s="4">
        <v>149126</v>
      </c>
      <c r="C1968" s="3" t="s">
        <v>9</v>
      </c>
      <c r="D1968" s="18">
        <v>0.12</v>
      </c>
      <c r="E1968" s="21">
        <f t="shared" si="205"/>
        <v>9.4887929345830457E-3</v>
      </c>
      <c r="F1968" s="5">
        <v>42709</v>
      </c>
      <c r="G1968" s="5">
        <v>43621</v>
      </c>
      <c r="H1968" s="16">
        <f t="shared" si="202"/>
        <v>912</v>
      </c>
      <c r="I1968" s="5">
        <v>43621</v>
      </c>
      <c r="J1968" s="5">
        <v>43075</v>
      </c>
      <c r="K1968" s="16">
        <f t="shared" si="203"/>
        <v>366</v>
      </c>
      <c r="L1968" s="13">
        <v>4892.92</v>
      </c>
      <c r="M1968" s="15">
        <f t="shared" si="201"/>
        <v>186.03694514838185</v>
      </c>
      <c r="N1968" s="13">
        <v>4892.92</v>
      </c>
      <c r="O1968" s="13">
        <v>0</v>
      </c>
      <c r="P1968" s="11">
        <f t="shared" si="206"/>
        <v>1</v>
      </c>
    </row>
    <row r="1969" spans="1:16" ht="18.75" customHeight="1" thickBot="1" x14ac:dyDescent="0.3">
      <c r="A1969" s="3" t="s">
        <v>11</v>
      </c>
      <c r="B1969" s="4">
        <v>629541</v>
      </c>
      <c r="C1969" s="3" t="s">
        <v>9</v>
      </c>
      <c r="D1969" s="18">
        <v>0.09</v>
      </c>
      <c r="E1969" s="21">
        <f t="shared" si="205"/>
        <v>7.2073233161367156E-3</v>
      </c>
      <c r="F1969" s="5">
        <v>42710</v>
      </c>
      <c r="G1969" s="5">
        <v>45418</v>
      </c>
      <c r="H1969" s="16">
        <f t="shared" si="202"/>
        <v>2708</v>
      </c>
      <c r="I1969" s="5">
        <v>45418</v>
      </c>
      <c r="J1969" s="5">
        <v>43644</v>
      </c>
      <c r="K1969" s="16">
        <f t="shared" si="203"/>
        <v>934</v>
      </c>
      <c r="L1969" s="13">
        <v>15781.94</v>
      </c>
      <c r="M1969" s="15">
        <f t="shared" si="201"/>
        <v>238.44092342909872</v>
      </c>
      <c r="N1969" s="13">
        <v>15781.94</v>
      </c>
      <c r="O1969" s="13">
        <v>0</v>
      </c>
      <c r="P1969" s="11">
        <f t="shared" si="206"/>
        <v>1</v>
      </c>
    </row>
    <row r="1970" spans="1:16" ht="18.75" customHeight="1" thickBot="1" x14ac:dyDescent="0.3">
      <c r="A1970" s="3" t="s">
        <v>11</v>
      </c>
      <c r="B1970" s="4">
        <v>821207</v>
      </c>
      <c r="C1970" s="3" t="s">
        <v>9</v>
      </c>
      <c r="D1970" s="18">
        <v>0.09</v>
      </c>
      <c r="E1970" s="21">
        <f t="shared" si="205"/>
        <v>7.2073233161367156E-3</v>
      </c>
      <c r="F1970" s="5">
        <v>42713</v>
      </c>
      <c r="G1970" s="5">
        <v>45295</v>
      </c>
      <c r="H1970" s="16">
        <f t="shared" si="202"/>
        <v>2582</v>
      </c>
      <c r="I1970" s="5">
        <v>45295</v>
      </c>
      <c r="J1970" s="5">
        <v>43651</v>
      </c>
      <c r="K1970" s="16">
        <f t="shared" si="203"/>
        <v>938</v>
      </c>
      <c r="L1970" s="13">
        <v>15865.74</v>
      </c>
      <c r="M1970" s="15">
        <f t="shared" si="201"/>
        <v>248.03337153640658</v>
      </c>
      <c r="N1970" s="13">
        <v>14640.12</v>
      </c>
      <c r="O1970" s="13">
        <v>14640.12</v>
      </c>
      <c r="P1970" s="11">
        <f t="shared" si="206"/>
        <v>1</v>
      </c>
    </row>
    <row r="1971" spans="1:16" ht="18.75" customHeight="1" thickBot="1" x14ac:dyDescent="0.3">
      <c r="A1971" s="3" t="s">
        <v>11</v>
      </c>
      <c r="B1971" s="4">
        <v>438050</v>
      </c>
      <c r="C1971" s="3" t="s">
        <v>9</v>
      </c>
      <c r="D1971" s="18">
        <v>0.1</v>
      </c>
      <c r="E1971" s="21">
        <f t="shared" si="205"/>
        <v>7.9741404289037643E-3</v>
      </c>
      <c r="F1971" s="5">
        <v>42716</v>
      </c>
      <c r="G1971" s="5">
        <v>44907</v>
      </c>
      <c r="H1971" s="16">
        <f t="shared" si="202"/>
        <v>2191</v>
      </c>
      <c r="I1971" s="5">
        <v>44907</v>
      </c>
      <c r="J1971" s="5">
        <v>43432</v>
      </c>
      <c r="K1971" s="16">
        <f t="shared" si="203"/>
        <v>716</v>
      </c>
      <c r="L1971" s="13">
        <v>4259.6099999999997</v>
      </c>
      <c r="M1971" s="15">
        <f t="shared" si="201"/>
        <v>77.172572782355346</v>
      </c>
      <c r="N1971" s="13">
        <v>3910.26</v>
      </c>
      <c r="O1971" s="13">
        <v>0</v>
      </c>
      <c r="P1971" s="11">
        <f t="shared" si="206"/>
        <v>1</v>
      </c>
    </row>
    <row r="1972" spans="1:16" ht="18.75" customHeight="1" thickBot="1" x14ac:dyDescent="0.3">
      <c r="A1972" s="3" t="s">
        <v>11</v>
      </c>
      <c r="B1972" s="4">
        <v>149745</v>
      </c>
      <c r="C1972" s="3" t="s">
        <v>9</v>
      </c>
      <c r="D1972" s="18">
        <v>0.1</v>
      </c>
      <c r="E1972" s="21">
        <f t="shared" si="205"/>
        <v>7.9741404289037643E-3</v>
      </c>
      <c r="F1972" s="5">
        <v>42717</v>
      </c>
      <c r="G1972" s="5">
        <v>44946</v>
      </c>
      <c r="H1972" s="16">
        <f t="shared" si="202"/>
        <v>2229</v>
      </c>
      <c r="I1972" s="5">
        <v>44946</v>
      </c>
      <c r="J1972" s="5">
        <v>43725</v>
      </c>
      <c r="K1972" s="16">
        <f t="shared" si="203"/>
        <v>1008</v>
      </c>
      <c r="L1972" s="13">
        <v>11323.58</v>
      </c>
      <c r="M1972" s="15">
        <f t="shared" si="201"/>
        <v>202.57319916747687</v>
      </c>
      <c r="N1972" s="13">
        <v>11323.58</v>
      </c>
      <c r="O1972" s="13">
        <v>0</v>
      </c>
      <c r="P1972" s="11">
        <f t="shared" si="206"/>
        <v>1</v>
      </c>
    </row>
    <row r="1973" spans="1:16" ht="18.75" customHeight="1" thickBot="1" x14ac:dyDescent="0.3">
      <c r="A1973" s="3" t="s">
        <v>11</v>
      </c>
      <c r="B1973" s="4">
        <v>175231</v>
      </c>
      <c r="C1973" s="3" t="s">
        <v>2</v>
      </c>
      <c r="D1973" s="18">
        <v>0.09</v>
      </c>
      <c r="E1973" s="21">
        <f t="shared" si="205"/>
        <v>7.2073233161367156E-3</v>
      </c>
      <c r="F1973" s="5">
        <v>42719</v>
      </c>
      <c r="G1973" s="5">
        <v>43661</v>
      </c>
      <c r="H1973" s="16">
        <f t="shared" si="202"/>
        <v>942</v>
      </c>
      <c r="I1973" s="5">
        <v>43661</v>
      </c>
      <c r="J1973" s="5">
        <v>43725</v>
      </c>
      <c r="K1973" s="16">
        <f t="shared" si="203"/>
        <v>1006</v>
      </c>
      <c r="L1973" s="13">
        <v>10064.76</v>
      </c>
      <c r="M1973" s="15">
        <f t="shared" si="201"/>
        <v>359.31944335652452</v>
      </c>
      <c r="N1973" s="13">
        <v>10064.76</v>
      </c>
      <c r="O1973" s="13">
        <v>0</v>
      </c>
      <c r="P1973" s="11">
        <f t="shared" si="206"/>
        <v>1</v>
      </c>
    </row>
    <row r="1974" spans="1:16" ht="18.75" customHeight="1" thickBot="1" x14ac:dyDescent="0.3">
      <c r="A1974" s="3" t="s">
        <v>11</v>
      </c>
      <c r="B1974" s="4">
        <v>689069</v>
      </c>
      <c r="C1974" s="3" t="s">
        <v>19</v>
      </c>
      <c r="D1974" s="18">
        <v>0.08</v>
      </c>
      <c r="E1974" s="21">
        <f t="shared" si="205"/>
        <v>6.4340301100034303E-3</v>
      </c>
      <c r="F1974" s="5">
        <v>42725</v>
      </c>
      <c r="G1974" s="5">
        <v>43455</v>
      </c>
      <c r="H1974" s="16">
        <f t="shared" si="202"/>
        <v>730</v>
      </c>
      <c r="I1974" s="5">
        <v>43455</v>
      </c>
      <c r="J1974" s="5">
        <v>43685</v>
      </c>
      <c r="K1974" s="16">
        <f t="shared" si="203"/>
        <v>960</v>
      </c>
      <c r="L1974" s="13">
        <v>18420.88</v>
      </c>
      <c r="M1974" s="15">
        <f t="shared" si="201"/>
        <v>820.25619622327565</v>
      </c>
      <c r="N1974" s="13">
        <v>12300</v>
      </c>
      <c r="O1974" s="13">
        <v>0</v>
      </c>
      <c r="P1974" s="11">
        <f t="shared" si="206"/>
        <v>1</v>
      </c>
    </row>
    <row r="1975" spans="1:16" ht="18.75" customHeight="1" thickBot="1" x14ac:dyDescent="0.3">
      <c r="A1975" s="3" t="s">
        <v>11</v>
      </c>
      <c r="B1975" s="4">
        <v>247742</v>
      </c>
      <c r="C1975" s="3" t="s">
        <v>9</v>
      </c>
      <c r="D1975" s="18">
        <v>0.1</v>
      </c>
      <c r="E1975" s="21">
        <f t="shared" si="205"/>
        <v>7.9741404289037643E-3</v>
      </c>
      <c r="F1975" s="5">
        <v>42731</v>
      </c>
      <c r="G1975" s="5">
        <v>44557</v>
      </c>
      <c r="H1975" s="16">
        <f t="shared" si="202"/>
        <v>1826</v>
      </c>
      <c r="I1975" s="5">
        <v>44557</v>
      </c>
      <c r="J1975" s="5">
        <v>42898</v>
      </c>
      <c r="K1975" s="16">
        <f t="shared" si="203"/>
        <v>167</v>
      </c>
      <c r="L1975" s="13">
        <v>6476.99</v>
      </c>
      <c r="M1975" s="15">
        <f t="shared" si="201"/>
        <v>134.73334662591577</v>
      </c>
      <c r="N1975" s="13">
        <v>6476.99</v>
      </c>
      <c r="O1975" s="13">
        <v>0</v>
      </c>
      <c r="P1975" s="11">
        <f t="shared" si="206"/>
        <v>1</v>
      </c>
    </row>
    <row r="1976" spans="1:16" ht="18.75" customHeight="1" thickBot="1" x14ac:dyDescent="0.3">
      <c r="A1976" s="3" t="s">
        <v>11</v>
      </c>
      <c r="B1976" s="4">
        <v>175851</v>
      </c>
      <c r="C1976" s="3" t="s">
        <v>9</v>
      </c>
      <c r="D1976" s="18">
        <v>0.1</v>
      </c>
      <c r="E1976" s="21">
        <f t="shared" si="205"/>
        <v>7.9741404289037643E-3</v>
      </c>
      <c r="F1976" s="5">
        <v>42732</v>
      </c>
      <c r="G1976" s="5">
        <v>44375</v>
      </c>
      <c r="H1976" s="16">
        <f t="shared" si="202"/>
        <v>1643</v>
      </c>
      <c r="I1976" s="5">
        <v>44375</v>
      </c>
      <c r="J1976" s="5">
        <v>42892</v>
      </c>
      <c r="K1976" s="16">
        <f t="shared" si="203"/>
        <v>160</v>
      </c>
      <c r="L1976" s="13">
        <v>40592.9</v>
      </c>
      <c r="M1976" s="15">
        <f t="shared" si="201"/>
        <v>917.6918861640022</v>
      </c>
      <c r="N1976" s="13">
        <v>40592.9</v>
      </c>
      <c r="O1976" s="13">
        <v>0</v>
      </c>
      <c r="P1976" s="11">
        <f t="shared" si="206"/>
        <v>1</v>
      </c>
    </row>
    <row r="1977" spans="1:16" ht="18.75" customHeight="1" thickBot="1" x14ac:dyDescent="0.3">
      <c r="A1977" s="3" t="s">
        <v>11</v>
      </c>
      <c r="B1977" s="4">
        <v>280302</v>
      </c>
      <c r="C1977" s="3" t="s">
        <v>9</v>
      </c>
      <c r="D1977" s="18">
        <v>0.14000000000000001</v>
      </c>
      <c r="E1977" s="21">
        <f t="shared" si="205"/>
        <v>1.0978851950173452E-2</v>
      </c>
      <c r="F1977" s="5">
        <v>42733</v>
      </c>
      <c r="G1977" s="5">
        <v>44284</v>
      </c>
      <c r="H1977" s="16">
        <f t="shared" si="202"/>
        <v>1551</v>
      </c>
      <c r="I1977" s="5">
        <v>44406</v>
      </c>
      <c r="J1977" s="5">
        <v>44099</v>
      </c>
      <c r="K1977" s="16">
        <f t="shared" si="203"/>
        <v>1366</v>
      </c>
      <c r="L1977" s="13">
        <v>16921.169999999998</v>
      </c>
      <c r="M1977" s="15">
        <f t="shared" si="201"/>
        <v>430.66956881361381</v>
      </c>
      <c r="N1977" s="13">
        <v>5170.18</v>
      </c>
      <c r="O1977" s="13">
        <v>0</v>
      </c>
      <c r="P1977" s="11">
        <f t="shared" si="206"/>
        <v>1</v>
      </c>
    </row>
    <row r="1978" spans="1:16" ht="18.75" customHeight="1" thickBot="1" x14ac:dyDescent="0.3">
      <c r="A1978" s="3" t="s">
        <v>11</v>
      </c>
      <c r="B1978" s="4">
        <v>132773</v>
      </c>
      <c r="C1978" s="3" t="s">
        <v>12</v>
      </c>
      <c r="D1978" s="18">
        <v>0.08</v>
      </c>
      <c r="E1978" s="21">
        <f t="shared" si="205"/>
        <v>6.4340301100034303E-3</v>
      </c>
      <c r="F1978" s="5">
        <v>42733</v>
      </c>
      <c r="G1978" s="5">
        <v>44559</v>
      </c>
      <c r="H1978" s="16">
        <f t="shared" si="202"/>
        <v>1826</v>
      </c>
      <c r="I1978" s="5">
        <v>44620</v>
      </c>
      <c r="J1978" s="5">
        <v>43802</v>
      </c>
      <c r="K1978" s="16">
        <f t="shared" si="203"/>
        <v>1069</v>
      </c>
      <c r="L1978" s="13">
        <v>12685.79</v>
      </c>
      <c r="M1978" s="15">
        <f t="shared" si="201"/>
        <v>252.54790873392321</v>
      </c>
      <c r="N1978" s="13">
        <v>6700</v>
      </c>
      <c r="O1978" s="13">
        <v>0</v>
      </c>
      <c r="P1978" s="11">
        <f t="shared" si="206"/>
        <v>1</v>
      </c>
    </row>
    <row r="1979" spans="1:16" ht="18.75" customHeight="1" thickBot="1" x14ac:dyDescent="0.3">
      <c r="A1979" s="3" t="s">
        <v>11</v>
      </c>
      <c r="B1979" s="4">
        <v>830605</v>
      </c>
      <c r="C1979" s="3" t="s">
        <v>3</v>
      </c>
      <c r="D1979" s="18">
        <v>7.4999999999999997E-2</v>
      </c>
      <c r="E1979" s="21">
        <f t="shared" si="205"/>
        <v>6.0449190242917172E-3</v>
      </c>
      <c r="F1979" s="5">
        <v>42734</v>
      </c>
      <c r="G1979" s="5">
        <v>43099</v>
      </c>
      <c r="H1979" s="16">
        <f t="shared" si="202"/>
        <v>365</v>
      </c>
      <c r="I1979" s="5">
        <v>43498</v>
      </c>
      <c r="J1979" s="5">
        <v>43994</v>
      </c>
      <c r="K1979" s="16">
        <f t="shared" si="203"/>
        <v>1260</v>
      </c>
      <c r="L1979" s="13">
        <v>440000</v>
      </c>
      <c r="M1979" s="15">
        <f t="shared" si="201"/>
        <v>37619.712177862464</v>
      </c>
      <c r="N1979" s="13">
        <v>362874.15</v>
      </c>
      <c r="O1979" s="13">
        <v>0</v>
      </c>
      <c r="P1979" s="11">
        <f t="shared" si="206"/>
        <v>1</v>
      </c>
    </row>
    <row r="1980" spans="1:16" ht="18.75" customHeight="1" thickBot="1" x14ac:dyDescent="0.3">
      <c r="A1980" s="3" t="s">
        <v>11</v>
      </c>
      <c r="B1980" s="4">
        <v>859820</v>
      </c>
      <c r="C1980" s="3" t="s">
        <v>9</v>
      </c>
      <c r="D1980" s="18">
        <v>0.1</v>
      </c>
      <c r="E1980" s="21">
        <f t="shared" si="205"/>
        <v>7.9741404289037643E-3</v>
      </c>
      <c r="F1980" s="5">
        <v>42738</v>
      </c>
      <c r="G1980" s="5">
        <v>44564</v>
      </c>
      <c r="H1980" s="16">
        <f t="shared" si="202"/>
        <v>1826</v>
      </c>
      <c r="I1980" s="5">
        <v>44564</v>
      </c>
      <c r="J1980" s="5">
        <v>43542</v>
      </c>
      <c r="K1980" s="16">
        <f t="shared" si="203"/>
        <v>804</v>
      </c>
      <c r="L1980" s="13">
        <v>9225.1299999999992</v>
      </c>
      <c r="M1980" s="15">
        <f t="shared" si="201"/>
        <v>191.89973088720751</v>
      </c>
      <c r="N1980" s="13">
        <v>8554.26</v>
      </c>
      <c r="O1980" s="13">
        <v>0</v>
      </c>
      <c r="P1980" s="11">
        <f t="shared" ref="P1980:P1997" si="207">IF((G1980)&gt;(ConstantDateCutoff),1,0)</f>
        <v>1</v>
      </c>
    </row>
    <row r="1981" spans="1:16" ht="18.75" customHeight="1" thickBot="1" x14ac:dyDescent="0.3">
      <c r="A1981" s="3" t="s">
        <v>11</v>
      </c>
      <c r="B1981" s="4">
        <v>337441</v>
      </c>
      <c r="C1981" s="3" t="s">
        <v>9</v>
      </c>
      <c r="D1981" s="18">
        <v>0.09</v>
      </c>
      <c r="E1981" s="21">
        <f t="shared" si="205"/>
        <v>7.2073233161367156E-3</v>
      </c>
      <c r="F1981" s="5">
        <v>42739</v>
      </c>
      <c r="G1981" s="5">
        <v>45295</v>
      </c>
      <c r="H1981" s="16">
        <f t="shared" si="202"/>
        <v>2556</v>
      </c>
      <c r="I1981" s="5">
        <v>45458</v>
      </c>
      <c r="J1981" s="5">
        <v>45064</v>
      </c>
      <c r="K1981" s="16">
        <f t="shared" si="203"/>
        <v>2325</v>
      </c>
      <c r="L1981" s="13">
        <v>37746.31</v>
      </c>
      <c r="M1981" s="15">
        <f t="shared" si="201"/>
        <v>594.43698224833679</v>
      </c>
      <c r="N1981" s="13">
        <v>8493.31</v>
      </c>
      <c r="O1981" s="13">
        <v>0</v>
      </c>
      <c r="P1981" s="11">
        <f t="shared" si="207"/>
        <v>1</v>
      </c>
    </row>
    <row r="1982" spans="1:16" ht="18.75" customHeight="1" thickBot="1" x14ac:dyDescent="0.3">
      <c r="A1982" s="3" t="s">
        <v>11</v>
      </c>
      <c r="B1982" s="4">
        <v>136096</v>
      </c>
      <c r="C1982" s="3" t="s">
        <v>9</v>
      </c>
      <c r="D1982" s="18">
        <v>0.1</v>
      </c>
      <c r="E1982" s="21">
        <f t="shared" si="205"/>
        <v>7.9741404289037643E-3</v>
      </c>
      <c r="F1982" s="5">
        <v>42744</v>
      </c>
      <c r="G1982" s="5">
        <v>44948</v>
      </c>
      <c r="H1982" s="16">
        <f t="shared" si="202"/>
        <v>2204</v>
      </c>
      <c r="I1982" s="5">
        <v>44948</v>
      </c>
      <c r="J1982" s="5">
        <v>43496</v>
      </c>
      <c r="K1982" s="16">
        <f t="shared" si="203"/>
        <v>752</v>
      </c>
      <c r="L1982" s="13">
        <v>14558.76</v>
      </c>
      <c r="M1982" s="15">
        <f t="shared" si="201"/>
        <v>262.61747434340629</v>
      </c>
      <c r="N1982" s="13">
        <v>13824.55</v>
      </c>
      <c r="O1982" s="13">
        <v>224.28</v>
      </c>
      <c r="P1982" s="11">
        <f t="shared" si="207"/>
        <v>1</v>
      </c>
    </row>
    <row r="1983" spans="1:16" ht="18.75" customHeight="1" thickBot="1" x14ac:dyDescent="0.3">
      <c r="A1983" s="3" t="s">
        <v>11</v>
      </c>
      <c r="B1983" s="4">
        <v>343504</v>
      </c>
      <c r="C1983" s="3" t="s">
        <v>9</v>
      </c>
      <c r="D1983" s="18">
        <v>0.11</v>
      </c>
      <c r="E1983" s="21">
        <f t="shared" si="205"/>
        <v>8.7345938235519061E-3</v>
      </c>
      <c r="F1983" s="5">
        <v>42746</v>
      </c>
      <c r="G1983" s="5">
        <v>43841</v>
      </c>
      <c r="H1983" s="16">
        <f t="shared" si="202"/>
        <v>1095</v>
      </c>
      <c r="I1983" s="5">
        <v>43841</v>
      </c>
      <c r="J1983" s="5">
        <v>43725</v>
      </c>
      <c r="K1983" s="16">
        <f t="shared" si="203"/>
        <v>979</v>
      </c>
      <c r="L1983" s="13">
        <v>3500</v>
      </c>
      <c r="M1983" s="15">
        <f t="shared" si="201"/>
        <v>112.40144756964199</v>
      </c>
      <c r="N1983" s="13">
        <v>993.57</v>
      </c>
      <c r="O1983" s="13">
        <v>100</v>
      </c>
      <c r="P1983" s="11">
        <f t="shared" si="207"/>
        <v>1</v>
      </c>
    </row>
    <row r="1984" spans="1:16" ht="18.75" hidden="1" customHeight="1" thickBot="1" x14ac:dyDescent="0.3">
      <c r="A1984" s="3" t="s">
        <v>11</v>
      </c>
      <c r="B1984" s="4">
        <v>492764</v>
      </c>
      <c r="C1984" s="3" t="s">
        <v>9</v>
      </c>
      <c r="D1984" s="18">
        <v>9.5000000000000001E-2</v>
      </c>
      <c r="E1984" s="21">
        <f t="shared" si="205"/>
        <v>7.5915342905825689E-3</v>
      </c>
      <c r="F1984" s="5">
        <v>42747</v>
      </c>
      <c r="G1984" s="5">
        <v>43081</v>
      </c>
      <c r="H1984" s="16">
        <f t="shared" si="202"/>
        <v>334</v>
      </c>
      <c r="I1984" s="5">
        <v>43081</v>
      </c>
      <c r="J1984" s="2"/>
      <c r="K1984" s="16">
        <f t="shared" si="203"/>
        <v>-42747</v>
      </c>
      <c r="L1984" s="13">
        <v>20000</v>
      </c>
      <c r="M1984" s="15">
        <f t="shared" si="201"/>
        <v>1880.1978949988743</v>
      </c>
      <c r="N1984" s="13">
        <v>20000</v>
      </c>
      <c r="O1984" s="13">
        <v>0</v>
      </c>
      <c r="P1984" s="11">
        <f t="shared" si="207"/>
        <v>1</v>
      </c>
    </row>
    <row r="1985" spans="1:16" ht="18.75" customHeight="1" thickBot="1" x14ac:dyDescent="0.3">
      <c r="A1985" s="3" t="s">
        <v>11</v>
      </c>
      <c r="B1985" s="4">
        <v>628196</v>
      </c>
      <c r="C1985" s="3" t="s">
        <v>9</v>
      </c>
      <c r="D1985" s="18">
        <v>0.1</v>
      </c>
      <c r="E1985" s="21">
        <f t="shared" si="205"/>
        <v>7.9741404289037643E-3</v>
      </c>
      <c r="F1985" s="5">
        <v>42748</v>
      </c>
      <c r="G1985" s="5">
        <v>44998</v>
      </c>
      <c r="H1985" s="16">
        <f t="shared" si="202"/>
        <v>2250</v>
      </c>
      <c r="I1985" s="5">
        <v>44998</v>
      </c>
      <c r="J1985" s="5">
        <v>43496</v>
      </c>
      <c r="K1985" s="16">
        <f t="shared" si="203"/>
        <v>748</v>
      </c>
      <c r="L1985" s="13">
        <v>12498.43</v>
      </c>
      <c r="M1985" s="15">
        <f t="shared" si="201"/>
        <v>222.05978998612144</v>
      </c>
      <c r="N1985" s="13">
        <v>12498.43</v>
      </c>
      <c r="O1985" s="13">
        <v>12498.43</v>
      </c>
      <c r="P1985" s="11">
        <f t="shared" si="207"/>
        <v>1</v>
      </c>
    </row>
    <row r="1986" spans="1:16" ht="18.75" customHeight="1" thickBot="1" x14ac:dyDescent="0.3">
      <c r="A1986" s="3" t="s">
        <v>11</v>
      </c>
      <c r="B1986" s="4">
        <v>418578</v>
      </c>
      <c r="C1986" s="3" t="s">
        <v>9</v>
      </c>
      <c r="D1986" s="18">
        <v>0.1</v>
      </c>
      <c r="E1986" s="21">
        <f t="shared" si="205"/>
        <v>7.9741404289037643E-3</v>
      </c>
      <c r="F1986" s="5">
        <v>42752</v>
      </c>
      <c r="G1986" s="5">
        <v>44943</v>
      </c>
      <c r="H1986" s="16">
        <f t="shared" si="202"/>
        <v>2191</v>
      </c>
      <c r="I1986" s="5">
        <v>45033</v>
      </c>
      <c r="J1986" s="5">
        <v>44916</v>
      </c>
      <c r="K1986" s="16">
        <f t="shared" si="203"/>
        <v>2164</v>
      </c>
      <c r="L1986" s="13">
        <v>15458.67</v>
      </c>
      <c r="M1986" s="15">
        <f t="shared" ref="M1986:M2049" si="208">-PMT(E1986,(H1986/30),L1986)</f>
        <v>280.06914616441713</v>
      </c>
      <c r="N1986" s="13">
        <v>2023.13</v>
      </c>
      <c r="O1986" s="13">
        <v>2023.13</v>
      </c>
      <c r="P1986" s="11">
        <f t="shared" si="207"/>
        <v>1</v>
      </c>
    </row>
    <row r="1987" spans="1:16" ht="18.75" customHeight="1" thickBot="1" x14ac:dyDescent="0.3">
      <c r="A1987" s="3" t="s">
        <v>11</v>
      </c>
      <c r="B1987" s="4">
        <v>381524</v>
      </c>
      <c r="C1987" s="3" t="s">
        <v>9</v>
      </c>
      <c r="D1987" s="18">
        <v>0.14000000000000001</v>
      </c>
      <c r="E1987" s="21">
        <f t="shared" si="205"/>
        <v>1.0978851950173452E-2</v>
      </c>
      <c r="F1987" s="5">
        <v>42762</v>
      </c>
      <c r="G1987" s="5">
        <v>43582</v>
      </c>
      <c r="H1987" s="16">
        <f t="shared" ref="H1987:H2050" si="209">G1987-F1987</f>
        <v>820</v>
      </c>
      <c r="I1987" s="5">
        <v>43582</v>
      </c>
      <c r="J1987" s="5">
        <v>43005</v>
      </c>
      <c r="K1987" s="16">
        <f t="shared" ref="K1987:K2050" si="210">J1987-F1987</f>
        <v>243</v>
      </c>
      <c r="L1987" s="13">
        <v>4486.88</v>
      </c>
      <c r="M1987" s="15">
        <f t="shared" si="208"/>
        <v>190.90736944555834</v>
      </c>
      <c r="N1987" s="13">
        <v>4486.88</v>
      </c>
      <c r="O1987" s="13">
        <v>0</v>
      </c>
      <c r="P1987" s="11">
        <f t="shared" si="207"/>
        <v>1</v>
      </c>
    </row>
    <row r="1988" spans="1:16" ht="18.75" customHeight="1" thickBot="1" x14ac:dyDescent="0.3">
      <c r="A1988" s="3" t="s">
        <v>11</v>
      </c>
      <c r="B1988" s="4">
        <v>137869</v>
      </c>
      <c r="C1988" s="3" t="s">
        <v>19</v>
      </c>
      <c r="D1988" s="18">
        <v>0.1</v>
      </c>
      <c r="E1988" s="21">
        <f t="shared" si="205"/>
        <v>7.9741404289037643E-3</v>
      </c>
      <c r="F1988" s="5">
        <v>42768</v>
      </c>
      <c r="G1988" s="5">
        <v>44229</v>
      </c>
      <c r="H1988" s="16">
        <f t="shared" si="209"/>
        <v>1461</v>
      </c>
      <c r="I1988" s="5">
        <v>44229</v>
      </c>
      <c r="J1988" s="5">
        <v>43371</v>
      </c>
      <c r="K1988" s="16">
        <f t="shared" si="210"/>
        <v>603</v>
      </c>
      <c r="L1988" s="13">
        <v>3095.74</v>
      </c>
      <c r="M1988" s="15">
        <f t="shared" si="208"/>
        <v>76.957333621117513</v>
      </c>
      <c r="N1988" s="13">
        <v>2506.02</v>
      </c>
      <c r="O1988" s="13">
        <v>0</v>
      </c>
      <c r="P1988" s="11">
        <f t="shared" si="207"/>
        <v>1</v>
      </c>
    </row>
    <row r="1989" spans="1:16" ht="18.75" customHeight="1" thickBot="1" x14ac:dyDescent="0.3">
      <c r="A1989" s="3" t="s">
        <v>11</v>
      </c>
      <c r="B1989" s="4">
        <v>418991</v>
      </c>
      <c r="C1989" s="3" t="s">
        <v>9</v>
      </c>
      <c r="D1989" s="18">
        <v>0.09</v>
      </c>
      <c r="E1989" s="21">
        <f t="shared" si="205"/>
        <v>7.2073233161367156E-3</v>
      </c>
      <c r="F1989" s="5">
        <v>42768</v>
      </c>
      <c r="G1989" s="5">
        <v>43498</v>
      </c>
      <c r="H1989" s="16">
        <f t="shared" si="209"/>
        <v>730</v>
      </c>
      <c r="I1989" s="5">
        <v>43498</v>
      </c>
      <c r="J1989" s="5">
        <v>42977</v>
      </c>
      <c r="K1989" s="16">
        <f t="shared" si="210"/>
        <v>209</v>
      </c>
      <c r="L1989" s="13">
        <v>1473.94</v>
      </c>
      <c r="M1989" s="15">
        <f t="shared" si="208"/>
        <v>66.257101091171876</v>
      </c>
      <c r="N1989" s="13">
        <v>1473.94</v>
      </c>
      <c r="O1989" s="13">
        <v>0</v>
      </c>
      <c r="P1989" s="11">
        <f t="shared" si="207"/>
        <v>1</v>
      </c>
    </row>
    <row r="1990" spans="1:16" ht="18.75" customHeight="1" thickBot="1" x14ac:dyDescent="0.3">
      <c r="A1990" s="3" t="s">
        <v>11</v>
      </c>
      <c r="B1990" s="4">
        <v>255256</v>
      </c>
      <c r="C1990" s="3" t="s">
        <v>9</v>
      </c>
      <c r="D1990" s="18">
        <v>0.1</v>
      </c>
      <c r="E1990" s="21">
        <f t="shared" si="205"/>
        <v>7.9741404289037643E-3</v>
      </c>
      <c r="F1990" s="5">
        <v>42769</v>
      </c>
      <c r="G1990" s="5">
        <v>44221</v>
      </c>
      <c r="H1990" s="16">
        <f t="shared" si="209"/>
        <v>1452</v>
      </c>
      <c r="I1990" s="5">
        <v>44490</v>
      </c>
      <c r="J1990" s="5">
        <v>43725</v>
      </c>
      <c r="K1990" s="16">
        <f t="shared" si="210"/>
        <v>956</v>
      </c>
      <c r="L1990" s="13">
        <v>6163.71</v>
      </c>
      <c r="M1990" s="15">
        <f t="shared" si="208"/>
        <v>154.0022593258667</v>
      </c>
      <c r="N1990" s="13">
        <v>3412.69</v>
      </c>
      <c r="O1990" s="13">
        <v>3412.69</v>
      </c>
      <c r="P1990" s="11">
        <f t="shared" si="207"/>
        <v>1</v>
      </c>
    </row>
    <row r="1991" spans="1:16" ht="18.75" customHeight="1" thickBot="1" x14ac:dyDescent="0.3">
      <c r="A1991" s="3" t="s">
        <v>11</v>
      </c>
      <c r="B1991" s="4">
        <v>900519</v>
      </c>
      <c r="C1991" s="3" t="s">
        <v>12</v>
      </c>
      <c r="D1991" s="18">
        <v>0.14000000000000001</v>
      </c>
      <c r="E1991" s="21">
        <f t="shared" si="205"/>
        <v>1.0978851950173452E-2</v>
      </c>
      <c r="F1991" s="5">
        <v>42773</v>
      </c>
      <c r="G1991" s="5">
        <v>44234</v>
      </c>
      <c r="H1991" s="16">
        <f t="shared" si="209"/>
        <v>1461</v>
      </c>
      <c r="I1991" s="5">
        <v>44234</v>
      </c>
      <c r="J1991" s="5">
        <v>43815</v>
      </c>
      <c r="K1991" s="16">
        <f t="shared" si="210"/>
        <v>1042</v>
      </c>
      <c r="L1991" s="13">
        <v>13111.93</v>
      </c>
      <c r="M1991" s="15">
        <f t="shared" si="208"/>
        <v>349.0402284594627</v>
      </c>
      <c r="N1991" s="13">
        <v>6264.17</v>
      </c>
      <c r="O1991" s="13">
        <v>3250</v>
      </c>
      <c r="P1991" s="11">
        <f t="shared" si="207"/>
        <v>1</v>
      </c>
    </row>
    <row r="1992" spans="1:16" ht="18.75" customHeight="1" thickBot="1" x14ac:dyDescent="0.3">
      <c r="A1992" s="3" t="s">
        <v>11</v>
      </c>
      <c r="B1992" s="4">
        <v>660233</v>
      </c>
      <c r="C1992" s="3" t="s">
        <v>9</v>
      </c>
      <c r="D1992" s="18">
        <v>0.09</v>
      </c>
      <c r="E1992" s="21">
        <f t="shared" si="205"/>
        <v>7.2073233161367156E-3</v>
      </c>
      <c r="F1992" s="5">
        <v>42772</v>
      </c>
      <c r="G1992" s="5">
        <v>45022</v>
      </c>
      <c r="H1992" s="16">
        <f t="shared" si="209"/>
        <v>2250</v>
      </c>
      <c r="I1992" s="5">
        <v>45022</v>
      </c>
      <c r="J1992" s="5">
        <v>43654</v>
      </c>
      <c r="K1992" s="16">
        <f t="shared" si="210"/>
        <v>882</v>
      </c>
      <c r="L1992" s="13">
        <v>41148.94</v>
      </c>
      <c r="M1992" s="15">
        <f t="shared" si="208"/>
        <v>712.16174124913039</v>
      </c>
      <c r="N1992" s="13">
        <v>37932.75</v>
      </c>
      <c r="O1992" s="13">
        <v>37932.75</v>
      </c>
      <c r="P1992" s="11">
        <f t="shared" si="207"/>
        <v>1</v>
      </c>
    </row>
    <row r="1993" spans="1:16" ht="18.75" customHeight="1" thickBot="1" x14ac:dyDescent="0.3">
      <c r="A1993" s="3" t="s">
        <v>11</v>
      </c>
      <c r="B1993" s="4">
        <v>123531</v>
      </c>
      <c r="C1993" s="3" t="s">
        <v>9</v>
      </c>
      <c r="D1993" s="18">
        <v>0.1</v>
      </c>
      <c r="E1993" s="21">
        <f t="shared" si="205"/>
        <v>7.9741404289037643E-3</v>
      </c>
      <c r="F1993" s="5">
        <v>42788</v>
      </c>
      <c r="G1993" s="5">
        <v>44614</v>
      </c>
      <c r="H1993" s="16">
        <f t="shared" si="209"/>
        <v>1826</v>
      </c>
      <c r="I1993" s="5">
        <v>44614</v>
      </c>
      <c r="J1993" s="5">
        <v>43636</v>
      </c>
      <c r="K1993" s="16">
        <f t="shared" si="210"/>
        <v>848</v>
      </c>
      <c r="L1993" s="13">
        <v>8556.1200000000008</v>
      </c>
      <c r="M1993" s="15">
        <f t="shared" si="208"/>
        <v>177.98308809075365</v>
      </c>
      <c r="N1993" s="13">
        <v>8556.1200000000008</v>
      </c>
      <c r="O1993" s="13">
        <v>0</v>
      </c>
      <c r="P1993" s="11">
        <f t="shared" si="207"/>
        <v>1</v>
      </c>
    </row>
    <row r="1994" spans="1:16" ht="18.75" customHeight="1" thickBot="1" x14ac:dyDescent="0.3">
      <c r="A1994" s="3" t="s">
        <v>11</v>
      </c>
      <c r="B1994" s="4">
        <v>329180</v>
      </c>
      <c r="C1994" s="3" t="s">
        <v>9</v>
      </c>
      <c r="D1994" s="18">
        <v>0.11</v>
      </c>
      <c r="E1994" s="21">
        <f t="shared" si="205"/>
        <v>8.7345938235519061E-3</v>
      </c>
      <c r="F1994" s="5">
        <v>42788</v>
      </c>
      <c r="G1994" s="5">
        <v>43519</v>
      </c>
      <c r="H1994" s="16">
        <f t="shared" si="209"/>
        <v>731</v>
      </c>
      <c r="I1994" s="5">
        <v>43519</v>
      </c>
      <c r="J1994" s="5">
        <v>43542</v>
      </c>
      <c r="K1994" s="16">
        <f t="shared" si="210"/>
        <v>754</v>
      </c>
      <c r="L1994" s="13">
        <v>4058.69</v>
      </c>
      <c r="M1994" s="15">
        <f t="shared" si="208"/>
        <v>185.64476756070744</v>
      </c>
      <c r="N1994" s="13">
        <v>3775.63</v>
      </c>
      <c r="O1994" s="13">
        <v>0</v>
      </c>
      <c r="P1994" s="11">
        <f t="shared" si="207"/>
        <v>1</v>
      </c>
    </row>
    <row r="1995" spans="1:16" ht="18.75" customHeight="1" thickBot="1" x14ac:dyDescent="0.3">
      <c r="A1995" s="3" t="s">
        <v>11</v>
      </c>
      <c r="B1995" s="4">
        <v>600213</v>
      </c>
      <c r="C1995" s="3" t="s">
        <v>9</v>
      </c>
      <c r="D1995" s="18">
        <v>0.14000000000000001</v>
      </c>
      <c r="E1995" s="21">
        <f t="shared" si="205"/>
        <v>1.0978851950173452E-2</v>
      </c>
      <c r="F1995" s="5">
        <v>42790</v>
      </c>
      <c r="G1995" s="5">
        <v>43579</v>
      </c>
      <c r="H1995" s="16">
        <f t="shared" si="209"/>
        <v>789</v>
      </c>
      <c r="I1995" s="5">
        <v>43579</v>
      </c>
      <c r="J1995" s="5">
        <v>43370</v>
      </c>
      <c r="K1995" s="16">
        <f t="shared" si="210"/>
        <v>580</v>
      </c>
      <c r="L1995" s="13">
        <v>2127.91</v>
      </c>
      <c r="M1995" s="15">
        <f t="shared" si="208"/>
        <v>93.591772253598705</v>
      </c>
      <c r="N1995" s="13">
        <v>2113.4699999999998</v>
      </c>
      <c r="O1995" s="13">
        <v>0</v>
      </c>
      <c r="P1995" s="11">
        <f t="shared" si="207"/>
        <v>1</v>
      </c>
    </row>
    <row r="1996" spans="1:16" ht="18.75" customHeight="1" thickBot="1" x14ac:dyDescent="0.3">
      <c r="A1996" s="3" t="s">
        <v>11</v>
      </c>
      <c r="B1996" s="4">
        <v>784779</v>
      </c>
      <c r="C1996" s="3" t="s">
        <v>9</v>
      </c>
      <c r="D1996" s="18">
        <v>0.1</v>
      </c>
      <c r="E1996" s="21">
        <f t="shared" si="205"/>
        <v>7.9741404289037643E-3</v>
      </c>
      <c r="F1996" s="5">
        <v>42790</v>
      </c>
      <c r="G1996" s="5">
        <v>45009</v>
      </c>
      <c r="H1996" s="16">
        <f t="shared" si="209"/>
        <v>2219</v>
      </c>
      <c r="I1996" s="5">
        <v>45009</v>
      </c>
      <c r="J1996" s="5">
        <v>43731</v>
      </c>
      <c r="K1996" s="16">
        <f t="shared" si="210"/>
        <v>941</v>
      </c>
      <c r="L1996" s="13">
        <v>11233.82</v>
      </c>
      <c r="M1996" s="15">
        <f t="shared" si="208"/>
        <v>201.63209228486426</v>
      </c>
      <c r="N1996" s="13">
        <v>10862.98</v>
      </c>
      <c r="O1996" s="13">
        <v>0</v>
      </c>
      <c r="P1996" s="11">
        <f t="shared" si="207"/>
        <v>1</v>
      </c>
    </row>
    <row r="1997" spans="1:16" ht="18.75" customHeight="1" thickBot="1" x14ac:dyDescent="0.3">
      <c r="A1997" s="3" t="s">
        <v>11</v>
      </c>
      <c r="B1997" s="4">
        <v>325954</v>
      </c>
      <c r="C1997" s="3" t="s">
        <v>9</v>
      </c>
      <c r="D1997" s="18">
        <v>0.09</v>
      </c>
      <c r="E1997" s="21">
        <f t="shared" si="205"/>
        <v>7.2073233161367156E-3</v>
      </c>
      <c r="F1997" s="5">
        <v>42794</v>
      </c>
      <c r="G1997" s="5">
        <v>44604</v>
      </c>
      <c r="H1997" s="16">
        <f t="shared" si="209"/>
        <v>1810</v>
      </c>
      <c r="I1997" s="5">
        <v>44604</v>
      </c>
      <c r="J1997" s="5">
        <v>43809</v>
      </c>
      <c r="K1997" s="16">
        <f t="shared" si="210"/>
        <v>1015</v>
      </c>
      <c r="L1997" s="13">
        <v>8787.51</v>
      </c>
      <c r="M1997" s="15">
        <f t="shared" si="208"/>
        <v>180.12047640893056</v>
      </c>
      <c r="N1997" s="13">
        <v>5364.99</v>
      </c>
      <c r="O1997" s="13">
        <v>2096.77</v>
      </c>
      <c r="P1997" s="11">
        <f t="shared" si="207"/>
        <v>1</v>
      </c>
    </row>
    <row r="1998" spans="1:16" ht="18.75" hidden="1" customHeight="1" thickBot="1" x14ac:dyDescent="0.3">
      <c r="A1998" s="3" t="s">
        <v>11</v>
      </c>
      <c r="B1998" s="4">
        <v>177773</v>
      </c>
      <c r="C1998" s="3" t="s">
        <v>9</v>
      </c>
      <c r="D1998" s="7">
        <v>0.1</v>
      </c>
      <c r="E1998" s="7">
        <f t="shared" ref="E1998" si="211">D1998/12</f>
        <v>8.3333333333333332E-3</v>
      </c>
      <c r="F1998" s="5">
        <v>42797</v>
      </c>
      <c r="G1998" s="5">
        <v>46300</v>
      </c>
      <c r="H1998" s="8">
        <f t="shared" si="209"/>
        <v>3503</v>
      </c>
      <c r="I1998" s="5">
        <v>46300</v>
      </c>
      <c r="J1998" s="5">
        <v>43371</v>
      </c>
      <c r="K1998" s="8">
        <f t="shared" si="210"/>
        <v>574</v>
      </c>
      <c r="L1998" s="6">
        <v>21394.67</v>
      </c>
      <c r="M1998" s="9">
        <f t="shared" si="208"/>
        <v>287.30946268485917</v>
      </c>
      <c r="N1998" s="6">
        <v>18571.990000000002</v>
      </c>
      <c r="O1998" s="6">
        <v>18571.990000000002</v>
      </c>
      <c r="P1998" s="6">
        <v>1700</v>
      </c>
    </row>
    <row r="1999" spans="1:16" ht="18.75" customHeight="1" thickBot="1" x14ac:dyDescent="0.3">
      <c r="A1999" s="3" t="s">
        <v>11</v>
      </c>
      <c r="B1999" s="4">
        <v>748149</v>
      </c>
      <c r="C1999" s="3" t="s">
        <v>9</v>
      </c>
      <c r="D1999" s="18">
        <v>0.14000000000000001</v>
      </c>
      <c r="E1999" s="21">
        <f t="shared" ref="E1999:E2062" si="212">(1+D1999)^(1/12)-1</f>
        <v>1.0978851950173452E-2</v>
      </c>
      <c r="F1999" s="5">
        <v>42800</v>
      </c>
      <c r="G1999" s="5">
        <v>44445</v>
      </c>
      <c r="H1999" s="16">
        <f t="shared" si="209"/>
        <v>1645</v>
      </c>
      <c r="I1999" s="5">
        <v>44445</v>
      </c>
      <c r="J1999" s="5">
        <v>43164</v>
      </c>
      <c r="K1999" s="16">
        <f t="shared" si="210"/>
        <v>364</v>
      </c>
      <c r="L1999" s="13">
        <v>14346.93</v>
      </c>
      <c r="M1999" s="15">
        <f t="shared" si="208"/>
        <v>349.64859017438863</v>
      </c>
      <c r="N1999" s="13">
        <v>14346.93</v>
      </c>
      <c r="O1999" s="13">
        <v>0</v>
      </c>
      <c r="P1999" s="11">
        <f t="shared" ref="P1999:P2030" si="213">IF((G1999)&gt;(ConstantDateCutoff),1,0)</f>
        <v>1</v>
      </c>
    </row>
    <row r="2000" spans="1:16" ht="18.75" customHeight="1" thickBot="1" x14ac:dyDescent="0.3">
      <c r="A2000" s="3" t="s">
        <v>11</v>
      </c>
      <c r="B2000" s="4">
        <v>395097</v>
      </c>
      <c r="C2000" s="3" t="s">
        <v>9</v>
      </c>
      <c r="D2000" s="18">
        <v>0.1</v>
      </c>
      <c r="E2000" s="21">
        <f t="shared" si="212"/>
        <v>7.9741404289037643E-3</v>
      </c>
      <c r="F2000" s="5">
        <v>42800</v>
      </c>
      <c r="G2000" s="5">
        <v>44261</v>
      </c>
      <c r="H2000" s="16">
        <f t="shared" si="209"/>
        <v>1461</v>
      </c>
      <c r="I2000" s="5">
        <v>44261</v>
      </c>
      <c r="J2000" s="5">
        <v>43501</v>
      </c>
      <c r="K2000" s="16">
        <f t="shared" si="210"/>
        <v>701</v>
      </c>
      <c r="L2000" s="13">
        <v>2050.39</v>
      </c>
      <c r="M2000" s="15">
        <f t="shared" si="208"/>
        <v>50.970865538902864</v>
      </c>
      <c r="N2000" s="13">
        <v>1760.61</v>
      </c>
      <c r="O2000" s="13">
        <v>1760.61</v>
      </c>
      <c r="P2000" s="11">
        <f t="shared" si="213"/>
        <v>1</v>
      </c>
    </row>
    <row r="2001" spans="1:16" ht="18.75" customHeight="1" thickBot="1" x14ac:dyDescent="0.3">
      <c r="A2001" s="3" t="s">
        <v>11</v>
      </c>
      <c r="B2001" s="4">
        <v>356241</v>
      </c>
      <c r="C2001" s="3" t="s">
        <v>12</v>
      </c>
      <c r="D2001" s="18">
        <v>0.1</v>
      </c>
      <c r="E2001" s="21">
        <f t="shared" si="212"/>
        <v>7.9741404289037643E-3</v>
      </c>
      <c r="F2001" s="5">
        <v>42801</v>
      </c>
      <c r="G2001" s="5">
        <v>45371</v>
      </c>
      <c r="H2001" s="16">
        <f t="shared" si="209"/>
        <v>2570</v>
      </c>
      <c r="I2001" s="5">
        <v>45646</v>
      </c>
      <c r="J2001" s="5">
        <v>44361</v>
      </c>
      <c r="K2001" s="16">
        <f t="shared" si="210"/>
        <v>1560</v>
      </c>
      <c r="L2001" s="13">
        <v>18736.849999999999</v>
      </c>
      <c r="M2001" s="15">
        <f t="shared" si="208"/>
        <v>302.7011372161121</v>
      </c>
      <c r="N2001" s="13">
        <v>12240.11</v>
      </c>
      <c r="O2001" s="13">
        <v>4373.76</v>
      </c>
      <c r="P2001" s="11">
        <f t="shared" si="213"/>
        <v>1</v>
      </c>
    </row>
    <row r="2002" spans="1:16" ht="18.75" customHeight="1" thickBot="1" x14ac:dyDescent="0.3">
      <c r="A2002" s="3" t="s">
        <v>11</v>
      </c>
      <c r="B2002" s="4">
        <v>112844</v>
      </c>
      <c r="C2002" s="3" t="s">
        <v>9</v>
      </c>
      <c r="D2002" s="18">
        <v>0.1</v>
      </c>
      <c r="E2002" s="21">
        <f t="shared" si="212"/>
        <v>7.9741404289037643E-3</v>
      </c>
      <c r="F2002" s="5">
        <v>42803</v>
      </c>
      <c r="G2002" s="5">
        <v>44994</v>
      </c>
      <c r="H2002" s="16">
        <f t="shared" si="209"/>
        <v>2191</v>
      </c>
      <c r="I2002" s="5">
        <v>44994</v>
      </c>
      <c r="J2002" s="5">
        <v>43250</v>
      </c>
      <c r="K2002" s="16">
        <f t="shared" si="210"/>
        <v>447</v>
      </c>
      <c r="L2002" s="13">
        <v>23513.05</v>
      </c>
      <c r="M2002" s="15">
        <f t="shared" si="208"/>
        <v>425.99265248700237</v>
      </c>
      <c r="N2002" s="13">
        <v>23513.05</v>
      </c>
      <c r="O2002" s="13">
        <v>0</v>
      </c>
      <c r="P2002" s="11">
        <f t="shared" si="213"/>
        <v>1</v>
      </c>
    </row>
    <row r="2003" spans="1:16" ht="18.75" customHeight="1" thickBot="1" x14ac:dyDescent="0.3">
      <c r="A2003" s="3" t="s">
        <v>11</v>
      </c>
      <c r="B2003" s="4">
        <v>237826</v>
      </c>
      <c r="C2003" s="3" t="s">
        <v>9</v>
      </c>
      <c r="D2003" s="18">
        <v>0.1</v>
      </c>
      <c r="E2003" s="21">
        <f t="shared" si="212"/>
        <v>7.9741404289037643E-3</v>
      </c>
      <c r="F2003" s="5">
        <v>42810</v>
      </c>
      <c r="G2003" s="5">
        <v>44636</v>
      </c>
      <c r="H2003" s="16">
        <f t="shared" si="209"/>
        <v>1826</v>
      </c>
      <c r="I2003" s="5">
        <v>44636</v>
      </c>
      <c r="J2003" s="5">
        <v>43731</v>
      </c>
      <c r="K2003" s="16">
        <f t="shared" si="210"/>
        <v>921</v>
      </c>
      <c r="L2003" s="13">
        <v>9949.1</v>
      </c>
      <c r="M2003" s="15">
        <f t="shared" si="208"/>
        <v>206.95964312371927</v>
      </c>
      <c r="N2003" s="13">
        <v>8979.1299999999992</v>
      </c>
      <c r="O2003" s="13">
        <v>0</v>
      </c>
      <c r="P2003" s="11">
        <f t="shared" si="213"/>
        <v>1</v>
      </c>
    </row>
    <row r="2004" spans="1:16" ht="18.75" customHeight="1" thickBot="1" x14ac:dyDescent="0.3">
      <c r="A2004" s="3" t="s">
        <v>11</v>
      </c>
      <c r="B2004" s="4">
        <v>706609</v>
      </c>
      <c r="C2004" s="3" t="s">
        <v>9</v>
      </c>
      <c r="D2004" s="18">
        <v>0.12</v>
      </c>
      <c r="E2004" s="21">
        <f t="shared" si="212"/>
        <v>9.4887929345830457E-3</v>
      </c>
      <c r="F2004" s="5">
        <v>42814</v>
      </c>
      <c r="G2004" s="5">
        <v>44459</v>
      </c>
      <c r="H2004" s="16">
        <f t="shared" si="209"/>
        <v>1645</v>
      </c>
      <c r="I2004" s="5">
        <v>44459</v>
      </c>
      <c r="J2004" s="5">
        <v>43647</v>
      </c>
      <c r="K2004" s="16">
        <f t="shared" si="210"/>
        <v>833</v>
      </c>
      <c r="L2004" s="13">
        <v>5289.36</v>
      </c>
      <c r="M2004" s="15">
        <f t="shared" si="208"/>
        <v>124.17051882809768</v>
      </c>
      <c r="N2004" s="13">
        <v>4574.6400000000003</v>
      </c>
      <c r="O2004" s="13">
        <v>4574.6400000000003</v>
      </c>
      <c r="P2004" s="11">
        <f t="shared" si="213"/>
        <v>1</v>
      </c>
    </row>
    <row r="2005" spans="1:16" ht="18.75" customHeight="1" thickBot="1" x14ac:dyDescent="0.3">
      <c r="A2005" s="3" t="s">
        <v>11</v>
      </c>
      <c r="B2005" s="4">
        <v>648979</v>
      </c>
      <c r="C2005" s="3" t="s">
        <v>9</v>
      </c>
      <c r="D2005" s="18">
        <v>0.1</v>
      </c>
      <c r="E2005" s="21">
        <f t="shared" si="212"/>
        <v>7.9741404289037643E-3</v>
      </c>
      <c r="F2005" s="5">
        <v>42816</v>
      </c>
      <c r="G2005" s="5">
        <v>45007</v>
      </c>
      <c r="H2005" s="16">
        <f t="shared" si="209"/>
        <v>2191</v>
      </c>
      <c r="I2005" s="5">
        <v>45007</v>
      </c>
      <c r="J2005" s="5">
        <v>43073</v>
      </c>
      <c r="K2005" s="16">
        <f t="shared" si="210"/>
        <v>257</v>
      </c>
      <c r="L2005" s="13">
        <v>12484.37</v>
      </c>
      <c r="M2005" s="15">
        <f t="shared" si="208"/>
        <v>226.18290230017621</v>
      </c>
      <c r="N2005" s="13">
        <v>12484.37</v>
      </c>
      <c r="O2005" s="13">
        <v>0</v>
      </c>
      <c r="P2005" s="11">
        <f t="shared" si="213"/>
        <v>1</v>
      </c>
    </row>
    <row r="2006" spans="1:16" ht="18.75" customHeight="1" thickBot="1" x14ac:dyDescent="0.3">
      <c r="A2006" s="3" t="s">
        <v>11</v>
      </c>
      <c r="B2006" s="4">
        <v>899699</v>
      </c>
      <c r="C2006" s="3" t="s">
        <v>9</v>
      </c>
      <c r="D2006" s="18">
        <v>0.1</v>
      </c>
      <c r="E2006" s="21">
        <f t="shared" si="212"/>
        <v>7.9741404289037643E-3</v>
      </c>
      <c r="F2006" s="5">
        <v>42821</v>
      </c>
      <c r="G2006" s="5">
        <v>43308</v>
      </c>
      <c r="H2006" s="16">
        <f t="shared" si="209"/>
        <v>487</v>
      </c>
      <c r="I2006" s="5">
        <v>43308</v>
      </c>
      <c r="J2006" s="5">
        <v>42977</v>
      </c>
      <c r="K2006" s="16">
        <f t="shared" si="210"/>
        <v>156</v>
      </c>
      <c r="L2006" s="13">
        <v>9300</v>
      </c>
      <c r="M2006" s="15">
        <f t="shared" si="208"/>
        <v>613.05276322205896</v>
      </c>
      <c r="N2006" s="13">
        <v>9300</v>
      </c>
      <c r="O2006" s="13">
        <v>0</v>
      </c>
      <c r="P2006" s="11">
        <f t="shared" si="213"/>
        <v>1</v>
      </c>
    </row>
    <row r="2007" spans="1:16" ht="18.75" customHeight="1" thickBot="1" x14ac:dyDescent="0.3">
      <c r="A2007" s="3" t="s">
        <v>11</v>
      </c>
      <c r="B2007" s="4">
        <v>727013</v>
      </c>
      <c r="C2007" s="3" t="s">
        <v>9</v>
      </c>
      <c r="D2007" s="18">
        <v>8.5000000000000006E-2</v>
      </c>
      <c r="E2007" s="21">
        <f t="shared" si="212"/>
        <v>6.8214933659622723E-3</v>
      </c>
      <c r="F2007" s="5">
        <v>42824</v>
      </c>
      <c r="G2007" s="5">
        <v>43281</v>
      </c>
      <c r="H2007" s="16">
        <f t="shared" si="209"/>
        <v>457</v>
      </c>
      <c r="I2007" s="5">
        <v>43281</v>
      </c>
      <c r="J2007" s="5">
        <v>43496</v>
      </c>
      <c r="K2007" s="16">
        <f t="shared" si="210"/>
        <v>672</v>
      </c>
      <c r="L2007" s="13">
        <v>22200</v>
      </c>
      <c r="M2007" s="15">
        <f t="shared" si="208"/>
        <v>1539.3206300493187</v>
      </c>
      <c r="N2007" s="13">
        <v>22200</v>
      </c>
      <c r="O2007" s="13">
        <v>0</v>
      </c>
      <c r="P2007" s="11">
        <f t="shared" si="213"/>
        <v>1</v>
      </c>
    </row>
    <row r="2008" spans="1:16" ht="18.75" customHeight="1" thickBot="1" x14ac:dyDescent="0.3">
      <c r="A2008" s="3" t="s">
        <v>11</v>
      </c>
      <c r="B2008" s="4">
        <v>92443</v>
      </c>
      <c r="C2008" s="3" t="s">
        <v>9</v>
      </c>
      <c r="D2008" s="18">
        <v>8.5000000000000006E-2</v>
      </c>
      <c r="E2008" s="21">
        <f t="shared" si="212"/>
        <v>6.8214933659622723E-3</v>
      </c>
      <c r="F2008" s="5">
        <v>42825</v>
      </c>
      <c r="G2008" s="5">
        <v>43281</v>
      </c>
      <c r="H2008" s="16">
        <f t="shared" si="209"/>
        <v>456</v>
      </c>
      <c r="I2008" s="5">
        <v>43281</v>
      </c>
      <c r="J2008" s="5">
        <v>42978</v>
      </c>
      <c r="K2008" s="16">
        <f t="shared" si="210"/>
        <v>153</v>
      </c>
      <c r="L2008" s="13">
        <v>11002.75</v>
      </c>
      <c r="M2008" s="15">
        <f t="shared" si="208"/>
        <v>764.50504960949729</v>
      </c>
      <c r="N2008" s="13">
        <v>11002.75</v>
      </c>
      <c r="O2008" s="13">
        <v>0</v>
      </c>
      <c r="P2008" s="11">
        <f t="shared" si="213"/>
        <v>1</v>
      </c>
    </row>
    <row r="2009" spans="1:16" ht="18.75" hidden="1" customHeight="1" thickBot="1" x14ac:dyDescent="0.3">
      <c r="A2009" s="3" t="s">
        <v>11</v>
      </c>
      <c r="B2009" s="4">
        <v>798201</v>
      </c>
      <c r="C2009" s="3" t="s">
        <v>9</v>
      </c>
      <c r="D2009" s="18">
        <v>0.09</v>
      </c>
      <c r="E2009" s="21">
        <f t="shared" si="212"/>
        <v>7.2073233161367156E-3</v>
      </c>
      <c r="F2009" s="5">
        <v>42825</v>
      </c>
      <c r="G2009" s="5">
        <v>43100</v>
      </c>
      <c r="H2009" s="16">
        <f t="shared" si="209"/>
        <v>275</v>
      </c>
      <c r="I2009" s="5">
        <v>43100</v>
      </c>
      <c r="J2009" s="2"/>
      <c r="K2009" s="16">
        <f t="shared" si="210"/>
        <v>-42825</v>
      </c>
      <c r="L2009" s="13">
        <v>41700</v>
      </c>
      <c r="M2009" s="15">
        <f t="shared" si="208"/>
        <v>4717.3859907203005</v>
      </c>
      <c r="N2009" s="13">
        <v>41700</v>
      </c>
      <c r="O2009" s="13">
        <v>0</v>
      </c>
      <c r="P2009" s="11">
        <f t="shared" si="213"/>
        <v>1</v>
      </c>
    </row>
    <row r="2010" spans="1:16" ht="18.75" customHeight="1" thickBot="1" x14ac:dyDescent="0.3">
      <c r="A2010" s="3" t="s">
        <v>11</v>
      </c>
      <c r="B2010" s="4">
        <v>470581</v>
      </c>
      <c r="C2010" s="3" t="s">
        <v>9</v>
      </c>
      <c r="D2010" s="18">
        <v>0.1</v>
      </c>
      <c r="E2010" s="21">
        <f t="shared" si="212"/>
        <v>7.9741404289037643E-3</v>
      </c>
      <c r="F2010" s="5">
        <v>42830</v>
      </c>
      <c r="G2010" s="5">
        <v>44597</v>
      </c>
      <c r="H2010" s="16">
        <f t="shared" si="209"/>
        <v>1767</v>
      </c>
      <c r="I2010" s="5">
        <v>44597</v>
      </c>
      <c r="J2010" s="5">
        <v>43496</v>
      </c>
      <c r="K2010" s="16">
        <f t="shared" si="210"/>
        <v>666</v>
      </c>
      <c r="L2010" s="13">
        <v>8319.1299999999992</v>
      </c>
      <c r="M2010" s="15">
        <f t="shared" si="208"/>
        <v>177.54971297669749</v>
      </c>
      <c r="N2010" s="13">
        <v>8319.1299999999992</v>
      </c>
      <c r="O2010" s="13">
        <v>8319.1299999999992</v>
      </c>
      <c r="P2010" s="11">
        <f t="shared" si="213"/>
        <v>1</v>
      </c>
    </row>
    <row r="2011" spans="1:16" ht="18.75" customHeight="1" thickBot="1" x14ac:dyDescent="0.3">
      <c r="A2011" s="3" t="s">
        <v>11</v>
      </c>
      <c r="B2011" s="4">
        <v>969212</v>
      </c>
      <c r="C2011" s="3" t="s">
        <v>9</v>
      </c>
      <c r="D2011" s="18">
        <v>0.1</v>
      </c>
      <c r="E2011" s="21">
        <f t="shared" si="212"/>
        <v>7.9741404289037643E-3</v>
      </c>
      <c r="F2011" s="5">
        <v>42831</v>
      </c>
      <c r="G2011" s="5">
        <v>45022</v>
      </c>
      <c r="H2011" s="16">
        <f t="shared" si="209"/>
        <v>2191</v>
      </c>
      <c r="I2011" s="5">
        <v>45022</v>
      </c>
      <c r="J2011" s="5">
        <v>43654</v>
      </c>
      <c r="K2011" s="16">
        <f t="shared" si="210"/>
        <v>823</v>
      </c>
      <c r="L2011" s="13">
        <v>13432.05</v>
      </c>
      <c r="M2011" s="15">
        <f t="shared" si="208"/>
        <v>243.35229193311972</v>
      </c>
      <c r="N2011" s="13">
        <v>12072.66</v>
      </c>
      <c r="O2011" s="13">
        <v>12072.66</v>
      </c>
      <c r="P2011" s="11">
        <f t="shared" si="213"/>
        <v>1</v>
      </c>
    </row>
    <row r="2012" spans="1:16" ht="18.75" customHeight="1" thickBot="1" x14ac:dyDescent="0.3">
      <c r="A2012" s="3" t="s">
        <v>11</v>
      </c>
      <c r="B2012" s="4">
        <v>567899</v>
      </c>
      <c r="C2012" s="3" t="s">
        <v>9</v>
      </c>
      <c r="D2012" s="18">
        <v>0.1</v>
      </c>
      <c r="E2012" s="21">
        <f t="shared" si="212"/>
        <v>7.9741404289037643E-3</v>
      </c>
      <c r="F2012" s="5">
        <v>42846</v>
      </c>
      <c r="G2012" s="5">
        <v>44672</v>
      </c>
      <c r="H2012" s="16">
        <f t="shared" si="209"/>
        <v>1826</v>
      </c>
      <c r="I2012" s="5">
        <v>44672</v>
      </c>
      <c r="J2012" s="5">
        <v>44460</v>
      </c>
      <c r="K2012" s="16">
        <f t="shared" si="210"/>
        <v>1614</v>
      </c>
      <c r="L2012" s="13">
        <v>16321.45</v>
      </c>
      <c r="M2012" s="15">
        <f t="shared" si="208"/>
        <v>339.51628461485245</v>
      </c>
      <c r="N2012" s="13">
        <v>3623.39</v>
      </c>
      <c r="O2012" s="13">
        <v>0</v>
      </c>
      <c r="P2012" s="11">
        <f t="shared" si="213"/>
        <v>1</v>
      </c>
    </row>
    <row r="2013" spans="1:16" ht="18.75" customHeight="1" thickBot="1" x14ac:dyDescent="0.3">
      <c r="A2013" s="3" t="s">
        <v>11</v>
      </c>
      <c r="B2013" s="4">
        <v>945790</v>
      </c>
      <c r="C2013" s="3" t="s">
        <v>9</v>
      </c>
      <c r="D2013" s="18">
        <v>0.1</v>
      </c>
      <c r="E2013" s="21">
        <f t="shared" si="212"/>
        <v>7.9741404289037643E-3</v>
      </c>
      <c r="F2013" s="5">
        <v>42856</v>
      </c>
      <c r="G2013" s="5">
        <v>44682</v>
      </c>
      <c r="H2013" s="16">
        <f t="shared" si="209"/>
        <v>1826</v>
      </c>
      <c r="I2013" s="5">
        <v>44682</v>
      </c>
      <c r="J2013" s="5">
        <v>43725</v>
      </c>
      <c r="K2013" s="16">
        <f t="shared" si="210"/>
        <v>869</v>
      </c>
      <c r="L2013" s="13">
        <v>9131.84</v>
      </c>
      <c r="M2013" s="15">
        <f t="shared" si="208"/>
        <v>189.95912670119955</v>
      </c>
      <c r="N2013" s="13">
        <v>7000</v>
      </c>
      <c r="O2013" s="13">
        <v>0</v>
      </c>
      <c r="P2013" s="11">
        <f t="shared" si="213"/>
        <v>1</v>
      </c>
    </row>
    <row r="2014" spans="1:16" ht="18.75" customHeight="1" thickBot="1" x14ac:dyDescent="0.3">
      <c r="A2014" s="3" t="s">
        <v>11</v>
      </c>
      <c r="B2014" s="4">
        <v>574235</v>
      </c>
      <c r="C2014" s="3" t="s">
        <v>9</v>
      </c>
      <c r="D2014" s="18">
        <v>0.12</v>
      </c>
      <c r="E2014" s="21">
        <f t="shared" si="212"/>
        <v>9.4887929345830457E-3</v>
      </c>
      <c r="F2014" s="5">
        <v>42858</v>
      </c>
      <c r="G2014" s="5">
        <v>44319</v>
      </c>
      <c r="H2014" s="16">
        <f t="shared" si="209"/>
        <v>1461</v>
      </c>
      <c r="I2014" s="5">
        <v>44319</v>
      </c>
      <c r="J2014" s="5">
        <v>43647</v>
      </c>
      <c r="K2014" s="16">
        <f t="shared" si="210"/>
        <v>789</v>
      </c>
      <c r="L2014" s="13">
        <v>3144.18</v>
      </c>
      <c r="M2014" s="15">
        <f t="shared" si="208"/>
        <v>80.924739410361695</v>
      </c>
      <c r="N2014" s="13">
        <v>2867.08</v>
      </c>
      <c r="O2014" s="13">
        <v>0</v>
      </c>
      <c r="P2014" s="11">
        <f t="shared" si="213"/>
        <v>1</v>
      </c>
    </row>
    <row r="2015" spans="1:16" ht="18.75" customHeight="1" thickBot="1" x14ac:dyDescent="0.3">
      <c r="A2015" s="3" t="s">
        <v>11</v>
      </c>
      <c r="B2015" s="4">
        <v>292830</v>
      </c>
      <c r="C2015" s="3" t="s">
        <v>9</v>
      </c>
      <c r="D2015" s="18">
        <v>0.1</v>
      </c>
      <c r="E2015" s="21">
        <f t="shared" si="212"/>
        <v>7.9741404289037643E-3</v>
      </c>
      <c r="F2015" s="5">
        <v>42863</v>
      </c>
      <c r="G2015" s="5">
        <v>45054</v>
      </c>
      <c r="H2015" s="16">
        <f t="shared" si="209"/>
        <v>2191</v>
      </c>
      <c r="I2015" s="5">
        <v>45054</v>
      </c>
      <c r="J2015" s="5">
        <v>42906</v>
      </c>
      <c r="K2015" s="16">
        <f t="shared" si="210"/>
        <v>43</v>
      </c>
      <c r="L2015" s="13">
        <v>24598.03</v>
      </c>
      <c r="M2015" s="15">
        <f t="shared" si="208"/>
        <v>445.64954549302871</v>
      </c>
      <c r="N2015" s="13">
        <v>24598.03</v>
      </c>
      <c r="O2015" s="13">
        <v>0</v>
      </c>
      <c r="P2015" s="11">
        <f t="shared" si="213"/>
        <v>1</v>
      </c>
    </row>
    <row r="2016" spans="1:16" ht="18.75" customHeight="1" thickBot="1" x14ac:dyDescent="0.3">
      <c r="A2016" s="3" t="s">
        <v>11</v>
      </c>
      <c r="B2016" s="4">
        <v>567316</v>
      </c>
      <c r="C2016" s="3" t="s">
        <v>9</v>
      </c>
      <c r="D2016" s="18">
        <v>0.12</v>
      </c>
      <c r="E2016" s="21">
        <f t="shared" si="212"/>
        <v>9.4887929345830457E-3</v>
      </c>
      <c r="F2016" s="5">
        <v>42863</v>
      </c>
      <c r="G2016" s="5">
        <v>43167</v>
      </c>
      <c r="H2016" s="16">
        <f t="shared" si="209"/>
        <v>304</v>
      </c>
      <c r="I2016" s="5">
        <v>43167</v>
      </c>
      <c r="J2016" s="5">
        <v>42922</v>
      </c>
      <c r="K2016" s="16">
        <f t="shared" si="210"/>
        <v>59</v>
      </c>
      <c r="L2016" s="13">
        <v>1716.96</v>
      </c>
      <c r="M2016" s="15">
        <f t="shared" si="208"/>
        <v>178.51529891100452</v>
      </c>
      <c r="N2016" s="13">
        <v>1716.96</v>
      </c>
      <c r="O2016" s="13">
        <v>0</v>
      </c>
      <c r="P2016" s="11">
        <f t="shared" si="213"/>
        <v>1</v>
      </c>
    </row>
    <row r="2017" spans="1:16" ht="18.75" customHeight="1" thickBot="1" x14ac:dyDescent="0.3">
      <c r="A2017" s="3" t="s">
        <v>11</v>
      </c>
      <c r="B2017" s="4">
        <v>857621</v>
      </c>
      <c r="C2017" s="3" t="s">
        <v>9</v>
      </c>
      <c r="D2017" s="18">
        <v>0.09</v>
      </c>
      <c r="E2017" s="21">
        <f t="shared" si="212"/>
        <v>7.2073233161367156E-3</v>
      </c>
      <c r="F2017" s="5">
        <v>42867</v>
      </c>
      <c r="G2017" s="5">
        <v>44693</v>
      </c>
      <c r="H2017" s="16">
        <f t="shared" si="209"/>
        <v>1826</v>
      </c>
      <c r="I2017" s="5">
        <v>44693</v>
      </c>
      <c r="J2017" s="5">
        <v>43644</v>
      </c>
      <c r="K2017" s="16">
        <f t="shared" si="210"/>
        <v>777</v>
      </c>
      <c r="L2017" s="13">
        <v>5139.6400000000003</v>
      </c>
      <c r="M2017" s="15">
        <f t="shared" si="208"/>
        <v>104.61147382999226</v>
      </c>
      <c r="N2017" s="13">
        <v>5139.6400000000003</v>
      </c>
      <c r="O2017" s="13">
        <v>0</v>
      </c>
      <c r="P2017" s="11">
        <f t="shared" si="213"/>
        <v>1</v>
      </c>
    </row>
    <row r="2018" spans="1:16" ht="18.75" customHeight="1" thickBot="1" x14ac:dyDescent="0.3">
      <c r="A2018" s="3" t="s">
        <v>11</v>
      </c>
      <c r="B2018" s="4">
        <v>516894</v>
      </c>
      <c r="C2018" s="3" t="s">
        <v>9</v>
      </c>
      <c r="D2018" s="18">
        <v>0.1</v>
      </c>
      <c r="E2018" s="21">
        <f t="shared" si="212"/>
        <v>7.9741404289037643E-3</v>
      </c>
      <c r="F2018" s="5">
        <v>42871</v>
      </c>
      <c r="G2018" s="5">
        <v>44881</v>
      </c>
      <c r="H2018" s="16">
        <f t="shared" si="209"/>
        <v>2010</v>
      </c>
      <c r="I2018" s="5">
        <v>44881</v>
      </c>
      <c r="J2018" s="5">
        <v>43560</v>
      </c>
      <c r="K2018" s="16">
        <f t="shared" si="210"/>
        <v>689</v>
      </c>
      <c r="L2018" s="13">
        <v>9921.4</v>
      </c>
      <c r="M2018" s="15">
        <f t="shared" si="208"/>
        <v>191.71948855014094</v>
      </c>
      <c r="N2018" s="13">
        <v>9921.4</v>
      </c>
      <c r="O2018" s="13">
        <v>0</v>
      </c>
      <c r="P2018" s="11">
        <f t="shared" si="213"/>
        <v>1</v>
      </c>
    </row>
    <row r="2019" spans="1:16" ht="18.75" customHeight="1" thickBot="1" x14ac:dyDescent="0.3">
      <c r="A2019" s="3" t="s">
        <v>11</v>
      </c>
      <c r="B2019" s="4">
        <v>469916</v>
      </c>
      <c r="C2019" s="3" t="s">
        <v>9</v>
      </c>
      <c r="D2019" s="18">
        <v>0.1</v>
      </c>
      <c r="E2019" s="21">
        <f t="shared" si="212"/>
        <v>7.9741404289037643E-3</v>
      </c>
      <c r="F2019" s="5">
        <v>42872</v>
      </c>
      <c r="G2019" s="5">
        <v>43237</v>
      </c>
      <c r="H2019" s="16">
        <f t="shared" si="209"/>
        <v>365</v>
      </c>
      <c r="I2019" s="5">
        <v>43237</v>
      </c>
      <c r="J2019" s="5">
        <v>43371</v>
      </c>
      <c r="K2019" s="16">
        <f t="shared" si="210"/>
        <v>499</v>
      </c>
      <c r="L2019" s="13">
        <v>6000</v>
      </c>
      <c r="M2019" s="15">
        <f t="shared" si="208"/>
        <v>519.42195615334174</v>
      </c>
      <c r="N2019" s="13">
        <v>6000</v>
      </c>
      <c r="O2019" s="13">
        <v>0</v>
      </c>
      <c r="P2019" s="11">
        <f t="shared" si="213"/>
        <v>1</v>
      </c>
    </row>
    <row r="2020" spans="1:16" ht="18.75" customHeight="1" thickBot="1" x14ac:dyDescent="0.3">
      <c r="A2020" s="3" t="s">
        <v>11</v>
      </c>
      <c r="B2020" s="4">
        <v>760582</v>
      </c>
      <c r="C2020" s="3" t="s">
        <v>9</v>
      </c>
      <c r="D2020" s="18">
        <v>0.11</v>
      </c>
      <c r="E2020" s="21">
        <f t="shared" si="212"/>
        <v>8.7345938235519061E-3</v>
      </c>
      <c r="F2020" s="5">
        <v>42887</v>
      </c>
      <c r="G2020" s="5">
        <v>45078</v>
      </c>
      <c r="H2020" s="16">
        <f t="shared" si="209"/>
        <v>2191</v>
      </c>
      <c r="I2020" s="5">
        <v>45078</v>
      </c>
      <c r="J2020" s="5">
        <v>43809</v>
      </c>
      <c r="K2020" s="16">
        <f t="shared" si="210"/>
        <v>922</v>
      </c>
      <c r="L2020" s="13">
        <v>21921.61</v>
      </c>
      <c r="M2020" s="15">
        <f t="shared" si="208"/>
        <v>407.27326966281163</v>
      </c>
      <c r="N2020" s="13">
        <v>8800</v>
      </c>
      <c r="O2020" s="13">
        <v>0</v>
      </c>
      <c r="P2020" s="11">
        <f t="shared" si="213"/>
        <v>1</v>
      </c>
    </row>
    <row r="2021" spans="1:16" ht="18.75" customHeight="1" thickBot="1" x14ac:dyDescent="0.3">
      <c r="A2021" s="3" t="s">
        <v>11</v>
      </c>
      <c r="B2021" s="4">
        <v>966918</v>
      </c>
      <c r="C2021" s="3" t="s">
        <v>2</v>
      </c>
      <c r="D2021" s="18">
        <v>0.1</v>
      </c>
      <c r="E2021" s="21">
        <f t="shared" si="212"/>
        <v>7.9741404289037643E-3</v>
      </c>
      <c r="F2021" s="5">
        <v>42888</v>
      </c>
      <c r="G2021" s="5">
        <v>45155</v>
      </c>
      <c r="H2021" s="16">
        <f t="shared" si="209"/>
        <v>2267</v>
      </c>
      <c r="I2021" s="5">
        <v>45155</v>
      </c>
      <c r="J2021" s="5">
        <v>43818</v>
      </c>
      <c r="K2021" s="16">
        <f t="shared" si="210"/>
        <v>930</v>
      </c>
      <c r="L2021" s="13">
        <v>70329.84</v>
      </c>
      <c r="M2021" s="15">
        <f t="shared" si="208"/>
        <v>1242.6979894239914</v>
      </c>
      <c r="N2021" s="13">
        <v>70329.84</v>
      </c>
      <c r="O2021" s="13">
        <v>53500</v>
      </c>
      <c r="P2021" s="11">
        <f t="shared" si="213"/>
        <v>1</v>
      </c>
    </row>
    <row r="2022" spans="1:16" ht="18.75" customHeight="1" thickBot="1" x14ac:dyDescent="0.3">
      <c r="A2022" s="3" t="s">
        <v>11</v>
      </c>
      <c r="B2022" s="4">
        <v>682129</v>
      </c>
      <c r="C2022" s="3" t="s">
        <v>9</v>
      </c>
      <c r="D2022" s="18">
        <v>7.4999999999999997E-2</v>
      </c>
      <c r="E2022" s="21">
        <f t="shared" si="212"/>
        <v>6.0449190242917172E-3</v>
      </c>
      <c r="F2022" s="5">
        <v>42888</v>
      </c>
      <c r="G2022" s="5">
        <v>45537</v>
      </c>
      <c r="H2022" s="16">
        <f t="shared" si="209"/>
        <v>2649</v>
      </c>
      <c r="I2022" s="5">
        <v>45537</v>
      </c>
      <c r="J2022" s="5">
        <v>43664</v>
      </c>
      <c r="K2022" s="16">
        <f t="shared" si="210"/>
        <v>776</v>
      </c>
      <c r="L2022" s="13">
        <v>17074.68</v>
      </c>
      <c r="M2022" s="15">
        <f t="shared" si="208"/>
        <v>250.1184133973309</v>
      </c>
      <c r="N2022" s="13">
        <v>12469.3</v>
      </c>
      <c r="O2022" s="13">
        <v>0</v>
      </c>
      <c r="P2022" s="11">
        <f t="shared" si="213"/>
        <v>1</v>
      </c>
    </row>
    <row r="2023" spans="1:16" ht="18.75" hidden="1" customHeight="1" thickBot="1" x14ac:dyDescent="0.3">
      <c r="A2023" s="3" t="s">
        <v>11</v>
      </c>
      <c r="B2023" s="4">
        <v>335619</v>
      </c>
      <c r="C2023" s="3" t="s">
        <v>9</v>
      </c>
      <c r="D2023" s="18">
        <v>0.1</v>
      </c>
      <c r="E2023" s="21">
        <f t="shared" si="212"/>
        <v>7.9741404289037643E-3</v>
      </c>
      <c r="F2023" s="5">
        <v>42888</v>
      </c>
      <c r="G2023" s="5">
        <v>44676</v>
      </c>
      <c r="H2023" s="16">
        <f t="shared" si="209"/>
        <v>1788</v>
      </c>
      <c r="I2023" s="5">
        <v>44676</v>
      </c>
      <c r="J2023" s="2"/>
      <c r="K2023" s="16">
        <f t="shared" si="210"/>
        <v>-42888</v>
      </c>
      <c r="L2023" s="13">
        <v>8700</v>
      </c>
      <c r="M2023" s="15">
        <f t="shared" si="208"/>
        <v>183.96842714914709</v>
      </c>
      <c r="N2023" s="13">
        <v>8700</v>
      </c>
      <c r="O2023" s="13">
        <v>4000</v>
      </c>
      <c r="P2023" s="11">
        <f t="shared" si="213"/>
        <v>1</v>
      </c>
    </row>
    <row r="2024" spans="1:16" ht="18.75" customHeight="1" thickBot="1" x14ac:dyDescent="0.3">
      <c r="A2024" s="3" t="s">
        <v>11</v>
      </c>
      <c r="B2024" s="4">
        <v>831397</v>
      </c>
      <c r="C2024" s="3" t="s">
        <v>9</v>
      </c>
      <c r="D2024" s="18">
        <v>0.1</v>
      </c>
      <c r="E2024" s="21">
        <f t="shared" si="212"/>
        <v>7.9741404289037643E-3</v>
      </c>
      <c r="F2024" s="5">
        <v>42891</v>
      </c>
      <c r="G2024" s="5">
        <v>45265</v>
      </c>
      <c r="H2024" s="16">
        <f t="shared" si="209"/>
        <v>2374</v>
      </c>
      <c r="I2024" s="5">
        <v>45662</v>
      </c>
      <c r="J2024" s="5">
        <v>43822</v>
      </c>
      <c r="K2024" s="16">
        <f t="shared" si="210"/>
        <v>931</v>
      </c>
      <c r="L2024" s="13">
        <v>28577.22</v>
      </c>
      <c r="M2024" s="15">
        <f t="shared" si="208"/>
        <v>488.36241736014063</v>
      </c>
      <c r="N2024" s="13">
        <v>17336.55</v>
      </c>
      <c r="O2024" s="13">
        <v>17336.55</v>
      </c>
      <c r="P2024" s="11">
        <f t="shared" si="213"/>
        <v>1</v>
      </c>
    </row>
    <row r="2025" spans="1:16" ht="18.75" hidden="1" customHeight="1" thickBot="1" x14ac:dyDescent="0.3">
      <c r="A2025" s="3" t="s">
        <v>11</v>
      </c>
      <c r="B2025" s="4">
        <v>638596</v>
      </c>
      <c r="C2025" s="3" t="s">
        <v>9</v>
      </c>
      <c r="D2025" s="18">
        <v>0.1</v>
      </c>
      <c r="E2025" s="21">
        <f t="shared" si="212"/>
        <v>7.9741404289037643E-3</v>
      </c>
      <c r="F2025" s="5">
        <v>42892</v>
      </c>
      <c r="G2025" s="5">
        <v>43440</v>
      </c>
      <c r="H2025" s="16">
        <f t="shared" si="209"/>
        <v>548</v>
      </c>
      <c r="I2025" s="5">
        <v>43440</v>
      </c>
      <c r="J2025" s="2"/>
      <c r="K2025" s="16">
        <f t="shared" si="210"/>
        <v>-42892</v>
      </c>
      <c r="L2025" s="13">
        <v>1700</v>
      </c>
      <c r="M2025" s="15">
        <f t="shared" si="208"/>
        <v>100.37811979641837</v>
      </c>
      <c r="N2025" s="13">
        <v>1700</v>
      </c>
      <c r="O2025" s="13">
        <v>0</v>
      </c>
      <c r="P2025" s="11">
        <f t="shared" si="213"/>
        <v>1</v>
      </c>
    </row>
    <row r="2026" spans="1:16" ht="18.75" customHeight="1" thickBot="1" x14ac:dyDescent="0.3">
      <c r="A2026" s="3" t="s">
        <v>11</v>
      </c>
      <c r="B2026" s="4">
        <v>131115</v>
      </c>
      <c r="C2026" s="3" t="s">
        <v>9</v>
      </c>
      <c r="D2026" s="18">
        <v>0.1</v>
      </c>
      <c r="E2026" s="21">
        <f t="shared" si="212"/>
        <v>7.9741404289037643E-3</v>
      </c>
      <c r="F2026" s="5">
        <v>42893</v>
      </c>
      <c r="G2026" s="5">
        <v>45176</v>
      </c>
      <c r="H2026" s="16">
        <f t="shared" si="209"/>
        <v>2283</v>
      </c>
      <c r="I2026" s="5">
        <v>45176</v>
      </c>
      <c r="J2026" s="5">
        <v>43371</v>
      </c>
      <c r="K2026" s="16">
        <f t="shared" si="210"/>
        <v>478</v>
      </c>
      <c r="L2026" s="13">
        <v>30729.88</v>
      </c>
      <c r="M2026" s="15">
        <f t="shared" si="208"/>
        <v>540.20735485533328</v>
      </c>
      <c r="N2026" s="13">
        <v>28657.69</v>
      </c>
      <c r="O2026" s="13">
        <v>0</v>
      </c>
      <c r="P2026" s="11">
        <f t="shared" si="213"/>
        <v>1</v>
      </c>
    </row>
    <row r="2027" spans="1:16" ht="18.75" customHeight="1" thickBot="1" x14ac:dyDescent="0.3">
      <c r="A2027" s="3" t="s">
        <v>11</v>
      </c>
      <c r="B2027" s="4">
        <v>533054</v>
      </c>
      <c r="C2027" s="3" t="s">
        <v>9</v>
      </c>
      <c r="D2027" s="18">
        <v>0.1</v>
      </c>
      <c r="E2027" s="21">
        <f t="shared" si="212"/>
        <v>7.9741404289037643E-3</v>
      </c>
      <c r="F2027" s="5">
        <v>42898</v>
      </c>
      <c r="G2027" s="5">
        <v>45089</v>
      </c>
      <c r="H2027" s="16">
        <f t="shared" si="209"/>
        <v>2191</v>
      </c>
      <c r="I2027" s="5">
        <v>45150</v>
      </c>
      <c r="J2027" s="5">
        <v>43782</v>
      </c>
      <c r="K2027" s="16">
        <f t="shared" si="210"/>
        <v>884</v>
      </c>
      <c r="L2027" s="13">
        <v>11783.47</v>
      </c>
      <c r="M2027" s="15">
        <f t="shared" si="208"/>
        <v>213.48449651580793</v>
      </c>
      <c r="N2027" s="13">
        <v>4380.33</v>
      </c>
      <c r="O2027" s="13">
        <v>0</v>
      </c>
      <c r="P2027" s="11">
        <f t="shared" si="213"/>
        <v>1</v>
      </c>
    </row>
    <row r="2028" spans="1:16" ht="18.75" customHeight="1" thickBot="1" x14ac:dyDescent="0.3">
      <c r="A2028" s="3" t="s">
        <v>11</v>
      </c>
      <c r="B2028" s="4">
        <v>784941</v>
      </c>
      <c r="C2028" s="3" t="s">
        <v>9</v>
      </c>
      <c r="D2028" s="18">
        <v>0.1</v>
      </c>
      <c r="E2028" s="21">
        <f t="shared" si="212"/>
        <v>7.9741404289037643E-3</v>
      </c>
      <c r="F2028" s="5">
        <v>42899</v>
      </c>
      <c r="G2028" s="5">
        <v>43629</v>
      </c>
      <c r="H2028" s="16">
        <f t="shared" si="209"/>
        <v>730</v>
      </c>
      <c r="I2028" s="5">
        <v>43629</v>
      </c>
      <c r="J2028" s="5">
        <v>43586</v>
      </c>
      <c r="K2028" s="16">
        <f t="shared" si="210"/>
        <v>687</v>
      </c>
      <c r="L2028" s="13">
        <v>920.34</v>
      </c>
      <c r="M2028" s="15">
        <f t="shared" si="208"/>
        <v>41.760376700045292</v>
      </c>
      <c r="N2028" s="13">
        <v>849.76</v>
      </c>
      <c r="O2028" s="13">
        <v>849.76</v>
      </c>
      <c r="P2028" s="11">
        <f t="shared" si="213"/>
        <v>1</v>
      </c>
    </row>
    <row r="2029" spans="1:16" ht="18.75" customHeight="1" thickBot="1" x14ac:dyDescent="0.3">
      <c r="A2029" s="3" t="s">
        <v>11</v>
      </c>
      <c r="B2029" s="4">
        <v>488613</v>
      </c>
      <c r="C2029" s="3" t="s">
        <v>9</v>
      </c>
      <c r="D2029" s="18">
        <v>0.12</v>
      </c>
      <c r="E2029" s="21">
        <f t="shared" si="212"/>
        <v>9.4887929345830457E-3</v>
      </c>
      <c r="F2029" s="5">
        <v>42902</v>
      </c>
      <c r="G2029" s="5">
        <v>44090</v>
      </c>
      <c r="H2029" s="16">
        <f t="shared" si="209"/>
        <v>1188</v>
      </c>
      <c r="I2029" s="5">
        <v>44090</v>
      </c>
      <c r="J2029" s="5">
        <v>43644</v>
      </c>
      <c r="K2029" s="16">
        <f t="shared" si="210"/>
        <v>742</v>
      </c>
      <c r="L2029" s="13">
        <v>4084.16</v>
      </c>
      <c r="M2029" s="15">
        <f t="shared" si="208"/>
        <v>124.20574218756761</v>
      </c>
      <c r="N2029" s="13">
        <v>4084.16</v>
      </c>
      <c r="O2029" s="13">
        <v>0</v>
      </c>
      <c r="P2029" s="11">
        <f t="shared" si="213"/>
        <v>1</v>
      </c>
    </row>
    <row r="2030" spans="1:16" ht="18.75" customHeight="1" thickBot="1" x14ac:dyDescent="0.3">
      <c r="A2030" s="3" t="s">
        <v>11</v>
      </c>
      <c r="B2030" s="4">
        <v>325190</v>
      </c>
      <c r="C2030" s="3" t="s">
        <v>19</v>
      </c>
      <c r="D2030" s="18">
        <v>0.09</v>
      </c>
      <c r="E2030" s="21">
        <f t="shared" si="212"/>
        <v>7.2073233161367156E-3</v>
      </c>
      <c r="F2030" s="5">
        <v>42905</v>
      </c>
      <c r="G2030" s="5">
        <v>45188</v>
      </c>
      <c r="H2030" s="16">
        <f t="shared" si="209"/>
        <v>2283</v>
      </c>
      <c r="I2030" s="5">
        <v>45188</v>
      </c>
      <c r="J2030" s="5">
        <v>43644</v>
      </c>
      <c r="K2030" s="16">
        <f t="shared" si="210"/>
        <v>739</v>
      </c>
      <c r="L2030" s="13">
        <v>4858.75</v>
      </c>
      <c r="M2030" s="15">
        <f t="shared" si="208"/>
        <v>83.172961876292362</v>
      </c>
      <c r="N2030" s="13">
        <v>4858.75</v>
      </c>
      <c r="O2030" s="13">
        <v>0</v>
      </c>
      <c r="P2030" s="11">
        <f t="shared" si="213"/>
        <v>1</v>
      </c>
    </row>
    <row r="2031" spans="1:16" ht="18.75" customHeight="1" thickBot="1" x14ac:dyDescent="0.3">
      <c r="A2031" s="3" t="s">
        <v>11</v>
      </c>
      <c r="B2031" s="4">
        <v>579829</v>
      </c>
      <c r="C2031" s="3" t="s">
        <v>9</v>
      </c>
      <c r="D2031" s="18">
        <v>0.1</v>
      </c>
      <c r="E2031" s="21">
        <f t="shared" si="212"/>
        <v>7.9741404289037643E-3</v>
      </c>
      <c r="F2031" s="5">
        <v>42912</v>
      </c>
      <c r="G2031" s="5">
        <v>44738</v>
      </c>
      <c r="H2031" s="16">
        <f t="shared" si="209"/>
        <v>1826</v>
      </c>
      <c r="I2031" s="5">
        <v>44738</v>
      </c>
      <c r="J2031" s="5">
        <v>43657</v>
      </c>
      <c r="K2031" s="16">
        <f t="shared" si="210"/>
        <v>745</v>
      </c>
      <c r="L2031" s="13">
        <v>11113.95</v>
      </c>
      <c r="M2031" s="15">
        <f t="shared" si="208"/>
        <v>231.19067309554231</v>
      </c>
      <c r="N2031" s="13">
        <v>10658.95</v>
      </c>
      <c r="O2031" s="13">
        <v>10658.95</v>
      </c>
      <c r="P2031" s="11">
        <f t="shared" ref="P2031:P2062" si="214">IF((G2031)&gt;(ConstantDateCutoff),1,0)</f>
        <v>1</v>
      </c>
    </row>
    <row r="2032" spans="1:16" ht="18.75" customHeight="1" thickBot="1" x14ac:dyDescent="0.3">
      <c r="A2032" s="3" t="s">
        <v>11</v>
      </c>
      <c r="B2032" s="4">
        <v>79350</v>
      </c>
      <c r="C2032" s="3" t="s">
        <v>9</v>
      </c>
      <c r="D2032" s="18">
        <v>0.1</v>
      </c>
      <c r="E2032" s="21">
        <f t="shared" si="212"/>
        <v>7.9741404289037643E-3</v>
      </c>
      <c r="F2032" s="5">
        <v>42916</v>
      </c>
      <c r="G2032" s="5">
        <v>45107</v>
      </c>
      <c r="H2032" s="16">
        <f t="shared" si="209"/>
        <v>2191</v>
      </c>
      <c r="I2032" s="5">
        <v>45626</v>
      </c>
      <c r="J2032" s="5">
        <v>45720</v>
      </c>
      <c r="K2032" s="16">
        <f t="shared" si="210"/>
        <v>2804</v>
      </c>
      <c r="L2032" s="13">
        <v>62556.89</v>
      </c>
      <c r="M2032" s="15">
        <f t="shared" si="208"/>
        <v>1133.361069807517</v>
      </c>
      <c r="N2032" s="13">
        <v>50663.58</v>
      </c>
      <c r="O2032" s="13">
        <v>0</v>
      </c>
      <c r="P2032" s="11">
        <f t="shared" si="214"/>
        <v>1</v>
      </c>
    </row>
    <row r="2033" spans="1:16" ht="18.75" customHeight="1" thickBot="1" x14ac:dyDescent="0.3">
      <c r="A2033" s="3" t="s">
        <v>11</v>
      </c>
      <c r="B2033" s="4">
        <v>52091</v>
      </c>
      <c r="C2033" s="3" t="s">
        <v>9</v>
      </c>
      <c r="D2033" s="18">
        <v>0.09</v>
      </c>
      <c r="E2033" s="21">
        <f t="shared" si="212"/>
        <v>7.2073233161367156E-3</v>
      </c>
      <c r="F2033" s="5">
        <v>42916</v>
      </c>
      <c r="G2033" s="5">
        <v>43464</v>
      </c>
      <c r="H2033" s="16">
        <f t="shared" si="209"/>
        <v>548</v>
      </c>
      <c r="I2033" s="5">
        <v>43464</v>
      </c>
      <c r="J2033" s="5">
        <v>43179</v>
      </c>
      <c r="K2033" s="16">
        <f t="shared" si="210"/>
        <v>263</v>
      </c>
      <c r="L2033" s="13">
        <v>30000</v>
      </c>
      <c r="M2033" s="15">
        <f t="shared" si="208"/>
        <v>1758.7199477098168</v>
      </c>
      <c r="N2033" s="13">
        <v>30000</v>
      </c>
      <c r="O2033" s="13">
        <v>0</v>
      </c>
      <c r="P2033" s="11">
        <f t="shared" si="214"/>
        <v>1</v>
      </c>
    </row>
    <row r="2034" spans="1:16" ht="18.75" customHeight="1" thickBot="1" x14ac:dyDescent="0.3">
      <c r="A2034" s="3" t="s">
        <v>11</v>
      </c>
      <c r="B2034" s="4">
        <v>110997</v>
      </c>
      <c r="C2034" s="3" t="s">
        <v>9</v>
      </c>
      <c r="D2034" s="18">
        <v>0.1</v>
      </c>
      <c r="E2034" s="21">
        <f t="shared" si="212"/>
        <v>7.9741404289037643E-3</v>
      </c>
      <c r="F2034" s="5">
        <v>42921</v>
      </c>
      <c r="G2034" s="5">
        <v>45112</v>
      </c>
      <c r="H2034" s="16">
        <f t="shared" si="209"/>
        <v>2191</v>
      </c>
      <c r="I2034" s="5">
        <v>45143</v>
      </c>
      <c r="J2034" s="5">
        <v>43818</v>
      </c>
      <c r="K2034" s="16">
        <f t="shared" si="210"/>
        <v>897</v>
      </c>
      <c r="L2034" s="13">
        <v>31060.91</v>
      </c>
      <c r="M2034" s="15">
        <f t="shared" si="208"/>
        <v>562.73939108537843</v>
      </c>
      <c r="N2034" s="13">
        <v>25213.18</v>
      </c>
      <c r="O2034" s="13">
        <v>3008.77</v>
      </c>
      <c r="P2034" s="11">
        <f t="shared" si="214"/>
        <v>1</v>
      </c>
    </row>
    <row r="2035" spans="1:16" ht="18.75" customHeight="1" thickBot="1" x14ac:dyDescent="0.3">
      <c r="A2035" s="3" t="s">
        <v>11</v>
      </c>
      <c r="B2035" s="4">
        <v>738065</v>
      </c>
      <c r="C2035" s="3" t="s">
        <v>9</v>
      </c>
      <c r="D2035" s="18">
        <v>0.1</v>
      </c>
      <c r="E2035" s="21">
        <f t="shared" si="212"/>
        <v>7.9741404289037643E-3</v>
      </c>
      <c r="F2035" s="5">
        <v>42921</v>
      </c>
      <c r="G2035" s="5">
        <v>45112</v>
      </c>
      <c r="H2035" s="16">
        <f t="shared" si="209"/>
        <v>2191</v>
      </c>
      <c r="I2035" s="5">
        <v>45112</v>
      </c>
      <c r="J2035" s="5">
        <v>43810</v>
      </c>
      <c r="K2035" s="16">
        <f t="shared" si="210"/>
        <v>889</v>
      </c>
      <c r="L2035" s="13">
        <v>18576.400000000001</v>
      </c>
      <c r="M2035" s="15">
        <f t="shared" si="208"/>
        <v>336.55395236515687</v>
      </c>
      <c r="N2035" s="13">
        <v>8109.09</v>
      </c>
      <c r="O2035" s="13">
        <v>0</v>
      </c>
      <c r="P2035" s="11">
        <f t="shared" si="214"/>
        <v>1</v>
      </c>
    </row>
    <row r="2036" spans="1:16" ht="18.75" customHeight="1" thickBot="1" x14ac:dyDescent="0.3">
      <c r="A2036" s="3" t="s">
        <v>11</v>
      </c>
      <c r="B2036" s="4">
        <v>241993</v>
      </c>
      <c r="C2036" s="3" t="s">
        <v>9</v>
      </c>
      <c r="D2036" s="18">
        <v>0.1</v>
      </c>
      <c r="E2036" s="21">
        <f t="shared" si="212"/>
        <v>7.9741404289037643E-3</v>
      </c>
      <c r="F2036" s="5">
        <v>42926</v>
      </c>
      <c r="G2036" s="5">
        <v>45117</v>
      </c>
      <c r="H2036" s="16">
        <f t="shared" si="209"/>
        <v>2191</v>
      </c>
      <c r="I2036" s="5">
        <v>46708</v>
      </c>
      <c r="J2036" s="5">
        <v>44924</v>
      </c>
      <c r="K2036" s="16">
        <f t="shared" si="210"/>
        <v>1998</v>
      </c>
      <c r="L2036" s="13">
        <v>36458.379999999997</v>
      </c>
      <c r="M2036" s="15">
        <f t="shared" si="208"/>
        <v>660.52689895947469</v>
      </c>
      <c r="N2036" s="13">
        <v>23206.74</v>
      </c>
      <c r="O2036" s="13">
        <v>0</v>
      </c>
      <c r="P2036" s="11">
        <f t="shared" si="214"/>
        <v>1</v>
      </c>
    </row>
    <row r="2037" spans="1:16" ht="18.75" customHeight="1" thickBot="1" x14ac:dyDescent="0.3">
      <c r="A2037" s="3" t="s">
        <v>11</v>
      </c>
      <c r="B2037" s="4">
        <v>566150</v>
      </c>
      <c r="C2037" s="3" t="s">
        <v>9</v>
      </c>
      <c r="D2037" s="18">
        <v>9.5000000000000001E-2</v>
      </c>
      <c r="E2037" s="21">
        <f t="shared" si="212"/>
        <v>7.5915342905825689E-3</v>
      </c>
      <c r="F2037" s="5">
        <v>42926</v>
      </c>
      <c r="G2037" s="5">
        <v>45117</v>
      </c>
      <c r="H2037" s="16">
        <f t="shared" si="209"/>
        <v>2191</v>
      </c>
      <c r="I2037" s="5">
        <v>47082</v>
      </c>
      <c r="J2037" s="5">
        <v>45467</v>
      </c>
      <c r="K2037" s="16">
        <f t="shared" si="210"/>
        <v>2541</v>
      </c>
      <c r="L2037" s="13">
        <v>44250</v>
      </c>
      <c r="M2037" s="15">
        <f t="shared" si="208"/>
        <v>791.53139320251717</v>
      </c>
      <c r="N2037" s="13">
        <v>31750</v>
      </c>
      <c r="O2037" s="13">
        <v>3699.65</v>
      </c>
      <c r="P2037" s="11">
        <f t="shared" si="214"/>
        <v>1</v>
      </c>
    </row>
    <row r="2038" spans="1:16" ht="18.75" hidden="1" customHeight="1" thickBot="1" x14ac:dyDescent="0.3">
      <c r="A2038" s="3" t="s">
        <v>11</v>
      </c>
      <c r="B2038" s="4">
        <v>439759</v>
      </c>
      <c r="C2038" s="3" t="s">
        <v>9</v>
      </c>
      <c r="D2038" s="18">
        <v>9.9999999999999995E-8</v>
      </c>
      <c r="E2038" s="21">
        <f t="shared" si="212"/>
        <v>8.3333329126134004E-9</v>
      </c>
      <c r="F2038" s="5">
        <v>42930</v>
      </c>
      <c r="G2038" s="5">
        <v>45121</v>
      </c>
      <c r="H2038" s="16">
        <f t="shared" si="209"/>
        <v>2191</v>
      </c>
      <c r="I2038" s="5">
        <v>47801</v>
      </c>
      <c r="J2038" s="5">
        <v>44649</v>
      </c>
      <c r="K2038" s="16">
        <f t="shared" si="210"/>
        <v>1719</v>
      </c>
      <c r="L2038" s="13">
        <v>15643.93</v>
      </c>
      <c r="M2038" s="15">
        <f t="shared" si="208"/>
        <v>214.20266762735866</v>
      </c>
      <c r="N2038" s="13">
        <v>4374.6000000000004</v>
      </c>
      <c r="O2038" s="13">
        <v>850</v>
      </c>
      <c r="P2038" s="11">
        <f t="shared" si="214"/>
        <v>1</v>
      </c>
    </row>
    <row r="2039" spans="1:16" ht="18.75" customHeight="1" thickBot="1" x14ac:dyDescent="0.3">
      <c r="A2039" s="3" t="s">
        <v>11</v>
      </c>
      <c r="B2039" s="4">
        <v>481144</v>
      </c>
      <c r="C2039" s="3" t="s">
        <v>12</v>
      </c>
      <c r="D2039" s="18">
        <v>0.1</v>
      </c>
      <c r="E2039" s="21">
        <f t="shared" si="212"/>
        <v>7.9741404289037643E-3</v>
      </c>
      <c r="F2039" s="5">
        <v>42933</v>
      </c>
      <c r="G2039" s="5">
        <v>43907</v>
      </c>
      <c r="H2039" s="16">
        <f t="shared" si="209"/>
        <v>974</v>
      </c>
      <c r="I2039" s="5">
        <v>44029</v>
      </c>
      <c r="J2039" s="5">
        <v>43920</v>
      </c>
      <c r="K2039" s="16">
        <f t="shared" si="210"/>
        <v>987</v>
      </c>
      <c r="L2039" s="13">
        <v>5500</v>
      </c>
      <c r="M2039" s="15">
        <f t="shared" si="208"/>
        <v>192.94935037487517</v>
      </c>
      <c r="N2039" s="13">
        <v>1213.78</v>
      </c>
      <c r="O2039" s="13">
        <v>0</v>
      </c>
      <c r="P2039" s="11">
        <f t="shared" si="214"/>
        <v>1</v>
      </c>
    </row>
    <row r="2040" spans="1:16" ht="18.75" hidden="1" customHeight="1" thickBot="1" x14ac:dyDescent="0.3">
      <c r="A2040" s="3" t="s">
        <v>11</v>
      </c>
      <c r="B2040" s="4">
        <v>356134</v>
      </c>
      <c r="C2040" s="3" t="s">
        <v>9</v>
      </c>
      <c r="D2040" s="18">
        <v>9.9999999999999995E-8</v>
      </c>
      <c r="E2040" s="21">
        <f t="shared" si="212"/>
        <v>8.3333329126134004E-9</v>
      </c>
      <c r="F2040" s="5">
        <v>42937</v>
      </c>
      <c r="G2040" s="5">
        <v>45128</v>
      </c>
      <c r="H2040" s="16">
        <f t="shared" si="209"/>
        <v>2191</v>
      </c>
      <c r="I2040" s="5">
        <v>45217</v>
      </c>
      <c r="J2040" s="5">
        <v>43818</v>
      </c>
      <c r="K2040" s="16">
        <f t="shared" si="210"/>
        <v>881</v>
      </c>
      <c r="L2040" s="13">
        <v>25383.93</v>
      </c>
      <c r="M2040" s="15">
        <f t="shared" si="208"/>
        <v>347.56646960617553</v>
      </c>
      <c r="N2040" s="13">
        <v>19753.02</v>
      </c>
      <c r="O2040" s="13">
        <v>19753.02</v>
      </c>
      <c r="P2040" s="11">
        <f t="shared" si="214"/>
        <v>1</v>
      </c>
    </row>
    <row r="2041" spans="1:16" ht="18.75" customHeight="1" thickBot="1" x14ac:dyDescent="0.3">
      <c r="A2041" s="3" t="s">
        <v>11</v>
      </c>
      <c r="B2041" s="4">
        <v>258602</v>
      </c>
      <c r="C2041" s="3" t="s">
        <v>12</v>
      </c>
      <c r="D2041" s="18">
        <v>0.08</v>
      </c>
      <c r="E2041" s="21">
        <f t="shared" si="212"/>
        <v>6.4340301100034303E-3</v>
      </c>
      <c r="F2041" s="5">
        <v>42937</v>
      </c>
      <c r="G2041" s="5">
        <v>45132</v>
      </c>
      <c r="H2041" s="16">
        <f t="shared" si="209"/>
        <v>2195</v>
      </c>
      <c r="I2041" s="5">
        <v>45132</v>
      </c>
      <c r="J2041" s="5">
        <v>43787</v>
      </c>
      <c r="K2041" s="16">
        <f t="shared" si="210"/>
        <v>850</v>
      </c>
      <c r="L2041" s="13">
        <v>17383.05</v>
      </c>
      <c r="M2041" s="15">
        <f t="shared" si="208"/>
        <v>298.62411889401437</v>
      </c>
      <c r="N2041" s="13">
        <v>10237.99</v>
      </c>
      <c r="O2041" s="13">
        <v>0</v>
      </c>
      <c r="P2041" s="11">
        <f t="shared" si="214"/>
        <v>1</v>
      </c>
    </row>
    <row r="2042" spans="1:16" ht="18.75" customHeight="1" thickBot="1" x14ac:dyDescent="0.3">
      <c r="A2042" s="3" t="s">
        <v>11</v>
      </c>
      <c r="B2042" s="4">
        <v>654677</v>
      </c>
      <c r="C2042" s="3" t="s">
        <v>2</v>
      </c>
      <c r="D2042" s="18">
        <v>0.1</v>
      </c>
      <c r="E2042" s="21">
        <f t="shared" si="212"/>
        <v>7.9741404289037643E-3</v>
      </c>
      <c r="F2042" s="5">
        <v>42937</v>
      </c>
      <c r="G2042" s="5">
        <v>45190</v>
      </c>
      <c r="H2042" s="16">
        <f t="shared" si="209"/>
        <v>2253</v>
      </c>
      <c r="I2042" s="5">
        <v>45190</v>
      </c>
      <c r="J2042" s="5">
        <v>43818</v>
      </c>
      <c r="K2042" s="16">
        <f t="shared" si="210"/>
        <v>881</v>
      </c>
      <c r="L2042" s="13">
        <v>70775.64</v>
      </c>
      <c r="M2042" s="15">
        <f t="shared" si="208"/>
        <v>1256.2469775194782</v>
      </c>
      <c r="N2042" s="13">
        <v>70775.64</v>
      </c>
      <c r="O2042" s="13">
        <v>0</v>
      </c>
      <c r="P2042" s="11">
        <f t="shared" si="214"/>
        <v>1</v>
      </c>
    </row>
    <row r="2043" spans="1:16" ht="18.75" customHeight="1" thickBot="1" x14ac:dyDescent="0.3">
      <c r="A2043" s="3" t="s">
        <v>11</v>
      </c>
      <c r="B2043" s="4">
        <v>279546</v>
      </c>
      <c r="C2043" s="3" t="s">
        <v>9</v>
      </c>
      <c r="D2043" s="18">
        <v>0.09</v>
      </c>
      <c r="E2043" s="21">
        <f t="shared" si="212"/>
        <v>7.2073233161367156E-3</v>
      </c>
      <c r="F2043" s="5">
        <v>42941</v>
      </c>
      <c r="G2043" s="5">
        <v>45224</v>
      </c>
      <c r="H2043" s="16">
        <f t="shared" si="209"/>
        <v>2283</v>
      </c>
      <c r="I2043" s="5">
        <v>45224</v>
      </c>
      <c r="J2043" s="5">
        <v>43644</v>
      </c>
      <c r="K2043" s="16">
        <f t="shared" si="210"/>
        <v>703</v>
      </c>
      <c r="L2043" s="13">
        <v>29046.2</v>
      </c>
      <c r="M2043" s="15">
        <f t="shared" si="208"/>
        <v>497.2181086187112</v>
      </c>
      <c r="N2043" s="13">
        <v>29046.2</v>
      </c>
      <c r="O2043" s="13">
        <v>0</v>
      </c>
      <c r="P2043" s="11">
        <f t="shared" si="214"/>
        <v>1</v>
      </c>
    </row>
    <row r="2044" spans="1:16" ht="18.75" customHeight="1" thickBot="1" x14ac:dyDescent="0.3">
      <c r="A2044" s="3" t="s">
        <v>11</v>
      </c>
      <c r="B2044" s="4">
        <v>236082</v>
      </c>
      <c r="C2044" s="3" t="s">
        <v>9</v>
      </c>
      <c r="D2044" s="18">
        <v>0.1</v>
      </c>
      <c r="E2044" s="21">
        <f t="shared" si="212"/>
        <v>7.9741404289037643E-3</v>
      </c>
      <c r="F2044" s="5">
        <v>42944</v>
      </c>
      <c r="G2044" s="5">
        <v>44770</v>
      </c>
      <c r="H2044" s="16">
        <f t="shared" si="209"/>
        <v>1826</v>
      </c>
      <c r="I2044" s="5">
        <v>44770</v>
      </c>
      <c r="J2044" s="5">
        <v>43636</v>
      </c>
      <c r="K2044" s="16">
        <f t="shared" si="210"/>
        <v>692</v>
      </c>
      <c r="L2044" s="13">
        <v>5315.06</v>
      </c>
      <c r="M2044" s="15">
        <f t="shared" si="208"/>
        <v>110.56305804355725</v>
      </c>
      <c r="N2044" s="13">
        <v>4907.7299999999996</v>
      </c>
      <c r="O2044" s="13">
        <v>4907.7299999999996</v>
      </c>
      <c r="P2044" s="11">
        <f t="shared" si="214"/>
        <v>1</v>
      </c>
    </row>
    <row r="2045" spans="1:16" ht="18.75" customHeight="1" thickBot="1" x14ac:dyDescent="0.3">
      <c r="A2045" s="3" t="s">
        <v>11</v>
      </c>
      <c r="B2045" s="4">
        <v>954251</v>
      </c>
      <c r="C2045" s="3" t="s">
        <v>19</v>
      </c>
      <c r="D2045" s="18">
        <v>0.1</v>
      </c>
      <c r="E2045" s="21">
        <f t="shared" si="212"/>
        <v>7.9741404289037643E-3</v>
      </c>
      <c r="F2045" s="5">
        <v>42950</v>
      </c>
      <c r="G2045" s="5">
        <v>45071</v>
      </c>
      <c r="H2045" s="16">
        <f t="shared" si="209"/>
        <v>2121</v>
      </c>
      <c r="I2045" s="5">
        <v>45071</v>
      </c>
      <c r="J2045" s="5">
        <v>43371</v>
      </c>
      <c r="K2045" s="16">
        <f t="shared" si="210"/>
        <v>421</v>
      </c>
      <c r="L2045" s="13">
        <v>12408.69</v>
      </c>
      <c r="M2045" s="15">
        <f t="shared" si="208"/>
        <v>230.29116571903353</v>
      </c>
      <c r="N2045" s="13">
        <v>12408.69</v>
      </c>
      <c r="O2045" s="13">
        <v>12408.69</v>
      </c>
      <c r="P2045" s="11">
        <f t="shared" si="214"/>
        <v>1</v>
      </c>
    </row>
    <row r="2046" spans="1:16" ht="18.75" customHeight="1" thickBot="1" x14ac:dyDescent="0.3">
      <c r="A2046" s="3" t="s">
        <v>11</v>
      </c>
      <c r="B2046" s="4">
        <v>16932</v>
      </c>
      <c r="C2046" s="3" t="s">
        <v>9</v>
      </c>
      <c r="D2046" s="18">
        <v>0.09</v>
      </c>
      <c r="E2046" s="21">
        <f t="shared" si="212"/>
        <v>7.2073233161367156E-3</v>
      </c>
      <c r="F2046" s="5">
        <v>42950</v>
      </c>
      <c r="G2046" s="5">
        <v>43802</v>
      </c>
      <c r="H2046" s="16">
        <f t="shared" si="209"/>
        <v>852</v>
      </c>
      <c r="I2046" s="5">
        <v>43833</v>
      </c>
      <c r="J2046" s="5">
        <v>43818</v>
      </c>
      <c r="K2046" s="16">
        <f t="shared" si="210"/>
        <v>868</v>
      </c>
      <c r="L2046" s="13">
        <v>5590.71</v>
      </c>
      <c r="M2046" s="15">
        <f t="shared" si="208"/>
        <v>218.39593620468452</v>
      </c>
      <c r="N2046" s="13">
        <v>3159.06</v>
      </c>
      <c r="O2046" s="13">
        <v>3159.06</v>
      </c>
      <c r="P2046" s="11">
        <f t="shared" si="214"/>
        <v>1</v>
      </c>
    </row>
    <row r="2047" spans="1:16" ht="18.75" customHeight="1" thickBot="1" x14ac:dyDescent="0.3">
      <c r="A2047" s="3" t="s">
        <v>11</v>
      </c>
      <c r="B2047" s="4">
        <v>158665</v>
      </c>
      <c r="C2047" s="3" t="s">
        <v>9</v>
      </c>
      <c r="D2047" s="18">
        <v>0.12</v>
      </c>
      <c r="E2047" s="21">
        <f t="shared" si="212"/>
        <v>9.4887929345830457E-3</v>
      </c>
      <c r="F2047" s="5">
        <v>42950</v>
      </c>
      <c r="G2047" s="5">
        <v>44459</v>
      </c>
      <c r="H2047" s="16">
        <f t="shared" si="209"/>
        <v>1509</v>
      </c>
      <c r="I2047" s="5">
        <v>44459</v>
      </c>
      <c r="J2047" s="5">
        <v>44179</v>
      </c>
      <c r="K2047" s="16">
        <f t="shared" si="210"/>
        <v>1229</v>
      </c>
      <c r="L2047" s="13">
        <v>1321.9</v>
      </c>
      <c r="M2047" s="15">
        <f t="shared" si="208"/>
        <v>33.171107042278784</v>
      </c>
      <c r="N2047" s="13">
        <v>1321.9</v>
      </c>
      <c r="O2047" s="13">
        <v>0</v>
      </c>
      <c r="P2047" s="11">
        <f t="shared" si="214"/>
        <v>1</v>
      </c>
    </row>
    <row r="2048" spans="1:16" ht="18.75" customHeight="1" thickBot="1" x14ac:dyDescent="0.3">
      <c r="A2048" s="3" t="s">
        <v>11</v>
      </c>
      <c r="B2048" s="4">
        <v>207333</v>
      </c>
      <c r="C2048" s="3" t="s">
        <v>9</v>
      </c>
      <c r="D2048" s="18">
        <v>0.1</v>
      </c>
      <c r="E2048" s="21">
        <f t="shared" si="212"/>
        <v>7.9741404289037643E-3</v>
      </c>
      <c r="F2048" s="5">
        <v>42951</v>
      </c>
      <c r="G2048" s="5">
        <v>45184</v>
      </c>
      <c r="H2048" s="16">
        <f t="shared" si="209"/>
        <v>2233</v>
      </c>
      <c r="I2048" s="5">
        <v>45184</v>
      </c>
      <c r="J2048" s="5">
        <v>43718</v>
      </c>
      <c r="K2048" s="16">
        <f t="shared" si="210"/>
        <v>767</v>
      </c>
      <c r="L2048" s="13">
        <v>25513</v>
      </c>
      <c r="M2048" s="15">
        <f t="shared" si="208"/>
        <v>455.81494511351519</v>
      </c>
      <c r="N2048" s="13">
        <v>25163</v>
      </c>
      <c r="O2048" s="13">
        <v>10604.24</v>
      </c>
      <c r="P2048" s="11">
        <f t="shared" si="214"/>
        <v>1</v>
      </c>
    </row>
    <row r="2049" spans="1:16" ht="18.75" customHeight="1" thickBot="1" x14ac:dyDescent="0.3">
      <c r="A2049" s="3" t="s">
        <v>11</v>
      </c>
      <c r="B2049" s="4">
        <v>57406</v>
      </c>
      <c r="C2049" s="3" t="s">
        <v>9</v>
      </c>
      <c r="D2049" s="18">
        <v>0.1</v>
      </c>
      <c r="E2049" s="21">
        <f t="shared" si="212"/>
        <v>7.9741404289037643E-3</v>
      </c>
      <c r="F2049" s="5">
        <v>42954</v>
      </c>
      <c r="G2049" s="5">
        <v>45145</v>
      </c>
      <c r="H2049" s="16">
        <f t="shared" si="209"/>
        <v>2191</v>
      </c>
      <c r="I2049" s="5">
        <v>45237</v>
      </c>
      <c r="J2049" s="5">
        <v>44187</v>
      </c>
      <c r="K2049" s="16">
        <f t="shared" si="210"/>
        <v>1233</v>
      </c>
      <c r="L2049" s="13">
        <v>18483.41</v>
      </c>
      <c r="M2049" s="15">
        <f t="shared" si="208"/>
        <v>334.86922593643891</v>
      </c>
      <c r="N2049" s="13">
        <v>2240.9499999999998</v>
      </c>
      <c r="O2049" s="13">
        <v>0</v>
      </c>
      <c r="P2049" s="11">
        <f t="shared" si="214"/>
        <v>1</v>
      </c>
    </row>
    <row r="2050" spans="1:16" ht="18.75" customHeight="1" thickBot="1" x14ac:dyDescent="0.3">
      <c r="A2050" s="3" t="s">
        <v>11</v>
      </c>
      <c r="B2050" s="4">
        <v>360085</v>
      </c>
      <c r="C2050" s="3" t="s">
        <v>9</v>
      </c>
      <c r="D2050" s="18">
        <v>0.1</v>
      </c>
      <c r="E2050" s="21">
        <f t="shared" si="212"/>
        <v>7.9741404289037643E-3</v>
      </c>
      <c r="F2050" s="5">
        <v>42954</v>
      </c>
      <c r="G2050" s="5">
        <v>44058</v>
      </c>
      <c r="H2050" s="16">
        <f t="shared" si="209"/>
        <v>1104</v>
      </c>
      <c r="I2050" s="5">
        <v>44058</v>
      </c>
      <c r="J2050" s="5">
        <v>43920</v>
      </c>
      <c r="K2050" s="16">
        <f t="shared" si="210"/>
        <v>966</v>
      </c>
      <c r="L2050" s="13">
        <v>4081</v>
      </c>
      <c r="M2050" s="15">
        <f t="shared" ref="M2050:M2113" si="215">-PMT(E2050,(H2050/30),L2050)</f>
        <v>128.4010525290586</v>
      </c>
      <c r="N2050" s="13">
        <v>1264.22</v>
      </c>
      <c r="O2050" s="13">
        <v>0</v>
      </c>
      <c r="P2050" s="11">
        <f t="shared" si="214"/>
        <v>1</v>
      </c>
    </row>
    <row r="2051" spans="1:16" ht="18.75" customHeight="1" thickBot="1" x14ac:dyDescent="0.3">
      <c r="A2051" s="3" t="s">
        <v>11</v>
      </c>
      <c r="B2051" s="4">
        <v>382774</v>
      </c>
      <c r="C2051" s="3" t="s">
        <v>2</v>
      </c>
      <c r="D2051" s="18">
        <v>0.1</v>
      </c>
      <c r="E2051" s="21">
        <f t="shared" si="212"/>
        <v>7.9741404289037643E-3</v>
      </c>
      <c r="F2051" s="5">
        <v>42955</v>
      </c>
      <c r="G2051" s="5">
        <v>45523</v>
      </c>
      <c r="H2051" s="16">
        <f t="shared" ref="H2051:H2114" si="216">G2051-F2051</f>
        <v>2568</v>
      </c>
      <c r="I2051" s="5">
        <v>45523</v>
      </c>
      <c r="J2051" s="5">
        <v>43704</v>
      </c>
      <c r="K2051" s="16">
        <f t="shared" ref="K2051:K2114" si="217">J2051-F2051</f>
        <v>749</v>
      </c>
      <c r="L2051" s="13">
        <v>39000.51</v>
      </c>
      <c r="M2051" s="15">
        <f t="shared" si="215"/>
        <v>630.41105065835893</v>
      </c>
      <c r="N2051" s="13">
        <v>37226.400000000001</v>
      </c>
      <c r="O2051" s="13">
        <v>0</v>
      </c>
      <c r="P2051" s="11">
        <f t="shared" si="214"/>
        <v>1</v>
      </c>
    </row>
    <row r="2052" spans="1:16" ht="18.75" customHeight="1" thickBot="1" x14ac:dyDescent="0.3">
      <c r="A2052" s="3" t="s">
        <v>11</v>
      </c>
      <c r="B2052" s="4">
        <v>893069</v>
      </c>
      <c r="C2052" s="3" t="s">
        <v>9</v>
      </c>
      <c r="D2052" s="18">
        <v>0.14000000000000001</v>
      </c>
      <c r="E2052" s="21">
        <f t="shared" si="212"/>
        <v>1.0978851950173452E-2</v>
      </c>
      <c r="F2052" s="5">
        <v>42957</v>
      </c>
      <c r="G2052" s="5">
        <v>44053</v>
      </c>
      <c r="H2052" s="16">
        <f t="shared" si="216"/>
        <v>1096</v>
      </c>
      <c r="I2052" s="5">
        <v>44084</v>
      </c>
      <c r="J2052" s="5">
        <v>43810</v>
      </c>
      <c r="K2052" s="16">
        <f t="shared" si="217"/>
        <v>853</v>
      </c>
      <c r="L2052" s="13">
        <v>5889.53</v>
      </c>
      <c r="M2052" s="15">
        <f t="shared" si="215"/>
        <v>196.56702114471287</v>
      </c>
      <c r="N2052" s="13">
        <v>2800.59</v>
      </c>
      <c r="O2052" s="13">
        <v>0</v>
      </c>
      <c r="P2052" s="11">
        <f t="shared" si="214"/>
        <v>1</v>
      </c>
    </row>
    <row r="2053" spans="1:16" ht="18.75" customHeight="1" thickBot="1" x14ac:dyDescent="0.3">
      <c r="A2053" s="3" t="s">
        <v>11</v>
      </c>
      <c r="B2053" s="4">
        <v>531148</v>
      </c>
      <c r="C2053" s="3" t="s">
        <v>9</v>
      </c>
      <c r="D2053" s="18">
        <v>0.1</v>
      </c>
      <c r="E2053" s="21">
        <f t="shared" si="212"/>
        <v>7.9741404289037643E-3</v>
      </c>
      <c r="F2053" s="5">
        <v>42958</v>
      </c>
      <c r="G2053" s="5">
        <v>44413</v>
      </c>
      <c r="H2053" s="16">
        <f t="shared" si="216"/>
        <v>1455</v>
      </c>
      <c r="I2053" s="5">
        <v>44413</v>
      </c>
      <c r="J2053" s="5">
        <v>43725</v>
      </c>
      <c r="K2053" s="16">
        <f t="shared" si="217"/>
        <v>767</v>
      </c>
      <c r="L2053" s="13">
        <v>11627.42</v>
      </c>
      <c r="M2053" s="15">
        <f t="shared" si="215"/>
        <v>290.02358298529168</v>
      </c>
      <c r="N2053" s="13">
        <v>6800</v>
      </c>
      <c r="O2053" s="13">
        <v>4827.42</v>
      </c>
      <c r="P2053" s="11">
        <f t="shared" si="214"/>
        <v>1</v>
      </c>
    </row>
    <row r="2054" spans="1:16" ht="18.75" customHeight="1" thickBot="1" x14ac:dyDescent="0.3">
      <c r="A2054" s="3" t="s">
        <v>11</v>
      </c>
      <c r="B2054" s="4">
        <v>694640</v>
      </c>
      <c r="C2054" s="3" t="s">
        <v>9</v>
      </c>
      <c r="D2054" s="18">
        <v>0.1</v>
      </c>
      <c r="E2054" s="21">
        <f t="shared" si="212"/>
        <v>7.9741404289037643E-3</v>
      </c>
      <c r="F2054" s="5">
        <v>42962</v>
      </c>
      <c r="G2054" s="5">
        <v>44788</v>
      </c>
      <c r="H2054" s="16">
        <f t="shared" si="216"/>
        <v>1826</v>
      </c>
      <c r="I2054" s="5">
        <v>44788</v>
      </c>
      <c r="J2054" s="5">
        <v>43371</v>
      </c>
      <c r="K2054" s="16">
        <f t="shared" si="217"/>
        <v>409</v>
      </c>
      <c r="L2054" s="13">
        <v>11954.85</v>
      </c>
      <c r="M2054" s="15">
        <f t="shared" si="215"/>
        <v>248.68294515057599</v>
      </c>
      <c r="N2054" s="13">
        <v>11114.85</v>
      </c>
      <c r="O2054" s="13">
        <v>0</v>
      </c>
      <c r="P2054" s="11">
        <f t="shared" si="214"/>
        <v>1</v>
      </c>
    </row>
    <row r="2055" spans="1:16" ht="18.75" customHeight="1" thickBot="1" x14ac:dyDescent="0.3">
      <c r="A2055" s="3" t="s">
        <v>11</v>
      </c>
      <c r="B2055" s="4">
        <v>518107</v>
      </c>
      <c r="C2055" s="3" t="s">
        <v>9</v>
      </c>
      <c r="D2055" s="18">
        <v>8.5000000000000006E-2</v>
      </c>
      <c r="E2055" s="21">
        <f t="shared" si="212"/>
        <v>6.8214933659622723E-3</v>
      </c>
      <c r="F2055" s="5">
        <v>42965</v>
      </c>
      <c r="G2055" s="5">
        <v>45522</v>
      </c>
      <c r="H2055" s="16">
        <f t="shared" si="216"/>
        <v>2557</v>
      </c>
      <c r="I2055" s="5">
        <v>45522</v>
      </c>
      <c r="J2055" s="5">
        <v>43502</v>
      </c>
      <c r="K2055" s="16">
        <f t="shared" si="217"/>
        <v>537</v>
      </c>
      <c r="L2055" s="13">
        <v>19049.72</v>
      </c>
      <c r="M2055" s="15">
        <f t="shared" si="215"/>
        <v>295.47597904925311</v>
      </c>
      <c r="N2055" s="13">
        <v>19049.72</v>
      </c>
      <c r="O2055" s="13">
        <v>0</v>
      </c>
      <c r="P2055" s="11">
        <f t="shared" si="214"/>
        <v>1</v>
      </c>
    </row>
    <row r="2056" spans="1:16" ht="18.75" customHeight="1" thickBot="1" x14ac:dyDescent="0.3">
      <c r="A2056" s="3" t="s">
        <v>11</v>
      </c>
      <c r="B2056" s="4">
        <v>855581</v>
      </c>
      <c r="C2056" s="3" t="s">
        <v>9</v>
      </c>
      <c r="D2056" s="18">
        <v>9.5000000000000001E-2</v>
      </c>
      <c r="E2056" s="21">
        <f t="shared" si="212"/>
        <v>7.5915342905825689E-3</v>
      </c>
      <c r="F2056" s="5">
        <v>42968</v>
      </c>
      <c r="G2056" s="5">
        <v>43263</v>
      </c>
      <c r="H2056" s="16">
        <f t="shared" si="216"/>
        <v>295</v>
      </c>
      <c r="I2056" s="5">
        <v>43263</v>
      </c>
      <c r="J2056" s="5">
        <v>43496</v>
      </c>
      <c r="K2056" s="16">
        <f t="shared" si="217"/>
        <v>528</v>
      </c>
      <c r="L2056" s="13">
        <v>6618.31</v>
      </c>
      <c r="M2056" s="15">
        <f t="shared" si="215"/>
        <v>701.0328987106534</v>
      </c>
      <c r="N2056" s="13">
        <v>6618.31</v>
      </c>
      <c r="O2056" s="13">
        <v>0</v>
      </c>
      <c r="P2056" s="11">
        <f t="shared" si="214"/>
        <v>1</v>
      </c>
    </row>
    <row r="2057" spans="1:16" ht="18.75" customHeight="1" thickBot="1" x14ac:dyDescent="0.3">
      <c r="A2057" s="3" t="s">
        <v>11</v>
      </c>
      <c r="B2057" s="4">
        <v>950016</v>
      </c>
      <c r="C2057" s="3" t="s">
        <v>9</v>
      </c>
      <c r="D2057" s="18">
        <v>9.5000000000000001E-2</v>
      </c>
      <c r="E2057" s="21">
        <f t="shared" si="212"/>
        <v>7.5915342905825689E-3</v>
      </c>
      <c r="F2057" s="5">
        <v>42969</v>
      </c>
      <c r="G2057" s="5">
        <v>44076</v>
      </c>
      <c r="H2057" s="16">
        <f t="shared" si="216"/>
        <v>1107</v>
      </c>
      <c r="I2057" s="5">
        <v>44410</v>
      </c>
      <c r="J2057" s="5">
        <v>44182</v>
      </c>
      <c r="K2057" s="16">
        <f t="shared" si="217"/>
        <v>1213</v>
      </c>
      <c r="L2057" s="13">
        <v>8045.18</v>
      </c>
      <c r="M2057" s="15">
        <f t="shared" si="215"/>
        <v>250.80923725585697</v>
      </c>
      <c r="N2057" s="13">
        <v>3984.05</v>
      </c>
      <c r="O2057" s="13">
        <v>3984.05</v>
      </c>
      <c r="P2057" s="11">
        <f t="shared" si="214"/>
        <v>1</v>
      </c>
    </row>
    <row r="2058" spans="1:16" ht="18.75" customHeight="1" thickBot="1" x14ac:dyDescent="0.3">
      <c r="A2058" s="3" t="s">
        <v>11</v>
      </c>
      <c r="B2058" s="4">
        <v>584234</v>
      </c>
      <c r="C2058" s="3" t="s">
        <v>9</v>
      </c>
      <c r="D2058" s="18">
        <v>0.1</v>
      </c>
      <c r="E2058" s="21">
        <f t="shared" si="212"/>
        <v>7.9741404289037643E-3</v>
      </c>
      <c r="F2058" s="5">
        <v>42970</v>
      </c>
      <c r="G2058" s="5">
        <v>44066</v>
      </c>
      <c r="H2058" s="16">
        <f t="shared" si="216"/>
        <v>1096</v>
      </c>
      <c r="I2058" s="5">
        <v>44066</v>
      </c>
      <c r="J2058" s="5">
        <v>43644</v>
      </c>
      <c r="K2058" s="16">
        <f t="shared" si="217"/>
        <v>674</v>
      </c>
      <c r="L2058" s="13">
        <v>7199.61</v>
      </c>
      <c r="M2058" s="15">
        <f t="shared" si="215"/>
        <v>227.94593557820659</v>
      </c>
      <c r="N2058" s="13">
        <v>7199.61</v>
      </c>
      <c r="O2058" s="13">
        <v>0</v>
      </c>
      <c r="P2058" s="11">
        <f t="shared" si="214"/>
        <v>1</v>
      </c>
    </row>
    <row r="2059" spans="1:16" ht="18.75" customHeight="1" thickBot="1" x14ac:dyDescent="0.3">
      <c r="A2059" s="3" t="s">
        <v>11</v>
      </c>
      <c r="B2059" s="4">
        <v>482529</v>
      </c>
      <c r="C2059" s="3" t="s">
        <v>9</v>
      </c>
      <c r="D2059" s="18">
        <v>9.5000000000000001E-2</v>
      </c>
      <c r="E2059" s="21">
        <f t="shared" si="212"/>
        <v>7.5915342905825689E-3</v>
      </c>
      <c r="F2059" s="5">
        <v>42984</v>
      </c>
      <c r="G2059" s="5">
        <v>45535</v>
      </c>
      <c r="H2059" s="16">
        <f t="shared" si="216"/>
        <v>2551</v>
      </c>
      <c r="I2059" s="5">
        <v>45595</v>
      </c>
      <c r="J2059" s="5">
        <v>43664</v>
      </c>
      <c r="K2059" s="16">
        <f t="shared" si="217"/>
        <v>680</v>
      </c>
      <c r="L2059" s="13">
        <v>52013.43</v>
      </c>
      <c r="M2059" s="15">
        <f t="shared" si="215"/>
        <v>832.4492892428226</v>
      </c>
      <c r="N2059" s="13">
        <v>17551.91</v>
      </c>
      <c r="O2059" s="13">
        <v>297.08</v>
      </c>
      <c r="P2059" s="11">
        <f t="shared" si="214"/>
        <v>1</v>
      </c>
    </row>
    <row r="2060" spans="1:16" ht="18.75" customHeight="1" thickBot="1" x14ac:dyDescent="0.3">
      <c r="A2060" s="3" t="s">
        <v>11</v>
      </c>
      <c r="B2060" s="4">
        <v>859850</v>
      </c>
      <c r="C2060" s="3" t="s">
        <v>19</v>
      </c>
      <c r="D2060" s="18">
        <v>0.15</v>
      </c>
      <c r="E2060" s="21">
        <f t="shared" si="212"/>
        <v>1.171491691985338E-2</v>
      </c>
      <c r="F2060" s="5">
        <v>42989</v>
      </c>
      <c r="G2060" s="5">
        <v>43354</v>
      </c>
      <c r="H2060" s="16">
        <f t="shared" si="216"/>
        <v>365</v>
      </c>
      <c r="I2060" s="5">
        <v>43354</v>
      </c>
      <c r="J2060" s="5">
        <v>43371</v>
      </c>
      <c r="K2060" s="16">
        <f t="shared" si="217"/>
        <v>382</v>
      </c>
      <c r="L2060" s="13">
        <v>316.57</v>
      </c>
      <c r="M2060" s="15">
        <f t="shared" si="215"/>
        <v>28.069638279707053</v>
      </c>
      <c r="N2060" s="13">
        <v>316.57</v>
      </c>
      <c r="O2060" s="13">
        <v>0</v>
      </c>
      <c r="P2060" s="11">
        <f t="shared" si="214"/>
        <v>1</v>
      </c>
    </row>
    <row r="2061" spans="1:16" ht="18.75" customHeight="1" thickBot="1" x14ac:dyDescent="0.3">
      <c r="A2061" s="3" t="s">
        <v>11</v>
      </c>
      <c r="B2061" s="4">
        <v>959422</v>
      </c>
      <c r="C2061" s="3" t="s">
        <v>9</v>
      </c>
      <c r="D2061" s="18">
        <v>0.1</v>
      </c>
      <c r="E2061" s="21">
        <f t="shared" si="212"/>
        <v>7.9741404289037643E-3</v>
      </c>
      <c r="F2061" s="5">
        <v>42990</v>
      </c>
      <c r="G2061" s="5">
        <v>44816</v>
      </c>
      <c r="H2061" s="16">
        <f t="shared" si="216"/>
        <v>1826</v>
      </c>
      <c r="I2061" s="5">
        <v>44816</v>
      </c>
      <c r="J2061" s="5">
        <v>44102</v>
      </c>
      <c r="K2061" s="16">
        <f t="shared" si="217"/>
        <v>1112</v>
      </c>
      <c r="L2061" s="13">
        <v>10848.18</v>
      </c>
      <c r="M2061" s="15">
        <f t="shared" si="215"/>
        <v>225.66216656198742</v>
      </c>
      <c r="N2061" s="13">
        <v>5804.26</v>
      </c>
      <c r="O2061" s="13">
        <v>1207.47</v>
      </c>
      <c r="P2061" s="11">
        <f t="shared" si="214"/>
        <v>1</v>
      </c>
    </row>
    <row r="2062" spans="1:16" ht="18.75" customHeight="1" thickBot="1" x14ac:dyDescent="0.3">
      <c r="A2062" s="3" t="s">
        <v>11</v>
      </c>
      <c r="B2062" s="4">
        <v>176851</v>
      </c>
      <c r="C2062" s="3" t="s">
        <v>9</v>
      </c>
      <c r="D2062" s="18">
        <v>0.1</v>
      </c>
      <c r="E2062" s="21">
        <f t="shared" si="212"/>
        <v>7.9741404289037643E-3</v>
      </c>
      <c r="F2062" s="5">
        <v>42990</v>
      </c>
      <c r="G2062" s="5">
        <v>44451</v>
      </c>
      <c r="H2062" s="16">
        <f t="shared" si="216"/>
        <v>1461</v>
      </c>
      <c r="I2062" s="5">
        <v>44451</v>
      </c>
      <c r="J2062" s="5">
        <v>43496</v>
      </c>
      <c r="K2062" s="16">
        <f t="shared" si="217"/>
        <v>506</v>
      </c>
      <c r="L2062" s="13">
        <v>6510.85</v>
      </c>
      <c r="M2062" s="15">
        <f t="shared" si="215"/>
        <v>161.85392042195178</v>
      </c>
      <c r="N2062" s="13">
        <v>5742.31</v>
      </c>
      <c r="O2062" s="13">
        <v>5742.31</v>
      </c>
      <c r="P2062" s="11">
        <f t="shared" si="214"/>
        <v>1</v>
      </c>
    </row>
    <row r="2063" spans="1:16" ht="18.75" customHeight="1" thickBot="1" x14ac:dyDescent="0.3">
      <c r="A2063" s="3" t="s">
        <v>11</v>
      </c>
      <c r="B2063" s="4">
        <v>26599</v>
      </c>
      <c r="C2063" s="3" t="s">
        <v>9</v>
      </c>
      <c r="D2063" s="18">
        <v>0.1</v>
      </c>
      <c r="E2063" s="21">
        <f t="shared" ref="E2063:E2126" si="218">(1+D2063)^(1/12)-1</f>
        <v>7.9741404289037643E-3</v>
      </c>
      <c r="F2063" s="5">
        <v>42993</v>
      </c>
      <c r="G2063" s="5">
        <v>45184</v>
      </c>
      <c r="H2063" s="16">
        <f t="shared" si="216"/>
        <v>2191</v>
      </c>
      <c r="I2063" s="5">
        <v>45184</v>
      </c>
      <c r="J2063" s="5">
        <v>43823</v>
      </c>
      <c r="K2063" s="16">
        <f t="shared" si="217"/>
        <v>830</v>
      </c>
      <c r="L2063" s="13">
        <v>8887.4699999999993</v>
      </c>
      <c r="M2063" s="15">
        <f t="shared" si="215"/>
        <v>161.01683614837967</v>
      </c>
      <c r="N2063" s="13">
        <v>7186.84</v>
      </c>
      <c r="O2063" s="13">
        <v>4763.1499999999996</v>
      </c>
      <c r="P2063" s="11">
        <f t="shared" ref="P2063:P2094" si="219">IF((G2063)&gt;(ConstantDateCutoff),1,0)</f>
        <v>1</v>
      </c>
    </row>
    <row r="2064" spans="1:16" ht="18.75" customHeight="1" thickBot="1" x14ac:dyDescent="0.3">
      <c r="A2064" s="3" t="s">
        <v>11</v>
      </c>
      <c r="B2064" s="4">
        <v>428932</v>
      </c>
      <c r="C2064" s="3" t="s">
        <v>9</v>
      </c>
      <c r="D2064" s="18">
        <v>0.09</v>
      </c>
      <c r="E2064" s="21">
        <f t="shared" si="218"/>
        <v>7.2073233161367156E-3</v>
      </c>
      <c r="F2064" s="5">
        <v>42997</v>
      </c>
      <c r="G2064" s="5">
        <v>45554</v>
      </c>
      <c r="H2064" s="16">
        <f t="shared" si="216"/>
        <v>2557</v>
      </c>
      <c r="I2064" s="5">
        <v>45554</v>
      </c>
      <c r="J2064" s="5">
        <v>43447</v>
      </c>
      <c r="K2064" s="16">
        <f t="shared" si="217"/>
        <v>450</v>
      </c>
      <c r="L2064" s="13">
        <v>35226.86</v>
      </c>
      <c r="M2064" s="15">
        <f t="shared" si="215"/>
        <v>554.60283519856307</v>
      </c>
      <c r="N2064" s="13">
        <v>34302.92</v>
      </c>
      <c r="O2064" s="13">
        <v>0</v>
      </c>
      <c r="P2064" s="11">
        <f t="shared" si="219"/>
        <v>1</v>
      </c>
    </row>
    <row r="2065" spans="1:16" ht="18.75" customHeight="1" thickBot="1" x14ac:dyDescent="0.3">
      <c r="A2065" s="3" t="s">
        <v>11</v>
      </c>
      <c r="B2065" s="4">
        <v>905373</v>
      </c>
      <c r="C2065" s="3" t="s">
        <v>9</v>
      </c>
      <c r="D2065" s="18">
        <v>0.1</v>
      </c>
      <c r="E2065" s="21">
        <f t="shared" si="218"/>
        <v>7.9741404289037643E-3</v>
      </c>
      <c r="F2065" s="5">
        <v>43000</v>
      </c>
      <c r="G2065" s="5">
        <v>43728</v>
      </c>
      <c r="H2065" s="16">
        <f t="shared" si="216"/>
        <v>728</v>
      </c>
      <c r="I2065" s="5">
        <v>43728</v>
      </c>
      <c r="J2065" s="5">
        <v>43210</v>
      </c>
      <c r="K2065" s="16">
        <f t="shared" si="217"/>
        <v>210</v>
      </c>
      <c r="L2065" s="13">
        <v>16381.72</v>
      </c>
      <c r="M2065" s="15">
        <f t="shared" si="215"/>
        <v>745.1707610529412</v>
      </c>
      <c r="N2065" s="13">
        <v>16381.72</v>
      </c>
      <c r="O2065" s="13">
        <v>0</v>
      </c>
      <c r="P2065" s="11">
        <f t="shared" si="219"/>
        <v>1</v>
      </c>
    </row>
    <row r="2066" spans="1:16" ht="18.75" customHeight="1" thickBot="1" x14ac:dyDescent="0.3">
      <c r="A2066" s="3" t="s">
        <v>11</v>
      </c>
      <c r="B2066" s="4">
        <v>165099</v>
      </c>
      <c r="C2066" s="3" t="s">
        <v>9</v>
      </c>
      <c r="D2066" s="18">
        <v>0.1</v>
      </c>
      <c r="E2066" s="21">
        <f t="shared" si="218"/>
        <v>7.9741404289037643E-3</v>
      </c>
      <c r="F2066" s="5">
        <v>42997</v>
      </c>
      <c r="G2066" s="5">
        <v>44884</v>
      </c>
      <c r="H2066" s="16">
        <f t="shared" si="216"/>
        <v>1887</v>
      </c>
      <c r="I2066" s="5">
        <v>44884</v>
      </c>
      <c r="J2066" s="5">
        <v>43644</v>
      </c>
      <c r="K2066" s="16">
        <f t="shared" si="217"/>
        <v>647</v>
      </c>
      <c r="L2066" s="13">
        <v>4175.95</v>
      </c>
      <c r="M2066" s="15">
        <f t="shared" si="215"/>
        <v>84.685057578539769</v>
      </c>
      <c r="N2066" s="13">
        <v>4175.95</v>
      </c>
      <c r="O2066" s="13">
        <v>0</v>
      </c>
      <c r="P2066" s="11">
        <f t="shared" si="219"/>
        <v>1</v>
      </c>
    </row>
    <row r="2067" spans="1:16" ht="18.75" customHeight="1" thickBot="1" x14ac:dyDescent="0.3">
      <c r="A2067" s="3" t="s">
        <v>11</v>
      </c>
      <c r="B2067" s="4">
        <v>291003</v>
      </c>
      <c r="C2067" s="3" t="s">
        <v>19</v>
      </c>
      <c r="D2067" s="18">
        <v>0.1</v>
      </c>
      <c r="E2067" s="21">
        <f t="shared" si="218"/>
        <v>7.9741404289037643E-3</v>
      </c>
      <c r="F2067" s="5">
        <v>42998</v>
      </c>
      <c r="G2067" s="5">
        <v>44824</v>
      </c>
      <c r="H2067" s="16">
        <f t="shared" si="216"/>
        <v>1826</v>
      </c>
      <c r="I2067" s="5">
        <v>44824</v>
      </c>
      <c r="J2067" s="5">
        <v>43725</v>
      </c>
      <c r="K2067" s="16">
        <f t="shared" si="217"/>
        <v>727</v>
      </c>
      <c r="L2067" s="13">
        <v>21626.52</v>
      </c>
      <c r="M2067" s="15">
        <f t="shared" si="215"/>
        <v>449.87153221979651</v>
      </c>
      <c r="N2067" s="13">
        <v>21626.52</v>
      </c>
      <c r="O2067" s="13">
        <v>0</v>
      </c>
      <c r="P2067" s="11">
        <f t="shared" si="219"/>
        <v>1</v>
      </c>
    </row>
    <row r="2068" spans="1:16" ht="18.75" customHeight="1" thickBot="1" x14ac:dyDescent="0.3">
      <c r="A2068" s="3" t="s">
        <v>11</v>
      </c>
      <c r="B2068" s="4">
        <v>598077</v>
      </c>
      <c r="C2068" s="3" t="s">
        <v>9</v>
      </c>
      <c r="D2068" s="18">
        <v>0.1</v>
      </c>
      <c r="E2068" s="21">
        <f t="shared" si="218"/>
        <v>7.9741404289037643E-3</v>
      </c>
      <c r="F2068" s="5">
        <v>42998</v>
      </c>
      <c r="G2068" s="5">
        <v>45189</v>
      </c>
      <c r="H2068" s="16">
        <f t="shared" si="216"/>
        <v>2191</v>
      </c>
      <c r="I2068" s="5">
        <v>45189</v>
      </c>
      <c r="J2068" s="5">
        <v>43630</v>
      </c>
      <c r="K2068" s="16">
        <f t="shared" si="217"/>
        <v>632</v>
      </c>
      <c r="L2068" s="13">
        <v>14340.33</v>
      </c>
      <c r="M2068" s="15">
        <f t="shared" si="215"/>
        <v>259.80786049614727</v>
      </c>
      <c r="N2068" s="13">
        <v>14340.33</v>
      </c>
      <c r="O2068" s="13">
        <v>0</v>
      </c>
      <c r="P2068" s="11">
        <f t="shared" si="219"/>
        <v>1</v>
      </c>
    </row>
    <row r="2069" spans="1:16" ht="18.75" customHeight="1" thickBot="1" x14ac:dyDescent="0.3">
      <c r="A2069" s="3" t="s">
        <v>11</v>
      </c>
      <c r="B2069" s="4">
        <v>894694</v>
      </c>
      <c r="C2069" s="3" t="s">
        <v>9</v>
      </c>
      <c r="D2069" s="18">
        <v>0.09</v>
      </c>
      <c r="E2069" s="21">
        <f t="shared" si="218"/>
        <v>7.2073233161367156E-3</v>
      </c>
      <c r="F2069" s="5">
        <v>42999</v>
      </c>
      <c r="G2069" s="5">
        <v>45709</v>
      </c>
      <c r="H2069" s="16">
        <f t="shared" si="216"/>
        <v>2710</v>
      </c>
      <c r="I2069" s="5">
        <v>45709</v>
      </c>
      <c r="J2069" s="5">
        <v>43371</v>
      </c>
      <c r="K2069" s="16">
        <f t="shared" si="217"/>
        <v>372</v>
      </c>
      <c r="L2069" s="13">
        <v>27001.5</v>
      </c>
      <c r="M2069" s="15">
        <f t="shared" si="215"/>
        <v>407.73732684099053</v>
      </c>
      <c r="N2069" s="13">
        <v>23997.83</v>
      </c>
      <c r="O2069" s="13">
        <v>23997.83</v>
      </c>
      <c r="P2069" s="11">
        <f t="shared" si="219"/>
        <v>1</v>
      </c>
    </row>
    <row r="2070" spans="1:16" ht="18.75" customHeight="1" thickBot="1" x14ac:dyDescent="0.3">
      <c r="A2070" s="3" t="s">
        <v>11</v>
      </c>
      <c r="B2070" s="4">
        <v>880615</v>
      </c>
      <c r="C2070" s="3" t="s">
        <v>12</v>
      </c>
      <c r="D2070" s="18">
        <v>0.1</v>
      </c>
      <c r="E2070" s="21">
        <f t="shared" si="218"/>
        <v>7.9741404289037643E-3</v>
      </c>
      <c r="F2070" s="5">
        <v>43003</v>
      </c>
      <c r="G2070" s="5">
        <v>44475</v>
      </c>
      <c r="H2070" s="16">
        <f t="shared" si="216"/>
        <v>1472</v>
      </c>
      <c r="I2070" s="5">
        <v>44475</v>
      </c>
      <c r="J2070" s="5">
        <v>44179</v>
      </c>
      <c r="K2070" s="16">
        <f t="shared" si="217"/>
        <v>1176</v>
      </c>
      <c r="L2070" s="13">
        <v>6542.65</v>
      </c>
      <c r="M2070" s="15">
        <f t="shared" si="215"/>
        <v>161.64906493591741</v>
      </c>
      <c r="N2070" s="13">
        <v>2369.7399999999998</v>
      </c>
      <c r="O2070" s="13">
        <v>0</v>
      </c>
      <c r="P2070" s="11">
        <f t="shared" si="219"/>
        <v>1</v>
      </c>
    </row>
    <row r="2071" spans="1:16" ht="18.75" customHeight="1" thickBot="1" x14ac:dyDescent="0.3">
      <c r="A2071" s="3" t="s">
        <v>11</v>
      </c>
      <c r="B2071" s="4">
        <v>745314</v>
      </c>
      <c r="C2071" s="3" t="s">
        <v>9</v>
      </c>
      <c r="D2071" s="18">
        <v>0.1</v>
      </c>
      <c r="E2071" s="21">
        <f t="shared" si="218"/>
        <v>7.9741404289037643E-3</v>
      </c>
      <c r="F2071" s="5">
        <v>43006</v>
      </c>
      <c r="G2071" s="5">
        <v>44467</v>
      </c>
      <c r="H2071" s="16">
        <f t="shared" si="216"/>
        <v>1461</v>
      </c>
      <c r="I2071" s="5">
        <v>44467</v>
      </c>
      <c r="J2071" s="5">
        <v>44543</v>
      </c>
      <c r="K2071" s="16">
        <f t="shared" si="217"/>
        <v>1537</v>
      </c>
      <c r="L2071" s="13">
        <v>6518.18</v>
      </c>
      <c r="M2071" s="15">
        <f t="shared" si="215"/>
        <v>162.0361376803271</v>
      </c>
      <c r="N2071" s="13">
        <v>100.6</v>
      </c>
      <c r="O2071" s="13">
        <v>0</v>
      </c>
      <c r="P2071" s="11">
        <f t="shared" si="219"/>
        <v>1</v>
      </c>
    </row>
    <row r="2072" spans="1:16" ht="18.75" customHeight="1" thickBot="1" x14ac:dyDescent="0.3">
      <c r="A2072" s="3" t="s">
        <v>11</v>
      </c>
      <c r="B2072" s="4">
        <v>786855</v>
      </c>
      <c r="C2072" s="3" t="s">
        <v>9</v>
      </c>
      <c r="D2072" s="18">
        <v>0.09</v>
      </c>
      <c r="E2072" s="21">
        <f t="shared" si="218"/>
        <v>7.2073233161367156E-3</v>
      </c>
      <c r="F2072" s="5">
        <v>43010</v>
      </c>
      <c r="G2072" s="5">
        <v>43266</v>
      </c>
      <c r="H2072" s="16">
        <f t="shared" si="216"/>
        <v>256</v>
      </c>
      <c r="I2072" s="5">
        <v>43266</v>
      </c>
      <c r="J2072" s="5">
        <v>43088</v>
      </c>
      <c r="K2072" s="16">
        <f t="shared" si="217"/>
        <v>78</v>
      </c>
      <c r="L2072" s="13">
        <v>4000</v>
      </c>
      <c r="M2072" s="15">
        <f t="shared" si="215"/>
        <v>484.99905817505095</v>
      </c>
      <c r="N2072" s="13">
        <v>4000</v>
      </c>
      <c r="O2072" s="13">
        <v>0</v>
      </c>
      <c r="P2072" s="11">
        <f t="shared" si="219"/>
        <v>1</v>
      </c>
    </row>
    <row r="2073" spans="1:16" ht="18.75" customHeight="1" thickBot="1" x14ac:dyDescent="0.3">
      <c r="A2073" s="3" t="s">
        <v>11</v>
      </c>
      <c r="B2073" s="4">
        <v>223795</v>
      </c>
      <c r="C2073" s="3" t="s">
        <v>9</v>
      </c>
      <c r="D2073" s="18">
        <v>0.11</v>
      </c>
      <c r="E2073" s="21">
        <f t="shared" si="218"/>
        <v>8.7345938235519061E-3</v>
      </c>
      <c r="F2073" s="5">
        <v>43012</v>
      </c>
      <c r="G2073" s="5">
        <v>43377</v>
      </c>
      <c r="H2073" s="16">
        <f t="shared" si="216"/>
        <v>365</v>
      </c>
      <c r="I2073" s="5">
        <v>43377</v>
      </c>
      <c r="J2073" s="5">
        <v>43279</v>
      </c>
      <c r="K2073" s="16">
        <f t="shared" si="217"/>
        <v>267</v>
      </c>
      <c r="L2073" s="13">
        <v>848.29</v>
      </c>
      <c r="M2073" s="15">
        <f t="shared" si="215"/>
        <v>73.796577875070597</v>
      </c>
      <c r="N2073" s="13">
        <v>848.29</v>
      </c>
      <c r="O2073" s="13">
        <v>0</v>
      </c>
      <c r="P2073" s="11">
        <f t="shared" si="219"/>
        <v>1</v>
      </c>
    </row>
    <row r="2074" spans="1:16" ht="18.75" customHeight="1" thickBot="1" x14ac:dyDescent="0.3">
      <c r="A2074" s="3" t="s">
        <v>11</v>
      </c>
      <c r="B2074" s="4">
        <v>897359</v>
      </c>
      <c r="C2074" s="3" t="s">
        <v>12</v>
      </c>
      <c r="D2074" s="18">
        <v>0.1</v>
      </c>
      <c r="E2074" s="21">
        <f t="shared" si="218"/>
        <v>7.9741404289037643E-3</v>
      </c>
      <c r="F2074" s="5">
        <v>43014</v>
      </c>
      <c r="G2074" s="5">
        <v>44475</v>
      </c>
      <c r="H2074" s="16">
        <f t="shared" si="216"/>
        <v>1461</v>
      </c>
      <c r="I2074" s="5">
        <v>44567</v>
      </c>
      <c r="J2074" s="5">
        <v>44005</v>
      </c>
      <c r="K2074" s="16">
        <f t="shared" si="217"/>
        <v>991</v>
      </c>
      <c r="L2074" s="13">
        <v>6323.13</v>
      </c>
      <c r="M2074" s="15">
        <f t="shared" si="215"/>
        <v>157.18736875179982</v>
      </c>
      <c r="N2074" s="13">
        <v>2813.83</v>
      </c>
      <c r="O2074" s="13">
        <v>2813.83</v>
      </c>
      <c r="P2074" s="11">
        <f t="shared" si="219"/>
        <v>1</v>
      </c>
    </row>
    <row r="2075" spans="1:16" ht="18.75" customHeight="1" thickBot="1" x14ac:dyDescent="0.3">
      <c r="A2075" s="3" t="s">
        <v>11</v>
      </c>
      <c r="B2075" s="4">
        <v>372688</v>
      </c>
      <c r="C2075" s="3" t="s">
        <v>9</v>
      </c>
      <c r="D2075" s="18">
        <v>0.09</v>
      </c>
      <c r="E2075" s="21">
        <f t="shared" si="218"/>
        <v>7.2073233161367156E-3</v>
      </c>
      <c r="F2075" s="5">
        <v>43020</v>
      </c>
      <c r="G2075" s="5">
        <v>44542</v>
      </c>
      <c r="H2075" s="16">
        <f t="shared" si="216"/>
        <v>1522</v>
      </c>
      <c r="I2075" s="5">
        <v>44542</v>
      </c>
      <c r="J2075" s="5">
        <v>43371</v>
      </c>
      <c r="K2075" s="16">
        <f t="shared" si="217"/>
        <v>351</v>
      </c>
      <c r="L2075" s="13">
        <v>10701.52</v>
      </c>
      <c r="M2075" s="15">
        <f t="shared" si="215"/>
        <v>252.59716501552685</v>
      </c>
      <c r="N2075" s="13">
        <v>10701.52</v>
      </c>
      <c r="O2075" s="13">
        <v>1539.96</v>
      </c>
      <c r="P2075" s="11">
        <f t="shared" si="219"/>
        <v>1</v>
      </c>
    </row>
    <row r="2076" spans="1:16" ht="18.75" customHeight="1" thickBot="1" x14ac:dyDescent="0.3">
      <c r="A2076" s="3" t="s">
        <v>11</v>
      </c>
      <c r="B2076" s="4">
        <v>280412</v>
      </c>
      <c r="C2076" s="3" t="s">
        <v>9</v>
      </c>
      <c r="D2076" s="18">
        <v>0.1</v>
      </c>
      <c r="E2076" s="21">
        <f t="shared" si="218"/>
        <v>7.9741404289037643E-3</v>
      </c>
      <c r="F2076" s="5">
        <v>43020</v>
      </c>
      <c r="G2076" s="5">
        <v>44520</v>
      </c>
      <c r="H2076" s="16">
        <f t="shared" si="216"/>
        <v>1500</v>
      </c>
      <c r="I2076" s="5">
        <v>44520</v>
      </c>
      <c r="J2076" s="5">
        <v>43496</v>
      </c>
      <c r="K2076" s="16">
        <f t="shared" si="217"/>
        <v>476</v>
      </c>
      <c r="L2076" s="13">
        <v>7909.08</v>
      </c>
      <c r="M2076" s="15">
        <f t="shared" si="215"/>
        <v>192.4272023744353</v>
      </c>
      <c r="N2076" s="13">
        <v>7909.08</v>
      </c>
      <c r="O2076" s="13">
        <v>1000</v>
      </c>
      <c r="P2076" s="11">
        <f t="shared" si="219"/>
        <v>1</v>
      </c>
    </row>
    <row r="2077" spans="1:16" ht="18.75" customHeight="1" thickBot="1" x14ac:dyDescent="0.3">
      <c r="A2077" s="3" t="s">
        <v>11</v>
      </c>
      <c r="B2077" s="4">
        <v>146201</v>
      </c>
      <c r="C2077" s="3" t="s">
        <v>9</v>
      </c>
      <c r="D2077" s="18">
        <v>0.09</v>
      </c>
      <c r="E2077" s="21">
        <f t="shared" si="218"/>
        <v>7.2073233161367156E-3</v>
      </c>
      <c r="F2077" s="5">
        <v>43021</v>
      </c>
      <c r="G2077" s="5">
        <v>44117</v>
      </c>
      <c r="H2077" s="16">
        <f t="shared" si="216"/>
        <v>1096</v>
      </c>
      <c r="I2077" s="5">
        <v>45790</v>
      </c>
      <c r="J2077" s="5">
        <v>43818</v>
      </c>
      <c r="K2077" s="16">
        <f t="shared" si="217"/>
        <v>797</v>
      </c>
      <c r="L2077" s="13">
        <v>68396.539999999994</v>
      </c>
      <c r="M2077" s="15">
        <f t="shared" si="215"/>
        <v>2136.1500877233866</v>
      </c>
      <c r="N2077" s="13">
        <v>45767.24</v>
      </c>
      <c r="O2077" s="13">
        <v>22869.14</v>
      </c>
      <c r="P2077" s="11">
        <f t="shared" si="219"/>
        <v>1</v>
      </c>
    </row>
    <row r="2078" spans="1:16" ht="18.75" customHeight="1" thickBot="1" x14ac:dyDescent="0.3">
      <c r="A2078" s="3" t="s">
        <v>11</v>
      </c>
      <c r="B2078" s="4">
        <v>128763</v>
      </c>
      <c r="C2078" s="3" t="s">
        <v>9</v>
      </c>
      <c r="D2078" s="18">
        <v>0.1</v>
      </c>
      <c r="E2078" s="21">
        <f t="shared" si="218"/>
        <v>7.9741404289037643E-3</v>
      </c>
      <c r="F2078" s="5">
        <v>43025</v>
      </c>
      <c r="G2078" s="5">
        <v>45216</v>
      </c>
      <c r="H2078" s="16">
        <f t="shared" si="216"/>
        <v>2191</v>
      </c>
      <c r="I2078" s="5">
        <v>45216</v>
      </c>
      <c r="J2078" s="5">
        <v>43496</v>
      </c>
      <c r="K2078" s="16">
        <f t="shared" si="217"/>
        <v>471</v>
      </c>
      <c r="L2078" s="13">
        <v>9350</v>
      </c>
      <c r="M2078" s="15">
        <f t="shared" si="215"/>
        <v>169.39662445975625</v>
      </c>
      <c r="N2078" s="13">
        <v>9350</v>
      </c>
      <c r="O2078" s="13">
        <v>0</v>
      </c>
      <c r="P2078" s="11">
        <f t="shared" si="219"/>
        <v>1</v>
      </c>
    </row>
    <row r="2079" spans="1:16" ht="18.75" hidden="1" customHeight="1" thickBot="1" x14ac:dyDescent="0.3">
      <c r="A2079" s="3" t="s">
        <v>11</v>
      </c>
      <c r="B2079" s="4">
        <v>802541</v>
      </c>
      <c r="C2079" s="3" t="s">
        <v>9</v>
      </c>
      <c r="D2079" s="18">
        <v>0.11</v>
      </c>
      <c r="E2079" s="21">
        <f t="shared" si="218"/>
        <v>8.7345938235519061E-3</v>
      </c>
      <c r="F2079" s="5">
        <v>43028</v>
      </c>
      <c r="G2079" s="5">
        <v>44367</v>
      </c>
      <c r="H2079" s="16">
        <f t="shared" si="216"/>
        <v>1339</v>
      </c>
      <c r="I2079" s="5">
        <v>44367</v>
      </c>
      <c r="J2079" s="2"/>
      <c r="K2079" s="16">
        <f t="shared" si="217"/>
        <v>-43028</v>
      </c>
      <c r="L2079" s="13">
        <v>9196.2199999999993</v>
      </c>
      <c r="M2079" s="15">
        <f t="shared" si="215"/>
        <v>249.69219793573359</v>
      </c>
      <c r="N2079" s="13">
        <v>9196.2199999999993</v>
      </c>
      <c r="O2079" s="13">
        <v>0</v>
      </c>
      <c r="P2079" s="11">
        <f t="shared" si="219"/>
        <v>1</v>
      </c>
    </row>
    <row r="2080" spans="1:16" ht="18.75" customHeight="1" thickBot="1" x14ac:dyDescent="0.3">
      <c r="A2080" s="3" t="s">
        <v>11</v>
      </c>
      <c r="B2080" s="4">
        <v>650958</v>
      </c>
      <c r="C2080" s="3" t="s">
        <v>9</v>
      </c>
      <c r="D2080" s="18">
        <v>0.1</v>
      </c>
      <c r="E2080" s="21">
        <f t="shared" si="218"/>
        <v>7.9741404289037643E-3</v>
      </c>
      <c r="F2080" s="5">
        <v>43032</v>
      </c>
      <c r="G2080" s="5">
        <v>43762</v>
      </c>
      <c r="H2080" s="16">
        <f t="shared" si="216"/>
        <v>730</v>
      </c>
      <c r="I2080" s="5">
        <v>43762</v>
      </c>
      <c r="J2080" s="5">
        <v>43644</v>
      </c>
      <c r="K2080" s="16">
        <f t="shared" si="217"/>
        <v>612</v>
      </c>
      <c r="L2080" s="13">
        <v>2973.39</v>
      </c>
      <c r="M2080" s="15">
        <f t="shared" si="215"/>
        <v>134.91740712796101</v>
      </c>
      <c r="N2080" s="13">
        <v>2973.39</v>
      </c>
      <c r="O2080" s="13">
        <v>75</v>
      </c>
      <c r="P2080" s="11">
        <f t="shared" si="219"/>
        <v>1</v>
      </c>
    </row>
    <row r="2081" spans="1:16" ht="18.75" customHeight="1" thickBot="1" x14ac:dyDescent="0.3">
      <c r="A2081" s="3" t="s">
        <v>11</v>
      </c>
      <c r="B2081" s="4">
        <v>858438</v>
      </c>
      <c r="C2081" s="3" t="s">
        <v>12</v>
      </c>
      <c r="D2081" s="18">
        <v>8.5000000000000006E-2</v>
      </c>
      <c r="E2081" s="21">
        <f t="shared" si="218"/>
        <v>6.8214933659622723E-3</v>
      </c>
      <c r="F2081" s="5">
        <v>43035</v>
      </c>
      <c r="G2081" s="5">
        <v>44123</v>
      </c>
      <c r="H2081" s="16">
        <f t="shared" si="216"/>
        <v>1088</v>
      </c>
      <c r="I2081" s="5">
        <v>44123</v>
      </c>
      <c r="J2081" s="5">
        <v>44179</v>
      </c>
      <c r="K2081" s="16">
        <f t="shared" si="217"/>
        <v>1144</v>
      </c>
      <c r="L2081" s="13">
        <v>4023.72</v>
      </c>
      <c r="M2081" s="15">
        <f t="shared" si="215"/>
        <v>125.61341220542155</v>
      </c>
      <c r="N2081" s="13">
        <v>2055.67</v>
      </c>
      <c r="O2081" s="13">
        <v>0</v>
      </c>
      <c r="P2081" s="11">
        <f t="shared" si="219"/>
        <v>1</v>
      </c>
    </row>
    <row r="2082" spans="1:16" ht="18.75" customHeight="1" thickBot="1" x14ac:dyDescent="0.3">
      <c r="A2082" s="3" t="s">
        <v>11</v>
      </c>
      <c r="B2082" s="4">
        <v>694263</v>
      </c>
      <c r="C2082" s="3" t="s">
        <v>3</v>
      </c>
      <c r="D2082" s="18">
        <v>7.4999999999999997E-2</v>
      </c>
      <c r="E2082" s="21">
        <f t="shared" si="218"/>
        <v>6.0449190242917172E-3</v>
      </c>
      <c r="F2082" s="5">
        <v>43042</v>
      </c>
      <c r="G2082" s="5">
        <v>43407</v>
      </c>
      <c r="H2082" s="16">
        <f t="shared" si="216"/>
        <v>365</v>
      </c>
      <c r="I2082" s="5">
        <v>43407</v>
      </c>
      <c r="J2082" s="5">
        <v>43888</v>
      </c>
      <c r="K2082" s="16">
        <f t="shared" si="217"/>
        <v>846</v>
      </c>
      <c r="L2082" s="13">
        <v>173250</v>
      </c>
      <c r="M2082" s="15">
        <f t="shared" si="215"/>
        <v>14812.761670033347</v>
      </c>
      <c r="N2082" s="13">
        <v>157066.99</v>
      </c>
      <c r="O2082" s="13">
        <v>35000</v>
      </c>
      <c r="P2082" s="11">
        <f t="shared" si="219"/>
        <v>1</v>
      </c>
    </row>
    <row r="2083" spans="1:16" ht="18.75" customHeight="1" thickBot="1" x14ac:dyDescent="0.3">
      <c r="A2083" s="3" t="s">
        <v>11</v>
      </c>
      <c r="B2083" s="4">
        <v>306669</v>
      </c>
      <c r="C2083" s="3" t="s">
        <v>9</v>
      </c>
      <c r="D2083" s="18">
        <v>0.08</v>
      </c>
      <c r="E2083" s="21">
        <f t="shared" si="218"/>
        <v>6.4340301100034303E-3</v>
      </c>
      <c r="F2083" s="5">
        <v>43048</v>
      </c>
      <c r="G2083" s="5">
        <v>45239</v>
      </c>
      <c r="H2083" s="16">
        <f t="shared" si="216"/>
        <v>2191</v>
      </c>
      <c r="I2083" s="5">
        <v>45239</v>
      </c>
      <c r="J2083" s="5">
        <v>43826</v>
      </c>
      <c r="K2083" s="16">
        <f t="shared" si="217"/>
        <v>778</v>
      </c>
      <c r="L2083" s="13">
        <v>26668.45</v>
      </c>
      <c r="M2083" s="15">
        <f t="shared" si="215"/>
        <v>458.79385497627862</v>
      </c>
      <c r="N2083" s="13">
        <v>22318.98</v>
      </c>
      <c r="O2083" s="13">
        <v>10865</v>
      </c>
      <c r="P2083" s="11">
        <f t="shared" si="219"/>
        <v>1</v>
      </c>
    </row>
    <row r="2084" spans="1:16" ht="18.75" customHeight="1" thickBot="1" x14ac:dyDescent="0.3">
      <c r="A2084" s="3" t="s">
        <v>11</v>
      </c>
      <c r="B2084" s="4">
        <v>685519</v>
      </c>
      <c r="C2084" s="3" t="s">
        <v>2</v>
      </c>
      <c r="D2084" s="18">
        <v>0.1</v>
      </c>
      <c r="E2084" s="21">
        <f t="shared" si="218"/>
        <v>7.9741404289037643E-3</v>
      </c>
      <c r="F2084" s="5">
        <v>43048</v>
      </c>
      <c r="G2084" s="5">
        <v>44935</v>
      </c>
      <c r="H2084" s="16">
        <f t="shared" si="216"/>
        <v>1887</v>
      </c>
      <c r="I2084" s="5">
        <v>44935</v>
      </c>
      <c r="J2084" s="5">
        <v>43725</v>
      </c>
      <c r="K2084" s="16">
        <f t="shared" si="217"/>
        <v>677</v>
      </c>
      <c r="L2084" s="13">
        <v>1094.49</v>
      </c>
      <c r="M2084" s="15">
        <f t="shared" si="215"/>
        <v>22.195416293091633</v>
      </c>
      <c r="N2084" s="13">
        <v>1094.49</v>
      </c>
      <c r="O2084" s="13">
        <v>496.83</v>
      </c>
      <c r="P2084" s="11">
        <f t="shared" si="219"/>
        <v>1</v>
      </c>
    </row>
    <row r="2085" spans="1:16" ht="18.75" customHeight="1" thickBot="1" x14ac:dyDescent="0.3">
      <c r="A2085" s="3" t="s">
        <v>11</v>
      </c>
      <c r="B2085" s="4">
        <v>806346</v>
      </c>
      <c r="C2085" s="3" t="s">
        <v>9</v>
      </c>
      <c r="D2085" s="18">
        <v>0.1</v>
      </c>
      <c r="E2085" s="21">
        <f t="shared" si="218"/>
        <v>7.9741404289037643E-3</v>
      </c>
      <c r="F2085" s="5">
        <v>43054</v>
      </c>
      <c r="G2085" s="5">
        <v>45245</v>
      </c>
      <c r="H2085" s="16">
        <f t="shared" si="216"/>
        <v>2191</v>
      </c>
      <c r="I2085" s="5">
        <v>45245</v>
      </c>
      <c r="J2085" s="5">
        <v>43496</v>
      </c>
      <c r="K2085" s="16">
        <f t="shared" si="217"/>
        <v>442</v>
      </c>
      <c r="L2085" s="13">
        <v>39859.629999999997</v>
      </c>
      <c r="M2085" s="15">
        <f t="shared" si="215"/>
        <v>722.14831809784334</v>
      </c>
      <c r="N2085" s="13">
        <v>37859.629999999997</v>
      </c>
      <c r="O2085" s="13">
        <v>470.4</v>
      </c>
      <c r="P2085" s="11">
        <f t="shared" si="219"/>
        <v>1</v>
      </c>
    </row>
    <row r="2086" spans="1:16" ht="18.75" customHeight="1" thickBot="1" x14ac:dyDescent="0.3">
      <c r="A2086" s="3" t="s">
        <v>11</v>
      </c>
      <c r="B2086" s="4">
        <v>876173</v>
      </c>
      <c r="C2086" s="3" t="s">
        <v>9</v>
      </c>
      <c r="D2086" s="18">
        <v>0.1</v>
      </c>
      <c r="E2086" s="21">
        <f t="shared" si="218"/>
        <v>7.9741404289037643E-3</v>
      </c>
      <c r="F2086" s="5">
        <v>43060</v>
      </c>
      <c r="G2086" s="5">
        <v>44248</v>
      </c>
      <c r="H2086" s="16">
        <f t="shared" si="216"/>
        <v>1188</v>
      </c>
      <c r="I2086" s="5">
        <v>44248</v>
      </c>
      <c r="J2086" s="5">
        <v>43501</v>
      </c>
      <c r="K2086" s="16">
        <f t="shared" si="217"/>
        <v>441</v>
      </c>
      <c r="L2086" s="13">
        <v>4969.67</v>
      </c>
      <c r="M2086" s="15">
        <f t="shared" si="215"/>
        <v>146.84781769425993</v>
      </c>
      <c r="N2086" s="13">
        <v>4161.07</v>
      </c>
      <c r="O2086" s="13">
        <v>4161.07</v>
      </c>
      <c r="P2086" s="11">
        <f t="shared" si="219"/>
        <v>1</v>
      </c>
    </row>
    <row r="2087" spans="1:16" ht="18.75" customHeight="1" thickBot="1" x14ac:dyDescent="0.3">
      <c r="A2087" s="3" t="s">
        <v>11</v>
      </c>
      <c r="B2087" s="4">
        <v>727574</v>
      </c>
      <c r="C2087" s="3" t="s">
        <v>9</v>
      </c>
      <c r="D2087" s="18">
        <v>0.1</v>
      </c>
      <c r="E2087" s="21">
        <f t="shared" si="218"/>
        <v>7.9741404289037643E-3</v>
      </c>
      <c r="F2087" s="5">
        <v>43066</v>
      </c>
      <c r="G2087" s="5">
        <v>44157</v>
      </c>
      <c r="H2087" s="16">
        <f t="shared" si="216"/>
        <v>1091</v>
      </c>
      <c r="I2087" s="5">
        <v>44157</v>
      </c>
      <c r="J2087" s="5">
        <v>43644</v>
      </c>
      <c r="K2087" s="16">
        <f t="shared" si="217"/>
        <v>578</v>
      </c>
      <c r="L2087" s="13">
        <v>1594.02</v>
      </c>
      <c r="M2087" s="15">
        <f t="shared" si="215"/>
        <v>50.667427199383965</v>
      </c>
      <c r="N2087" s="13">
        <v>1594.02</v>
      </c>
      <c r="O2087" s="13">
        <v>0</v>
      </c>
      <c r="P2087" s="11">
        <f t="shared" si="219"/>
        <v>1</v>
      </c>
    </row>
    <row r="2088" spans="1:16" ht="18.75" customHeight="1" thickBot="1" x14ac:dyDescent="0.3">
      <c r="A2088" s="3" t="s">
        <v>11</v>
      </c>
      <c r="B2088" s="4">
        <v>115094</v>
      </c>
      <c r="C2088" s="3" t="s">
        <v>9</v>
      </c>
      <c r="D2088" s="18">
        <v>0.08</v>
      </c>
      <c r="E2088" s="21">
        <f t="shared" si="218"/>
        <v>6.4340301100034303E-3</v>
      </c>
      <c r="F2088" s="5">
        <v>43061</v>
      </c>
      <c r="G2088" s="5">
        <v>43791</v>
      </c>
      <c r="H2088" s="16">
        <f t="shared" si="216"/>
        <v>730</v>
      </c>
      <c r="I2088" s="5">
        <v>43791</v>
      </c>
      <c r="J2088" s="5">
        <v>43802</v>
      </c>
      <c r="K2088" s="16">
        <f t="shared" si="217"/>
        <v>741</v>
      </c>
      <c r="L2088" s="13">
        <v>2200</v>
      </c>
      <c r="M2088" s="15">
        <f t="shared" si="215"/>
        <v>97.962943773109984</v>
      </c>
      <c r="N2088" s="13">
        <v>1463.53</v>
      </c>
      <c r="O2088" s="13">
        <v>0</v>
      </c>
      <c r="P2088" s="11">
        <f t="shared" si="219"/>
        <v>1</v>
      </c>
    </row>
    <row r="2089" spans="1:16" ht="18.75" customHeight="1" thickBot="1" x14ac:dyDescent="0.3">
      <c r="A2089" s="3" t="s">
        <v>11</v>
      </c>
      <c r="B2089" s="4">
        <v>350690</v>
      </c>
      <c r="C2089" s="3" t="s">
        <v>2</v>
      </c>
      <c r="D2089" s="18">
        <v>0.1</v>
      </c>
      <c r="E2089" s="21">
        <f t="shared" si="218"/>
        <v>7.9741404289037643E-3</v>
      </c>
      <c r="F2089" s="5">
        <v>43066</v>
      </c>
      <c r="G2089" s="5">
        <v>44282</v>
      </c>
      <c r="H2089" s="16">
        <f t="shared" si="216"/>
        <v>1216</v>
      </c>
      <c r="I2089" s="5">
        <v>44282</v>
      </c>
      <c r="J2089" s="5">
        <v>43818</v>
      </c>
      <c r="K2089" s="16">
        <f t="shared" si="217"/>
        <v>752</v>
      </c>
      <c r="L2089" s="13">
        <v>35454.39</v>
      </c>
      <c r="M2089" s="15">
        <f t="shared" si="215"/>
        <v>1027.1108371898206</v>
      </c>
      <c r="N2089" s="13">
        <v>35454.39</v>
      </c>
      <c r="O2089" s="13">
        <v>800</v>
      </c>
      <c r="P2089" s="11">
        <f t="shared" si="219"/>
        <v>1</v>
      </c>
    </row>
    <row r="2090" spans="1:16" ht="18.75" customHeight="1" thickBot="1" x14ac:dyDescent="0.3">
      <c r="A2090" s="3" t="s">
        <v>11</v>
      </c>
      <c r="B2090" s="4">
        <v>229829</v>
      </c>
      <c r="C2090" s="3" t="s">
        <v>9</v>
      </c>
      <c r="D2090" s="18">
        <v>0.05</v>
      </c>
      <c r="E2090" s="21">
        <f t="shared" si="218"/>
        <v>4.0741237836483535E-3</v>
      </c>
      <c r="F2090" s="5">
        <v>43066</v>
      </c>
      <c r="G2090" s="5">
        <v>45275</v>
      </c>
      <c r="H2090" s="16">
        <f t="shared" si="216"/>
        <v>2209</v>
      </c>
      <c r="I2090" s="5">
        <v>45287</v>
      </c>
      <c r="J2090" s="5">
        <v>43818</v>
      </c>
      <c r="K2090" s="16">
        <f t="shared" si="217"/>
        <v>752</v>
      </c>
      <c r="L2090" s="13">
        <v>30434.1</v>
      </c>
      <c r="M2090" s="15">
        <f t="shared" si="215"/>
        <v>479.24594313105172</v>
      </c>
      <c r="N2090" s="13">
        <v>28264.82</v>
      </c>
      <c r="O2090" s="13">
        <v>28264.82</v>
      </c>
      <c r="P2090" s="11">
        <f t="shared" si="219"/>
        <v>1</v>
      </c>
    </row>
    <row r="2091" spans="1:16" ht="18.75" customHeight="1" thickBot="1" x14ac:dyDescent="0.3">
      <c r="A2091" s="3" t="s">
        <v>11</v>
      </c>
      <c r="B2091" s="4">
        <v>130496</v>
      </c>
      <c r="C2091" s="3" t="s">
        <v>9</v>
      </c>
      <c r="D2091" s="18">
        <v>0.1</v>
      </c>
      <c r="E2091" s="21">
        <f t="shared" si="218"/>
        <v>7.9741404289037643E-3</v>
      </c>
      <c r="F2091" s="5">
        <v>43066</v>
      </c>
      <c r="G2091" s="5">
        <v>45257</v>
      </c>
      <c r="H2091" s="16">
        <f t="shared" si="216"/>
        <v>2191</v>
      </c>
      <c r="I2091" s="5">
        <v>45257</v>
      </c>
      <c r="J2091" s="5">
        <v>43371</v>
      </c>
      <c r="K2091" s="16">
        <f t="shared" si="217"/>
        <v>305</v>
      </c>
      <c r="L2091" s="13">
        <v>12635.38</v>
      </c>
      <c r="M2091" s="15">
        <f t="shared" si="215"/>
        <v>228.91879366484653</v>
      </c>
      <c r="N2091" s="13">
        <v>12635.38</v>
      </c>
      <c r="O2091" s="13">
        <v>0</v>
      </c>
      <c r="P2091" s="11">
        <f t="shared" si="219"/>
        <v>1</v>
      </c>
    </row>
    <row r="2092" spans="1:16" ht="18.75" customHeight="1" thickBot="1" x14ac:dyDescent="0.3">
      <c r="A2092" s="3" t="s">
        <v>11</v>
      </c>
      <c r="B2092" s="4">
        <v>684522</v>
      </c>
      <c r="C2092" s="3" t="s">
        <v>9</v>
      </c>
      <c r="D2092" s="18">
        <v>0.1</v>
      </c>
      <c r="E2092" s="21">
        <f t="shared" si="218"/>
        <v>7.9741404289037643E-3</v>
      </c>
      <c r="F2092" s="5">
        <v>43068</v>
      </c>
      <c r="G2092" s="5">
        <v>44406</v>
      </c>
      <c r="H2092" s="16">
        <f t="shared" si="216"/>
        <v>1338</v>
      </c>
      <c r="I2092" s="5">
        <v>44406</v>
      </c>
      <c r="J2092" s="5">
        <v>43371</v>
      </c>
      <c r="K2092" s="16">
        <f t="shared" si="217"/>
        <v>303</v>
      </c>
      <c r="L2092" s="13">
        <v>3826.59</v>
      </c>
      <c r="M2092" s="15">
        <f t="shared" si="215"/>
        <v>102.29537323027152</v>
      </c>
      <c r="N2092" s="13">
        <v>3826.59</v>
      </c>
      <c r="O2092" s="13">
        <v>0</v>
      </c>
      <c r="P2092" s="11">
        <f t="shared" si="219"/>
        <v>1</v>
      </c>
    </row>
    <row r="2093" spans="1:16" ht="18.75" customHeight="1" thickBot="1" x14ac:dyDescent="0.3">
      <c r="A2093" s="3" t="s">
        <v>11</v>
      </c>
      <c r="B2093" s="4">
        <v>556445</v>
      </c>
      <c r="C2093" s="3" t="s">
        <v>9</v>
      </c>
      <c r="D2093" s="18">
        <v>8.5000000000000006E-2</v>
      </c>
      <c r="E2093" s="21">
        <f t="shared" si="218"/>
        <v>6.8214933659622723E-3</v>
      </c>
      <c r="F2093" s="5">
        <v>43068</v>
      </c>
      <c r="G2093" s="5">
        <v>45259</v>
      </c>
      <c r="H2093" s="16">
        <f t="shared" si="216"/>
        <v>2191</v>
      </c>
      <c r="I2093" s="5">
        <v>45259</v>
      </c>
      <c r="J2093" s="5">
        <v>43371</v>
      </c>
      <c r="K2093" s="16">
        <f t="shared" si="217"/>
        <v>303</v>
      </c>
      <c r="L2093" s="13">
        <v>6649.07</v>
      </c>
      <c r="M2093" s="15">
        <f t="shared" si="215"/>
        <v>115.89902228797054</v>
      </c>
      <c r="N2093" s="13">
        <v>6403.61</v>
      </c>
      <c r="O2093" s="13">
        <v>4124.42</v>
      </c>
      <c r="P2093" s="11">
        <f t="shared" si="219"/>
        <v>1</v>
      </c>
    </row>
    <row r="2094" spans="1:16" ht="18.75" customHeight="1" thickBot="1" x14ac:dyDescent="0.3">
      <c r="A2094" s="3" t="s">
        <v>11</v>
      </c>
      <c r="B2094" s="4">
        <v>414487</v>
      </c>
      <c r="C2094" s="3" t="s">
        <v>9</v>
      </c>
      <c r="D2094" s="18">
        <v>0.14000000000000001</v>
      </c>
      <c r="E2094" s="21">
        <f t="shared" si="218"/>
        <v>1.0978851950173452E-2</v>
      </c>
      <c r="F2094" s="5">
        <v>43068</v>
      </c>
      <c r="G2094" s="5">
        <v>43980</v>
      </c>
      <c r="H2094" s="16">
        <f t="shared" si="216"/>
        <v>912</v>
      </c>
      <c r="I2094" s="5">
        <v>43980</v>
      </c>
      <c r="J2094" s="5">
        <v>43747</v>
      </c>
      <c r="K2094" s="16">
        <f t="shared" si="217"/>
        <v>679</v>
      </c>
      <c r="L2094" s="13">
        <v>5091.6899999999996</v>
      </c>
      <c r="M2094" s="15">
        <f t="shared" si="215"/>
        <v>197.90147974697888</v>
      </c>
      <c r="N2094" s="13">
        <v>3654.33</v>
      </c>
      <c r="O2094" s="13">
        <v>0</v>
      </c>
      <c r="P2094" s="11">
        <f t="shared" si="219"/>
        <v>1</v>
      </c>
    </row>
    <row r="2095" spans="1:16" ht="18.75" customHeight="1" thickBot="1" x14ac:dyDescent="0.3">
      <c r="A2095" s="3" t="s">
        <v>11</v>
      </c>
      <c r="B2095" s="4">
        <v>822205</v>
      </c>
      <c r="C2095" s="3" t="s">
        <v>9</v>
      </c>
      <c r="D2095" s="18">
        <v>0.1</v>
      </c>
      <c r="E2095" s="21">
        <f t="shared" si="218"/>
        <v>7.9741404289037643E-3</v>
      </c>
      <c r="F2095" s="5">
        <v>43069</v>
      </c>
      <c r="G2095" s="5">
        <v>45260</v>
      </c>
      <c r="H2095" s="16">
        <f t="shared" si="216"/>
        <v>2191</v>
      </c>
      <c r="I2095" s="5">
        <v>46027</v>
      </c>
      <c r="J2095" s="5">
        <v>43818</v>
      </c>
      <c r="K2095" s="16">
        <f t="shared" si="217"/>
        <v>749</v>
      </c>
      <c r="L2095" s="13">
        <v>21789.47</v>
      </c>
      <c r="M2095" s="15">
        <f t="shared" si="215"/>
        <v>394.76606061680491</v>
      </c>
      <c r="N2095" s="13">
        <v>18828.18</v>
      </c>
      <c r="O2095" s="13">
        <v>11961.73</v>
      </c>
      <c r="P2095" s="11">
        <f t="shared" ref="P2095:P2126" si="220">IF((G2095)&gt;(ConstantDateCutoff),1,0)</f>
        <v>1</v>
      </c>
    </row>
    <row r="2096" spans="1:16" ht="18.75" customHeight="1" thickBot="1" x14ac:dyDescent="0.3">
      <c r="A2096" s="3" t="s">
        <v>11</v>
      </c>
      <c r="B2096" s="4">
        <v>842167</v>
      </c>
      <c r="C2096" s="3" t="s">
        <v>9</v>
      </c>
      <c r="D2096" s="18">
        <v>9.5000000000000001E-2</v>
      </c>
      <c r="E2096" s="21">
        <f t="shared" si="218"/>
        <v>7.5915342905825689E-3</v>
      </c>
      <c r="F2096" s="5">
        <v>43070</v>
      </c>
      <c r="G2096" s="5">
        <v>45352</v>
      </c>
      <c r="H2096" s="16">
        <f t="shared" si="216"/>
        <v>2282</v>
      </c>
      <c r="I2096" s="5">
        <v>45352</v>
      </c>
      <c r="J2096" s="5">
        <v>43817</v>
      </c>
      <c r="K2096" s="16">
        <f t="shared" si="217"/>
        <v>747</v>
      </c>
      <c r="L2096" s="13">
        <v>39376.83</v>
      </c>
      <c r="M2096" s="15">
        <f t="shared" si="215"/>
        <v>683.34216833535095</v>
      </c>
      <c r="N2096" s="13">
        <v>30352.73</v>
      </c>
      <c r="O2096" s="13">
        <v>0</v>
      </c>
      <c r="P2096" s="11">
        <f t="shared" si="220"/>
        <v>1</v>
      </c>
    </row>
    <row r="2097" spans="1:16" ht="18.75" customHeight="1" thickBot="1" x14ac:dyDescent="0.3">
      <c r="A2097" s="3" t="s">
        <v>11</v>
      </c>
      <c r="B2097" s="4">
        <v>318707</v>
      </c>
      <c r="C2097" s="3" t="s">
        <v>9</v>
      </c>
      <c r="D2097" s="18">
        <v>0.09</v>
      </c>
      <c r="E2097" s="21">
        <f t="shared" si="218"/>
        <v>7.2073233161367156E-3</v>
      </c>
      <c r="F2097" s="5">
        <v>43073</v>
      </c>
      <c r="G2097" s="5">
        <v>44550</v>
      </c>
      <c r="H2097" s="16">
        <f t="shared" si="216"/>
        <v>1477</v>
      </c>
      <c r="I2097" s="5">
        <v>44550</v>
      </c>
      <c r="J2097" s="5">
        <v>43822</v>
      </c>
      <c r="K2097" s="16">
        <f t="shared" si="217"/>
        <v>749</v>
      </c>
      <c r="L2097" s="13">
        <v>17865.71</v>
      </c>
      <c r="M2097" s="15">
        <f t="shared" si="215"/>
        <v>432.35245327411798</v>
      </c>
      <c r="N2097" s="13">
        <v>7023.95</v>
      </c>
      <c r="O2097" s="13">
        <v>3676.39</v>
      </c>
      <c r="P2097" s="11">
        <f t="shared" si="220"/>
        <v>1</v>
      </c>
    </row>
    <row r="2098" spans="1:16" ht="18.75" customHeight="1" thickBot="1" x14ac:dyDescent="0.3">
      <c r="A2098" s="3" t="s">
        <v>11</v>
      </c>
      <c r="B2098" s="4">
        <v>853769</v>
      </c>
      <c r="C2098" s="3" t="s">
        <v>9</v>
      </c>
      <c r="D2098" s="18">
        <v>0.1</v>
      </c>
      <c r="E2098" s="21">
        <f t="shared" si="218"/>
        <v>7.9741404289037643E-3</v>
      </c>
      <c r="F2098" s="5">
        <v>43070</v>
      </c>
      <c r="G2098" s="5">
        <v>44896</v>
      </c>
      <c r="H2098" s="16">
        <f t="shared" si="216"/>
        <v>1826</v>
      </c>
      <c r="I2098" s="5">
        <v>45017</v>
      </c>
      <c r="J2098" s="5">
        <v>44182</v>
      </c>
      <c r="K2098" s="16">
        <f t="shared" si="217"/>
        <v>1112</v>
      </c>
      <c r="L2098" s="13">
        <v>7546.65</v>
      </c>
      <c r="M2098" s="15">
        <f t="shared" si="215"/>
        <v>156.98424890488747</v>
      </c>
      <c r="N2098" s="13">
        <v>3947.88</v>
      </c>
      <c r="O2098" s="13">
        <v>1018.92</v>
      </c>
      <c r="P2098" s="11">
        <f t="shared" si="220"/>
        <v>1</v>
      </c>
    </row>
    <row r="2099" spans="1:16" ht="18.75" customHeight="1" thickBot="1" x14ac:dyDescent="0.3">
      <c r="A2099" s="3" t="s">
        <v>11</v>
      </c>
      <c r="B2099" s="4">
        <v>858247</v>
      </c>
      <c r="C2099" s="3" t="s">
        <v>9</v>
      </c>
      <c r="D2099" s="18">
        <v>0.1</v>
      </c>
      <c r="E2099" s="21">
        <f t="shared" si="218"/>
        <v>7.9741404289037643E-3</v>
      </c>
      <c r="F2099" s="5">
        <v>43080</v>
      </c>
      <c r="G2099" s="5">
        <v>43476</v>
      </c>
      <c r="H2099" s="16">
        <f t="shared" si="216"/>
        <v>396</v>
      </c>
      <c r="I2099" s="5">
        <v>43476</v>
      </c>
      <c r="J2099" s="5">
        <v>43496</v>
      </c>
      <c r="K2099" s="16">
        <f t="shared" si="217"/>
        <v>416</v>
      </c>
      <c r="L2099" s="13">
        <v>907.34</v>
      </c>
      <c r="M2099" s="15">
        <f t="shared" si="215"/>
        <v>72.692408204456243</v>
      </c>
      <c r="N2099" s="13">
        <v>856.72</v>
      </c>
      <c r="O2099" s="13">
        <v>856.72</v>
      </c>
      <c r="P2099" s="11">
        <f t="shared" si="220"/>
        <v>1</v>
      </c>
    </row>
    <row r="2100" spans="1:16" ht="18.75" customHeight="1" thickBot="1" x14ac:dyDescent="0.3">
      <c r="A2100" s="3" t="s">
        <v>11</v>
      </c>
      <c r="B2100" s="4">
        <v>630342</v>
      </c>
      <c r="C2100" s="3" t="s">
        <v>9</v>
      </c>
      <c r="D2100" s="18">
        <v>0.12</v>
      </c>
      <c r="E2100" s="21">
        <f t="shared" si="218"/>
        <v>9.4887929345830457E-3</v>
      </c>
      <c r="F2100" s="5">
        <v>43087</v>
      </c>
      <c r="G2100" s="5">
        <v>43817</v>
      </c>
      <c r="H2100" s="16">
        <f t="shared" si="216"/>
        <v>730</v>
      </c>
      <c r="I2100" s="5">
        <v>43817</v>
      </c>
      <c r="J2100" s="5">
        <v>43829</v>
      </c>
      <c r="K2100" s="16">
        <f t="shared" si="217"/>
        <v>742</v>
      </c>
      <c r="L2100" s="13">
        <v>5723.53</v>
      </c>
      <c r="M2100" s="15">
        <f t="shared" si="215"/>
        <v>264.52158199398082</v>
      </c>
      <c r="N2100" s="13">
        <v>1484.45</v>
      </c>
      <c r="O2100" s="13">
        <v>1484.45</v>
      </c>
      <c r="P2100" s="11">
        <f t="shared" si="220"/>
        <v>1</v>
      </c>
    </row>
    <row r="2101" spans="1:16" ht="18.75" customHeight="1" thickBot="1" x14ac:dyDescent="0.3">
      <c r="A2101" s="3" t="s">
        <v>11</v>
      </c>
      <c r="B2101" s="4">
        <v>533265</v>
      </c>
      <c r="C2101" s="3" t="s">
        <v>9</v>
      </c>
      <c r="D2101" s="18">
        <v>0.1</v>
      </c>
      <c r="E2101" s="21">
        <f t="shared" si="218"/>
        <v>7.9741404289037643E-3</v>
      </c>
      <c r="F2101" s="5">
        <v>43084</v>
      </c>
      <c r="G2101" s="5">
        <v>45275</v>
      </c>
      <c r="H2101" s="16">
        <f t="shared" si="216"/>
        <v>2191</v>
      </c>
      <c r="I2101" s="5">
        <v>45245</v>
      </c>
      <c r="J2101" s="5">
        <v>43760</v>
      </c>
      <c r="K2101" s="16">
        <f t="shared" si="217"/>
        <v>676</v>
      </c>
      <c r="L2101" s="13">
        <v>19573.490000000002</v>
      </c>
      <c r="M2101" s="15">
        <f t="shared" si="215"/>
        <v>354.61851710126155</v>
      </c>
      <c r="N2101" s="13">
        <v>9375</v>
      </c>
      <c r="O2101" s="13">
        <v>750</v>
      </c>
      <c r="P2101" s="11">
        <f t="shared" si="220"/>
        <v>1</v>
      </c>
    </row>
    <row r="2102" spans="1:16" ht="18.75" customHeight="1" thickBot="1" x14ac:dyDescent="0.3">
      <c r="A2102" s="3" t="s">
        <v>11</v>
      </c>
      <c r="B2102" s="4">
        <v>340548</v>
      </c>
      <c r="C2102" s="3" t="s">
        <v>9</v>
      </c>
      <c r="D2102" s="18">
        <v>0.14000000000000001</v>
      </c>
      <c r="E2102" s="21">
        <f t="shared" si="218"/>
        <v>1.0978851950173452E-2</v>
      </c>
      <c r="F2102" s="5">
        <v>43087</v>
      </c>
      <c r="G2102" s="5">
        <v>43634</v>
      </c>
      <c r="H2102" s="16">
        <f t="shared" si="216"/>
        <v>547</v>
      </c>
      <c r="I2102" s="5">
        <v>43636</v>
      </c>
      <c r="J2102" s="5">
        <v>43773</v>
      </c>
      <c r="K2102" s="16">
        <f t="shared" si="217"/>
        <v>686</v>
      </c>
      <c r="L2102" s="13">
        <v>2525.5300000000002</v>
      </c>
      <c r="M2102" s="15">
        <f t="shared" si="215"/>
        <v>153.594093955792</v>
      </c>
      <c r="N2102" s="13">
        <v>1598.1</v>
      </c>
      <c r="O2102" s="13">
        <v>0</v>
      </c>
      <c r="P2102" s="11">
        <f t="shared" si="220"/>
        <v>1</v>
      </c>
    </row>
    <row r="2103" spans="1:16" ht="18.75" customHeight="1" thickBot="1" x14ac:dyDescent="0.3">
      <c r="A2103" s="3" t="s">
        <v>11</v>
      </c>
      <c r="B2103" s="4">
        <v>672961</v>
      </c>
      <c r="C2103" s="3" t="s">
        <v>9</v>
      </c>
      <c r="D2103" s="18">
        <v>0.1</v>
      </c>
      <c r="E2103" s="21">
        <f t="shared" si="218"/>
        <v>7.9741404289037643E-3</v>
      </c>
      <c r="F2103" s="5">
        <v>43088</v>
      </c>
      <c r="G2103" s="5">
        <v>44914</v>
      </c>
      <c r="H2103" s="16">
        <f t="shared" si="216"/>
        <v>1826</v>
      </c>
      <c r="I2103" s="5">
        <v>44914</v>
      </c>
      <c r="J2103" s="5">
        <v>43664</v>
      </c>
      <c r="K2103" s="16">
        <f t="shared" si="217"/>
        <v>576</v>
      </c>
      <c r="L2103" s="13">
        <v>6600</v>
      </c>
      <c r="M2103" s="15">
        <f t="shared" si="215"/>
        <v>137.29218166633638</v>
      </c>
      <c r="N2103" s="13">
        <v>4785.1400000000003</v>
      </c>
      <c r="O2103" s="13">
        <v>0</v>
      </c>
      <c r="P2103" s="11">
        <f t="shared" si="220"/>
        <v>1</v>
      </c>
    </row>
    <row r="2104" spans="1:16" ht="18.75" customHeight="1" thickBot="1" x14ac:dyDescent="0.3">
      <c r="A2104" s="3" t="s">
        <v>11</v>
      </c>
      <c r="B2104" s="4">
        <v>75646</v>
      </c>
      <c r="C2104" s="3" t="s">
        <v>19</v>
      </c>
      <c r="D2104" s="18">
        <v>0.1</v>
      </c>
      <c r="E2104" s="21">
        <f t="shared" si="218"/>
        <v>7.9741404289037643E-3</v>
      </c>
      <c r="F2104" s="5">
        <v>43090</v>
      </c>
      <c r="G2104" s="5">
        <v>44916</v>
      </c>
      <c r="H2104" s="16">
        <f t="shared" si="216"/>
        <v>1826</v>
      </c>
      <c r="I2104" s="5">
        <v>44916</v>
      </c>
      <c r="J2104" s="5">
        <v>43726</v>
      </c>
      <c r="K2104" s="16">
        <f t="shared" si="217"/>
        <v>636</v>
      </c>
      <c r="L2104" s="13">
        <v>1294.17</v>
      </c>
      <c r="M2104" s="15">
        <f t="shared" si="215"/>
        <v>26.921124658654932</v>
      </c>
      <c r="N2104" s="13">
        <v>73000</v>
      </c>
      <c r="O2104" s="13">
        <v>32994.76</v>
      </c>
      <c r="P2104" s="11">
        <f t="shared" si="220"/>
        <v>1</v>
      </c>
    </row>
    <row r="2105" spans="1:16" ht="18.75" customHeight="1" thickBot="1" x14ac:dyDescent="0.3">
      <c r="A2105" s="3" t="s">
        <v>11</v>
      </c>
      <c r="B2105" s="4">
        <v>698922</v>
      </c>
      <c r="C2105" s="3" t="s">
        <v>9</v>
      </c>
      <c r="D2105" s="18">
        <v>0.08</v>
      </c>
      <c r="E2105" s="21">
        <f t="shared" si="218"/>
        <v>6.4340301100034303E-3</v>
      </c>
      <c r="F2105" s="5">
        <v>43095</v>
      </c>
      <c r="G2105" s="5">
        <v>43460</v>
      </c>
      <c r="H2105" s="16">
        <f t="shared" si="216"/>
        <v>365</v>
      </c>
      <c r="I2105" s="5">
        <v>43460</v>
      </c>
      <c r="J2105" s="5">
        <v>43644</v>
      </c>
      <c r="K2105" s="16">
        <f t="shared" si="217"/>
        <v>549</v>
      </c>
      <c r="L2105" s="13">
        <v>3529.26</v>
      </c>
      <c r="M2105" s="15">
        <f t="shared" si="215"/>
        <v>302.50966840166319</v>
      </c>
      <c r="N2105" s="13">
        <v>908.49</v>
      </c>
      <c r="O2105" s="13">
        <v>0</v>
      </c>
      <c r="P2105" s="11">
        <f t="shared" si="220"/>
        <v>1</v>
      </c>
    </row>
    <row r="2106" spans="1:16" ht="18.75" customHeight="1" thickBot="1" x14ac:dyDescent="0.3">
      <c r="A2106" s="3" t="s">
        <v>11</v>
      </c>
      <c r="B2106" s="4">
        <v>703005</v>
      </c>
      <c r="C2106" s="3" t="s">
        <v>9</v>
      </c>
      <c r="D2106" s="18">
        <v>0.1</v>
      </c>
      <c r="E2106" s="21">
        <f t="shared" si="218"/>
        <v>7.9741404289037643E-3</v>
      </c>
      <c r="F2106" s="5">
        <v>43096</v>
      </c>
      <c r="G2106" s="5">
        <v>44922</v>
      </c>
      <c r="H2106" s="16">
        <f t="shared" si="216"/>
        <v>1826</v>
      </c>
      <c r="I2106" s="5">
        <v>45165</v>
      </c>
      <c r="J2106" s="5">
        <v>44643</v>
      </c>
      <c r="K2106" s="16">
        <f t="shared" si="217"/>
        <v>1547</v>
      </c>
      <c r="L2106" s="13">
        <v>17875.93</v>
      </c>
      <c r="M2106" s="15">
        <f t="shared" si="215"/>
        <v>371.85233772950187</v>
      </c>
      <c r="N2106" s="13">
        <v>8216</v>
      </c>
      <c r="O2106" s="13">
        <v>6941.19</v>
      </c>
      <c r="P2106" s="11">
        <f t="shared" si="220"/>
        <v>1</v>
      </c>
    </row>
    <row r="2107" spans="1:16" ht="18.75" customHeight="1" thickBot="1" x14ac:dyDescent="0.3">
      <c r="A2107" s="3" t="s">
        <v>11</v>
      </c>
      <c r="B2107" s="4">
        <v>448872</v>
      </c>
      <c r="C2107" s="3" t="s">
        <v>9</v>
      </c>
      <c r="D2107" s="18">
        <v>0.1</v>
      </c>
      <c r="E2107" s="21">
        <f t="shared" si="218"/>
        <v>7.9741404289037643E-3</v>
      </c>
      <c r="F2107" s="5">
        <v>43096</v>
      </c>
      <c r="G2107" s="5">
        <v>45287</v>
      </c>
      <c r="H2107" s="16">
        <f t="shared" si="216"/>
        <v>2191</v>
      </c>
      <c r="I2107" s="5">
        <v>45287</v>
      </c>
      <c r="J2107" s="5">
        <v>43371</v>
      </c>
      <c r="K2107" s="16">
        <f t="shared" si="217"/>
        <v>275</v>
      </c>
      <c r="L2107" s="13">
        <v>12452.15</v>
      </c>
      <c r="M2107" s="15">
        <f t="shared" si="215"/>
        <v>225.59916334401649</v>
      </c>
      <c r="N2107" s="13">
        <v>11852.15</v>
      </c>
      <c r="O2107" s="13">
        <v>0</v>
      </c>
      <c r="P2107" s="11">
        <f t="shared" si="220"/>
        <v>1</v>
      </c>
    </row>
    <row r="2108" spans="1:16" ht="18.75" customHeight="1" thickBot="1" x14ac:dyDescent="0.3">
      <c r="A2108" s="3" t="s">
        <v>11</v>
      </c>
      <c r="B2108" s="4">
        <v>199449</v>
      </c>
      <c r="C2108" s="3" t="s">
        <v>2</v>
      </c>
      <c r="D2108" s="18">
        <v>9.5000000000000001E-2</v>
      </c>
      <c r="E2108" s="21">
        <f t="shared" si="218"/>
        <v>7.5915342905825689E-3</v>
      </c>
      <c r="F2108" s="5">
        <v>43098</v>
      </c>
      <c r="G2108" s="5">
        <v>45289</v>
      </c>
      <c r="H2108" s="16">
        <f t="shared" si="216"/>
        <v>2191</v>
      </c>
      <c r="I2108" s="5">
        <v>45289</v>
      </c>
      <c r="J2108" s="5">
        <v>43844</v>
      </c>
      <c r="K2108" s="16">
        <f t="shared" si="217"/>
        <v>746</v>
      </c>
      <c r="L2108" s="13">
        <v>29097.3</v>
      </c>
      <c r="M2108" s="15">
        <f t="shared" si="215"/>
        <v>520.48421259732436</v>
      </c>
      <c r="N2108" s="13">
        <v>15538.52</v>
      </c>
      <c r="O2108" s="13">
        <v>0</v>
      </c>
      <c r="P2108" s="11">
        <f t="shared" si="220"/>
        <v>1</v>
      </c>
    </row>
    <row r="2109" spans="1:16" ht="18.75" customHeight="1" thickBot="1" x14ac:dyDescent="0.3">
      <c r="A2109" s="3" t="s">
        <v>11</v>
      </c>
      <c r="B2109" s="4">
        <v>205870</v>
      </c>
      <c r="C2109" s="3" t="s">
        <v>9</v>
      </c>
      <c r="D2109" s="18">
        <v>0.12</v>
      </c>
      <c r="E2109" s="21">
        <f t="shared" si="218"/>
        <v>9.4887929345830457E-3</v>
      </c>
      <c r="F2109" s="5">
        <v>43102</v>
      </c>
      <c r="G2109" s="5">
        <v>43831</v>
      </c>
      <c r="H2109" s="16">
        <f t="shared" si="216"/>
        <v>729</v>
      </c>
      <c r="I2109" s="5">
        <v>43859</v>
      </c>
      <c r="J2109" s="5">
        <v>43893</v>
      </c>
      <c r="K2109" s="16">
        <f t="shared" si="217"/>
        <v>791</v>
      </c>
      <c r="L2109" s="13">
        <v>3805.14</v>
      </c>
      <c r="M2109" s="15">
        <f t="shared" si="215"/>
        <v>176.07486962691726</v>
      </c>
      <c r="N2109" s="13">
        <v>746.69</v>
      </c>
      <c r="O2109" s="13">
        <v>0</v>
      </c>
      <c r="P2109" s="11">
        <f t="shared" si="220"/>
        <v>1</v>
      </c>
    </row>
    <row r="2110" spans="1:16" ht="18.75" customHeight="1" thickBot="1" x14ac:dyDescent="0.3">
      <c r="A2110" s="3" t="s">
        <v>11</v>
      </c>
      <c r="B2110" s="4">
        <v>153961</v>
      </c>
      <c r="C2110" s="3" t="s">
        <v>9</v>
      </c>
      <c r="D2110" s="18">
        <v>0.11</v>
      </c>
      <c r="E2110" s="21">
        <f t="shared" si="218"/>
        <v>8.7345938235519061E-3</v>
      </c>
      <c r="F2110" s="5">
        <v>43105</v>
      </c>
      <c r="G2110" s="5">
        <v>44109</v>
      </c>
      <c r="H2110" s="16">
        <f t="shared" si="216"/>
        <v>1004</v>
      </c>
      <c r="I2110" s="5">
        <v>44260</v>
      </c>
      <c r="J2110" s="5">
        <v>43829</v>
      </c>
      <c r="K2110" s="16">
        <f t="shared" si="217"/>
        <v>724</v>
      </c>
      <c r="L2110" s="13">
        <v>6725</v>
      </c>
      <c r="M2110" s="15">
        <f t="shared" si="215"/>
        <v>232.61528510888243</v>
      </c>
      <c r="N2110" s="13">
        <v>3024.11</v>
      </c>
      <c r="O2110" s="13">
        <v>3024.11</v>
      </c>
      <c r="P2110" s="11">
        <f t="shared" si="220"/>
        <v>1</v>
      </c>
    </row>
    <row r="2111" spans="1:16" ht="18.75" customHeight="1" thickBot="1" x14ac:dyDescent="0.3">
      <c r="A2111" s="3" t="s">
        <v>11</v>
      </c>
      <c r="B2111" s="4">
        <v>3106</v>
      </c>
      <c r="C2111" s="3" t="s">
        <v>9</v>
      </c>
      <c r="D2111" s="18">
        <v>0.1</v>
      </c>
      <c r="E2111" s="21">
        <f t="shared" si="218"/>
        <v>7.9741404289037643E-3</v>
      </c>
      <c r="F2111" s="5">
        <v>43109</v>
      </c>
      <c r="G2111" s="5">
        <v>45300</v>
      </c>
      <c r="H2111" s="16">
        <f t="shared" si="216"/>
        <v>2191</v>
      </c>
      <c r="I2111" s="5">
        <v>45331</v>
      </c>
      <c r="J2111" s="5">
        <v>43983</v>
      </c>
      <c r="K2111" s="16">
        <f t="shared" si="217"/>
        <v>874</v>
      </c>
      <c r="L2111" s="13">
        <v>13746.2</v>
      </c>
      <c r="M2111" s="15">
        <f t="shared" si="215"/>
        <v>249.04383734210714</v>
      </c>
      <c r="N2111" s="13">
        <v>8014.37</v>
      </c>
      <c r="O2111" s="13">
        <v>0</v>
      </c>
      <c r="P2111" s="11">
        <f t="shared" si="220"/>
        <v>1</v>
      </c>
    </row>
    <row r="2112" spans="1:16" ht="18.75" customHeight="1" thickBot="1" x14ac:dyDescent="0.3">
      <c r="A2112" s="3" t="s">
        <v>11</v>
      </c>
      <c r="B2112" s="4">
        <v>991461</v>
      </c>
      <c r="C2112" s="3" t="s">
        <v>19</v>
      </c>
      <c r="D2112" s="18">
        <v>0.1</v>
      </c>
      <c r="E2112" s="21">
        <f t="shared" si="218"/>
        <v>7.9741404289037643E-3</v>
      </c>
      <c r="F2112" s="5">
        <v>43111</v>
      </c>
      <c r="G2112" s="5">
        <v>43231</v>
      </c>
      <c r="H2112" s="16">
        <f t="shared" si="216"/>
        <v>120</v>
      </c>
      <c r="I2112" s="5">
        <v>43231</v>
      </c>
      <c r="J2112" s="5">
        <v>43371</v>
      </c>
      <c r="K2112" s="16">
        <f t="shared" si="217"/>
        <v>260</v>
      </c>
      <c r="L2112" s="13">
        <v>400</v>
      </c>
      <c r="M2112" s="15">
        <f t="shared" si="215"/>
        <v>102.00145180695617</v>
      </c>
      <c r="N2112" s="13">
        <v>400</v>
      </c>
      <c r="O2112" s="13">
        <v>0</v>
      </c>
      <c r="P2112" s="11">
        <f t="shared" si="220"/>
        <v>1</v>
      </c>
    </row>
    <row r="2113" spans="1:16" ht="18.75" customHeight="1" thickBot="1" x14ac:dyDescent="0.3">
      <c r="A2113" s="3" t="s">
        <v>11</v>
      </c>
      <c r="B2113" s="4">
        <v>816677</v>
      </c>
      <c r="C2113" s="3" t="s">
        <v>9</v>
      </c>
      <c r="D2113" s="18">
        <v>0.09</v>
      </c>
      <c r="E2113" s="21">
        <f t="shared" si="218"/>
        <v>7.2073233161367156E-3</v>
      </c>
      <c r="F2113" s="5">
        <v>43117</v>
      </c>
      <c r="G2113" s="5">
        <v>45674</v>
      </c>
      <c r="H2113" s="16">
        <f t="shared" si="216"/>
        <v>2557</v>
      </c>
      <c r="I2113" s="5">
        <v>45764</v>
      </c>
      <c r="J2113" s="5">
        <v>44643</v>
      </c>
      <c r="K2113" s="16">
        <f t="shared" si="217"/>
        <v>1526</v>
      </c>
      <c r="L2113" s="13">
        <v>27891.49</v>
      </c>
      <c r="M2113" s="15">
        <f t="shared" si="215"/>
        <v>439.11661249150137</v>
      </c>
      <c r="N2113" s="13">
        <v>16793.7</v>
      </c>
      <c r="O2113" s="13">
        <v>500</v>
      </c>
      <c r="P2113" s="11">
        <f t="shared" si="220"/>
        <v>1</v>
      </c>
    </row>
    <row r="2114" spans="1:16" ht="18.75" customHeight="1" thickBot="1" x14ac:dyDescent="0.3">
      <c r="A2114" s="3" t="s">
        <v>11</v>
      </c>
      <c r="B2114" s="4">
        <v>175363</v>
      </c>
      <c r="C2114" s="3" t="s">
        <v>9</v>
      </c>
      <c r="D2114" s="18">
        <v>0.1</v>
      </c>
      <c r="E2114" s="21">
        <f t="shared" si="218"/>
        <v>7.9741404289037643E-3</v>
      </c>
      <c r="F2114" s="5">
        <v>43119</v>
      </c>
      <c r="G2114" s="5">
        <v>45935</v>
      </c>
      <c r="H2114" s="16">
        <f t="shared" si="216"/>
        <v>2816</v>
      </c>
      <c r="I2114" s="5">
        <v>45935</v>
      </c>
      <c r="J2114" s="5">
        <v>43644</v>
      </c>
      <c r="K2114" s="16">
        <f t="shared" si="217"/>
        <v>525</v>
      </c>
      <c r="L2114" s="13">
        <v>12212.54</v>
      </c>
      <c r="M2114" s="15">
        <f t="shared" ref="M2114:M2177" si="221">-PMT(E2114,(H2114/30),L2114)</f>
        <v>185.3104900098846</v>
      </c>
      <c r="N2114" s="13">
        <v>11612.54</v>
      </c>
      <c r="O2114" s="13">
        <v>1577.66</v>
      </c>
      <c r="P2114" s="11">
        <f t="shared" si="220"/>
        <v>1</v>
      </c>
    </row>
    <row r="2115" spans="1:16" ht="18.75" customHeight="1" thickBot="1" x14ac:dyDescent="0.3">
      <c r="A2115" s="3" t="s">
        <v>11</v>
      </c>
      <c r="B2115" s="4">
        <v>105119</v>
      </c>
      <c r="C2115" s="3" t="s">
        <v>2</v>
      </c>
      <c r="D2115" s="18">
        <v>0.1</v>
      </c>
      <c r="E2115" s="21">
        <f t="shared" si="218"/>
        <v>7.9741404289037643E-3</v>
      </c>
      <c r="F2115" s="5">
        <v>43123</v>
      </c>
      <c r="G2115" s="5">
        <v>44597</v>
      </c>
      <c r="H2115" s="16">
        <f t="shared" ref="H2115:H2178" si="222">G2115-F2115</f>
        <v>1474</v>
      </c>
      <c r="I2115" s="5">
        <v>44597</v>
      </c>
      <c r="J2115" s="5">
        <v>43741</v>
      </c>
      <c r="K2115" s="16">
        <f t="shared" ref="K2115:K2178" si="223">J2115-F2115</f>
        <v>618</v>
      </c>
      <c r="L2115" s="13">
        <v>49524.22</v>
      </c>
      <c r="M2115" s="15">
        <f t="shared" si="221"/>
        <v>1222.2358116807604</v>
      </c>
      <c r="N2115" s="13">
        <v>45000</v>
      </c>
      <c r="O2115" s="13">
        <v>1700</v>
      </c>
      <c r="P2115" s="11">
        <f t="shared" si="220"/>
        <v>1</v>
      </c>
    </row>
    <row r="2116" spans="1:16" ht="18.75" customHeight="1" thickBot="1" x14ac:dyDescent="0.3">
      <c r="A2116" s="3" t="s">
        <v>11</v>
      </c>
      <c r="B2116" s="4">
        <v>278702</v>
      </c>
      <c r="C2116" s="3" t="s">
        <v>9</v>
      </c>
      <c r="D2116" s="18">
        <v>0.1</v>
      </c>
      <c r="E2116" s="21">
        <f t="shared" si="218"/>
        <v>7.9741404289037643E-3</v>
      </c>
      <c r="F2116" s="5">
        <v>43124</v>
      </c>
      <c r="G2116" s="5">
        <v>44950</v>
      </c>
      <c r="H2116" s="16">
        <f t="shared" si="222"/>
        <v>1826</v>
      </c>
      <c r="I2116" s="5">
        <v>45040</v>
      </c>
      <c r="J2116" s="5">
        <v>44281</v>
      </c>
      <c r="K2116" s="16">
        <f t="shared" si="223"/>
        <v>1157</v>
      </c>
      <c r="L2116" s="13">
        <v>13327.64</v>
      </c>
      <c r="M2116" s="15">
        <f t="shared" si="221"/>
        <v>277.23951091871686</v>
      </c>
      <c r="N2116" s="13">
        <v>7653.61</v>
      </c>
      <c r="O2116" s="13">
        <v>4800</v>
      </c>
      <c r="P2116" s="11">
        <f t="shared" si="220"/>
        <v>1</v>
      </c>
    </row>
    <row r="2117" spans="1:16" ht="18.75" customHeight="1" thickBot="1" x14ac:dyDescent="0.3">
      <c r="A2117" s="3" t="s">
        <v>11</v>
      </c>
      <c r="B2117" s="4">
        <v>616036</v>
      </c>
      <c r="C2117" s="3" t="s">
        <v>9</v>
      </c>
      <c r="D2117" s="18">
        <v>0.1</v>
      </c>
      <c r="E2117" s="21">
        <f t="shared" si="218"/>
        <v>7.9741404289037643E-3</v>
      </c>
      <c r="F2117" s="5">
        <v>43131</v>
      </c>
      <c r="G2117" s="5">
        <v>44592</v>
      </c>
      <c r="H2117" s="16">
        <f t="shared" si="222"/>
        <v>1461</v>
      </c>
      <c r="I2117" s="5">
        <v>44592</v>
      </c>
      <c r="J2117" s="5">
        <v>43725</v>
      </c>
      <c r="K2117" s="16">
        <f t="shared" si="223"/>
        <v>594</v>
      </c>
      <c r="L2117" s="13">
        <v>3055.07</v>
      </c>
      <c r="M2117" s="15">
        <f t="shared" si="221"/>
        <v>75.946313716871416</v>
      </c>
      <c r="N2117" s="13">
        <v>3055.07</v>
      </c>
      <c r="O2117" s="13">
        <v>3055.07</v>
      </c>
      <c r="P2117" s="11">
        <f t="shared" si="220"/>
        <v>1</v>
      </c>
    </row>
    <row r="2118" spans="1:16" ht="18.75" customHeight="1" thickBot="1" x14ac:dyDescent="0.3">
      <c r="A2118" s="3" t="s">
        <v>11</v>
      </c>
      <c r="B2118" s="4">
        <v>841696</v>
      </c>
      <c r="C2118" s="3" t="s">
        <v>9</v>
      </c>
      <c r="D2118" s="18">
        <v>0.1</v>
      </c>
      <c r="E2118" s="21">
        <f t="shared" si="218"/>
        <v>7.9741404289037643E-3</v>
      </c>
      <c r="F2118" s="5">
        <v>43130</v>
      </c>
      <c r="G2118" s="5">
        <v>44895</v>
      </c>
      <c r="H2118" s="16">
        <f t="shared" si="222"/>
        <v>1765</v>
      </c>
      <c r="I2118" s="5">
        <v>44895</v>
      </c>
      <c r="J2118" s="5">
        <v>43644</v>
      </c>
      <c r="K2118" s="16">
        <f t="shared" si="223"/>
        <v>514</v>
      </c>
      <c r="L2118" s="13">
        <v>11048.07</v>
      </c>
      <c r="M2118" s="15">
        <f t="shared" si="221"/>
        <v>236.00123101093902</v>
      </c>
      <c r="N2118" s="13">
        <v>11048.07</v>
      </c>
      <c r="O2118" s="13">
        <v>0</v>
      </c>
      <c r="P2118" s="11">
        <f t="shared" si="220"/>
        <v>1</v>
      </c>
    </row>
    <row r="2119" spans="1:16" ht="18.75" customHeight="1" thickBot="1" x14ac:dyDescent="0.3">
      <c r="A2119" s="3" t="s">
        <v>11</v>
      </c>
      <c r="B2119" s="4">
        <v>39851</v>
      </c>
      <c r="C2119" s="3" t="s">
        <v>9</v>
      </c>
      <c r="D2119" s="18">
        <v>0.1</v>
      </c>
      <c r="E2119" s="21">
        <f t="shared" si="218"/>
        <v>7.9741404289037643E-3</v>
      </c>
      <c r="F2119" s="5">
        <v>43133</v>
      </c>
      <c r="G2119" s="5">
        <v>44229</v>
      </c>
      <c r="H2119" s="16">
        <f t="shared" si="222"/>
        <v>1096</v>
      </c>
      <c r="I2119" s="5">
        <v>44229</v>
      </c>
      <c r="J2119" s="5">
        <v>43815</v>
      </c>
      <c r="K2119" s="16">
        <f t="shared" si="223"/>
        <v>682</v>
      </c>
      <c r="L2119" s="13">
        <v>3000</v>
      </c>
      <c r="M2119" s="15">
        <f t="shared" si="221"/>
        <v>94.982618049397104</v>
      </c>
      <c r="N2119" s="13">
        <v>1530.05</v>
      </c>
      <c r="O2119" s="13">
        <v>0</v>
      </c>
      <c r="P2119" s="11">
        <f t="shared" si="220"/>
        <v>1</v>
      </c>
    </row>
    <row r="2120" spans="1:16" ht="18.75" customHeight="1" thickBot="1" x14ac:dyDescent="0.3">
      <c r="A2120" s="3" t="s">
        <v>11</v>
      </c>
      <c r="B2120" s="4">
        <v>286782</v>
      </c>
      <c r="C2120" s="3" t="s">
        <v>12</v>
      </c>
      <c r="D2120" s="18">
        <v>0.1</v>
      </c>
      <c r="E2120" s="21">
        <f t="shared" si="218"/>
        <v>7.9741404289037643E-3</v>
      </c>
      <c r="F2120" s="5">
        <v>43136</v>
      </c>
      <c r="G2120" s="5">
        <v>44962</v>
      </c>
      <c r="H2120" s="16">
        <f t="shared" si="222"/>
        <v>1826</v>
      </c>
      <c r="I2120" s="5">
        <v>44962</v>
      </c>
      <c r="J2120" s="5">
        <v>44831</v>
      </c>
      <c r="K2120" s="16">
        <f t="shared" si="223"/>
        <v>1695</v>
      </c>
      <c r="L2120" s="13">
        <v>9454.5300000000007</v>
      </c>
      <c r="M2120" s="15">
        <f t="shared" si="221"/>
        <v>196.67167429239808</v>
      </c>
      <c r="N2120" s="13">
        <v>718.59</v>
      </c>
      <c r="O2120" s="13">
        <v>0</v>
      </c>
      <c r="P2120" s="11">
        <f t="shared" si="220"/>
        <v>1</v>
      </c>
    </row>
    <row r="2121" spans="1:16" ht="18.75" customHeight="1" thickBot="1" x14ac:dyDescent="0.3">
      <c r="A2121" s="3" t="s">
        <v>11</v>
      </c>
      <c r="B2121" s="4">
        <v>243619</v>
      </c>
      <c r="C2121" s="3" t="s">
        <v>9</v>
      </c>
      <c r="D2121" s="18">
        <v>0.1</v>
      </c>
      <c r="E2121" s="21">
        <f t="shared" si="218"/>
        <v>7.9741404289037643E-3</v>
      </c>
      <c r="F2121" s="5">
        <v>43137</v>
      </c>
      <c r="G2121" s="5">
        <v>44963</v>
      </c>
      <c r="H2121" s="16">
        <f t="shared" si="222"/>
        <v>1826</v>
      </c>
      <c r="I2121" s="5">
        <v>44963</v>
      </c>
      <c r="J2121" s="5">
        <v>43622</v>
      </c>
      <c r="K2121" s="16">
        <f t="shared" si="223"/>
        <v>485</v>
      </c>
      <c r="L2121" s="13">
        <v>16955.009999999998</v>
      </c>
      <c r="M2121" s="15">
        <f t="shared" si="221"/>
        <v>352.69550198099239</v>
      </c>
      <c r="N2121" s="13">
        <v>15683.12</v>
      </c>
      <c r="O2121" s="13">
        <v>15683.12</v>
      </c>
      <c r="P2121" s="11">
        <f t="shared" si="220"/>
        <v>1</v>
      </c>
    </row>
    <row r="2122" spans="1:16" ht="18.75" customHeight="1" thickBot="1" x14ac:dyDescent="0.3">
      <c r="A2122" s="3" t="s">
        <v>11</v>
      </c>
      <c r="B2122" s="4">
        <v>751546</v>
      </c>
      <c r="C2122" s="3" t="s">
        <v>9</v>
      </c>
      <c r="D2122" s="18">
        <v>0.1</v>
      </c>
      <c r="E2122" s="21">
        <f t="shared" si="218"/>
        <v>7.9741404289037643E-3</v>
      </c>
      <c r="F2122" s="5">
        <v>43140</v>
      </c>
      <c r="G2122" s="5">
        <v>44966</v>
      </c>
      <c r="H2122" s="16">
        <f t="shared" si="222"/>
        <v>1826</v>
      </c>
      <c r="I2122" s="5">
        <v>44966</v>
      </c>
      <c r="J2122" s="5">
        <v>43644</v>
      </c>
      <c r="K2122" s="16">
        <f t="shared" si="223"/>
        <v>504</v>
      </c>
      <c r="L2122" s="13">
        <v>9263.07</v>
      </c>
      <c r="M2122" s="15">
        <f t="shared" si="221"/>
        <v>192.68895291333189</v>
      </c>
      <c r="N2122" s="13">
        <v>8457.69</v>
      </c>
      <c r="O2122" s="13">
        <v>0</v>
      </c>
      <c r="P2122" s="11">
        <f t="shared" si="220"/>
        <v>1</v>
      </c>
    </row>
    <row r="2123" spans="1:16" ht="18.75" customHeight="1" thickBot="1" x14ac:dyDescent="0.3">
      <c r="A2123" s="3" t="s">
        <v>11</v>
      </c>
      <c r="B2123" s="4">
        <v>896790</v>
      </c>
      <c r="C2123" s="3" t="s">
        <v>9</v>
      </c>
      <c r="D2123" s="18">
        <v>0.09</v>
      </c>
      <c r="E2123" s="21">
        <f t="shared" si="218"/>
        <v>7.2073233161367156E-3</v>
      </c>
      <c r="F2123" s="5">
        <v>43144</v>
      </c>
      <c r="G2123" s="5">
        <v>44605</v>
      </c>
      <c r="H2123" s="16">
        <f t="shared" si="222"/>
        <v>1461</v>
      </c>
      <c r="I2123" s="5">
        <v>44605</v>
      </c>
      <c r="J2123" s="5">
        <v>43809</v>
      </c>
      <c r="K2123" s="16">
        <f t="shared" si="223"/>
        <v>665</v>
      </c>
      <c r="L2123" s="13">
        <v>7035.29</v>
      </c>
      <c r="M2123" s="15">
        <f t="shared" si="221"/>
        <v>171.80938202995387</v>
      </c>
      <c r="N2123" s="13">
        <v>5371.08</v>
      </c>
      <c r="O2123" s="13">
        <v>0</v>
      </c>
      <c r="P2123" s="11">
        <f t="shared" si="220"/>
        <v>1</v>
      </c>
    </row>
    <row r="2124" spans="1:16" ht="18.75" customHeight="1" thickBot="1" x14ac:dyDescent="0.3">
      <c r="A2124" s="3" t="s">
        <v>11</v>
      </c>
      <c r="B2124" s="4">
        <v>782260</v>
      </c>
      <c r="C2124" s="3" t="s">
        <v>9</v>
      </c>
      <c r="D2124" s="18">
        <v>0.1</v>
      </c>
      <c r="E2124" s="21">
        <f t="shared" si="218"/>
        <v>7.9741404289037643E-3</v>
      </c>
      <c r="F2124" s="5">
        <v>43152</v>
      </c>
      <c r="G2124" s="5">
        <v>44978</v>
      </c>
      <c r="H2124" s="16">
        <f t="shared" si="222"/>
        <v>1826</v>
      </c>
      <c r="I2124" s="5">
        <v>45037</v>
      </c>
      <c r="J2124" s="5">
        <v>44063</v>
      </c>
      <c r="K2124" s="16">
        <f t="shared" si="223"/>
        <v>911</v>
      </c>
      <c r="L2124" s="13">
        <v>6559.58</v>
      </c>
      <c r="M2124" s="15">
        <f t="shared" si="221"/>
        <v>136.45137106285861</v>
      </c>
      <c r="N2124" s="13">
        <v>2048.75</v>
      </c>
      <c r="O2124" s="13">
        <v>0</v>
      </c>
      <c r="P2124" s="11">
        <f t="shared" si="220"/>
        <v>1</v>
      </c>
    </row>
    <row r="2125" spans="1:16" ht="18.75" hidden="1" customHeight="1" thickBot="1" x14ac:dyDescent="0.3">
      <c r="A2125" s="3" t="s">
        <v>11</v>
      </c>
      <c r="B2125" s="4">
        <v>241464</v>
      </c>
      <c r="C2125" s="3" t="s">
        <v>9</v>
      </c>
      <c r="D2125" s="18">
        <v>0.1</v>
      </c>
      <c r="E2125" s="21">
        <f t="shared" si="218"/>
        <v>7.9741404289037643E-3</v>
      </c>
      <c r="F2125" s="5">
        <v>43152</v>
      </c>
      <c r="G2125" s="5">
        <v>43272</v>
      </c>
      <c r="H2125" s="16">
        <f t="shared" si="222"/>
        <v>120</v>
      </c>
      <c r="I2125" s="5">
        <v>43272</v>
      </c>
      <c r="J2125" s="2"/>
      <c r="K2125" s="16">
        <f t="shared" si="223"/>
        <v>-43152</v>
      </c>
      <c r="L2125" s="13">
        <v>6000</v>
      </c>
      <c r="M2125" s="15">
        <f t="shared" si="221"/>
        <v>1530.0217771043426</v>
      </c>
      <c r="N2125" s="13">
        <v>6000</v>
      </c>
      <c r="O2125" s="13">
        <v>0</v>
      </c>
      <c r="P2125" s="11">
        <f t="shared" si="220"/>
        <v>1</v>
      </c>
    </row>
    <row r="2126" spans="1:16" ht="18.75" customHeight="1" thickBot="1" x14ac:dyDescent="0.3">
      <c r="A2126" s="3" t="s">
        <v>11</v>
      </c>
      <c r="B2126" s="4">
        <v>100739</v>
      </c>
      <c r="C2126" s="3" t="s">
        <v>19</v>
      </c>
      <c r="D2126" s="18">
        <v>0.1</v>
      </c>
      <c r="E2126" s="21">
        <f t="shared" si="218"/>
        <v>7.9741404289037643E-3</v>
      </c>
      <c r="F2126" s="5">
        <v>43154</v>
      </c>
      <c r="G2126" s="5">
        <v>43274</v>
      </c>
      <c r="H2126" s="16">
        <f t="shared" si="222"/>
        <v>120</v>
      </c>
      <c r="I2126" s="5">
        <v>43274</v>
      </c>
      <c r="J2126" s="5">
        <v>43371</v>
      </c>
      <c r="K2126" s="16">
        <f t="shared" si="223"/>
        <v>217</v>
      </c>
      <c r="L2126" s="13">
        <v>745.75</v>
      </c>
      <c r="M2126" s="15">
        <f t="shared" si="221"/>
        <v>190.16895671259391</v>
      </c>
      <c r="N2126" s="13">
        <v>745.75</v>
      </c>
      <c r="O2126" s="13">
        <v>745.75</v>
      </c>
      <c r="P2126" s="11">
        <f t="shared" si="220"/>
        <v>1</v>
      </c>
    </row>
    <row r="2127" spans="1:16" ht="18.75" customHeight="1" thickBot="1" x14ac:dyDescent="0.3">
      <c r="A2127" s="3" t="s">
        <v>11</v>
      </c>
      <c r="B2127" s="4">
        <v>66868</v>
      </c>
      <c r="C2127" s="3" t="s">
        <v>9</v>
      </c>
      <c r="D2127" s="18">
        <v>0.1</v>
      </c>
      <c r="E2127" s="21">
        <f t="shared" ref="E2127:E2190" si="224">(1+D2127)^(1/12)-1</f>
        <v>7.9741404289037643E-3</v>
      </c>
      <c r="F2127" s="5">
        <v>43154</v>
      </c>
      <c r="G2127" s="5">
        <v>45345</v>
      </c>
      <c r="H2127" s="16">
        <f t="shared" si="222"/>
        <v>2191</v>
      </c>
      <c r="I2127" s="5">
        <v>45527</v>
      </c>
      <c r="J2127" s="5">
        <v>44182</v>
      </c>
      <c r="K2127" s="16">
        <f t="shared" si="223"/>
        <v>1028</v>
      </c>
      <c r="L2127" s="13">
        <v>14970.81</v>
      </c>
      <c r="M2127" s="15">
        <f t="shared" si="221"/>
        <v>271.23044699768593</v>
      </c>
      <c r="N2127" s="13">
        <v>10378.6</v>
      </c>
      <c r="O2127" s="13">
        <v>10378.6</v>
      </c>
      <c r="P2127" s="11">
        <f t="shared" ref="P2127:P2158" si="225">IF((G2127)&gt;(ConstantDateCutoff),1,0)</f>
        <v>1</v>
      </c>
    </row>
    <row r="2128" spans="1:16" ht="18.75" customHeight="1" thickBot="1" x14ac:dyDescent="0.3">
      <c r="A2128" s="3" t="s">
        <v>11</v>
      </c>
      <c r="B2128" s="4">
        <v>987793</v>
      </c>
      <c r="C2128" s="3" t="s">
        <v>9</v>
      </c>
      <c r="D2128" s="18">
        <v>0.11</v>
      </c>
      <c r="E2128" s="21">
        <f t="shared" si="224"/>
        <v>8.7345938235519061E-3</v>
      </c>
      <c r="F2128" s="5">
        <v>43164</v>
      </c>
      <c r="G2128" s="5">
        <v>44990</v>
      </c>
      <c r="H2128" s="16">
        <f t="shared" si="222"/>
        <v>1826</v>
      </c>
      <c r="I2128" s="5">
        <v>44990</v>
      </c>
      <c r="J2128" s="5">
        <v>44543</v>
      </c>
      <c r="K2128" s="16">
        <f t="shared" si="223"/>
        <v>1379</v>
      </c>
      <c r="L2128" s="13">
        <v>7516.41</v>
      </c>
      <c r="M2128" s="15">
        <f t="shared" si="221"/>
        <v>159.73729168971391</v>
      </c>
      <c r="N2128" s="13">
        <v>1870.05</v>
      </c>
      <c r="O2128" s="13">
        <v>0</v>
      </c>
      <c r="P2128" s="11">
        <f t="shared" si="225"/>
        <v>1</v>
      </c>
    </row>
    <row r="2129" spans="1:16" ht="18.75" customHeight="1" thickBot="1" x14ac:dyDescent="0.3">
      <c r="A2129" s="3" t="s">
        <v>11</v>
      </c>
      <c r="B2129" s="4">
        <v>213562</v>
      </c>
      <c r="C2129" s="3" t="s">
        <v>9</v>
      </c>
      <c r="D2129" s="18">
        <v>0.14000000000000001</v>
      </c>
      <c r="E2129" s="21">
        <f t="shared" si="224"/>
        <v>1.0978851950173452E-2</v>
      </c>
      <c r="F2129" s="5">
        <v>43168</v>
      </c>
      <c r="G2129" s="5">
        <v>43930</v>
      </c>
      <c r="H2129" s="16">
        <f t="shared" si="222"/>
        <v>762</v>
      </c>
      <c r="I2129" s="5">
        <v>43930</v>
      </c>
      <c r="J2129" s="5">
        <v>43644</v>
      </c>
      <c r="K2129" s="16">
        <f t="shared" si="223"/>
        <v>476</v>
      </c>
      <c r="L2129" s="13">
        <v>3269.91</v>
      </c>
      <c r="M2129" s="15">
        <f t="shared" si="221"/>
        <v>148.22060036571062</v>
      </c>
      <c r="N2129" s="13">
        <v>3269.91</v>
      </c>
      <c r="O2129" s="13">
        <v>0</v>
      </c>
      <c r="P2129" s="11">
        <f t="shared" si="225"/>
        <v>1</v>
      </c>
    </row>
    <row r="2130" spans="1:16" ht="18.75" customHeight="1" thickBot="1" x14ac:dyDescent="0.3">
      <c r="A2130" s="3" t="s">
        <v>11</v>
      </c>
      <c r="B2130" s="4">
        <v>860732</v>
      </c>
      <c r="C2130" s="3" t="s">
        <v>9</v>
      </c>
      <c r="D2130" s="18">
        <v>0.1</v>
      </c>
      <c r="E2130" s="21">
        <f t="shared" si="224"/>
        <v>7.9741404289037643E-3</v>
      </c>
      <c r="F2130" s="5">
        <v>43171</v>
      </c>
      <c r="G2130" s="5">
        <v>45363</v>
      </c>
      <c r="H2130" s="16">
        <f t="shared" si="222"/>
        <v>2192</v>
      </c>
      <c r="I2130" s="5">
        <v>45363</v>
      </c>
      <c r="J2130" s="5">
        <v>43971</v>
      </c>
      <c r="K2130" s="16">
        <f t="shared" si="223"/>
        <v>800</v>
      </c>
      <c r="L2130" s="13">
        <v>14221.05</v>
      </c>
      <c r="M2130" s="15">
        <f t="shared" si="221"/>
        <v>257.56010514516788</v>
      </c>
      <c r="N2130" s="13">
        <v>9115.9</v>
      </c>
      <c r="O2130" s="13">
        <v>0</v>
      </c>
      <c r="P2130" s="11">
        <f t="shared" si="225"/>
        <v>1</v>
      </c>
    </row>
    <row r="2131" spans="1:16" ht="18.75" customHeight="1" thickBot="1" x14ac:dyDescent="0.3">
      <c r="A2131" s="3" t="s">
        <v>11</v>
      </c>
      <c r="B2131" s="4">
        <v>202631</v>
      </c>
      <c r="C2131" s="3" t="s">
        <v>9</v>
      </c>
      <c r="D2131" s="18">
        <v>0.14000000000000001</v>
      </c>
      <c r="E2131" s="21">
        <f t="shared" si="224"/>
        <v>1.0978851950173452E-2</v>
      </c>
      <c r="F2131" s="5">
        <v>43175</v>
      </c>
      <c r="G2131" s="5">
        <v>44090</v>
      </c>
      <c r="H2131" s="16">
        <f t="shared" si="222"/>
        <v>915</v>
      </c>
      <c r="I2131" s="5">
        <v>44090</v>
      </c>
      <c r="J2131" s="5">
        <v>43371</v>
      </c>
      <c r="K2131" s="16">
        <f t="shared" si="223"/>
        <v>196</v>
      </c>
      <c r="L2131" s="13">
        <v>3559.05</v>
      </c>
      <c r="M2131" s="15">
        <f t="shared" si="221"/>
        <v>137.94911209933434</v>
      </c>
      <c r="N2131" s="13">
        <v>2775.48</v>
      </c>
      <c r="O2131" s="13">
        <v>2775.48</v>
      </c>
      <c r="P2131" s="11">
        <f t="shared" si="225"/>
        <v>1</v>
      </c>
    </row>
    <row r="2132" spans="1:16" ht="18.75" customHeight="1" thickBot="1" x14ac:dyDescent="0.3">
      <c r="A2132" s="3" t="s">
        <v>11</v>
      </c>
      <c r="B2132" s="4">
        <v>68735</v>
      </c>
      <c r="C2132" s="3" t="s">
        <v>9</v>
      </c>
      <c r="D2132" s="18">
        <v>0.1</v>
      </c>
      <c r="E2132" s="21">
        <f t="shared" si="224"/>
        <v>7.9741404289037643E-3</v>
      </c>
      <c r="F2132" s="5">
        <v>43178</v>
      </c>
      <c r="G2132" s="5">
        <v>43661</v>
      </c>
      <c r="H2132" s="16">
        <f t="shared" si="222"/>
        <v>483</v>
      </c>
      <c r="I2132" s="5">
        <v>43661</v>
      </c>
      <c r="J2132" s="5">
        <v>43725</v>
      </c>
      <c r="K2132" s="16">
        <f t="shared" si="223"/>
        <v>547</v>
      </c>
      <c r="L2132" s="13">
        <v>2000</v>
      </c>
      <c r="M2132" s="15">
        <f t="shared" si="221"/>
        <v>132.86227739397336</v>
      </c>
      <c r="N2132" s="13">
        <v>2000</v>
      </c>
      <c r="O2132" s="13">
        <v>0</v>
      </c>
      <c r="P2132" s="11">
        <f t="shared" si="225"/>
        <v>1</v>
      </c>
    </row>
    <row r="2133" spans="1:16" ht="18.75" customHeight="1" thickBot="1" x14ac:dyDescent="0.3">
      <c r="A2133" s="3" t="s">
        <v>11</v>
      </c>
      <c r="B2133" s="4">
        <v>366300</v>
      </c>
      <c r="C2133" s="3" t="s">
        <v>3</v>
      </c>
      <c r="D2133" s="18">
        <v>0.08</v>
      </c>
      <c r="E2133" s="21">
        <f t="shared" si="224"/>
        <v>6.4340301100034303E-3</v>
      </c>
      <c r="F2133" s="5">
        <v>43179</v>
      </c>
      <c r="G2133" s="5">
        <v>45005</v>
      </c>
      <c r="H2133" s="16">
        <f t="shared" si="222"/>
        <v>1826</v>
      </c>
      <c r="I2133" s="5">
        <v>43921</v>
      </c>
      <c r="J2133" s="5">
        <v>44011</v>
      </c>
      <c r="K2133" s="16">
        <f t="shared" si="223"/>
        <v>832</v>
      </c>
      <c r="L2133" s="13">
        <v>125000</v>
      </c>
      <c r="M2133" s="15">
        <f t="shared" si="221"/>
        <v>2488.4921310963209</v>
      </c>
      <c r="N2133" s="13">
        <v>11660</v>
      </c>
      <c r="O2133" s="13">
        <v>0</v>
      </c>
      <c r="P2133" s="11">
        <f t="shared" si="225"/>
        <v>1</v>
      </c>
    </row>
    <row r="2134" spans="1:16" ht="18.75" customHeight="1" thickBot="1" x14ac:dyDescent="0.3">
      <c r="A2134" s="3" t="s">
        <v>11</v>
      </c>
      <c r="B2134" s="4">
        <v>593345</v>
      </c>
      <c r="C2134" s="3" t="s">
        <v>19</v>
      </c>
      <c r="D2134" s="18">
        <v>0.1</v>
      </c>
      <c r="E2134" s="21">
        <f t="shared" si="224"/>
        <v>7.9741404289037643E-3</v>
      </c>
      <c r="F2134" s="5">
        <v>43181</v>
      </c>
      <c r="G2134" s="5">
        <v>43546</v>
      </c>
      <c r="H2134" s="16">
        <f t="shared" si="222"/>
        <v>365</v>
      </c>
      <c r="I2134" s="5">
        <v>43546</v>
      </c>
      <c r="J2134" s="5">
        <v>43644</v>
      </c>
      <c r="K2134" s="16">
        <f t="shared" si="223"/>
        <v>463</v>
      </c>
      <c r="L2134" s="13">
        <v>719.12</v>
      </c>
      <c r="M2134" s="15">
        <f t="shared" si="221"/>
        <v>62.254452851498513</v>
      </c>
      <c r="N2134" s="13">
        <v>719.12</v>
      </c>
      <c r="O2134" s="13">
        <v>0</v>
      </c>
      <c r="P2134" s="11">
        <f t="shared" si="225"/>
        <v>1</v>
      </c>
    </row>
    <row r="2135" spans="1:16" ht="18.75" customHeight="1" thickBot="1" x14ac:dyDescent="0.3">
      <c r="A2135" s="3" t="s">
        <v>11</v>
      </c>
      <c r="B2135" s="4">
        <v>937722</v>
      </c>
      <c r="C2135" s="3" t="s">
        <v>9</v>
      </c>
      <c r="D2135" s="18">
        <v>0.1</v>
      </c>
      <c r="E2135" s="21">
        <f t="shared" si="224"/>
        <v>7.9741404289037643E-3</v>
      </c>
      <c r="F2135" s="5">
        <v>43182</v>
      </c>
      <c r="G2135" s="5">
        <v>45374</v>
      </c>
      <c r="H2135" s="16">
        <f t="shared" si="222"/>
        <v>2192</v>
      </c>
      <c r="I2135" s="5">
        <v>45374</v>
      </c>
      <c r="J2135" s="5">
        <v>43644</v>
      </c>
      <c r="K2135" s="16">
        <f t="shared" si="223"/>
        <v>462</v>
      </c>
      <c r="L2135" s="13">
        <v>13577.59</v>
      </c>
      <c r="M2135" s="15">
        <f t="shared" si="221"/>
        <v>245.90628033921405</v>
      </c>
      <c r="N2135" s="13">
        <v>11413.53</v>
      </c>
      <c r="O2135" s="13">
        <v>0</v>
      </c>
      <c r="P2135" s="11">
        <f t="shared" si="225"/>
        <v>1</v>
      </c>
    </row>
    <row r="2136" spans="1:16" ht="18.75" customHeight="1" thickBot="1" x14ac:dyDescent="0.3">
      <c r="A2136" s="3" t="s">
        <v>11</v>
      </c>
      <c r="B2136" s="4">
        <v>498457</v>
      </c>
      <c r="C2136" s="3" t="s">
        <v>2</v>
      </c>
      <c r="D2136" s="18">
        <v>0.08</v>
      </c>
      <c r="E2136" s="21">
        <f t="shared" si="224"/>
        <v>6.4340301100034303E-3</v>
      </c>
      <c r="F2136" s="5">
        <v>43182</v>
      </c>
      <c r="G2136" s="5">
        <v>45008</v>
      </c>
      <c r="H2136" s="16">
        <f t="shared" si="222"/>
        <v>1826</v>
      </c>
      <c r="I2136" s="5">
        <v>45008</v>
      </c>
      <c r="J2136" s="5">
        <v>43734</v>
      </c>
      <c r="K2136" s="16">
        <f t="shared" si="223"/>
        <v>552</v>
      </c>
      <c r="L2136" s="13">
        <v>70000</v>
      </c>
      <c r="M2136" s="15">
        <f t="shared" si="221"/>
        <v>1393.55559341394</v>
      </c>
      <c r="N2136" s="13">
        <v>70000</v>
      </c>
      <c r="O2136" s="13">
        <v>0</v>
      </c>
      <c r="P2136" s="11">
        <f t="shared" si="225"/>
        <v>1</v>
      </c>
    </row>
    <row r="2137" spans="1:16" ht="18.75" customHeight="1" thickBot="1" x14ac:dyDescent="0.3">
      <c r="A2137" s="3" t="s">
        <v>11</v>
      </c>
      <c r="B2137" s="4">
        <v>4467</v>
      </c>
      <c r="C2137" s="3" t="s">
        <v>9</v>
      </c>
      <c r="D2137" s="18">
        <v>0.1</v>
      </c>
      <c r="E2137" s="21">
        <f t="shared" si="224"/>
        <v>7.9741404289037643E-3</v>
      </c>
      <c r="F2137" s="5">
        <v>43182</v>
      </c>
      <c r="G2137" s="5">
        <v>44827</v>
      </c>
      <c r="H2137" s="16">
        <f t="shared" si="222"/>
        <v>1645</v>
      </c>
      <c r="I2137" s="5">
        <v>44827</v>
      </c>
      <c r="J2137" s="5">
        <v>43644</v>
      </c>
      <c r="K2137" s="16">
        <f t="shared" si="223"/>
        <v>462</v>
      </c>
      <c r="L2137" s="13">
        <v>16524.560000000001</v>
      </c>
      <c r="M2137" s="15">
        <f t="shared" si="221"/>
        <v>373.21152242298876</v>
      </c>
      <c r="N2137" s="13">
        <v>16042.67</v>
      </c>
      <c r="O2137" s="13">
        <v>0</v>
      </c>
      <c r="P2137" s="11">
        <f t="shared" si="225"/>
        <v>1</v>
      </c>
    </row>
    <row r="2138" spans="1:16" ht="18.75" customHeight="1" thickBot="1" x14ac:dyDescent="0.3">
      <c r="A2138" s="3" t="s">
        <v>11</v>
      </c>
      <c r="B2138" s="4">
        <v>92454</v>
      </c>
      <c r="C2138" s="3" t="s">
        <v>9</v>
      </c>
      <c r="D2138" s="18">
        <v>9.5000000000000001E-2</v>
      </c>
      <c r="E2138" s="21">
        <f t="shared" si="224"/>
        <v>7.5915342905825689E-3</v>
      </c>
      <c r="F2138" s="5">
        <v>43186</v>
      </c>
      <c r="G2138" s="5">
        <v>43910</v>
      </c>
      <c r="H2138" s="16">
        <f t="shared" si="222"/>
        <v>724</v>
      </c>
      <c r="I2138" s="5">
        <v>43910</v>
      </c>
      <c r="J2138" s="5">
        <v>43644</v>
      </c>
      <c r="K2138" s="16">
        <f t="shared" si="223"/>
        <v>458</v>
      </c>
      <c r="L2138" s="13">
        <v>5928.18</v>
      </c>
      <c r="M2138" s="15">
        <f t="shared" si="221"/>
        <v>269.76015619924664</v>
      </c>
      <c r="N2138" s="13">
        <v>5928.18</v>
      </c>
      <c r="O2138" s="13">
        <v>0</v>
      </c>
      <c r="P2138" s="11">
        <f t="shared" si="225"/>
        <v>1</v>
      </c>
    </row>
    <row r="2139" spans="1:16" ht="18.75" hidden="1" customHeight="1" thickBot="1" x14ac:dyDescent="0.3">
      <c r="A2139" s="3" t="s">
        <v>11</v>
      </c>
      <c r="B2139" s="4">
        <v>270114</v>
      </c>
      <c r="C2139" s="3" t="s">
        <v>2</v>
      </c>
      <c r="D2139" s="18">
        <v>0</v>
      </c>
      <c r="E2139" s="21">
        <f t="shared" si="224"/>
        <v>0</v>
      </c>
      <c r="F2139" s="5">
        <v>43189</v>
      </c>
      <c r="G2139" s="5">
        <v>43559</v>
      </c>
      <c r="H2139" s="16">
        <f t="shared" si="222"/>
        <v>370</v>
      </c>
      <c r="I2139" s="5">
        <v>43559</v>
      </c>
      <c r="J2139" s="5">
        <v>43818</v>
      </c>
      <c r="K2139" s="16">
        <f t="shared" si="223"/>
        <v>629</v>
      </c>
      <c r="L2139" s="13">
        <v>386999.74</v>
      </c>
      <c r="M2139" s="15">
        <f t="shared" si="221"/>
        <v>31378.357297297294</v>
      </c>
      <c r="N2139" s="13">
        <v>360199.74</v>
      </c>
      <c r="O2139" s="13">
        <v>360199.74</v>
      </c>
      <c r="P2139" s="11">
        <f t="shared" si="225"/>
        <v>1</v>
      </c>
    </row>
    <row r="2140" spans="1:16" ht="18.75" customHeight="1" thickBot="1" x14ac:dyDescent="0.3">
      <c r="A2140" s="3" t="s">
        <v>11</v>
      </c>
      <c r="B2140" s="4">
        <v>860081</v>
      </c>
      <c r="C2140" s="3" t="s">
        <v>9</v>
      </c>
      <c r="D2140" s="18">
        <v>0.1</v>
      </c>
      <c r="E2140" s="21">
        <f t="shared" si="224"/>
        <v>7.9741404289037643E-3</v>
      </c>
      <c r="F2140" s="5">
        <v>43193</v>
      </c>
      <c r="G2140" s="5">
        <v>45750</v>
      </c>
      <c r="H2140" s="16">
        <f t="shared" si="222"/>
        <v>2557</v>
      </c>
      <c r="I2140" s="5">
        <v>45694</v>
      </c>
      <c r="J2140" s="5">
        <v>44361</v>
      </c>
      <c r="K2140" s="16">
        <f t="shared" si="223"/>
        <v>1168</v>
      </c>
      <c r="L2140" s="13">
        <v>48388.75</v>
      </c>
      <c r="M2140" s="15">
        <f t="shared" si="221"/>
        <v>784.51418320363712</v>
      </c>
      <c r="N2140" s="13">
        <v>46703.66</v>
      </c>
      <c r="O2140" s="13">
        <v>0</v>
      </c>
      <c r="P2140" s="11">
        <f t="shared" si="225"/>
        <v>1</v>
      </c>
    </row>
    <row r="2141" spans="1:16" ht="18.75" customHeight="1" thickBot="1" x14ac:dyDescent="0.3">
      <c r="A2141" s="3" t="s">
        <v>11</v>
      </c>
      <c r="B2141" s="4">
        <v>89211</v>
      </c>
      <c r="C2141" s="3" t="s">
        <v>9</v>
      </c>
      <c r="D2141" s="18">
        <v>8.5000000000000006E-2</v>
      </c>
      <c r="E2141" s="21">
        <f t="shared" si="224"/>
        <v>6.8214933659622723E-3</v>
      </c>
      <c r="F2141" s="5">
        <v>43199</v>
      </c>
      <c r="G2141" s="5">
        <v>45756</v>
      </c>
      <c r="H2141" s="16">
        <f t="shared" si="222"/>
        <v>2557</v>
      </c>
      <c r="I2141" s="5">
        <v>45756</v>
      </c>
      <c r="J2141" s="5">
        <v>43815</v>
      </c>
      <c r="K2141" s="16">
        <f t="shared" si="223"/>
        <v>616</v>
      </c>
      <c r="L2141" s="13">
        <v>36360.57</v>
      </c>
      <c r="M2141" s="15">
        <f t="shared" si="221"/>
        <v>563.98073145111312</v>
      </c>
      <c r="N2141" s="13">
        <v>17505.61</v>
      </c>
      <c r="O2141" s="13">
        <v>3600.07</v>
      </c>
      <c r="P2141" s="11">
        <f t="shared" si="225"/>
        <v>1</v>
      </c>
    </row>
    <row r="2142" spans="1:16" ht="18.75" customHeight="1" thickBot="1" x14ac:dyDescent="0.3">
      <c r="A2142" s="3" t="s">
        <v>11</v>
      </c>
      <c r="B2142" s="4">
        <v>874174</v>
      </c>
      <c r="C2142" s="3" t="s">
        <v>9</v>
      </c>
      <c r="D2142" s="18">
        <v>0.1</v>
      </c>
      <c r="E2142" s="21">
        <f t="shared" si="224"/>
        <v>7.9741404289037643E-3</v>
      </c>
      <c r="F2142" s="5">
        <v>43200</v>
      </c>
      <c r="G2142" s="5">
        <v>45392</v>
      </c>
      <c r="H2142" s="16">
        <f t="shared" si="222"/>
        <v>2192</v>
      </c>
      <c r="I2142" s="5">
        <v>45483</v>
      </c>
      <c r="J2142" s="5">
        <v>44833</v>
      </c>
      <c r="K2142" s="16">
        <f t="shared" si="223"/>
        <v>1633</v>
      </c>
      <c r="L2142" s="13">
        <v>32745.47</v>
      </c>
      <c r="M2142" s="15">
        <f t="shared" si="221"/>
        <v>593.05935189229638</v>
      </c>
      <c r="N2142" s="13">
        <v>14606.52</v>
      </c>
      <c r="O2142" s="13">
        <v>783.37</v>
      </c>
      <c r="P2142" s="11">
        <f t="shared" si="225"/>
        <v>1</v>
      </c>
    </row>
    <row r="2143" spans="1:16" ht="18.75" customHeight="1" thickBot="1" x14ac:dyDescent="0.3">
      <c r="A2143" s="3" t="s">
        <v>11</v>
      </c>
      <c r="B2143" s="4">
        <v>810407</v>
      </c>
      <c r="C2143" s="3" t="s">
        <v>12</v>
      </c>
      <c r="D2143" s="18">
        <v>0.09</v>
      </c>
      <c r="E2143" s="21">
        <f t="shared" si="224"/>
        <v>7.2073233161367156E-3</v>
      </c>
      <c r="F2143" s="5">
        <v>43205</v>
      </c>
      <c r="G2143" s="5">
        <v>45214</v>
      </c>
      <c r="H2143" s="16">
        <f t="shared" si="222"/>
        <v>2009</v>
      </c>
      <c r="I2143" s="5">
        <v>46157</v>
      </c>
      <c r="J2143" s="5">
        <v>43818</v>
      </c>
      <c r="K2143" s="16">
        <f t="shared" si="223"/>
        <v>613</v>
      </c>
      <c r="L2143" s="13">
        <v>26000</v>
      </c>
      <c r="M2143" s="15">
        <f t="shared" si="221"/>
        <v>490.82670597455729</v>
      </c>
      <c r="N2143" s="13">
        <v>23080.84</v>
      </c>
      <c r="O2143" s="13">
        <v>14000</v>
      </c>
      <c r="P2143" s="11">
        <f t="shared" si="225"/>
        <v>1</v>
      </c>
    </row>
    <row r="2144" spans="1:16" ht="18.75" customHeight="1" thickBot="1" x14ac:dyDescent="0.3">
      <c r="A2144" s="3" t="s">
        <v>11</v>
      </c>
      <c r="B2144" s="4">
        <v>726921</v>
      </c>
      <c r="C2144" s="3" t="s">
        <v>19</v>
      </c>
      <c r="D2144" s="18">
        <v>0.1</v>
      </c>
      <c r="E2144" s="21">
        <f t="shared" si="224"/>
        <v>7.9741404289037643E-3</v>
      </c>
      <c r="F2144" s="5">
        <v>43210</v>
      </c>
      <c r="G2144" s="5">
        <v>44671</v>
      </c>
      <c r="H2144" s="16">
        <f t="shared" si="222"/>
        <v>1461</v>
      </c>
      <c r="I2144" s="5">
        <v>44671</v>
      </c>
      <c r="J2144" s="5">
        <v>43644</v>
      </c>
      <c r="K2144" s="16">
        <f t="shared" si="223"/>
        <v>434</v>
      </c>
      <c r="L2144" s="13">
        <v>3805.89</v>
      </c>
      <c r="M2144" s="15">
        <f t="shared" si="221"/>
        <v>94.611028851025921</v>
      </c>
      <c r="N2144" s="13">
        <v>3705.89</v>
      </c>
      <c r="O2144" s="13">
        <v>0</v>
      </c>
      <c r="P2144" s="11">
        <f t="shared" si="225"/>
        <v>1</v>
      </c>
    </row>
    <row r="2145" spans="1:16" ht="18.75" customHeight="1" thickBot="1" x14ac:dyDescent="0.3">
      <c r="A2145" s="3" t="s">
        <v>11</v>
      </c>
      <c r="B2145" s="4">
        <v>376911</v>
      </c>
      <c r="C2145" s="3" t="s">
        <v>9</v>
      </c>
      <c r="D2145" s="18">
        <v>0.1</v>
      </c>
      <c r="E2145" s="21">
        <f t="shared" si="224"/>
        <v>7.9741404289037643E-3</v>
      </c>
      <c r="F2145" s="5">
        <v>43216</v>
      </c>
      <c r="G2145" s="5">
        <v>45042</v>
      </c>
      <c r="H2145" s="16">
        <f t="shared" si="222"/>
        <v>1826</v>
      </c>
      <c r="I2145" s="5">
        <v>45042</v>
      </c>
      <c r="J2145" s="5">
        <v>43818</v>
      </c>
      <c r="K2145" s="16">
        <f t="shared" si="223"/>
        <v>602</v>
      </c>
      <c r="L2145" s="13">
        <v>10152.25</v>
      </c>
      <c r="M2145" s="15">
        <f t="shared" si="221"/>
        <v>211.18553807910052</v>
      </c>
      <c r="N2145" s="13">
        <v>8127.2</v>
      </c>
      <c r="O2145" s="13">
        <v>0</v>
      </c>
      <c r="P2145" s="11">
        <f t="shared" si="225"/>
        <v>1</v>
      </c>
    </row>
    <row r="2146" spans="1:16" ht="18.75" customHeight="1" thickBot="1" x14ac:dyDescent="0.3">
      <c r="A2146" s="3" t="s">
        <v>11</v>
      </c>
      <c r="B2146" s="4">
        <v>203194</v>
      </c>
      <c r="C2146" s="3" t="s">
        <v>19</v>
      </c>
      <c r="D2146" s="18">
        <v>0.1</v>
      </c>
      <c r="E2146" s="21">
        <f t="shared" si="224"/>
        <v>7.9741404289037643E-3</v>
      </c>
      <c r="F2146" s="5">
        <v>43220</v>
      </c>
      <c r="G2146" s="5">
        <v>44711</v>
      </c>
      <c r="H2146" s="16">
        <f t="shared" si="222"/>
        <v>1491</v>
      </c>
      <c r="I2146" s="5">
        <v>44711</v>
      </c>
      <c r="J2146" s="5">
        <v>43644</v>
      </c>
      <c r="K2146" s="16">
        <f t="shared" si="223"/>
        <v>424</v>
      </c>
      <c r="L2146" s="13">
        <v>4616.76</v>
      </c>
      <c r="M2146" s="15">
        <f t="shared" si="221"/>
        <v>112.87767551967833</v>
      </c>
      <c r="N2146" s="13">
        <v>4616.76</v>
      </c>
      <c r="O2146" s="13">
        <v>30</v>
      </c>
      <c r="P2146" s="11">
        <f t="shared" si="225"/>
        <v>1</v>
      </c>
    </row>
    <row r="2147" spans="1:16" ht="18.75" customHeight="1" thickBot="1" x14ac:dyDescent="0.3">
      <c r="A2147" s="3" t="s">
        <v>11</v>
      </c>
      <c r="B2147" s="4">
        <v>674432</v>
      </c>
      <c r="C2147" s="3" t="s">
        <v>9</v>
      </c>
      <c r="D2147" s="18">
        <v>0.1</v>
      </c>
      <c r="E2147" s="21">
        <f t="shared" si="224"/>
        <v>7.9741404289037643E-3</v>
      </c>
      <c r="F2147" s="5">
        <v>43222</v>
      </c>
      <c r="G2147" s="5">
        <v>45414</v>
      </c>
      <c r="H2147" s="16">
        <f t="shared" si="222"/>
        <v>2192</v>
      </c>
      <c r="I2147" s="5">
        <v>45414</v>
      </c>
      <c r="J2147" s="5">
        <v>43644</v>
      </c>
      <c r="K2147" s="16">
        <f t="shared" si="223"/>
        <v>422</v>
      </c>
      <c r="L2147" s="13">
        <v>21036.05</v>
      </c>
      <c r="M2147" s="15">
        <f t="shared" si="221"/>
        <v>380.98784898717105</v>
      </c>
      <c r="N2147" s="13">
        <v>19609.05</v>
      </c>
      <c r="O2147" s="13">
        <v>0</v>
      </c>
      <c r="P2147" s="11">
        <f t="shared" si="225"/>
        <v>1</v>
      </c>
    </row>
    <row r="2148" spans="1:16" ht="18.75" customHeight="1" thickBot="1" x14ac:dyDescent="0.3">
      <c r="A2148" s="3" t="s">
        <v>11</v>
      </c>
      <c r="B2148" s="4">
        <v>337189</v>
      </c>
      <c r="C2148" s="3" t="s">
        <v>3</v>
      </c>
      <c r="D2148" s="18">
        <v>0.09</v>
      </c>
      <c r="E2148" s="21">
        <f t="shared" si="224"/>
        <v>7.2073233161367156E-3</v>
      </c>
      <c r="F2148" s="5">
        <v>43222</v>
      </c>
      <c r="G2148" s="5">
        <v>45048</v>
      </c>
      <c r="H2148" s="16">
        <f t="shared" si="222"/>
        <v>1826</v>
      </c>
      <c r="I2148" s="5">
        <v>45048</v>
      </c>
      <c r="J2148" s="5">
        <v>43810</v>
      </c>
      <c r="K2148" s="16">
        <f t="shared" si="223"/>
        <v>588</v>
      </c>
      <c r="L2148" s="13">
        <v>20000</v>
      </c>
      <c r="M2148" s="15">
        <f t="shared" si="221"/>
        <v>407.07704753637324</v>
      </c>
      <c r="N2148" s="13">
        <v>17000</v>
      </c>
      <c r="O2148" s="13">
        <v>0</v>
      </c>
      <c r="P2148" s="11">
        <f t="shared" si="225"/>
        <v>1</v>
      </c>
    </row>
    <row r="2149" spans="1:16" ht="18.75" customHeight="1" thickBot="1" x14ac:dyDescent="0.3">
      <c r="A2149" s="3" t="s">
        <v>11</v>
      </c>
      <c r="B2149" s="4">
        <v>19418</v>
      </c>
      <c r="C2149" s="3" t="s">
        <v>9</v>
      </c>
      <c r="D2149" s="18">
        <v>0.1</v>
      </c>
      <c r="E2149" s="21">
        <f t="shared" si="224"/>
        <v>7.9741404289037643E-3</v>
      </c>
      <c r="F2149" s="5">
        <v>43199</v>
      </c>
      <c r="G2149" s="5">
        <v>45458</v>
      </c>
      <c r="H2149" s="16">
        <f t="shared" si="222"/>
        <v>2259</v>
      </c>
      <c r="I2149" s="5">
        <v>45458</v>
      </c>
      <c r="J2149" s="5">
        <v>43822</v>
      </c>
      <c r="K2149" s="16">
        <f t="shared" si="223"/>
        <v>623</v>
      </c>
      <c r="L2149" s="13">
        <v>12736.81</v>
      </c>
      <c r="M2149" s="15">
        <f t="shared" si="221"/>
        <v>225.63561957929835</v>
      </c>
      <c r="N2149" s="13">
        <v>8100.7</v>
      </c>
      <c r="O2149" s="13">
        <v>0</v>
      </c>
      <c r="P2149" s="11">
        <f t="shared" si="225"/>
        <v>1</v>
      </c>
    </row>
    <row r="2150" spans="1:16" ht="18.75" customHeight="1" thickBot="1" x14ac:dyDescent="0.3">
      <c r="A2150" s="3" t="s">
        <v>11</v>
      </c>
      <c r="B2150" s="4">
        <v>771897</v>
      </c>
      <c r="C2150" s="3" t="s">
        <v>12</v>
      </c>
      <c r="D2150" s="18">
        <v>0.08</v>
      </c>
      <c r="E2150" s="21">
        <f t="shared" si="224"/>
        <v>6.4340301100034303E-3</v>
      </c>
      <c r="F2150" s="5">
        <v>43230</v>
      </c>
      <c r="G2150" s="5">
        <v>45422</v>
      </c>
      <c r="H2150" s="16">
        <f t="shared" si="222"/>
        <v>2192</v>
      </c>
      <c r="I2150" s="5">
        <v>45422</v>
      </c>
      <c r="J2150" s="5">
        <v>43826</v>
      </c>
      <c r="K2150" s="16">
        <f t="shared" si="223"/>
        <v>596</v>
      </c>
      <c r="L2150" s="13">
        <v>14000</v>
      </c>
      <c r="M2150" s="15">
        <f t="shared" si="221"/>
        <v>240.7645218814682</v>
      </c>
      <c r="N2150" s="13">
        <v>14000</v>
      </c>
      <c r="O2150" s="13">
        <v>0</v>
      </c>
      <c r="P2150" s="11">
        <f t="shared" si="225"/>
        <v>1</v>
      </c>
    </row>
    <row r="2151" spans="1:16" ht="18.75" customHeight="1" thickBot="1" x14ac:dyDescent="0.3">
      <c r="A2151" s="3" t="s">
        <v>11</v>
      </c>
      <c r="B2151" s="4">
        <v>537551</v>
      </c>
      <c r="C2151" s="3" t="s">
        <v>9</v>
      </c>
      <c r="D2151" s="18">
        <v>0.1</v>
      </c>
      <c r="E2151" s="21">
        <f t="shared" si="224"/>
        <v>7.9741404289037643E-3</v>
      </c>
      <c r="F2151" s="5">
        <v>43236</v>
      </c>
      <c r="G2151" s="5">
        <v>45428</v>
      </c>
      <c r="H2151" s="16">
        <f t="shared" si="222"/>
        <v>2192</v>
      </c>
      <c r="I2151" s="5">
        <v>45656</v>
      </c>
      <c r="J2151" s="5">
        <v>45160</v>
      </c>
      <c r="K2151" s="16">
        <f t="shared" si="223"/>
        <v>1924</v>
      </c>
      <c r="L2151" s="13">
        <v>17077.5</v>
      </c>
      <c r="M2151" s="15">
        <f t="shared" si="221"/>
        <v>309.29380711105051</v>
      </c>
      <c r="N2151" s="13">
        <v>14328.91</v>
      </c>
      <c r="O2151" s="13">
        <v>0</v>
      </c>
      <c r="P2151" s="11">
        <f t="shared" si="225"/>
        <v>1</v>
      </c>
    </row>
    <row r="2152" spans="1:16" ht="18.75" customHeight="1" thickBot="1" x14ac:dyDescent="0.3">
      <c r="A2152" s="3" t="s">
        <v>11</v>
      </c>
      <c r="B2152" s="4">
        <v>462009</v>
      </c>
      <c r="C2152" s="3" t="s">
        <v>9</v>
      </c>
      <c r="D2152" s="18">
        <v>0.1</v>
      </c>
      <c r="E2152" s="21">
        <f t="shared" si="224"/>
        <v>7.9741404289037643E-3</v>
      </c>
      <c r="F2152" s="5">
        <v>43236</v>
      </c>
      <c r="G2152" s="5">
        <v>45559</v>
      </c>
      <c r="H2152" s="16">
        <f t="shared" si="222"/>
        <v>2323</v>
      </c>
      <c r="I2152" s="5">
        <v>45559</v>
      </c>
      <c r="J2152" s="5">
        <v>43818</v>
      </c>
      <c r="K2152" s="16">
        <f t="shared" si="223"/>
        <v>582</v>
      </c>
      <c r="L2152" s="13">
        <v>19311.650000000001</v>
      </c>
      <c r="M2152" s="15">
        <f t="shared" si="221"/>
        <v>335.23013808807332</v>
      </c>
      <c r="N2152" s="13">
        <v>19311.650000000001</v>
      </c>
      <c r="O2152" s="13">
        <v>19311.650000000001</v>
      </c>
      <c r="P2152" s="11">
        <f t="shared" si="225"/>
        <v>1</v>
      </c>
    </row>
    <row r="2153" spans="1:16" ht="18.75" customHeight="1" thickBot="1" x14ac:dyDescent="0.3">
      <c r="A2153" s="3" t="s">
        <v>11</v>
      </c>
      <c r="B2153" s="4">
        <v>564338</v>
      </c>
      <c r="C2153" s="3" t="s">
        <v>9</v>
      </c>
      <c r="D2153" s="18">
        <v>0.1</v>
      </c>
      <c r="E2153" s="21">
        <f t="shared" si="224"/>
        <v>7.9741404289037643E-3</v>
      </c>
      <c r="F2153" s="5">
        <v>43243</v>
      </c>
      <c r="G2153" s="5">
        <v>45435</v>
      </c>
      <c r="H2153" s="16">
        <f t="shared" si="222"/>
        <v>2192</v>
      </c>
      <c r="I2153" s="5">
        <v>45435</v>
      </c>
      <c r="J2153" s="5">
        <v>43725</v>
      </c>
      <c r="K2153" s="16">
        <f t="shared" si="223"/>
        <v>482</v>
      </c>
      <c r="L2153" s="13">
        <v>13410</v>
      </c>
      <c r="M2153" s="15">
        <f t="shared" si="221"/>
        <v>242.87102640077219</v>
      </c>
      <c r="N2153" s="13">
        <v>9363.7999999999993</v>
      </c>
      <c r="O2153" s="13">
        <v>0</v>
      </c>
      <c r="P2153" s="11">
        <f t="shared" si="225"/>
        <v>1</v>
      </c>
    </row>
    <row r="2154" spans="1:16" ht="18.75" customHeight="1" thickBot="1" x14ac:dyDescent="0.3">
      <c r="A2154" s="3" t="s">
        <v>11</v>
      </c>
      <c r="B2154" s="4">
        <v>142256</v>
      </c>
      <c r="C2154" s="3" t="s">
        <v>3</v>
      </c>
      <c r="D2154" s="18">
        <v>9.5000000000000001E-2</v>
      </c>
      <c r="E2154" s="21">
        <f t="shared" si="224"/>
        <v>7.5915342905825689E-3</v>
      </c>
      <c r="F2154" s="5">
        <v>43279</v>
      </c>
      <c r="G2154" s="5">
        <v>44740</v>
      </c>
      <c r="H2154" s="16">
        <f t="shared" si="222"/>
        <v>1461</v>
      </c>
      <c r="I2154" s="5">
        <v>44740</v>
      </c>
      <c r="J2154" s="5">
        <v>43818</v>
      </c>
      <c r="K2154" s="16">
        <f t="shared" si="223"/>
        <v>539</v>
      </c>
      <c r="L2154" s="13">
        <v>43500</v>
      </c>
      <c r="M2154" s="15">
        <f t="shared" si="221"/>
        <v>1071.8387221081989</v>
      </c>
      <c r="N2154" s="13">
        <v>21579.55</v>
      </c>
      <c r="O2154" s="13">
        <v>0</v>
      </c>
      <c r="P2154" s="11">
        <f t="shared" si="225"/>
        <v>1</v>
      </c>
    </row>
    <row r="2155" spans="1:16" ht="18.75" customHeight="1" thickBot="1" x14ac:dyDescent="0.3">
      <c r="A2155" s="3" t="s">
        <v>11</v>
      </c>
      <c r="B2155" s="4">
        <v>162934</v>
      </c>
      <c r="C2155" s="3" t="s">
        <v>9</v>
      </c>
      <c r="D2155" s="18">
        <v>0.1</v>
      </c>
      <c r="E2155" s="21">
        <f t="shared" si="224"/>
        <v>7.9741404289037643E-3</v>
      </c>
      <c r="F2155" s="5">
        <v>43298</v>
      </c>
      <c r="G2155" s="5">
        <v>45490</v>
      </c>
      <c r="H2155" s="16">
        <f t="shared" si="222"/>
        <v>2192</v>
      </c>
      <c r="I2155" s="5">
        <v>45490</v>
      </c>
      <c r="J2155" s="5">
        <v>44011</v>
      </c>
      <c r="K2155" s="16">
        <f t="shared" si="223"/>
        <v>713</v>
      </c>
      <c r="L2155" s="13">
        <v>13302.81</v>
      </c>
      <c r="M2155" s="15">
        <f t="shared" si="221"/>
        <v>240.92968819645458</v>
      </c>
      <c r="N2155" s="13">
        <v>10354.200000000001</v>
      </c>
      <c r="O2155" s="13">
        <v>2000</v>
      </c>
      <c r="P2155" s="11">
        <f t="shared" si="225"/>
        <v>1</v>
      </c>
    </row>
    <row r="2156" spans="1:16" ht="18.75" customHeight="1" thickBot="1" x14ac:dyDescent="0.3">
      <c r="A2156" s="3" t="s">
        <v>11</v>
      </c>
      <c r="B2156" s="4">
        <v>88204</v>
      </c>
      <c r="C2156" s="3" t="s">
        <v>9</v>
      </c>
      <c r="D2156" s="18">
        <v>0.09</v>
      </c>
      <c r="E2156" s="21">
        <f t="shared" si="224"/>
        <v>7.2073233161367156E-3</v>
      </c>
      <c r="F2156" s="5">
        <v>43308</v>
      </c>
      <c r="G2156" s="5">
        <v>45500</v>
      </c>
      <c r="H2156" s="16">
        <f t="shared" si="222"/>
        <v>2192</v>
      </c>
      <c r="I2156" s="5">
        <v>45743</v>
      </c>
      <c r="J2156" s="5">
        <v>44460</v>
      </c>
      <c r="K2156" s="16">
        <f t="shared" si="223"/>
        <v>1152</v>
      </c>
      <c r="L2156" s="13">
        <v>45073.73</v>
      </c>
      <c r="M2156" s="15">
        <f t="shared" si="221"/>
        <v>795.67634445463784</v>
      </c>
      <c r="N2156" s="13">
        <v>27184.76</v>
      </c>
      <c r="O2156" s="13">
        <v>27184.76</v>
      </c>
      <c r="P2156" s="11">
        <f t="shared" si="225"/>
        <v>1</v>
      </c>
    </row>
    <row r="2157" spans="1:16" ht="18.75" customHeight="1" thickBot="1" x14ac:dyDescent="0.3">
      <c r="A2157" s="3" t="s">
        <v>11</v>
      </c>
      <c r="B2157" s="4">
        <v>171872</v>
      </c>
      <c r="C2157" s="3" t="s">
        <v>9</v>
      </c>
      <c r="D2157" s="18">
        <v>0.09</v>
      </c>
      <c r="E2157" s="21">
        <f t="shared" si="224"/>
        <v>7.2073233161367156E-3</v>
      </c>
      <c r="F2157" s="5">
        <v>43312</v>
      </c>
      <c r="G2157" s="5">
        <v>44043</v>
      </c>
      <c r="H2157" s="16">
        <f t="shared" si="222"/>
        <v>731</v>
      </c>
      <c r="I2157" s="5">
        <v>44043</v>
      </c>
      <c r="J2157" s="5">
        <v>43644</v>
      </c>
      <c r="K2157" s="16">
        <f t="shared" si="223"/>
        <v>332</v>
      </c>
      <c r="L2157" s="13">
        <v>2893.26</v>
      </c>
      <c r="M2157" s="15">
        <f t="shared" si="221"/>
        <v>129.89607804661048</v>
      </c>
      <c r="N2157" s="13">
        <v>2893.26</v>
      </c>
      <c r="O2157" s="13">
        <v>0</v>
      </c>
      <c r="P2157" s="11">
        <f t="shared" si="225"/>
        <v>1</v>
      </c>
    </row>
    <row r="2158" spans="1:16" ht="18.75" customHeight="1" thickBot="1" x14ac:dyDescent="0.3">
      <c r="A2158" s="3" t="s">
        <v>11</v>
      </c>
      <c r="B2158" s="4">
        <v>758918</v>
      </c>
      <c r="C2158" s="3" t="s">
        <v>9</v>
      </c>
      <c r="D2158" s="18">
        <v>0.11</v>
      </c>
      <c r="E2158" s="21">
        <f t="shared" si="224"/>
        <v>8.7345938235519061E-3</v>
      </c>
      <c r="F2158" s="5">
        <v>43325</v>
      </c>
      <c r="G2158" s="5">
        <v>45151</v>
      </c>
      <c r="H2158" s="16">
        <f t="shared" si="222"/>
        <v>1826</v>
      </c>
      <c r="I2158" s="5">
        <v>45243</v>
      </c>
      <c r="J2158" s="5">
        <v>44102</v>
      </c>
      <c r="K2158" s="16">
        <f t="shared" si="223"/>
        <v>777</v>
      </c>
      <c r="L2158" s="13">
        <v>12769.81</v>
      </c>
      <c r="M2158" s="15">
        <f t="shared" si="221"/>
        <v>271.38153251249275</v>
      </c>
      <c r="N2158" s="13">
        <v>9348.31</v>
      </c>
      <c r="O2158" s="13">
        <v>5000</v>
      </c>
      <c r="P2158" s="11">
        <f t="shared" si="225"/>
        <v>1</v>
      </c>
    </row>
    <row r="2159" spans="1:16" ht="18.75" customHeight="1" thickBot="1" x14ac:dyDescent="0.3">
      <c r="A2159" s="3" t="s">
        <v>11</v>
      </c>
      <c r="B2159" s="4">
        <v>682735</v>
      </c>
      <c r="C2159" s="3" t="s">
        <v>9</v>
      </c>
      <c r="D2159" s="18">
        <v>0.09</v>
      </c>
      <c r="E2159" s="21">
        <f t="shared" si="224"/>
        <v>7.2073233161367156E-3</v>
      </c>
      <c r="F2159" s="5">
        <v>43333</v>
      </c>
      <c r="G2159" s="5">
        <v>45163</v>
      </c>
      <c r="H2159" s="16">
        <f t="shared" si="222"/>
        <v>1830</v>
      </c>
      <c r="I2159" s="5">
        <v>45163</v>
      </c>
      <c r="J2159" s="5">
        <v>43829</v>
      </c>
      <c r="K2159" s="16">
        <f t="shared" si="223"/>
        <v>496</v>
      </c>
      <c r="L2159" s="13">
        <v>6438.25</v>
      </c>
      <c r="M2159" s="15">
        <f t="shared" si="221"/>
        <v>130.81482034872374</v>
      </c>
      <c r="N2159" s="13">
        <v>5242.7299999999996</v>
      </c>
      <c r="O2159" s="13">
        <v>900</v>
      </c>
      <c r="P2159" s="11">
        <f t="shared" ref="P2159:P2193" si="226">IF((G2159)&gt;(ConstantDateCutoff),1,0)</f>
        <v>1</v>
      </c>
    </row>
    <row r="2160" spans="1:16" ht="18.75" customHeight="1" thickBot="1" x14ac:dyDescent="0.3">
      <c r="A2160" s="3" t="s">
        <v>11</v>
      </c>
      <c r="B2160" s="4">
        <v>125435</v>
      </c>
      <c r="C2160" s="3" t="s">
        <v>9</v>
      </c>
      <c r="D2160" s="18">
        <v>0.1</v>
      </c>
      <c r="E2160" s="21">
        <f t="shared" si="224"/>
        <v>7.9741404289037643E-3</v>
      </c>
      <c r="F2160" s="5">
        <v>43335</v>
      </c>
      <c r="G2160" s="5">
        <v>44158</v>
      </c>
      <c r="H2160" s="16">
        <f t="shared" si="222"/>
        <v>823</v>
      </c>
      <c r="I2160" s="5">
        <v>44158</v>
      </c>
      <c r="J2160" s="5">
        <v>44179</v>
      </c>
      <c r="K2160" s="16">
        <f t="shared" si="223"/>
        <v>844</v>
      </c>
      <c r="L2160" s="13">
        <v>2480.14</v>
      </c>
      <c r="M2160" s="15">
        <f t="shared" si="221"/>
        <v>101.01336209032731</v>
      </c>
      <c r="N2160" s="13">
        <v>688.64</v>
      </c>
      <c r="O2160" s="13">
        <v>0</v>
      </c>
      <c r="P2160" s="11">
        <f t="shared" si="226"/>
        <v>1</v>
      </c>
    </row>
    <row r="2161" spans="1:16" ht="18.75" customHeight="1" thickBot="1" x14ac:dyDescent="0.3">
      <c r="A2161" s="3" t="s">
        <v>11</v>
      </c>
      <c r="B2161" s="4">
        <v>555407</v>
      </c>
      <c r="C2161" s="3" t="s">
        <v>9</v>
      </c>
      <c r="D2161" s="18">
        <v>0.11</v>
      </c>
      <c r="E2161" s="21">
        <f t="shared" si="224"/>
        <v>8.7345938235519061E-3</v>
      </c>
      <c r="F2161" s="5">
        <v>43342</v>
      </c>
      <c r="G2161" s="5">
        <v>44804</v>
      </c>
      <c r="H2161" s="16">
        <f t="shared" si="222"/>
        <v>1462</v>
      </c>
      <c r="I2161" s="5">
        <v>45229</v>
      </c>
      <c r="J2161" s="5">
        <v>43829</v>
      </c>
      <c r="K2161" s="16">
        <f t="shared" si="223"/>
        <v>487</v>
      </c>
      <c r="L2161" s="13">
        <v>6244.81</v>
      </c>
      <c r="M2161" s="15">
        <f t="shared" si="221"/>
        <v>157.8949566052151</v>
      </c>
      <c r="N2161" s="13">
        <v>5552.42</v>
      </c>
      <c r="O2161" s="13">
        <v>2263.0300000000002</v>
      </c>
      <c r="P2161" s="11">
        <f t="shared" si="226"/>
        <v>1</v>
      </c>
    </row>
    <row r="2162" spans="1:16" ht="18.75" customHeight="1" thickBot="1" x14ac:dyDescent="0.3">
      <c r="A2162" s="3" t="s">
        <v>11</v>
      </c>
      <c r="B2162" s="4">
        <v>26417</v>
      </c>
      <c r="C2162" s="3" t="s">
        <v>9</v>
      </c>
      <c r="D2162" s="18">
        <v>0.1</v>
      </c>
      <c r="E2162" s="21">
        <f t="shared" si="224"/>
        <v>7.9741404289037643E-3</v>
      </c>
      <c r="F2162" s="5">
        <v>43347</v>
      </c>
      <c r="G2162" s="5">
        <v>43705</v>
      </c>
      <c r="H2162" s="16">
        <f t="shared" si="222"/>
        <v>358</v>
      </c>
      <c r="I2162" s="5">
        <v>43797</v>
      </c>
      <c r="J2162" s="5">
        <v>43809</v>
      </c>
      <c r="K2162" s="16">
        <f t="shared" si="223"/>
        <v>462</v>
      </c>
      <c r="L2162" s="13">
        <v>3500</v>
      </c>
      <c r="M2162" s="15">
        <f t="shared" si="221"/>
        <v>308.63908630189582</v>
      </c>
      <c r="N2162" s="13">
        <v>1334.87</v>
      </c>
      <c r="O2162" s="13">
        <v>1334.87</v>
      </c>
      <c r="P2162" s="11">
        <f t="shared" si="226"/>
        <v>1</v>
      </c>
    </row>
    <row r="2163" spans="1:16" ht="18.75" customHeight="1" thickBot="1" x14ac:dyDescent="0.3">
      <c r="A2163" s="3" t="s">
        <v>11</v>
      </c>
      <c r="B2163" s="4">
        <v>94774</v>
      </c>
      <c r="C2163" s="3" t="s">
        <v>9</v>
      </c>
      <c r="D2163" s="18">
        <v>0.1</v>
      </c>
      <c r="E2163" s="21">
        <f t="shared" si="224"/>
        <v>7.9741404289037643E-3</v>
      </c>
      <c r="F2163" s="5">
        <v>43347</v>
      </c>
      <c r="G2163" s="5">
        <v>45904</v>
      </c>
      <c r="H2163" s="16">
        <f t="shared" si="222"/>
        <v>2557</v>
      </c>
      <c r="I2163" s="5">
        <v>45904</v>
      </c>
      <c r="J2163" s="5">
        <v>44182</v>
      </c>
      <c r="K2163" s="16">
        <f t="shared" si="223"/>
        <v>835</v>
      </c>
      <c r="L2163" s="13">
        <v>32394.81</v>
      </c>
      <c r="M2163" s="15">
        <f t="shared" si="221"/>
        <v>525.20860545451194</v>
      </c>
      <c r="N2163" s="13">
        <v>25726.89</v>
      </c>
      <c r="O2163" s="13">
        <v>25726.89</v>
      </c>
      <c r="P2163" s="11">
        <f t="shared" si="226"/>
        <v>1</v>
      </c>
    </row>
    <row r="2164" spans="1:16" ht="18.75" customHeight="1" thickBot="1" x14ac:dyDescent="0.3">
      <c r="A2164" s="3" t="s">
        <v>11</v>
      </c>
      <c r="B2164" s="4">
        <v>39302</v>
      </c>
      <c r="C2164" s="3" t="s">
        <v>9</v>
      </c>
      <c r="D2164" s="18">
        <v>0.1</v>
      </c>
      <c r="E2164" s="21">
        <f t="shared" si="224"/>
        <v>7.9741404289037643E-3</v>
      </c>
      <c r="F2164" s="5">
        <v>43347</v>
      </c>
      <c r="G2164" s="5">
        <v>43729</v>
      </c>
      <c r="H2164" s="16">
        <f t="shared" si="222"/>
        <v>382</v>
      </c>
      <c r="I2164" s="5">
        <v>43729</v>
      </c>
      <c r="J2164" s="5">
        <v>43725</v>
      </c>
      <c r="K2164" s="16">
        <f t="shared" si="223"/>
        <v>378</v>
      </c>
      <c r="L2164" s="13">
        <v>885.81</v>
      </c>
      <c r="M2164" s="15">
        <f t="shared" si="221"/>
        <v>73.434536194971542</v>
      </c>
      <c r="N2164" s="13">
        <v>885.81</v>
      </c>
      <c r="O2164" s="13">
        <v>200</v>
      </c>
      <c r="P2164" s="11">
        <f t="shared" si="226"/>
        <v>1</v>
      </c>
    </row>
    <row r="2165" spans="1:16" ht="18.75" customHeight="1" thickBot="1" x14ac:dyDescent="0.3">
      <c r="A2165" s="3" t="s">
        <v>11</v>
      </c>
      <c r="B2165" s="4">
        <v>581709</v>
      </c>
      <c r="C2165" s="3" t="s">
        <v>9</v>
      </c>
      <c r="D2165" s="18">
        <v>0.1</v>
      </c>
      <c r="E2165" s="21">
        <f t="shared" si="224"/>
        <v>7.9741404289037643E-3</v>
      </c>
      <c r="F2165" s="5">
        <v>43353</v>
      </c>
      <c r="G2165" s="5">
        <v>45179</v>
      </c>
      <c r="H2165" s="16">
        <f t="shared" si="222"/>
        <v>1826</v>
      </c>
      <c r="I2165" s="5">
        <v>45179</v>
      </c>
      <c r="J2165" s="5">
        <v>44179</v>
      </c>
      <c r="K2165" s="16">
        <f t="shared" si="223"/>
        <v>826</v>
      </c>
      <c r="L2165" s="13">
        <v>7150.91</v>
      </c>
      <c r="M2165" s="15">
        <f t="shared" si="221"/>
        <v>148.75212648479112</v>
      </c>
      <c r="N2165" s="13">
        <v>1723.3</v>
      </c>
      <c r="O2165" s="13">
        <v>1723.3</v>
      </c>
      <c r="P2165" s="11">
        <f t="shared" si="226"/>
        <v>1</v>
      </c>
    </row>
    <row r="2166" spans="1:16" ht="18.75" customHeight="1" thickBot="1" x14ac:dyDescent="0.3">
      <c r="A2166" s="3" t="s">
        <v>11</v>
      </c>
      <c r="B2166" s="4">
        <v>962171</v>
      </c>
      <c r="C2166" s="3" t="s">
        <v>9</v>
      </c>
      <c r="D2166" s="18">
        <v>0.08</v>
      </c>
      <c r="E2166" s="21">
        <f t="shared" si="224"/>
        <v>6.4340301100034303E-3</v>
      </c>
      <c r="F2166" s="5">
        <v>43361</v>
      </c>
      <c r="G2166" s="5">
        <v>45905</v>
      </c>
      <c r="H2166" s="16">
        <f t="shared" si="222"/>
        <v>2544</v>
      </c>
      <c r="I2166" s="5">
        <v>45905</v>
      </c>
      <c r="J2166" s="5">
        <v>43644</v>
      </c>
      <c r="K2166" s="16">
        <f t="shared" si="223"/>
        <v>283</v>
      </c>
      <c r="L2166" s="13">
        <v>18118.099999999999</v>
      </c>
      <c r="M2166" s="15">
        <f t="shared" si="221"/>
        <v>277.88701630741559</v>
      </c>
      <c r="N2166" s="13">
        <v>7620.4</v>
      </c>
      <c r="O2166" s="13">
        <v>0</v>
      </c>
      <c r="P2166" s="11">
        <f t="shared" si="226"/>
        <v>1</v>
      </c>
    </row>
    <row r="2167" spans="1:16" ht="18.75" customHeight="1" thickBot="1" x14ac:dyDescent="0.3">
      <c r="A2167" s="3" t="s">
        <v>11</v>
      </c>
      <c r="B2167" s="4">
        <v>87514</v>
      </c>
      <c r="C2167" s="3" t="s">
        <v>19</v>
      </c>
      <c r="D2167" s="18">
        <v>9.5000000000000001E-2</v>
      </c>
      <c r="E2167" s="21">
        <f t="shared" si="224"/>
        <v>7.5915342905825689E-3</v>
      </c>
      <c r="F2167" s="5">
        <v>43360</v>
      </c>
      <c r="G2167" s="5">
        <v>43663</v>
      </c>
      <c r="H2167" s="16">
        <f t="shared" si="222"/>
        <v>303</v>
      </c>
      <c r="I2167" s="5">
        <v>43663</v>
      </c>
      <c r="J2167" s="5">
        <v>43735</v>
      </c>
      <c r="K2167" s="16">
        <f t="shared" si="223"/>
        <v>375</v>
      </c>
      <c r="L2167" s="13">
        <v>1000</v>
      </c>
      <c r="M2167" s="15">
        <f t="shared" si="221"/>
        <v>103.22933148567923</v>
      </c>
      <c r="N2167" s="13">
        <v>286.5</v>
      </c>
      <c r="O2167" s="13">
        <v>0</v>
      </c>
      <c r="P2167" s="11">
        <f t="shared" si="226"/>
        <v>1</v>
      </c>
    </row>
    <row r="2168" spans="1:16" ht="18.75" customHeight="1" thickBot="1" x14ac:dyDescent="0.3">
      <c r="A2168" s="3" t="s">
        <v>11</v>
      </c>
      <c r="B2168" s="4">
        <v>86334</v>
      </c>
      <c r="C2168" s="3" t="s">
        <v>9</v>
      </c>
      <c r="D2168" s="18">
        <v>0.09</v>
      </c>
      <c r="E2168" s="21">
        <f t="shared" si="224"/>
        <v>7.2073233161367156E-3</v>
      </c>
      <c r="F2168" s="5">
        <v>43364</v>
      </c>
      <c r="G2168" s="5">
        <v>44825</v>
      </c>
      <c r="H2168" s="16">
        <f t="shared" si="222"/>
        <v>1461</v>
      </c>
      <c r="I2168" s="5">
        <v>44855</v>
      </c>
      <c r="J2168" s="5">
        <v>43809</v>
      </c>
      <c r="K2168" s="16">
        <f t="shared" si="223"/>
        <v>445</v>
      </c>
      <c r="L2168" s="13">
        <v>4739.2700000000004</v>
      </c>
      <c r="M2168" s="15">
        <f t="shared" si="221"/>
        <v>115.73809323753528</v>
      </c>
      <c r="N2168" s="13">
        <v>4354.3</v>
      </c>
      <c r="O2168" s="13">
        <v>0</v>
      </c>
      <c r="P2168" s="11">
        <f t="shared" si="226"/>
        <v>1</v>
      </c>
    </row>
    <row r="2169" spans="1:16" ht="18.75" customHeight="1" thickBot="1" x14ac:dyDescent="0.3">
      <c r="A2169" s="3" t="s">
        <v>11</v>
      </c>
      <c r="B2169" s="4">
        <v>425998</v>
      </c>
      <c r="C2169" s="3" t="s">
        <v>9</v>
      </c>
      <c r="D2169" s="18">
        <v>0.1</v>
      </c>
      <c r="E2169" s="21">
        <f t="shared" si="224"/>
        <v>7.9741404289037643E-3</v>
      </c>
      <c r="F2169" s="5">
        <v>43371</v>
      </c>
      <c r="G2169" s="5">
        <v>45204</v>
      </c>
      <c r="H2169" s="16">
        <f t="shared" si="222"/>
        <v>1833</v>
      </c>
      <c r="I2169" s="5">
        <v>45204</v>
      </c>
      <c r="J2169" s="5">
        <v>43817</v>
      </c>
      <c r="K2169" s="16">
        <f t="shared" si="223"/>
        <v>446</v>
      </c>
      <c r="L2169" s="13">
        <v>17662.5</v>
      </c>
      <c r="M2169" s="15">
        <f t="shared" si="221"/>
        <v>366.3215113028167</v>
      </c>
      <c r="N2169" s="13">
        <v>16514.68</v>
      </c>
      <c r="O2169" s="13">
        <v>12662.81</v>
      </c>
      <c r="P2169" s="11">
        <f t="shared" si="226"/>
        <v>1</v>
      </c>
    </row>
    <row r="2170" spans="1:16" ht="18.75" customHeight="1" thickBot="1" x14ac:dyDescent="0.3">
      <c r="A2170" s="3" t="s">
        <v>11</v>
      </c>
      <c r="B2170" s="4">
        <v>412362</v>
      </c>
      <c r="C2170" s="3" t="s">
        <v>9</v>
      </c>
      <c r="D2170" s="18">
        <v>0.12</v>
      </c>
      <c r="E2170" s="21">
        <f t="shared" si="224"/>
        <v>9.4887929345830457E-3</v>
      </c>
      <c r="F2170" s="5">
        <v>43378</v>
      </c>
      <c r="G2170" s="5">
        <v>44109</v>
      </c>
      <c r="H2170" s="16">
        <f t="shared" si="222"/>
        <v>731</v>
      </c>
      <c r="I2170" s="5">
        <v>44109</v>
      </c>
      <c r="J2170" s="5">
        <v>43809</v>
      </c>
      <c r="K2170" s="16">
        <f t="shared" si="223"/>
        <v>431</v>
      </c>
      <c r="L2170" s="13">
        <v>5062.53</v>
      </c>
      <c r="M2170" s="15">
        <f t="shared" si="221"/>
        <v>233.68776851432281</v>
      </c>
      <c r="N2170" s="13">
        <v>4125.8500000000004</v>
      </c>
      <c r="O2170" s="13">
        <v>3105.7</v>
      </c>
      <c r="P2170" s="11">
        <f t="shared" si="226"/>
        <v>1</v>
      </c>
    </row>
    <row r="2171" spans="1:16" ht="18.75" customHeight="1" thickBot="1" x14ac:dyDescent="0.3">
      <c r="A2171" s="3" t="s">
        <v>11</v>
      </c>
      <c r="B2171" s="4">
        <v>956314</v>
      </c>
      <c r="C2171" s="3" t="s">
        <v>9</v>
      </c>
      <c r="D2171" s="18">
        <v>0.1</v>
      </c>
      <c r="E2171" s="21">
        <f t="shared" si="224"/>
        <v>7.9741404289037643E-3</v>
      </c>
      <c r="F2171" s="5">
        <v>43378</v>
      </c>
      <c r="G2171" s="5">
        <v>45570</v>
      </c>
      <c r="H2171" s="16">
        <f t="shared" si="222"/>
        <v>2192</v>
      </c>
      <c r="I2171" s="5">
        <v>45570</v>
      </c>
      <c r="J2171" s="5">
        <v>45190</v>
      </c>
      <c r="K2171" s="16">
        <f t="shared" si="223"/>
        <v>1812</v>
      </c>
      <c r="L2171" s="13">
        <v>15931.77</v>
      </c>
      <c r="M2171" s="15">
        <f t="shared" si="221"/>
        <v>288.5432760835966</v>
      </c>
      <c r="N2171" s="13">
        <v>4158.1000000000004</v>
      </c>
      <c r="O2171" s="13">
        <v>4158.1000000000004</v>
      </c>
      <c r="P2171" s="11">
        <f t="shared" si="226"/>
        <v>1</v>
      </c>
    </row>
    <row r="2172" spans="1:16" ht="18.75" customHeight="1" thickBot="1" x14ac:dyDescent="0.3">
      <c r="A2172" s="3" t="s">
        <v>11</v>
      </c>
      <c r="B2172" s="4">
        <v>906721</v>
      </c>
      <c r="C2172" s="3" t="s">
        <v>9</v>
      </c>
      <c r="D2172" s="18">
        <v>0.1</v>
      </c>
      <c r="E2172" s="21">
        <f t="shared" si="224"/>
        <v>7.9741404289037643E-3</v>
      </c>
      <c r="F2172" s="5">
        <v>43385</v>
      </c>
      <c r="G2172" s="5">
        <v>43750</v>
      </c>
      <c r="H2172" s="16">
        <f t="shared" si="222"/>
        <v>365</v>
      </c>
      <c r="I2172" s="5">
        <v>43873</v>
      </c>
      <c r="J2172" s="5">
        <v>43810</v>
      </c>
      <c r="K2172" s="16">
        <f t="shared" si="223"/>
        <v>425</v>
      </c>
      <c r="L2172" s="13">
        <v>3000</v>
      </c>
      <c r="M2172" s="15">
        <f t="shared" si="221"/>
        <v>259.71097807667087</v>
      </c>
      <c r="N2172" s="13">
        <v>1582.57</v>
      </c>
      <c r="O2172" s="13">
        <v>1582.57</v>
      </c>
      <c r="P2172" s="11">
        <f t="shared" si="226"/>
        <v>1</v>
      </c>
    </row>
    <row r="2173" spans="1:16" ht="18.75" customHeight="1" thickBot="1" x14ac:dyDescent="0.3">
      <c r="A2173" s="3" t="s">
        <v>11</v>
      </c>
      <c r="B2173" s="4">
        <v>616971</v>
      </c>
      <c r="C2173" s="3" t="s">
        <v>9</v>
      </c>
      <c r="D2173" s="18">
        <v>0.1</v>
      </c>
      <c r="E2173" s="21">
        <f t="shared" si="224"/>
        <v>7.9741404289037643E-3</v>
      </c>
      <c r="F2173" s="5">
        <v>43392</v>
      </c>
      <c r="G2173" s="5">
        <v>45584</v>
      </c>
      <c r="H2173" s="16">
        <f t="shared" si="222"/>
        <v>2192</v>
      </c>
      <c r="I2173" s="5">
        <v>45584</v>
      </c>
      <c r="J2173" s="5">
        <v>44011</v>
      </c>
      <c r="K2173" s="16">
        <f t="shared" si="223"/>
        <v>619</v>
      </c>
      <c r="L2173" s="13">
        <v>16384.8</v>
      </c>
      <c r="M2173" s="15">
        <f t="shared" si="221"/>
        <v>296.74818742515828</v>
      </c>
      <c r="N2173" s="13">
        <v>12704.92</v>
      </c>
      <c r="O2173" s="13">
        <v>11738.87</v>
      </c>
      <c r="P2173" s="11">
        <f t="shared" si="226"/>
        <v>1</v>
      </c>
    </row>
    <row r="2174" spans="1:16" ht="18.75" customHeight="1" thickBot="1" x14ac:dyDescent="0.3">
      <c r="A2174" s="3" t="s">
        <v>11</v>
      </c>
      <c r="B2174" s="4">
        <v>493675</v>
      </c>
      <c r="C2174" s="3" t="s">
        <v>9</v>
      </c>
      <c r="D2174" s="18">
        <v>0.09</v>
      </c>
      <c r="E2174" s="21">
        <f t="shared" si="224"/>
        <v>7.2073233161367156E-3</v>
      </c>
      <c r="F2174" s="5">
        <v>43405</v>
      </c>
      <c r="G2174" s="5">
        <v>44136</v>
      </c>
      <c r="H2174" s="16">
        <f t="shared" si="222"/>
        <v>731</v>
      </c>
      <c r="I2174" s="5">
        <v>44136</v>
      </c>
      <c r="J2174" s="5">
        <v>43738</v>
      </c>
      <c r="K2174" s="16">
        <f t="shared" si="223"/>
        <v>333</v>
      </c>
      <c r="L2174" s="13">
        <v>2500</v>
      </c>
      <c r="M2174" s="15">
        <f t="shared" si="221"/>
        <v>112.24023942422257</v>
      </c>
      <c r="N2174" s="13">
        <v>1970.89</v>
      </c>
      <c r="O2174" s="13">
        <v>0</v>
      </c>
      <c r="P2174" s="11">
        <f t="shared" si="226"/>
        <v>1</v>
      </c>
    </row>
    <row r="2175" spans="1:16" ht="18.75" customHeight="1" thickBot="1" x14ac:dyDescent="0.3">
      <c r="A2175" s="3" t="s">
        <v>11</v>
      </c>
      <c r="B2175" s="4">
        <v>953135</v>
      </c>
      <c r="C2175" s="3" t="s">
        <v>19</v>
      </c>
      <c r="D2175" s="18">
        <v>0.1</v>
      </c>
      <c r="E2175" s="21">
        <f t="shared" si="224"/>
        <v>7.9741404289037643E-3</v>
      </c>
      <c r="F2175" s="5">
        <v>43406</v>
      </c>
      <c r="G2175" s="5">
        <v>43771</v>
      </c>
      <c r="H2175" s="16">
        <f t="shared" si="222"/>
        <v>365</v>
      </c>
      <c r="I2175" s="5">
        <v>43832</v>
      </c>
      <c r="J2175" s="5">
        <v>43916</v>
      </c>
      <c r="K2175" s="16">
        <f t="shared" si="223"/>
        <v>510</v>
      </c>
      <c r="L2175" s="13">
        <v>1500</v>
      </c>
      <c r="M2175" s="15">
        <f t="shared" si="221"/>
        <v>129.85548903833543</v>
      </c>
      <c r="N2175" s="13">
        <v>164.63</v>
      </c>
      <c r="O2175" s="13">
        <v>0</v>
      </c>
      <c r="P2175" s="11">
        <f t="shared" si="226"/>
        <v>1</v>
      </c>
    </row>
    <row r="2176" spans="1:16" ht="18.75" customHeight="1" thickBot="1" x14ac:dyDescent="0.3">
      <c r="A2176" s="3" t="s">
        <v>11</v>
      </c>
      <c r="B2176" s="4">
        <v>945672</v>
      </c>
      <c r="C2176" s="3" t="s">
        <v>9</v>
      </c>
      <c r="D2176" s="18">
        <v>0.1</v>
      </c>
      <c r="E2176" s="21">
        <f t="shared" si="224"/>
        <v>7.9741404289037643E-3</v>
      </c>
      <c r="F2176" s="5">
        <v>43417</v>
      </c>
      <c r="G2176" s="5">
        <v>45243</v>
      </c>
      <c r="H2176" s="16">
        <f t="shared" si="222"/>
        <v>1826</v>
      </c>
      <c r="I2176" s="5">
        <v>45335</v>
      </c>
      <c r="J2176" s="5">
        <v>44182</v>
      </c>
      <c r="K2176" s="16">
        <f t="shared" si="223"/>
        <v>765</v>
      </c>
      <c r="L2176" s="13">
        <v>13826.38</v>
      </c>
      <c r="M2176" s="15">
        <f t="shared" si="221"/>
        <v>287.61422344663629</v>
      </c>
      <c r="N2176" s="13">
        <v>9715.83</v>
      </c>
      <c r="O2176" s="13">
        <v>6800</v>
      </c>
      <c r="P2176" s="11">
        <f t="shared" si="226"/>
        <v>1</v>
      </c>
    </row>
    <row r="2177" spans="1:16" ht="18.75" customHeight="1" thickBot="1" x14ac:dyDescent="0.3">
      <c r="A2177" s="3" t="s">
        <v>11</v>
      </c>
      <c r="B2177" s="4">
        <v>524868</v>
      </c>
      <c r="C2177" s="3" t="s">
        <v>9</v>
      </c>
      <c r="D2177" s="18">
        <v>0.1</v>
      </c>
      <c r="E2177" s="21">
        <f t="shared" si="224"/>
        <v>7.9741404289037643E-3</v>
      </c>
      <c r="F2177" s="5">
        <v>43412</v>
      </c>
      <c r="G2177" s="5">
        <v>45604</v>
      </c>
      <c r="H2177" s="16">
        <f t="shared" si="222"/>
        <v>2192</v>
      </c>
      <c r="I2177" s="5">
        <v>45604</v>
      </c>
      <c r="J2177" s="5">
        <v>43826</v>
      </c>
      <c r="K2177" s="16">
        <f t="shared" si="223"/>
        <v>414</v>
      </c>
      <c r="L2177" s="13">
        <v>30165.97</v>
      </c>
      <c r="M2177" s="15">
        <f t="shared" si="221"/>
        <v>546.34154334637594</v>
      </c>
      <c r="N2177" s="13">
        <v>27635.56</v>
      </c>
      <c r="O2177" s="13">
        <v>10500</v>
      </c>
      <c r="P2177" s="11">
        <f t="shared" si="226"/>
        <v>1</v>
      </c>
    </row>
    <row r="2178" spans="1:16" ht="18.75" customHeight="1" thickBot="1" x14ac:dyDescent="0.3">
      <c r="A2178" s="3" t="s">
        <v>11</v>
      </c>
      <c r="B2178" s="4">
        <v>635480</v>
      </c>
      <c r="C2178" s="3" t="s">
        <v>16</v>
      </c>
      <c r="D2178" s="18">
        <v>0.1</v>
      </c>
      <c r="E2178" s="21">
        <f t="shared" si="224"/>
        <v>7.9741404289037643E-3</v>
      </c>
      <c r="F2178" s="5">
        <v>43424</v>
      </c>
      <c r="G2178" s="5">
        <v>43789</v>
      </c>
      <c r="H2178" s="16">
        <f t="shared" si="222"/>
        <v>365</v>
      </c>
      <c r="I2178" s="5">
        <v>43789</v>
      </c>
      <c r="J2178" s="5">
        <v>43810</v>
      </c>
      <c r="K2178" s="16">
        <f t="shared" si="223"/>
        <v>386</v>
      </c>
      <c r="L2178" s="13">
        <v>2000</v>
      </c>
      <c r="M2178" s="15">
        <f t="shared" ref="M2178:M2241" si="227">-PMT(E2178,(H2178/30),L2178)</f>
        <v>173.14065205111393</v>
      </c>
      <c r="N2178" s="13">
        <v>432.72</v>
      </c>
      <c r="O2178" s="13">
        <v>432.72</v>
      </c>
      <c r="P2178" s="11">
        <f t="shared" si="226"/>
        <v>1</v>
      </c>
    </row>
    <row r="2179" spans="1:16" ht="18.75" customHeight="1" thickBot="1" x14ac:dyDescent="0.3">
      <c r="A2179" s="3" t="s">
        <v>11</v>
      </c>
      <c r="B2179" s="4">
        <v>858644</v>
      </c>
      <c r="C2179" s="3" t="s">
        <v>9</v>
      </c>
      <c r="D2179" s="18">
        <v>0.1</v>
      </c>
      <c r="E2179" s="21">
        <f t="shared" si="224"/>
        <v>7.9741404289037643E-3</v>
      </c>
      <c r="F2179" s="5">
        <v>43425</v>
      </c>
      <c r="G2179" s="5">
        <v>44887</v>
      </c>
      <c r="H2179" s="16">
        <f t="shared" ref="H2179:H2242" si="228">G2179-F2179</f>
        <v>1462</v>
      </c>
      <c r="I2179" s="5">
        <v>45526</v>
      </c>
      <c r="J2179" s="5">
        <v>44643</v>
      </c>
      <c r="K2179" s="16">
        <f t="shared" ref="K2179:K2242" si="229">J2179-F2179</f>
        <v>1218</v>
      </c>
      <c r="L2179" s="13">
        <v>56373.3</v>
      </c>
      <c r="M2179" s="15">
        <f t="shared" si="227"/>
        <v>1400.6048526947329</v>
      </c>
      <c r="N2179" s="13">
        <v>29316.14</v>
      </c>
      <c r="O2179" s="13">
        <v>100</v>
      </c>
      <c r="P2179" s="11">
        <f t="shared" si="226"/>
        <v>1</v>
      </c>
    </row>
    <row r="2180" spans="1:16" ht="18.75" customHeight="1" thickBot="1" x14ac:dyDescent="0.3">
      <c r="A2180" s="3" t="s">
        <v>11</v>
      </c>
      <c r="B2180" s="4">
        <v>970218</v>
      </c>
      <c r="C2180" s="3" t="s">
        <v>19</v>
      </c>
      <c r="D2180" s="18">
        <v>0.1</v>
      </c>
      <c r="E2180" s="21">
        <f t="shared" si="224"/>
        <v>7.9741404289037643E-3</v>
      </c>
      <c r="F2180" s="5">
        <v>43433</v>
      </c>
      <c r="G2180" s="5">
        <v>43779</v>
      </c>
      <c r="H2180" s="16">
        <f t="shared" si="228"/>
        <v>346</v>
      </c>
      <c r="I2180" s="5">
        <v>43779</v>
      </c>
      <c r="J2180" s="5">
        <v>43810</v>
      </c>
      <c r="K2180" s="16">
        <f t="shared" si="229"/>
        <v>377</v>
      </c>
      <c r="L2180" s="13">
        <v>1500</v>
      </c>
      <c r="M2180" s="15">
        <f t="shared" si="227"/>
        <v>136.64756675533584</v>
      </c>
      <c r="N2180" s="13">
        <v>514.52</v>
      </c>
      <c r="O2180" s="13">
        <v>0</v>
      </c>
      <c r="P2180" s="11">
        <f t="shared" si="226"/>
        <v>1</v>
      </c>
    </row>
    <row r="2181" spans="1:16" ht="18.75" customHeight="1" thickBot="1" x14ac:dyDescent="0.3">
      <c r="A2181" s="3" t="s">
        <v>11</v>
      </c>
      <c r="B2181" s="4">
        <v>615723</v>
      </c>
      <c r="C2181" s="3" t="s">
        <v>2</v>
      </c>
      <c r="D2181" s="18">
        <v>0.09</v>
      </c>
      <c r="E2181" s="21">
        <f t="shared" si="224"/>
        <v>7.2073233161367156E-3</v>
      </c>
      <c r="F2181" s="5">
        <v>43434</v>
      </c>
      <c r="G2181" s="5">
        <v>45626</v>
      </c>
      <c r="H2181" s="16">
        <f t="shared" si="228"/>
        <v>2192</v>
      </c>
      <c r="I2181" s="5">
        <v>45626</v>
      </c>
      <c r="J2181" s="5">
        <v>43818</v>
      </c>
      <c r="K2181" s="16">
        <f t="shared" si="229"/>
        <v>384</v>
      </c>
      <c r="L2181" s="13">
        <v>212139.73</v>
      </c>
      <c r="M2181" s="15">
        <f t="shared" si="227"/>
        <v>3744.8545944609837</v>
      </c>
      <c r="N2181" s="13">
        <v>212139.73</v>
      </c>
      <c r="O2181" s="13">
        <v>53727.38</v>
      </c>
      <c r="P2181" s="11">
        <f t="shared" si="226"/>
        <v>1</v>
      </c>
    </row>
    <row r="2182" spans="1:16" ht="18.75" customHeight="1" thickBot="1" x14ac:dyDescent="0.3">
      <c r="A2182" s="3" t="s">
        <v>11</v>
      </c>
      <c r="B2182" s="4">
        <v>49163</v>
      </c>
      <c r="C2182" s="3" t="s">
        <v>9</v>
      </c>
      <c r="D2182" s="18">
        <v>0.11</v>
      </c>
      <c r="E2182" s="21">
        <f t="shared" si="224"/>
        <v>8.7345938235519061E-3</v>
      </c>
      <c r="F2182" s="5">
        <v>43446</v>
      </c>
      <c r="G2182" s="5">
        <v>45638</v>
      </c>
      <c r="H2182" s="16">
        <f t="shared" si="228"/>
        <v>2192</v>
      </c>
      <c r="I2182" s="5">
        <v>45638</v>
      </c>
      <c r="J2182" s="5">
        <v>43815</v>
      </c>
      <c r="K2182" s="16">
        <f t="shared" si="229"/>
        <v>369</v>
      </c>
      <c r="L2182" s="13">
        <v>22800.81</v>
      </c>
      <c r="M2182" s="15">
        <f t="shared" si="227"/>
        <v>423.46926131751809</v>
      </c>
      <c r="N2182" s="13">
        <v>22627.57</v>
      </c>
      <c r="O2182" s="13">
        <v>14800</v>
      </c>
      <c r="P2182" s="11">
        <f t="shared" si="226"/>
        <v>1</v>
      </c>
    </row>
    <row r="2183" spans="1:16" ht="18.75" customHeight="1" thickBot="1" x14ac:dyDescent="0.3">
      <c r="A2183" s="3" t="s">
        <v>11</v>
      </c>
      <c r="B2183" s="4">
        <v>856189</v>
      </c>
      <c r="C2183" s="3" t="s">
        <v>9</v>
      </c>
      <c r="D2183" s="18">
        <v>0.1</v>
      </c>
      <c r="E2183" s="21">
        <f t="shared" si="224"/>
        <v>7.9741404289037643E-3</v>
      </c>
      <c r="F2183" s="5">
        <v>43447</v>
      </c>
      <c r="G2183" s="5">
        <v>43810</v>
      </c>
      <c r="H2183" s="16">
        <f t="shared" si="228"/>
        <v>363</v>
      </c>
      <c r="I2183" s="5">
        <v>43872</v>
      </c>
      <c r="J2183" s="5">
        <v>43809</v>
      </c>
      <c r="K2183" s="16">
        <f t="shared" si="229"/>
        <v>362</v>
      </c>
      <c r="L2183" s="13">
        <v>2765.56</v>
      </c>
      <c r="M2183" s="15">
        <f t="shared" si="227"/>
        <v>240.67182122455696</v>
      </c>
      <c r="N2183" s="13">
        <v>1675.94</v>
      </c>
      <c r="O2183" s="13">
        <v>1675.94</v>
      </c>
      <c r="P2183" s="11">
        <f t="shared" si="226"/>
        <v>1</v>
      </c>
    </row>
    <row r="2184" spans="1:16" ht="18.75" customHeight="1" thickBot="1" x14ac:dyDescent="0.3">
      <c r="A2184" s="3" t="s">
        <v>11</v>
      </c>
      <c r="B2184" s="4">
        <v>661140</v>
      </c>
      <c r="C2184" s="3" t="s">
        <v>9</v>
      </c>
      <c r="D2184" s="18">
        <v>0.1</v>
      </c>
      <c r="E2184" s="21">
        <f t="shared" si="224"/>
        <v>7.9741404289037643E-3</v>
      </c>
      <c r="F2184" s="5">
        <v>43448</v>
      </c>
      <c r="G2184" s="5">
        <v>45640</v>
      </c>
      <c r="H2184" s="16">
        <f t="shared" si="228"/>
        <v>2192</v>
      </c>
      <c r="I2184" s="5">
        <v>45640</v>
      </c>
      <c r="J2184" s="5">
        <v>43644</v>
      </c>
      <c r="K2184" s="16">
        <f t="shared" si="229"/>
        <v>196</v>
      </c>
      <c r="L2184" s="13">
        <v>26309</v>
      </c>
      <c r="M2184" s="15">
        <f t="shared" si="227"/>
        <v>476.48723591185052</v>
      </c>
      <c r="N2184" s="13">
        <v>16951.63</v>
      </c>
      <c r="O2184" s="13">
        <v>0</v>
      </c>
      <c r="P2184" s="11">
        <f t="shared" si="226"/>
        <v>1</v>
      </c>
    </row>
    <row r="2185" spans="1:16" ht="18.75" customHeight="1" thickBot="1" x14ac:dyDescent="0.3">
      <c r="A2185" s="3" t="s">
        <v>11</v>
      </c>
      <c r="B2185" s="4">
        <v>428980</v>
      </c>
      <c r="C2185" s="3" t="s">
        <v>9</v>
      </c>
      <c r="D2185" s="18">
        <v>0.1</v>
      </c>
      <c r="E2185" s="21">
        <f t="shared" si="224"/>
        <v>7.9741404289037643E-3</v>
      </c>
      <c r="F2185" s="5">
        <v>43451</v>
      </c>
      <c r="G2185" s="5">
        <v>45643</v>
      </c>
      <c r="H2185" s="16">
        <f t="shared" si="228"/>
        <v>2192</v>
      </c>
      <c r="I2185" s="5">
        <v>45643</v>
      </c>
      <c r="J2185" s="5">
        <v>43747</v>
      </c>
      <c r="K2185" s="16">
        <f t="shared" si="229"/>
        <v>296</v>
      </c>
      <c r="L2185" s="13">
        <v>12835.81</v>
      </c>
      <c r="M2185" s="15">
        <f t="shared" si="227"/>
        <v>232.47176356340756</v>
      </c>
      <c r="N2185" s="13">
        <v>8299.2099999999991</v>
      </c>
      <c r="O2185" s="13">
        <v>0</v>
      </c>
      <c r="P2185" s="11">
        <f t="shared" si="226"/>
        <v>1</v>
      </c>
    </row>
    <row r="2186" spans="1:16" ht="18.75" customHeight="1" thickBot="1" x14ac:dyDescent="0.3">
      <c r="A2186" s="3" t="s">
        <v>11</v>
      </c>
      <c r="B2186" s="4">
        <v>633989</v>
      </c>
      <c r="C2186" s="3" t="s">
        <v>9</v>
      </c>
      <c r="D2186" s="18">
        <v>0.1</v>
      </c>
      <c r="E2186" s="21">
        <f t="shared" si="224"/>
        <v>7.9741404289037643E-3</v>
      </c>
      <c r="F2186" s="5">
        <v>43451</v>
      </c>
      <c r="G2186" s="5">
        <v>43786</v>
      </c>
      <c r="H2186" s="16">
        <f t="shared" si="228"/>
        <v>335</v>
      </c>
      <c r="I2186" s="5">
        <v>43847</v>
      </c>
      <c r="J2186" s="5">
        <v>43810</v>
      </c>
      <c r="K2186" s="16">
        <f t="shared" si="229"/>
        <v>359</v>
      </c>
      <c r="L2186" s="13">
        <v>3000</v>
      </c>
      <c r="M2186" s="15">
        <f t="shared" si="227"/>
        <v>281.86444859124686</v>
      </c>
      <c r="N2186" s="13">
        <v>1085.7</v>
      </c>
      <c r="O2186" s="13">
        <v>1085.7</v>
      </c>
      <c r="P2186" s="11">
        <f t="shared" si="226"/>
        <v>1</v>
      </c>
    </row>
    <row r="2187" spans="1:16" ht="18.75" customHeight="1" thickBot="1" x14ac:dyDescent="0.3">
      <c r="A2187" s="3" t="s">
        <v>11</v>
      </c>
      <c r="B2187" s="4">
        <v>696397</v>
      </c>
      <c r="C2187" s="3" t="s">
        <v>9</v>
      </c>
      <c r="D2187" s="18">
        <v>0.14000000000000001</v>
      </c>
      <c r="E2187" s="21">
        <f t="shared" si="224"/>
        <v>1.0978851950173452E-2</v>
      </c>
      <c r="F2187" s="5">
        <v>43454</v>
      </c>
      <c r="G2187" s="5">
        <v>44185</v>
      </c>
      <c r="H2187" s="16">
        <f t="shared" si="228"/>
        <v>731</v>
      </c>
      <c r="I2187" s="5">
        <v>44185</v>
      </c>
      <c r="J2187" s="5">
        <v>43810</v>
      </c>
      <c r="K2187" s="16">
        <f t="shared" si="229"/>
        <v>356</v>
      </c>
      <c r="L2187" s="13">
        <v>2522.38</v>
      </c>
      <c r="M2187" s="15">
        <f t="shared" si="227"/>
        <v>118.54455723623433</v>
      </c>
      <c r="N2187" s="13">
        <v>1855.22</v>
      </c>
      <c r="O2187" s="13">
        <v>1855.22</v>
      </c>
      <c r="P2187" s="11">
        <f t="shared" si="226"/>
        <v>1</v>
      </c>
    </row>
    <row r="2188" spans="1:16" ht="18.75" customHeight="1" thickBot="1" x14ac:dyDescent="0.3">
      <c r="A2188" s="3" t="s">
        <v>11</v>
      </c>
      <c r="B2188" s="4">
        <v>263681</v>
      </c>
      <c r="C2188" s="3" t="s">
        <v>9</v>
      </c>
      <c r="D2188" s="18">
        <v>0.1</v>
      </c>
      <c r="E2188" s="21">
        <f t="shared" si="224"/>
        <v>7.9741404289037643E-3</v>
      </c>
      <c r="F2188" s="5">
        <v>43455</v>
      </c>
      <c r="G2188" s="5">
        <v>43820</v>
      </c>
      <c r="H2188" s="16">
        <f t="shared" si="228"/>
        <v>365</v>
      </c>
      <c r="I2188" s="5">
        <v>43820</v>
      </c>
      <c r="J2188" s="5">
        <v>43810</v>
      </c>
      <c r="K2188" s="16">
        <f t="shared" si="229"/>
        <v>355</v>
      </c>
      <c r="L2188" s="13">
        <v>4000</v>
      </c>
      <c r="M2188" s="15">
        <f t="shared" si="227"/>
        <v>346.28130410222786</v>
      </c>
      <c r="N2188" s="13">
        <v>2346.9499999999998</v>
      </c>
      <c r="O2188" s="13">
        <v>163.69999999999999</v>
      </c>
      <c r="P2188" s="11">
        <f t="shared" si="226"/>
        <v>1</v>
      </c>
    </row>
    <row r="2189" spans="1:16" ht="18.75" customHeight="1" thickBot="1" x14ac:dyDescent="0.3">
      <c r="A2189" s="3" t="s">
        <v>11</v>
      </c>
      <c r="B2189" s="4">
        <v>734686</v>
      </c>
      <c r="C2189" s="3" t="s">
        <v>9</v>
      </c>
      <c r="D2189" s="18">
        <v>0.1</v>
      </c>
      <c r="E2189" s="21">
        <f t="shared" si="224"/>
        <v>7.9741404289037643E-3</v>
      </c>
      <c r="F2189" s="5">
        <v>43461</v>
      </c>
      <c r="G2189" s="5">
        <v>44557</v>
      </c>
      <c r="H2189" s="16">
        <f t="shared" si="228"/>
        <v>1096</v>
      </c>
      <c r="I2189" s="5">
        <v>44557</v>
      </c>
      <c r="J2189" s="5">
        <v>43773</v>
      </c>
      <c r="K2189" s="16">
        <f t="shared" si="229"/>
        <v>312</v>
      </c>
      <c r="L2189" s="13">
        <v>4000</v>
      </c>
      <c r="M2189" s="15">
        <f t="shared" si="227"/>
        <v>126.64349073252947</v>
      </c>
      <c r="N2189" s="13">
        <v>3542.74</v>
      </c>
      <c r="O2189" s="13">
        <v>0</v>
      </c>
      <c r="P2189" s="11">
        <f t="shared" si="226"/>
        <v>1</v>
      </c>
    </row>
    <row r="2190" spans="1:16" ht="18.75" customHeight="1" thickBot="1" x14ac:dyDescent="0.3">
      <c r="A2190" s="3" t="s">
        <v>11</v>
      </c>
      <c r="B2190" s="4">
        <v>12811</v>
      </c>
      <c r="C2190" s="3" t="s">
        <v>9</v>
      </c>
      <c r="D2190" s="18">
        <v>0.1</v>
      </c>
      <c r="E2190" s="21">
        <f t="shared" si="224"/>
        <v>7.9741404289037643E-3</v>
      </c>
      <c r="F2190" s="5">
        <v>43468</v>
      </c>
      <c r="G2190" s="5">
        <v>43833</v>
      </c>
      <c r="H2190" s="16">
        <f t="shared" si="228"/>
        <v>365</v>
      </c>
      <c r="I2190" s="5">
        <v>43833</v>
      </c>
      <c r="J2190" s="5">
        <v>43738</v>
      </c>
      <c r="K2190" s="16">
        <f t="shared" si="229"/>
        <v>270</v>
      </c>
      <c r="L2190" s="13">
        <v>1000</v>
      </c>
      <c r="M2190" s="15">
        <f t="shared" si="227"/>
        <v>86.570326025556966</v>
      </c>
      <c r="N2190" s="13">
        <v>471.92</v>
      </c>
      <c r="O2190" s="13">
        <v>471.92</v>
      </c>
      <c r="P2190" s="11">
        <f t="shared" si="226"/>
        <v>1</v>
      </c>
    </row>
    <row r="2191" spans="1:16" ht="18.75" customHeight="1" thickBot="1" x14ac:dyDescent="0.3">
      <c r="A2191" s="3" t="s">
        <v>11</v>
      </c>
      <c r="B2191" s="4">
        <v>274344</v>
      </c>
      <c r="C2191" s="3" t="s">
        <v>9</v>
      </c>
      <c r="D2191" s="18">
        <v>0.1</v>
      </c>
      <c r="E2191" s="21">
        <f t="shared" ref="E2191:E2193" si="230">(1+D2191)^(1/12)-1</f>
        <v>7.9741404289037643E-3</v>
      </c>
      <c r="F2191" s="5">
        <v>43469</v>
      </c>
      <c r="G2191" s="5">
        <v>45661</v>
      </c>
      <c r="H2191" s="16">
        <f t="shared" si="228"/>
        <v>2192</v>
      </c>
      <c r="I2191" s="5">
        <v>45661</v>
      </c>
      <c r="J2191" s="5">
        <v>43829</v>
      </c>
      <c r="K2191" s="16">
        <f t="shared" si="229"/>
        <v>360</v>
      </c>
      <c r="L2191" s="13">
        <v>6916.34</v>
      </c>
      <c r="M2191" s="15">
        <f t="shared" si="227"/>
        <v>125.26313159856203</v>
      </c>
      <c r="N2191" s="13">
        <v>6498.22</v>
      </c>
      <c r="O2191" s="13">
        <v>54.26</v>
      </c>
      <c r="P2191" s="11">
        <f t="shared" si="226"/>
        <v>1</v>
      </c>
    </row>
    <row r="2192" spans="1:16" ht="18.75" customHeight="1" thickBot="1" x14ac:dyDescent="0.3">
      <c r="A2192" s="3" t="s">
        <v>11</v>
      </c>
      <c r="B2192" s="4">
        <v>517191</v>
      </c>
      <c r="C2192" s="3" t="s">
        <v>9</v>
      </c>
      <c r="D2192" s="18">
        <v>0.1</v>
      </c>
      <c r="E2192" s="21">
        <f t="shared" si="230"/>
        <v>7.9741404289037643E-3</v>
      </c>
      <c r="F2192" s="5">
        <v>43479</v>
      </c>
      <c r="G2192" s="5">
        <v>45671</v>
      </c>
      <c r="H2192" s="16">
        <f t="shared" si="228"/>
        <v>2192</v>
      </c>
      <c r="I2192" s="5">
        <v>45866</v>
      </c>
      <c r="J2192" s="5">
        <v>44742</v>
      </c>
      <c r="K2192" s="16">
        <f t="shared" si="229"/>
        <v>1263</v>
      </c>
      <c r="L2192" s="13">
        <v>20411.810000000001</v>
      </c>
      <c r="M2192" s="15">
        <f t="shared" si="227"/>
        <v>369.68212120787069</v>
      </c>
      <c r="N2192" s="13">
        <v>14685.61</v>
      </c>
      <c r="O2192" s="13">
        <v>6600</v>
      </c>
      <c r="P2192" s="11">
        <f t="shared" si="226"/>
        <v>1</v>
      </c>
    </row>
    <row r="2193" spans="1:16" ht="18.75" customHeight="1" thickBot="1" x14ac:dyDescent="0.3">
      <c r="A2193" s="3" t="s">
        <v>11</v>
      </c>
      <c r="B2193" s="4">
        <v>271772</v>
      </c>
      <c r="C2193" s="3" t="s">
        <v>9</v>
      </c>
      <c r="D2193" s="18">
        <v>0.1</v>
      </c>
      <c r="E2193" s="21">
        <f t="shared" si="230"/>
        <v>7.9741404289037643E-3</v>
      </c>
      <c r="F2193" s="5">
        <v>42556</v>
      </c>
      <c r="G2193" s="5">
        <v>44747</v>
      </c>
      <c r="H2193" s="16">
        <f t="shared" si="228"/>
        <v>2191</v>
      </c>
      <c r="I2193" s="5">
        <v>44778</v>
      </c>
      <c r="J2193" s="5">
        <v>43787</v>
      </c>
      <c r="K2193" s="16">
        <f t="shared" si="229"/>
        <v>1231</v>
      </c>
      <c r="L2193" s="13">
        <v>17387.91</v>
      </c>
      <c r="M2193" s="15">
        <f t="shared" si="227"/>
        <v>315.02173908128782</v>
      </c>
      <c r="N2193" s="13">
        <v>6006.95</v>
      </c>
      <c r="O2193" s="13">
        <v>0</v>
      </c>
      <c r="P2193" s="11">
        <f t="shared" si="226"/>
        <v>1</v>
      </c>
    </row>
    <row r="2194" spans="1:16" ht="18.75" hidden="1" customHeight="1" thickBot="1" x14ac:dyDescent="0.3">
      <c r="A2194" s="3" t="s">
        <v>11</v>
      </c>
      <c r="B2194" s="4">
        <v>165199</v>
      </c>
      <c r="C2194" s="3" t="s">
        <v>15</v>
      </c>
      <c r="D2194" s="7">
        <v>0.1515</v>
      </c>
      <c r="E2194" s="7">
        <f t="shared" ref="E2194:E2219" si="231">D2194/12</f>
        <v>1.2624999999999999E-2</v>
      </c>
      <c r="F2194" s="5">
        <v>36977</v>
      </c>
      <c r="G2194" s="5">
        <v>2958465</v>
      </c>
      <c r="H2194" s="8">
        <f t="shared" si="228"/>
        <v>2921488</v>
      </c>
      <c r="I2194" s="5">
        <v>2958465</v>
      </c>
      <c r="J2194" s="5">
        <v>45390</v>
      </c>
      <c r="K2194" s="8">
        <f t="shared" si="229"/>
        <v>8413</v>
      </c>
      <c r="L2194" s="6">
        <v>800</v>
      </c>
      <c r="M2194" s="9">
        <f t="shared" si="227"/>
        <v>10.1</v>
      </c>
      <c r="N2194" s="6">
        <v>194.93</v>
      </c>
      <c r="O2194" s="6">
        <v>0</v>
      </c>
      <c r="P2194" s="6">
        <v>0</v>
      </c>
    </row>
    <row r="2195" spans="1:16" ht="18.75" hidden="1" customHeight="1" thickBot="1" x14ac:dyDescent="0.3">
      <c r="A2195" s="3" t="s">
        <v>11</v>
      </c>
      <c r="B2195" s="4">
        <v>783680</v>
      </c>
      <c r="C2195" s="3" t="s">
        <v>21</v>
      </c>
      <c r="D2195" s="7">
        <v>6.7500000000000004E-2</v>
      </c>
      <c r="E2195" s="7">
        <f t="shared" si="231"/>
        <v>5.6250000000000007E-3</v>
      </c>
      <c r="F2195" s="5">
        <v>44109</v>
      </c>
      <c r="G2195" s="5">
        <v>51434</v>
      </c>
      <c r="H2195" s="8">
        <f t="shared" si="228"/>
        <v>7325</v>
      </c>
      <c r="I2195" s="5">
        <v>51434</v>
      </c>
      <c r="J2195" s="5">
        <v>45356</v>
      </c>
      <c r="K2195" s="8">
        <f t="shared" si="229"/>
        <v>1247</v>
      </c>
      <c r="L2195" s="6">
        <v>222400</v>
      </c>
      <c r="M2195" s="9">
        <f t="shared" si="227"/>
        <v>1677.4190108142059</v>
      </c>
      <c r="N2195" s="6">
        <v>222394.2</v>
      </c>
      <c r="O2195" s="6">
        <v>0</v>
      </c>
      <c r="P2195" s="6">
        <v>0</v>
      </c>
    </row>
    <row r="2196" spans="1:16" ht="18.75" hidden="1" customHeight="1" thickBot="1" x14ac:dyDescent="0.3">
      <c r="A2196" s="3" t="s">
        <v>11</v>
      </c>
      <c r="B2196" s="4">
        <v>608041</v>
      </c>
      <c r="C2196" s="3" t="s">
        <v>15</v>
      </c>
      <c r="D2196" s="7">
        <v>0.1515</v>
      </c>
      <c r="E2196" s="7">
        <f t="shared" si="231"/>
        <v>1.2624999999999999E-2</v>
      </c>
      <c r="F2196" s="5">
        <v>34956</v>
      </c>
      <c r="G2196" s="5">
        <v>2958465</v>
      </c>
      <c r="H2196" s="8">
        <f t="shared" si="228"/>
        <v>2923509</v>
      </c>
      <c r="I2196" s="5">
        <v>2958465</v>
      </c>
      <c r="J2196" s="5">
        <v>40723</v>
      </c>
      <c r="K2196" s="8">
        <f t="shared" si="229"/>
        <v>5767</v>
      </c>
      <c r="L2196" s="6">
        <v>5000</v>
      </c>
      <c r="M2196" s="9">
        <f t="shared" si="227"/>
        <v>63.124999999999993</v>
      </c>
      <c r="N2196" s="6">
        <v>2688.63</v>
      </c>
      <c r="O2196" s="6">
        <v>0</v>
      </c>
      <c r="P2196" s="6">
        <v>197.7</v>
      </c>
    </row>
    <row r="2197" spans="1:16" ht="18.75" hidden="1" customHeight="1" thickBot="1" x14ac:dyDescent="0.3">
      <c r="A2197" s="3" t="s">
        <v>11</v>
      </c>
      <c r="B2197" s="4">
        <v>183674</v>
      </c>
      <c r="C2197" s="3" t="s">
        <v>15</v>
      </c>
      <c r="D2197" s="7">
        <v>0.1515</v>
      </c>
      <c r="E2197" s="7">
        <f t="shared" si="231"/>
        <v>1.2624999999999999E-2</v>
      </c>
      <c r="F2197" s="5">
        <v>40149</v>
      </c>
      <c r="G2197" s="5">
        <v>2958465</v>
      </c>
      <c r="H2197" s="8">
        <f t="shared" si="228"/>
        <v>2918316</v>
      </c>
      <c r="I2197" s="5">
        <v>2958465</v>
      </c>
      <c r="J2197" s="5">
        <v>40581</v>
      </c>
      <c r="K2197" s="8">
        <f t="shared" si="229"/>
        <v>432</v>
      </c>
      <c r="L2197" s="6">
        <v>5000</v>
      </c>
      <c r="M2197" s="9">
        <f t="shared" si="227"/>
        <v>63.124999999999993</v>
      </c>
      <c r="N2197" s="6">
        <v>3808.96</v>
      </c>
      <c r="O2197" s="6">
        <v>0</v>
      </c>
      <c r="P2197" s="6">
        <v>81.150000000000006</v>
      </c>
    </row>
    <row r="2198" spans="1:16" ht="18.75" hidden="1" customHeight="1" thickBot="1" x14ac:dyDescent="0.3">
      <c r="A2198" s="3" t="s">
        <v>11</v>
      </c>
      <c r="B2198" s="4">
        <v>737003</v>
      </c>
      <c r="C2198" s="3" t="s">
        <v>15</v>
      </c>
      <c r="D2198" s="7">
        <v>0.08</v>
      </c>
      <c r="E2198" s="7">
        <f t="shared" si="231"/>
        <v>6.6666666666666671E-3</v>
      </c>
      <c r="F2198" s="5">
        <v>40455</v>
      </c>
      <c r="G2198" s="5">
        <v>2958465</v>
      </c>
      <c r="H2198" s="8">
        <f t="shared" si="228"/>
        <v>2918010</v>
      </c>
      <c r="I2198" s="5">
        <v>2958465</v>
      </c>
      <c r="J2198" s="5">
        <v>40591</v>
      </c>
      <c r="K2198" s="8">
        <f t="shared" si="229"/>
        <v>136</v>
      </c>
      <c r="L2198" s="6">
        <v>1274.92</v>
      </c>
      <c r="M2198" s="9">
        <f t="shared" si="227"/>
        <v>8.4994666666666685</v>
      </c>
      <c r="N2198" s="6">
        <v>1274.92</v>
      </c>
      <c r="O2198" s="6">
        <v>0</v>
      </c>
      <c r="P2198" s="6">
        <v>4700</v>
      </c>
    </row>
    <row r="2199" spans="1:16" ht="18.75" hidden="1" customHeight="1" thickBot="1" x14ac:dyDescent="0.3">
      <c r="A2199" s="3" t="s">
        <v>11</v>
      </c>
      <c r="B2199" s="4">
        <v>426055</v>
      </c>
      <c r="C2199" s="3" t="s">
        <v>15</v>
      </c>
      <c r="D2199" s="7">
        <v>0.1515</v>
      </c>
      <c r="E2199" s="7">
        <f t="shared" si="231"/>
        <v>1.2624999999999999E-2</v>
      </c>
      <c r="F2199" s="5">
        <v>38870</v>
      </c>
      <c r="G2199" s="5">
        <v>2958465</v>
      </c>
      <c r="H2199" s="8">
        <f t="shared" si="228"/>
        <v>2919595</v>
      </c>
      <c r="I2199" s="5">
        <v>2958465</v>
      </c>
      <c r="J2199" s="5">
        <v>40723</v>
      </c>
      <c r="K2199" s="8">
        <f t="shared" si="229"/>
        <v>1853</v>
      </c>
      <c r="L2199" s="6">
        <v>2000</v>
      </c>
      <c r="M2199" s="9">
        <f t="shared" si="227"/>
        <v>25.249999999999996</v>
      </c>
      <c r="N2199" s="6">
        <v>1488.76</v>
      </c>
      <c r="O2199" s="6">
        <v>0</v>
      </c>
      <c r="P2199" s="6">
        <v>0</v>
      </c>
    </row>
    <row r="2200" spans="1:16" ht="18.75" hidden="1" customHeight="1" thickBot="1" x14ac:dyDescent="0.3">
      <c r="A2200" s="3" t="s">
        <v>11</v>
      </c>
      <c r="B2200" s="4">
        <v>106225</v>
      </c>
      <c r="C2200" s="3" t="s">
        <v>15</v>
      </c>
      <c r="D2200" s="7">
        <v>0.1515</v>
      </c>
      <c r="E2200" s="7">
        <f t="shared" si="231"/>
        <v>1.2624999999999999E-2</v>
      </c>
      <c r="F2200" s="5">
        <v>38946</v>
      </c>
      <c r="G2200" s="5">
        <v>2958465</v>
      </c>
      <c r="H2200" s="8">
        <f t="shared" si="228"/>
        <v>2919519</v>
      </c>
      <c r="I2200" s="5">
        <v>2958465</v>
      </c>
      <c r="J2200" s="5">
        <v>40996</v>
      </c>
      <c r="K2200" s="8">
        <f t="shared" si="229"/>
        <v>2050</v>
      </c>
      <c r="L2200" s="6">
        <v>1000</v>
      </c>
      <c r="M2200" s="9">
        <f t="shared" si="227"/>
        <v>12.624999999999998</v>
      </c>
      <c r="N2200" s="6">
        <v>974.52</v>
      </c>
      <c r="O2200" s="6">
        <v>0</v>
      </c>
      <c r="P2200" s="6">
        <v>0</v>
      </c>
    </row>
    <row r="2201" spans="1:16" ht="18.75" hidden="1" customHeight="1" thickBot="1" x14ac:dyDescent="0.3">
      <c r="A2201" s="3" t="s">
        <v>11</v>
      </c>
      <c r="B2201" s="4">
        <v>628907</v>
      </c>
      <c r="C2201" s="3" t="s">
        <v>15</v>
      </c>
      <c r="D2201" s="7">
        <v>0.1515</v>
      </c>
      <c r="E2201" s="7">
        <f t="shared" si="231"/>
        <v>1.2624999999999999E-2</v>
      </c>
      <c r="F2201" s="5">
        <v>39232</v>
      </c>
      <c r="G2201" s="5">
        <v>2958465</v>
      </c>
      <c r="H2201" s="8">
        <f t="shared" si="228"/>
        <v>2919233</v>
      </c>
      <c r="I2201" s="5">
        <v>2958465</v>
      </c>
      <c r="J2201" s="5">
        <v>40343</v>
      </c>
      <c r="K2201" s="8">
        <f t="shared" si="229"/>
        <v>1111</v>
      </c>
      <c r="L2201" s="6">
        <v>500</v>
      </c>
      <c r="M2201" s="9">
        <f t="shared" si="227"/>
        <v>6.3124999999999991</v>
      </c>
      <c r="N2201" s="6">
        <v>500</v>
      </c>
      <c r="O2201" s="6">
        <v>538.72</v>
      </c>
      <c r="P2201" s="6">
        <v>0</v>
      </c>
    </row>
    <row r="2202" spans="1:16" ht="18.75" hidden="1" customHeight="1" thickBot="1" x14ac:dyDescent="0.3">
      <c r="A2202" s="3" t="s">
        <v>11</v>
      </c>
      <c r="B2202" s="4">
        <v>642496</v>
      </c>
      <c r="C2202" s="3" t="s">
        <v>15</v>
      </c>
      <c r="D2202" s="7">
        <v>0.1515</v>
      </c>
      <c r="E2202" s="7">
        <f t="shared" si="231"/>
        <v>1.2624999999999999E-2</v>
      </c>
      <c r="F2202" s="5">
        <v>39696</v>
      </c>
      <c r="G2202" s="5">
        <v>2958465</v>
      </c>
      <c r="H2202" s="8">
        <f t="shared" si="228"/>
        <v>2918769</v>
      </c>
      <c r="I2202" s="5">
        <v>2958465</v>
      </c>
      <c r="J2202" s="5">
        <v>40343</v>
      </c>
      <c r="K2202" s="8">
        <f t="shared" si="229"/>
        <v>647</v>
      </c>
      <c r="L2202" s="6">
        <v>500</v>
      </c>
      <c r="M2202" s="9">
        <f t="shared" si="227"/>
        <v>6.3124999999999991</v>
      </c>
      <c r="N2202" s="6">
        <v>500</v>
      </c>
      <c r="O2202" s="6">
        <v>535.97</v>
      </c>
      <c r="P2202" s="6">
        <v>7224</v>
      </c>
    </row>
    <row r="2203" spans="1:16" ht="18.75" hidden="1" customHeight="1" thickBot="1" x14ac:dyDescent="0.3">
      <c r="A2203" s="3" t="s">
        <v>11</v>
      </c>
      <c r="B2203" s="4">
        <v>747961</v>
      </c>
      <c r="C2203" s="3" t="s">
        <v>15</v>
      </c>
      <c r="D2203" s="7">
        <v>0.1515</v>
      </c>
      <c r="E2203" s="7">
        <f t="shared" si="231"/>
        <v>1.2624999999999999E-2</v>
      </c>
      <c r="F2203" s="5">
        <v>40430</v>
      </c>
      <c r="G2203" s="5">
        <v>2958465</v>
      </c>
      <c r="H2203" s="8">
        <f t="shared" si="228"/>
        <v>2918035</v>
      </c>
      <c r="I2203" s="5">
        <v>2958465</v>
      </c>
      <c r="J2203" s="5">
        <v>41088</v>
      </c>
      <c r="K2203" s="8">
        <f t="shared" si="229"/>
        <v>658</v>
      </c>
      <c r="L2203" s="6">
        <v>5000</v>
      </c>
      <c r="M2203" s="9">
        <f t="shared" si="227"/>
        <v>63.124999999999993</v>
      </c>
      <c r="N2203" s="6">
        <v>4265.87</v>
      </c>
      <c r="O2203" s="6">
        <v>0</v>
      </c>
      <c r="P2203" s="6">
        <v>0</v>
      </c>
    </row>
    <row r="2204" spans="1:16" ht="18.75" hidden="1" customHeight="1" thickBot="1" x14ac:dyDescent="0.3">
      <c r="A2204" s="3" t="s">
        <v>11</v>
      </c>
      <c r="B2204" s="4">
        <v>64004</v>
      </c>
      <c r="C2204" s="3" t="s">
        <v>15</v>
      </c>
      <c r="D2204" s="7">
        <v>0.1515</v>
      </c>
      <c r="E2204" s="7">
        <f t="shared" si="231"/>
        <v>1.2624999999999999E-2</v>
      </c>
      <c r="F2204" s="5">
        <v>35530</v>
      </c>
      <c r="G2204" s="5">
        <v>2958465</v>
      </c>
      <c r="H2204" s="8">
        <f t="shared" si="228"/>
        <v>2922935</v>
      </c>
      <c r="I2204" s="5">
        <v>2958465</v>
      </c>
      <c r="J2204" s="5">
        <v>42863</v>
      </c>
      <c r="K2204" s="8">
        <f t="shared" si="229"/>
        <v>7333</v>
      </c>
      <c r="L2204" s="6">
        <v>1000</v>
      </c>
      <c r="M2204" s="9">
        <f t="shared" si="227"/>
        <v>12.624999999999998</v>
      </c>
      <c r="N2204" s="6">
        <v>1485.26</v>
      </c>
      <c r="O2204" s="6">
        <v>0</v>
      </c>
      <c r="P2204" s="6">
        <v>0</v>
      </c>
    </row>
    <row r="2205" spans="1:16" ht="18.75" hidden="1" customHeight="1" thickBot="1" x14ac:dyDescent="0.3">
      <c r="A2205" s="3" t="s">
        <v>11</v>
      </c>
      <c r="B2205" s="4">
        <v>549269</v>
      </c>
      <c r="C2205" s="3" t="s">
        <v>15</v>
      </c>
      <c r="D2205" s="7">
        <v>0.1515</v>
      </c>
      <c r="E2205" s="7">
        <f t="shared" si="231"/>
        <v>1.2624999999999999E-2</v>
      </c>
      <c r="F2205" s="5">
        <v>36907</v>
      </c>
      <c r="G2205" s="5">
        <v>2958465</v>
      </c>
      <c r="H2205" s="8">
        <f t="shared" si="228"/>
        <v>2921558</v>
      </c>
      <c r="I2205" s="5">
        <v>2958465</v>
      </c>
      <c r="J2205" s="5">
        <v>40343</v>
      </c>
      <c r="K2205" s="8">
        <f t="shared" si="229"/>
        <v>3436</v>
      </c>
      <c r="L2205" s="6">
        <v>500</v>
      </c>
      <c r="M2205" s="9">
        <f t="shared" si="227"/>
        <v>6.3124999999999991</v>
      </c>
      <c r="N2205" s="6">
        <v>500</v>
      </c>
      <c r="O2205" s="6">
        <v>0</v>
      </c>
      <c r="P2205" s="6">
        <v>0</v>
      </c>
    </row>
    <row r="2206" spans="1:16" ht="18.75" hidden="1" customHeight="1" thickBot="1" x14ac:dyDescent="0.3">
      <c r="A2206" s="3" t="s">
        <v>11</v>
      </c>
      <c r="B2206" s="4">
        <v>843099</v>
      </c>
      <c r="C2206" s="3" t="s">
        <v>15</v>
      </c>
      <c r="D2206" s="7">
        <v>0.1515</v>
      </c>
      <c r="E2206" s="7">
        <f t="shared" si="231"/>
        <v>1.2624999999999999E-2</v>
      </c>
      <c r="F2206" s="5">
        <v>37154</v>
      </c>
      <c r="G2206" s="5">
        <v>2958465</v>
      </c>
      <c r="H2206" s="8">
        <f t="shared" si="228"/>
        <v>2921311</v>
      </c>
      <c r="I2206" s="5">
        <v>2958465</v>
      </c>
      <c r="J2206" s="5">
        <v>40407</v>
      </c>
      <c r="K2206" s="8">
        <f t="shared" si="229"/>
        <v>3253</v>
      </c>
      <c r="L2206" s="6">
        <v>1000</v>
      </c>
      <c r="M2206" s="9">
        <f t="shared" si="227"/>
        <v>12.624999999999998</v>
      </c>
      <c r="N2206" s="6">
        <v>1000</v>
      </c>
      <c r="O2206" s="6">
        <v>0</v>
      </c>
      <c r="P2206" s="6">
        <v>0</v>
      </c>
    </row>
    <row r="2207" spans="1:16" ht="18.75" hidden="1" customHeight="1" thickBot="1" x14ac:dyDescent="0.3">
      <c r="A2207" s="3" t="s">
        <v>11</v>
      </c>
      <c r="B2207" s="4">
        <v>588798</v>
      </c>
      <c r="C2207" s="3" t="s">
        <v>15</v>
      </c>
      <c r="D2207" s="7">
        <v>0.1515</v>
      </c>
      <c r="E2207" s="7">
        <f t="shared" si="231"/>
        <v>1.2624999999999999E-2</v>
      </c>
      <c r="F2207" s="5">
        <v>39556</v>
      </c>
      <c r="G2207" s="5">
        <v>2958465</v>
      </c>
      <c r="H2207" s="8">
        <f t="shared" si="228"/>
        <v>2918909</v>
      </c>
      <c r="I2207" s="5">
        <v>2958465</v>
      </c>
      <c r="J2207" s="5">
        <v>40343</v>
      </c>
      <c r="K2207" s="8">
        <f t="shared" si="229"/>
        <v>787</v>
      </c>
      <c r="L2207" s="6">
        <v>500</v>
      </c>
      <c r="M2207" s="9">
        <f t="shared" si="227"/>
        <v>6.3124999999999991</v>
      </c>
      <c r="N2207" s="6">
        <v>386.01</v>
      </c>
      <c r="O2207" s="6">
        <v>0</v>
      </c>
      <c r="P2207" s="6">
        <v>12000</v>
      </c>
    </row>
    <row r="2208" spans="1:16" ht="18.75" hidden="1" customHeight="1" thickBot="1" x14ac:dyDescent="0.3">
      <c r="A2208" s="3" t="s">
        <v>11</v>
      </c>
      <c r="B2208" s="4">
        <v>502261</v>
      </c>
      <c r="C2208" s="3" t="s">
        <v>21</v>
      </c>
      <c r="D2208" s="7">
        <v>7.2499999999999995E-2</v>
      </c>
      <c r="E2208" s="7">
        <f t="shared" si="231"/>
        <v>6.0416666666666665E-3</v>
      </c>
      <c r="F2208" s="5">
        <v>44917</v>
      </c>
      <c r="G2208" s="5">
        <v>52225</v>
      </c>
      <c r="H2208" s="8">
        <f t="shared" si="228"/>
        <v>7308</v>
      </c>
      <c r="I2208" s="5">
        <v>52225</v>
      </c>
      <c r="J2208" s="5">
        <v>45279</v>
      </c>
      <c r="K2208" s="8">
        <f t="shared" si="229"/>
        <v>362</v>
      </c>
      <c r="L2208" s="6">
        <v>270000</v>
      </c>
      <c r="M2208" s="9">
        <f t="shared" si="227"/>
        <v>2119.9989464999512</v>
      </c>
      <c r="N2208" s="6">
        <v>262584.96000000002</v>
      </c>
      <c r="O2208" s="6">
        <v>0</v>
      </c>
      <c r="P2208" s="6">
        <v>22645</v>
      </c>
    </row>
    <row r="2209" spans="1:16" ht="18.75" hidden="1" customHeight="1" thickBot="1" x14ac:dyDescent="0.3">
      <c r="A2209" s="3" t="s">
        <v>11</v>
      </c>
      <c r="B2209" s="4">
        <v>156238</v>
      </c>
      <c r="C2209" s="3" t="s">
        <v>9</v>
      </c>
      <c r="D2209" s="7">
        <v>8.2500000000000004E-2</v>
      </c>
      <c r="E2209" s="7">
        <f t="shared" si="231"/>
        <v>6.875E-3</v>
      </c>
      <c r="F2209" s="5">
        <v>45373</v>
      </c>
      <c r="G2209" s="5">
        <v>47294</v>
      </c>
      <c r="H2209" s="8">
        <f t="shared" si="228"/>
        <v>1921</v>
      </c>
      <c r="I2209" s="5">
        <v>47294</v>
      </c>
      <c r="J2209" s="5">
        <v>45891</v>
      </c>
      <c r="K2209" s="8">
        <f t="shared" si="229"/>
        <v>518</v>
      </c>
      <c r="L2209" s="6">
        <v>21594.69</v>
      </c>
      <c r="M2209" s="9">
        <f t="shared" si="227"/>
        <v>418.04160181724916</v>
      </c>
      <c r="N2209" s="6">
        <v>14405.84</v>
      </c>
      <c r="O2209" s="6">
        <v>0</v>
      </c>
      <c r="P2209" s="6">
        <v>5307.94</v>
      </c>
    </row>
    <row r="2210" spans="1:16" ht="18.75" hidden="1" customHeight="1" thickBot="1" x14ac:dyDescent="0.3">
      <c r="A2210" s="3" t="s">
        <v>11</v>
      </c>
      <c r="B2210" s="4">
        <v>607168</v>
      </c>
      <c r="C2210" s="3" t="s">
        <v>15</v>
      </c>
      <c r="D2210" s="7">
        <v>0.1515</v>
      </c>
      <c r="E2210" s="7">
        <f t="shared" si="231"/>
        <v>1.2624999999999999E-2</v>
      </c>
      <c r="F2210" s="5">
        <v>42496</v>
      </c>
      <c r="G2210" s="5">
        <v>2958465</v>
      </c>
      <c r="H2210" s="8">
        <f t="shared" si="228"/>
        <v>2915969</v>
      </c>
      <c r="I2210" s="5">
        <v>2958465</v>
      </c>
      <c r="J2210" s="5">
        <v>44005</v>
      </c>
      <c r="K2210" s="8">
        <f t="shared" si="229"/>
        <v>1509</v>
      </c>
      <c r="L2210" s="6">
        <v>300</v>
      </c>
      <c r="M2210" s="9">
        <f t="shared" si="227"/>
        <v>3.7874999999999996</v>
      </c>
      <c r="N2210" s="6">
        <v>300</v>
      </c>
      <c r="O2210" s="6">
        <v>0</v>
      </c>
      <c r="P2210" s="6">
        <v>0</v>
      </c>
    </row>
    <row r="2211" spans="1:16" ht="18.75" hidden="1" customHeight="1" thickBot="1" x14ac:dyDescent="0.3">
      <c r="A2211" s="3" t="s">
        <v>11</v>
      </c>
      <c r="B2211" s="4">
        <v>931959</v>
      </c>
      <c r="C2211" s="3" t="s">
        <v>15</v>
      </c>
      <c r="D2211" s="7">
        <v>0.1515</v>
      </c>
      <c r="E2211" s="7">
        <f t="shared" si="231"/>
        <v>1.2624999999999999E-2</v>
      </c>
      <c r="F2211" s="5">
        <v>38884</v>
      </c>
      <c r="G2211" s="5">
        <v>2958465</v>
      </c>
      <c r="H2211" s="8">
        <f t="shared" si="228"/>
        <v>2919581</v>
      </c>
      <c r="I2211" s="5">
        <v>2958465</v>
      </c>
      <c r="J2211" s="5">
        <v>40655</v>
      </c>
      <c r="K2211" s="8">
        <f t="shared" si="229"/>
        <v>1771</v>
      </c>
      <c r="L2211" s="6">
        <v>2000</v>
      </c>
      <c r="M2211" s="9">
        <f t="shared" si="227"/>
        <v>25.249999999999996</v>
      </c>
      <c r="N2211" s="6">
        <v>1750.26</v>
      </c>
      <c r="O2211" s="6">
        <v>0</v>
      </c>
      <c r="P2211" s="6">
        <v>5134.6400000000003</v>
      </c>
    </row>
    <row r="2212" spans="1:16" ht="18.75" hidden="1" customHeight="1" thickBot="1" x14ac:dyDescent="0.3">
      <c r="A2212" s="3" t="s">
        <v>11</v>
      </c>
      <c r="B2212" s="4">
        <v>949957</v>
      </c>
      <c r="C2212" s="3" t="s">
        <v>15</v>
      </c>
      <c r="D2212" s="7">
        <v>0.1515</v>
      </c>
      <c r="E2212" s="7">
        <f t="shared" si="231"/>
        <v>1.2624999999999999E-2</v>
      </c>
      <c r="F2212" s="5">
        <v>38776</v>
      </c>
      <c r="G2212" s="5">
        <v>2958465</v>
      </c>
      <c r="H2212" s="8">
        <f t="shared" si="228"/>
        <v>2919689</v>
      </c>
      <c r="I2212" s="5">
        <v>2958465</v>
      </c>
      <c r="J2212" s="5">
        <v>42507</v>
      </c>
      <c r="K2212" s="8">
        <f t="shared" si="229"/>
        <v>3731</v>
      </c>
      <c r="L2212" s="6">
        <v>1500</v>
      </c>
      <c r="M2212" s="9">
        <f t="shared" si="227"/>
        <v>18.9375</v>
      </c>
      <c r="N2212" s="6">
        <v>1332.5</v>
      </c>
      <c r="O2212" s="6">
        <v>933.95</v>
      </c>
      <c r="P2212" s="6">
        <v>0</v>
      </c>
    </row>
    <row r="2213" spans="1:16" ht="18.75" hidden="1" customHeight="1" thickBot="1" x14ac:dyDescent="0.3">
      <c r="A2213" s="3" t="s">
        <v>11</v>
      </c>
      <c r="B2213" s="4">
        <v>608305</v>
      </c>
      <c r="C2213" s="3" t="s">
        <v>15</v>
      </c>
      <c r="D2213" s="7">
        <v>0.1515</v>
      </c>
      <c r="E2213" s="7">
        <f t="shared" si="231"/>
        <v>1.2624999999999999E-2</v>
      </c>
      <c r="F2213" s="5">
        <v>38463</v>
      </c>
      <c r="G2213" s="5">
        <v>2958465</v>
      </c>
      <c r="H2213" s="8">
        <f t="shared" si="228"/>
        <v>2920002</v>
      </c>
      <c r="I2213" s="5">
        <v>2958465</v>
      </c>
      <c r="J2213" s="5">
        <v>41361</v>
      </c>
      <c r="K2213" s="8">
        <f t="shared" si="229"/>
        <v>2898</v>
      </c>
      <c r="L2213" s="6">
        <v>500</v>
      </c>
      <c r="M2213" s="9">
        <f t="shared" si="227"/>
        <v>6.3124999999999991</v>
      </c>
      <c r="N2213" s="6">
        <v>360.68</v>
      </c>
      <c r="O2213" s="6">
        <v>32.869999999999997</v>
      </c>
      <c r="P2213" s="6">
        <v>0</v>
      </c>
    </row>
    <row r="2214" spans="1:16" ht="18.75" hidden="1" customHeight="1" thickBot="1" x14ac:dyDescent="0.3">
      <c r="A2214" s="3" t="s">
        <v>11</v>
      </c>
      <c r="B2214" s="4">
        <v>991664</v>
      </c>
      <c r="C2214" s="3" t="s">
        <v>15</v>
      </c>
      <c r="D2214" s="7">
        <v>0.1515</v>
      </c>
      <c r="E2214" s="7">
        <f t="shared" si="231"/>
        <v>1.2624999999999999E-2</v>
      </c>
      <c r="F2214" s="5">
        <v>38989</v>
      </c>
      <c r="G2214" s="5">
        <v>2958465</v>
      </c>
      <c r="H2214" s="8">
        <f t="shared" si="228"/>
        <v>2919476</v>
      </c>
      <c r="I2214" s="5">
        <v>2958465</v>
      </c>
      <c r="J2214" s="5">
        <v>40939</v>
      </c>
      <c r="K2214" s="8">
        <f t="shared" si="229"/>
        <v>1950</v>
      </c>
      <c r="L2214" s="6">
        <v>1000</v>
      </c>
      <c r="M2214" s="9">
        <f t="shared" si="227"/>
        <v>12.624999999999998</v>
      </c>
      <c r="N2214" s="6">
        <v>583.30999999999995</v>
      </c>
      <c r="O2214" s="6">
        <v>0</v>
      </c>
      <c r="P2214" s="6">
        <v>367.08</v>
      </c>
    </row>
    <row r="2215" spans="1:16" ht="18.75" hidden="1" customHeight="1" thickBot="1" x14ac:dyDescent="0.3">
      <c r="A2215" s="3" t="s">
        <v>11</v>
      </c>
      <c r="B2215" s="4">
        <v>633547</v>
      </c>
      <c r="C2215" s="3" t="s">
        <v>15</v>
      </c>
      <c r="D2215" s="7">
        <v>0.1515</v>
      </c>
      <c r="E2215" s="7">
        <f t="shared" si="231"/>
        <v>1.2624999999999999E-2</v>
      </c>
      <c r="F2215" s="5">
        <v>40386</v>
      </c>
      <c r="G2215" s="5">
        <v>2958465</v>
      </c>
      <c r="H2215" s="8">
        <f t="shared" si="228"/>
        <v>2918079</v>
      </c>
      <c r="I2215" s="5">
        <v>2958465</v>
      </c>
      <c r="J2215" s="5">
        <v>40415</v>
      </c>
      <c r="K2215" s="8">
        <f t="shared" si="229"/>
        <v>29</v>
      </c>
      <c r="L2215" s="6">
        <v>995.35</v>
      </c>
      <c r="M2215" s="9">
        <f t="shared" si="227"/>
        <v>12.56629375</v>
      </c>
      <c r="N2215" s="6">
        <v>995.35</v>
      </c>
      <c r="O2215" s="6">
        <v>0</v>
      </c>
      <c r="P2215" s="6">
        <v>50</v>
      </c>
    </row>
    <row r="2216" spans="1:16" ht="18.75" hidden="1" customHeight="1" thickBot="1" x14ac:dyDescent="0.3">
      <c r="A2216" s="3" t="s">
        <v>11</v>
      </c>
      <c r="B2216" s="4">
        <v>886197</v>
      </c>
      <c r="C2216" s="3" t="s">
        <v>15</v>
      </c>
      <c r="D2216" s="7">
        <v>0.1515</v>
      </c>
      <c r="E2216" s="7">
        <f t="shared" si="231"/>
        <v>1.2624999999999999E-2</v>
      </c>
      <c r="F2216" s="5">
        <v>39343</v>
      </c>
      <c r="G2216" s="5">
        <v>2958465</v>
      </c>
      <c r="H2216" s="8">
        <f t="shared" si="228"/>
        <v>2919122</v>
      </c>
      <c r="I2216" s="5">
        <v>2958465</v>
      </c>
      <c r="J2216" s="5">
        <v>41437</v>
      </c>
      <c r="K2216" s="8">
        <f t="shared" si="229"/>
        <v>2094</v>
      </c>
      <c r="L2216" s="6">
        <v>1700</v>
      </c>
      <c r="M2216" s="9">
        <f t="shared" si="227"/>
        <v>21.462499999999999</v>
      </c>
      <c r="N2216" s="6">
        <v>312.08</v>
      </c>
      <c r="O2216" s="6">
        <v>0</v>
      </c>
      <c r="P2216" s="6">
        <v>400</v>
      </c>
    </row>
    <row r="2217" spans="1:16" ht="18.75" hidden="1" customHeight="1" thickBot="1" x14ac:dyDescent="0.3">
      <c r="A2217" s="3" t="s">
        <v>11</v>
      </c>
      <c r="B2217" s="4">
        <v>910333</v>
      </c>
      <c r="C2217" s="3" t="s">
        <v>15</v>
      </c>
      <c r="D2217" s="7">
        <v>0.1515</v>
      </c>
      <c r="E2217" s="7">
        <f t="shared" si="231"/>
        <v>1.2624999999999999E-2</v>
      </c>
      <c r="F2217" s="5">
        <v>40100</v>
      </c>
      <c r="G2217" s="5">
        <v>2958465</v>
      </c>
      <c r="H2217" s="8">
        <f t="shared" si="228"/>
        <v>2918365</v>
      </c>
      <c r="I2217" s="5">
        <v>2958465</v>
      </c>
      <c r="J2217" s="5">
        <v>40743</v>
      </c>
      <c r="K2217" s="8">
        <f t="shared" si="229"/>
        <v>643</v>
      </c>
      <c r="L2217" s="6">
        <v>1000</v>
      </c>
      <c r="M2217" s="9">
        <f t="shared" si="227"/>
        <v>12.624999999999998</v>
      </c>
      <c r="N2217" s="6">
        <v>958.79</v>
      </c>
      <c r="O2217" s="6">
        <v>15.64</v>
      </c>
      <c r="P2217" s="6">
        <v>144.34</v>
      </c>
    </row>
    <row r="2218" spans="1:16" ht="18.75" hidden="1" customHeight="1" thickBot="1" x14ac:dyDescent="0.3">
      <c r="A2218" s="3" t="s">
        <v>11</v>
      </c>
      <c r="B2218" s="4">
        <v>191408</v>
      </c>
      <c r="C2218" s="3" t="s">
        <v>15</v>
      </c>
      <c r="D2218" s="7">
        <v>0.11899999999999999</v>
      </c>
      <c r="E2218" s="7">
        <f t="shared" si="231"/>
        <v>9.9166666666666656E-3</v>
      </c>
      <c r="F2218" s="5">
        <v>42041</v>
      </c>
      <c r="G2218" s="5">
        <v>2958465</v>
      </c>
      <c r="H2218" s="8">
        <f t="shared" si="228"/>
        <v>2916424</v>
      </c>
      <c r="I2218" s="5">
        <v>2958465</v>
      </c>
      <c r="J2218" s="5">
        <v>44452</v>
      </c>
      <c r="K2218" s="8">
        <f t="shared" si="229"/>
        <v>2411</v>
      </c>
      <c r="L2218" s="6">
        <v>100</v>
      </c>
      <c r="M2218" s="9">
        <f t="shared" si="227"/>
        <v>0.99166666666666659</v>
      </c>
      <c r="N2218" s="6">
        <v>100</v>
      </c>
      <c r="O2218" s="6">
        <v>100</v>
      </c>
      <c r="P2218" s="6">
        <v>0</v>
      </c>
    </row>
    <row r="2219" spans="1:16" ht="18.75" hidden="1" customHeight="1" thickBot="1" x14ac:dyDescent="0.3">
      <c r="A2219" s="3" t="s">
        <v>11</v>
      </c>
      <c r="B2219" s="4">
        <v>531035</v>
      </c>
      <c r="C2219" s="3" t="s">
        <v>15</v>
      </c>
      <c r="D2219" s="7">
        <v>0.1515</v>
      </c>
      <c r="E2219" s="7">
        <f t="shared" si="231"/>
        <v>1.2624999999999999E-2</v>
      </c>
      <c r="F2219" s="5">
        <v>44910</v>
      </c>
      <c r="G2219" s="5">
        <v>2958465</v>
      </c>
      <c r="H2219" s="8">
        <f t="shared" si="228"/>
        <v>2913555</v>
      </c>
      <c r="I2219" s="5">
        <v>2958465</v>
      </c>
      <c r="J2219" s="5">
        <v>45469</v>
      </c>
      <c r="K2219" s="8">
        <f t="shared" si="229"/>
        <v>559</v>
      </c>
      <c r="L2219" s="6">
        <v>500</v>
      </c>
      <c r="M2219" s="9">
        <f t="shared" si="227"/>
        <v>6.3124999999999991</v>
      </c>
      <c r="N2219" s="6">
        <v>1000</v>
      </c>
      <c r="O2219" s="6">
        <v>0</v>
      </c>
      <c r="P2219" s="6">
        <v>0</v>
      </c>
    </row>
    <row r="2220" spans="1:16" ht="18.75" customHeight="1" thickBot="1" x14ac:dyDescent="0.3">
      <c r="A2220" s="3" t="s">
        <v>11</v>
      </c>
      <c r="B2220" s="4">
        <v>24920</v>
      </c>
      <c r="C2220" s="3" t="s">
        <v>9</v>
      </c>
      <c r="D2220" s="18">
        <v>0.11</v>
      </c>
      <c r="E2220" s="21">
        <f t="shared" ref="E2220:E2264" si="232">(1+D2220)^(1/12)-1</f>
        <v>8.7345938235519061E-3</v>
      </c>
      <c r="F2220" s="5">
        <v>35409</v>
      </c>
      <c r="G2220" s="5">
        <v>36692</v>
      </c>
      <c r="H2220" s="16">
        <f t="shared" si="228"/>
        <v>1283</v>
      </c>
      <c r="I2220" s="5">
        <v>36784</v>
      </c>
      <c r="J2220" s="5">
        <v>36164</v>
      </c>
      <c r="K2220" s="16">
        <f t="shared" si="229"/>
        <v>755</v>
      </c>
      <c r="L2220" s="13">
        <v>7670</v>
      </c>
      <c r="M2220" s="15">
        <f t="shared" si="227"/>
        <v>215.69621876354134</v>
      </c>
      <c r="N2220" s="13">
        <v>3324.92</v>
      </c>
      <c r="O2220" s="13">
        <v>0</v>
      </c>
      <c r="P2220" s="11">
        <f t="shared" ref="P2220:P2264" si="233">IF((G2220)&gt;(ConstantDateCutoff),1,0)</f>
        <v>0</v>
      </c>
    </row>
    <row r="2221" spans="1:16" ht="18.75" customHeight="1" thickBot="1" x14ac:dyDescent="0.3">
      <c r="A2221" s="3" t="s">
        <v>11</v>
      </c>
      <c r="B2221" s="4">
        <v>618248</v>
      </c>
      <c r="C2221" s="3" t="s">
        <v>9</v>
      </c>
      <c r="D2221" s="18">
        <v>9.7500000000000003E-2</v>
      </c>
      <c r="E2221" s="21">
        <f t="shared" si="232"/>
        <v>7.7830370878799737E-3</v>
      </c>
      <c r="F2221" s="5">
        <v>35507</v>
      </c>
      <c r="G2221" s="5">
        <v>36239</v>
      </c>
      <c r="H2221" s="16">
        <f t="shared" si="228"/>
        <v>732</v>
      </c>
      <c r="I2221" s="5">
        <v>36239</v>
      </c>
      <c r="J2221" s="5">
        <v>36201</v>
      </c>
      <c r="K2221" s="16">
        <f t="shared" si="229"/>
        <v>694</v>
      </c>
      <c r="L2221" s="13">
        <v>2045</v>
      </c>
      <c r="M2221" s="15">
        <f t="shared" si="227"/>
        <v>92.346122344830832</v>
      </c>
      <c r="N2221" s="13">
        <v>810.04</v>
      </c>
      <c r="O2221" s="13">
        <v>0</v>
      </c>
      <c r="P2221" s="11">
        <f t="shared" si="233"/>
        <v>0</v>
      </c>
    </row>
    <row r="2222" spans="1:16" ht="18.75" customHeight="1" thickBot="1" x14ac:dyDescent="0.3">
      <c r="A2222" s="3" t="s">
        <v>11</v>
      </c>
      <c r="B2222" s="4">
        <v>896900</v>
      </c>
      <c r="C2222" s="3" t="s">
        <v>9</v>
      </c>
      <c r="D2222" s="18">
        <v>0.1</v>
      </c>
      <c r="E2222" s="21">
        <f t="shared" si="232"/>
        <v>7.9741404289037643E-3</v>
      </c>
      <c r="F2222" s="5">
        <v>36314</v>
      </c>
      <c r="G2222" s="5">
        <v>38141</v>
      </c>
      <c r="H2222" s="16">
        <f t="shared" si="228"/>
        <v>1827</v>
      </c>
      <c r="I2222" s="5">
        <v>38645</v>
      </c>
      <c r="J2222" s="5">
        <v>37609</v>
      </c>
      <c r="K2222" s="16">
        <f t="shared" si="229"/>
        <v>1295</v>
      </c>
      <c r="L2222" s="13">
        <v>9610.16</v>
      </c>
      <c r="M2222" s="15">
        <f t="shared" si="227"/>
        <v>199.82397290277044</v>
      </c>
      <c r="N2222" s="13">
        <v>4217.08</v>
      </c>
      <c r="O2222" s="13">
        <v>1460</v>
      </c>
      <c r="P2222" s="11">
        <f t="shared" si="233"/>
        <v>0</v>
      </c>
    </row>
    <row r="2223" spans="1:16" ht="18.75" customHeight="1" thickBot="1" x14ac:dyDescent="0.3">
      <c r="A2223" s="3" t="s">
        <v>11</v>
      </c>
      <c r="B2223" s="4">
        <v>886500</v>
      </c>
      <c r="C2223" s="3" t="s">
        <v>9</v>
      </c>
      <c r="D2223" s="18">
        <v>8.2500000000000004E-2</v>
      </c>
      <c r="E2223" s="21">
        <f t="shared" si="232"/>
        <v>6.6279668043680573E-3</v>
      </c>
      <c r="F2223" s="5">
        <v>36329</v>
      </c>
      <c r="G2223" s="5">
        <v>37787</v>
      </c>
      <c r="H2223" s="16">
        <f t="shared" si="228"/>
        <v>1458</v>
      </c>
      <c r="I2223" s="5">
        <v>37848</v>
      </c>
      <c r="J2223" s="5">
        <v>36795</v>
      </c>
      <c r="K2223" s="16">
        <f t="shared" si="229"/>
        <v>466</v>
      </c>
      <c r="L2223" s="13">
        <v>9210.36</v>
      </c>
      <c r="M2223" s="15">
        <f t="shared" si="227"/>
        <v>222.29438104718406</v>
      </c>
      <c r="N2223" s="13">
        <v>7200</v>
      </c>
      <c r="O2223" s="13">
        <v>0</v>
      </c>
      <c r="P2223" s="11">
        <f t="shared" si="233"/>
        <v>0</v>
      </c>
    </row>
    <row r="2224" spans="1:16" ht="18.75" customHeight="1" thickBot="1" x14ac:dyDescent="0.3">
      <c r="A2224" s="3" t="s">
        <v>11</v>
      </c>
      <c r="B2224" s="4">
        <v>349313</v>
      </c>
      <c r="C2224" s="3" t="s">
        <v>2</v>
      </c>
      <c r="D2224" s="18">
        <v>9.2499999999999999E-2</v>
      </c>
      <c r="E2224" s="21">
        <f t="shared" si="232"/>
        <v>7.3996302871768282E-3</v>
      </c>
      <c r="F2224" s="5">
        <v>36453</v>
      </c>
      <c r="G2224" s="5">
        <v>38280</v>
      </c>
      <c r="H2224" s="16">
        <f t="shared" si="228"/>
        <v>1827</v>
      </c>
      <c r="I2224" s="5">
        <v>39309</v>
      </c>
      <c r="J2224" s="5">
        <v>39351</v>
      </c>
      <c r="K2224" s="16">
        <f t="shared" si="229"/>
        <v>2898</v>
      </c>
      <c r="L2224" s="13">
        <v>76000</v>
      </c>
      <c r="M2224" s="15">
        <f t="shared" si="227"/>
        <v>1554.7156226230834</v>
      </c>
      <c r="N2224" s="13">
        <v>42427.63</v>
      </c>
      <c r="O2224" s="13">
        <v>0</v>
      </c>
      <c r="P2224" s="11">
        <f t="shared" si="233"/>
        <v>0</v>
      </c>
    </row>
    <row r="2225" spans="1:16" ht="18.75" customHeight="1" thickBot="1" x14ac:dyDescent="0.3">
      <c r="A2225" s="3" t="s">
        <v>11</v>
      </c>
      <c r="B2225" s="4">
        <v>469561</v>
      </c>
      <c r="C2225" s="3" t="s">
        <v>9</v>
      </c>
      <c r="D2225" s="18">
        <v>8.2500000000000004E-2</v>
      </c>
      <c r="E2225" s="21">
        <f t="shared" si="232"/>
        <v>6.6279668043680573E-3</v>
      </c>
      <c r="F2225" s="5">
        <v>36446</v>
      </c>
      <c r="G2225" s="5">
        <v>38645</v>
      </c>
      <c r="H2225" s="16">
        <f t="shared" si="228"/>
        <v>2199</v>
      </c>
      <c r="I2225" s="5">
        <v>38676</v>
      </c>
      <c r="J2225" s="5">
        <v>37237</v>
      </c>
      <c r="K2225" s="16">
        <f t="shared" si="229"/>
        <v>791</v>
      </c>
      <c r="L2225" s="13">
        <v>24828.78</v>
      </c>
      <c r="M2225" s="15">
        <f t="shared" si="227"/>
        <v>428.74644317274522</v>
      </c>
      <c r="N2225" s="13">
        <v>13000</v>
      </c>
      <c r="O2225" s="13">
        <v>0</v>
      </c>
      <c r="P2225" s="11">
        <f t="shared" si="233"/>
        <v>0</v>
      </c>
    </row>
    <row r="2226" spans="1:16" ht="18.75" customHeight="1" thickBot="1" x14ac:dyDescent="0.3">
      <c r="A2226" s="3" t="s">
        <v>11</v>
      </c>
      <c r="B2226" s="4">
        <v>791548</v>
      </c>
      <c r="C2226" s="3" t="s">
        <v>9</v>
      </c>
      <c r="D2226" s="18">
        <v>0.09</v>
      </c>
      <c r="E2226" s="21">
        <f t="shared" si="232"/>
        <v>7.2073233161367156E-3</v>
      </c>
      <c r="F2226" s="5">
        <v>36447</v>
      </c>
      <c r="G2226" s="5">
        <v>37914</v>
      </c>
      <c r="H2226" s="16">
        <f t="shared" si="228"/>
        <v>1467</v>
      </c>
      <c r="I2226" s="5">
        <v>37975</v>
      </c>
      <c r="J2226" s="5">
        <v>37663</v>
      </c>
      <c r="K2226" s="16">
        <f t="shared" si="229"/>
        <v>1216</v>
      </c>
      <c r="L2226" s="13">
        <v>7056</v>
      </c>
      <c r="M2226" s="15">
        <f t="shared" si="227"/>
        <v>171.72647424031211</v>
      </c>
      <c r="N2226" s="13">
        <v>1155.99</v>
      </c>
      <c r="O2226" s="13">
        <v>0</v>
      </c>
      <c r="P2226" s="11">
        <f t="shared" si="233"/>
        <v>0</v>
      </c>
    </row>
    <row r="2227" spans="1:16" ht="18.75" customHeight="1" thickBot="1" x14ac:dyDescent="0.3">
      <c r="A2227" s="3" t="s">
        <v>11</v>
      </c>
      <c r="B2227" s="4">
        <v>362889</v>
      </c>
      <c r="C2227" s="3" t="s">
        <v>9</v>
      </c>
      <c r="D2227" s="18">
        <v>8.2500000000000004E-2</v>
      </c>
      <c r="E2227" s="21">
        <f t="shared" si="232"/>
        <v>6.6279668043680573E-3</v>
      </c>
      <c r="F2227" s="5">
        <v>36465</v>
      </c>
      <c r="G2227" s="5">
        <v>38285</v>
      </c>
      <c r="H2227" s="16">
        <f t="shared" si="228"/>
        <v>1820</v>
      </c>
      <c r="I2227" s="5">
        <v>38408</v>
      </c>
      <c r="J2227" s="5">
        <v>38237</v>
      </c>
      <c r="K2227" s="16">
        <f t="shared" si="229"/>
        <v>1772</v>
      </c>
      <c r="L2227" s="13">
        <v>15219.84</v>
      </c>
      <c r="M2227" s="15">
        <f t="shared" si="227"/>
        <v>305.5053072459703</v>
      </c>
      <c r="N2227" s="13">
        <v>3297.88</v>
      </c>
      <c r="O2227" s="13">
        <v>200</v>
      </c>
      <c r="P2227" s="11">
        <f t="shared" si="233"/>
        <v>0</v>
      </c>
    </row>
    <row r="2228" spans="1:16" ht="18.75" customHeight="1" thickBot="1" x14ac:dyDescent="0.3">
      <c r="A2228" s="3" t="s">
        <v>11</v>
      </c>
      <c r="B2228" s="4">
        <v>107562</v>
      </c>
      <c r="C2228" s="3" t="s">
        <v>9</v>
      </c>
      <c r="D2228" s="18">
        <v>8.5000000000000006E-2</v>
      </c>
      <c r="E2228" s="21">
        <f t="shared" si="232"/>
        <v>6.8214933659622723E-3</v>
      </c>
      <c r="F2228" s="5">
        <v>36570</v>
      </c>
      <c r="G2228" s="5">
        <v>38051</v>
      </c>
      <c r="H2228" s="16">
        <f t="shared" si="228"/>
        <v>1481</v>
      </c>
      <c r="I2228" s="5">
        <v>40071</v>
      </c>
      <c r="J2228" s="5">
        <v>38329</v>
      </c>
      <c r="K2228" s="16">
        <f t="shared" si="229"/>
        <v>1759</v>
      </c>
      <c r="L2228" s="13">
        <v>14850</v>
      </c>
      <c r="M2228" s="15">
        <f t="shared" si="227"/>
        <v>355.31246567368618</v>
      </c>
      <c r="N2228" s="13">
        <v>8125.68</v>
      </c>
      <c r="O2228" s="13">
        <v>1441.71</v>
      </c>
      <c r="P2228" s="11">
        <f t="shared" si="233"/>
        <v>0</v>
      </c>
    </row>
    <row r="2229" spans="1:16" ht="18.75" customHeight="1" thickBot="1" x14ac:dyDescent="0.3">
      <c r="A2229" s="3" t="s">
        <v>11</v>
      </c>
      <c r="B2229" s="4">
        <v>770446</v>
      </c>
      <c r="C2229" s="3" t="s">
        <v>9</v>
      </c>
      <c r="D2229" s="18">
        <v>4.58E-2</v>
      </c>
      <c r="E2229" s="21">
        <f t="shared" si="232"/>
        <v>3.7388172355212745E-3</v>
      </c>
      <c r="F2229" s="5">
        <v>36720</v>
      </c>
      <c r="G2229" s="5">
        <v>38188</v>
      </c>
      <c r="H2229" s="16">
        <f t="shared" si="228"/>
        <v>1468</v>
      </c>
      <c r="I2229" s="5">
        <v>40653</v>
      </c>
      <c r="J2229" s="5">
        <v>37413</v>
      </c>
      <c r="K2229" s="16">
        <f t="shared" si="229"/>
        <v>693</v>
      </c>
      <c r="L2229" s="13">
        <v>10056</v>
      </c>
      <c r="M2229" s="15">
        <f t="shared" si="227"/>
        <v>225.25862043846055</v>
      </c>
      <c r="N2229" s="13">
        <v>6171.23</v>
      </c>
      <c r="O2229" s="13">
        <v>0</v>
      </c>
      <c r="P2229" s="11">
        <f t="shared" si="233"/>
        <v>0</v>
      </c>
    </row>
    <row r="2230" spans="1:16" ht="18.75" customHeight="1" thickBot="1" x14ac:dyDescent="0.3">
      <c r="A2230" s="3" t="s">
        <v>11</v>
      </c>
      <c r="B2230" s="4">
        <v>781207</v>
      </c>
      <c r="C2230" s="3" t="s">
        <v>16</v>
      </c>
      <c r="D2230" s="18">
        <v>0.105</v>
      </c>
      <c r="E2230" s="21">
        <f t="shared" si="232"/>
        <v>8.355155683635207E-3</v>
      </c>
      <c r="F2230" s="5">
        <v>36775</v>
      </c>
      <c r="G2230" s="5">
        <v>37516</v>
      </c>
      <c r="H2230" s="16">
        <f t="shared" si="228"/>
        <v>741</v>
      </c>
      <c r="I2230" s="5">
        <v>37516</v>
      </c>
      <c r="J2230" s="5">
        <v>37413</v>
      </c>
      <c r="K2230" s="16">
        <f t="shared" si="229"/>
        <v>638</v>
      </c>
      <c r="L2230" s="13">
        <v>1650</v>
      </c>
      <c r="M2230" s="15">
        <f t="shared" si="227"/>
        <v>74.209241384992723</v>
      </c>
      <c r="N2230" s="13">
        <v>650.75</v>
      </c>
      <c r="O2230" s="13">
        <v>0</v>
      </c>
      <c r="P2230" s="11">
        <f t="shared" si="233"/>
        <v>0</v>
      </c>
    </row>
    <row r="2231" spans="1:16" ht="18.75" customHeight="1" thickBot="1" x14ac:dyDescent="0.3">
      <c r="A2231" s="3" t="s">
        <v>11</v>
      </c>
      <c r="B2231" s="4">
        <v>219383</v>
      </c>
      <c r="C2231" s="3" t="s">
        <v>12</v>
      </c>
      <c r="D2231" s="18">
        <v>0.14249999999999999</v>
      </c>
      <c r="E2231" s="21">
        <f t="shared" si="232"/>
        <v>1.1163421416801933E-2</v>
      </c>
      <c r="F2231" s="5">
        <v>36999</v>
      </c>
      <c r="G2231" s="5">
        <v>37726</v>
      </c>
      <c r="H2231" s="16">
        <f t="shared" si="228"/>
        <v>727</v>
      </c>
      <c r="I2231" s="5">
        <v>37756</v>
      </c>
      <c r="J2231" s="5">
        <v>37413</v>
      </c>
      <c r="K2231" s="16">
        <f t="shared" si="229"/>
        <v>414</v>
      </c>
      <c r="L2231" s="13">
        <v>1998.1</v>
      </c>
      <c r="M2231" s="15">
        <f t="shared" si="227"/>
        <v>94.564203475745629</v>
      </c>
      <c r="N2231" s="13">
        <v>1472.87</v>
      </c>
      <c r="O2231" s="13">
        <v>3.46</v>
      </c>
      <c r="P2231" s="11">
        <f t="shared" si="233"/>
        <v>0</v>
      </c>
    </row>
    <row r="2232" spans="1:16" ht="18.75" customHeight="1" thickBot="1" x14ac:dyDescent="0.3">
      <c r="A2232" s="3" t="s">
        <v>11</v>
      </c>
      <c r="B2232" s="4">
        <v>754631</v>
      </c>
      <c r="C2232" s="3" t="s">
        <v>9</v>
      </c>
      <c r="D2232" s="18">
        <v>8.5000000000000006E-2</v>
      </c>
      <c r="E2232" s="21">
        <f t="shared" si="232"/>
        <v>6.8214933659622723E-3</v>
      </c>
      <c r="F2232" s="5">
        <v>37575</v>
      </c>
      <c r="G2232" s="5">
        <v>39406</v>
      </c>
      <c r="H2232" s="16">
        <f t="shared" si="228"/>
        <v>1831</v>
      </c>
      <c r="I2232" s="5">
        <v>39436</v>
      </c>
      <c r="J2232" s="5">
        <v>38142</v>
      </c>
      <c r="K2232" s="16">
        <f t="shared" si="229"/>
        <v>567</v>
      </c>
      <c r="L2232" s="13">
        <v>11028.08</v>
      </c>
      <c r="M2232" s="15">
        <f t="shared" si="227"/>
        <v>221.51276420640704</v>
      </c>
      <c r="N2232" s="13">
        <v>5746.55</v>
      </c>
      <c r="O2232" s="13">
        <v>1760.81</v>
      </c>
      <c r="P2232" s="11">
        <f t="shared" si="233"/>
        <v>0</v>
      </c>
    </row>
    <row r="2233" spans="1:16" ht="18.75" customHeight="1" thickBot="1" x14ac:dyDescent="0.3">
      <c r="A2233" s="3" t="s">
        <v>11</v>
      </c>
      <c r="B2233" s="4">
        <v>574224</v>
      </c>
      <c r="C2233" s="3" t="s">
        <v>9</v>
      </c>
      <c r="D2233" s="18">
        <v>7.7499999999999999E-2</v>
      </c>
      <c r="E2233" s="21">
        <f t="shared" si="232"/>
        <v>6.2396814612857288E-3</v>
      </c>
      <c r="F2233" s="5">
        <v>38006</v>
      </c>
      <c r="G2233" s="5">
        <v>39833</v>
      </c>
      <c r="H2233" s="16">
        <f t="shared" si="228"/>
        <v>1827</v>
      </c>
      <c r="I2233" s="5">
        <v>39864</v>
      </c>
      <c r="J2233" s="5">
        <v>38496</v>
      </c>
      <c r="K2233" s="16">
        <f t="shared" si="229"/>
        <v>490</v>
      </c>
      <c r="L2233" s="13">
        <v>13065</v>
      </c>
      <c r="M2233" s="15">
        <f t="shared" si="227"/>
        <v>258.5286853457967</v>
      </c>
      <c r="N2233" s="13">
        <v>2180.5300000000002</v>
      </c>
      <c r="O2233" s="13">
        <v>0.05</v>
      </c>
      <c r="P2233" s="11">
        <f t="shared" si="233"/>
        <v>0</v>
      </c>
    </row>
    <row r="2234" spans="1:16" ht="18.75" customHeight="1" thickBot="1" x14ac:dyDescent="0.3">
      <c r="A2234" s="3" t="s">
        <v>11</v>
      </c>
      <c r="B2234" s="4">
        <v>421210</v>
      </c>
      <c r="C2234" s="3" t="s">
        <v>9</v>
      </c>
      <c r="D2234" s="18">
        <v>0.129</v>
      </c>
      <c r="E2234" s="21">
        <f t="shared" si="232"/>
        <v>1.0162312880815705E-2</v>
      </c>
      <c r="F2234" s="5">
        <v>38250</v>
      </c>
      <c r="G2234" s="5">
        <v>38289</v>
      </c>
      <c r="H2234" s="16">
        <f t="shared" si="228"/>
        <v>39</v>
      </c>
      <c r="I2234" s="5">
        <v>39161</v>
      </c>
      <c r="J2234" s="5">
        <v>38617</v>
      </c>
      <c r="K2234" s="16">
        <f t="shared" si="229"/>
        <v>367</v>
      </c>
      <c r="L2234" s="13">
        <v>17100</v>
      </c>
      <c r="M2234" s="15">
        <f t="shared" si="227"/>
        <v>13307.648394338059</v>
      </c>
      <c r="N2234" s="13">
        <v>17100</v>
      </c>
      <c r="O2234" s="13">
        <v>0</v>
      </c>
      <c r="P2234" s="11">
        <f t="shared" si="233"/>
        <v>0</v>
      </c>
    </row>
    <row r="2235" spans="1:16" ht="18.75" customHeight="1" thickBot="1" x14ac:dyDescent="0.3">
      <c r="A2235" s="3" t="s">
        <v>11</v>
      </c>
      <c r="B2235" s="4">
        <v>556570</v>
      </c>
      <c r="C2235" s="3" t="s">
        <v>9</v>
      </c>
      <c r="D2235" s="18">
        <v>8.5000000000000006E-2</v>
      </c>
      <c r="E2235" s="21">
        <f t="shared" si="232"/>
        <v>6.8214933659622723E-3</v>
      </c>
      <c r="F2235" s="5">
        <v>38432</v>
      </c>
      <c r="G2235" s="5">
        <v>39893</v>
      </c>
      <c r="H2235" s="16">
        <f t="shared" si="228"/>
        <v>1461</v>
      </c>
      <c r="I2235" s="5">
        <v>39893</v>
      </c>
      <c r="J2235" s="5">
        <v>38916</v>
      </c>
      <c r="K2235" s="16">
        <f t="shared" si="229"/>
        <v>484</v>
      </c>
      <c r="L2235" s="13">
        <v>15875</v>
      </c>
      <c r="M2235" s="15">
        <f t="shared" si="227"/>
        <v>384.21382190015407</v>
      </c>
      <c r="N2235" s="13">
        <v>7500</v>
      </c>
      <c r="O2235" s="13">
        <v>0</v>
      </c>
      <c r="P2235" s="11">
        <f t="shared" si="233"/>
        <v>0</v>
      </c>
    </row>
    <row r="2236" spans="1:16" ht="18.75" customHeight="1" thickBot="1" x14ac:dyDescent="0.3">
      <c r="A2236" s="3" t="s">
        <v>11</v>
      </c>
      <c r="B2236" s="4">
        <v>145912</v>
      </c>
      <c r="C2236" s="3" t="s">
        <v>9</v>
      </c>
      <c r="D2236" s="18">
        <v>9.6500000000000002E-2</v>
      </c>
      <c r="E2236" s="21">
        <f t="shared" si="232"/>
        <v>7.706484001444025E-3</v>
      </c>
      <c r="F2236" s="5">
        <v>38770</v>
      </c>
      <c r="G2236" s="5">
        <v>40596</v>
      </c>
      <c r="H2236" s="16">
        <f t="shared" si="228"/>
        <v>1826</v>
      </c>
      <c r="I2236" s="5">
        <v>41174</v>
      </c>
      <c r="J2236" s="5">
        <v>40442</v>
      </c>
      <c r="K2236" s="16">
        <f t="shared" si="229"/>
        <v>1672</v>
      </c>
      <c r="L2236" s="13">
        <v>33863.69</v>
      </c>
      <c r="M2236" s="15">
        <f t="shared" si="227"/>
        <v>699.10973796306519</v>
      </c>
      <c r="N2236" s="13">
        <v>12104</v>
      </c>
      <c r="O2236" s="13">
        <v>4289.5200000000004</v>
      </c>
      <c r="P2236" s="11">
        <f t="shared" si="233"/>
        <v>0</v>
      </c>
    </row>
    <row r="2237" spans="1:16" ht="18.75" customHeight="1" thickBot="1" x14ac:dyDescent="0.3">
      <c r="A2237" s="3" t="s">
        <v>11</v>
      </c>
      <c r="B2237" s="4">
        <v>356560</v>
      </c>
      <c r="C2237" s="3" t="s">
        <v>9</v>
      </c>
      <c r="D2237" s="18">
        <v>0.11899999999999999</v>
      </c>
      <c r="E2237" s="21">
        <f t="shared" si="232"/>
        <v>9.4136514064584453E-3</v>
      </c>
      <c r="F2237" s="5">
        <v>38868</v>
      </c>
      <c r="G2237" s="5">
        <v>39963</v>
      </c>
      <c r="H2237" s="16">
        <f t="shared" si="228"/>
        <v>1095</v>
      </c>
      <c r="I2237" s="5">
        <v>39963</v>
      </c>
      <c r="J2237" s="5">
        <v>39504</v>
      </c>
      <c r="K2237" s="16">
        <f t="shared" si="229"/>
        <v>636</v>
      </c>
      <c r="L2237" s="13">
        <v>4406.25</v>
      </c>
      <c r="M2237" s="15">
        <f t="shared" si="227"/>
        <v>143.2057656776565</v>
      </c>
      <c r="N2237" s="13">
        <v>3031.46</v>
      </c>
      <c r="O2237" s="13">
        <v>3232.32</v>
      </c>
      <c r="P2237" s="11">
        <f t="shared" si="233"/>
        <v>0</v>
      </c>
    </row>
    <row r="2238" spans="1:16" ht="18.75" customHeight="1" thickBot="1" x14ac:dyDescent="0.3">
      <c r="A2238" s="3" t="s">
        <v>11</v>
      </c>
      <c r="B2238" s="4">
        <v>882131</v>
      </c>
      <c r="C2238" s="3" t="s">
        <v>5</v>
      </c>
      <c r="D2238" s="18">
        <v>0.08</v>
      </c>
      <c r="E2238" s="21">
        <f t="shared" si="232"/>
        <v>6.4340301100034303E-3</v>
      </c>
      <c r="F2238" s="5">
        <v>38915</v>
      </c>
      <c r="G2238" s="5">
        <v>39280</v>
      </c>
      <c r="H2238" s="16">
        <f t="shared" si="228"/>
        <v>365</v>
      </c>
      <c r="I2238" s="5">
        <v>40560</v>
      </c>
      <c r="J2238" s="5">
        <v>40561</v>
      </c>
      <c r="K2238" s="16">
        <f t="shared" si="229"/>
        <v>1646</v>
      </c>
      <c r="L2238" s="13">
        <v>1209043</v>
      </c>
      <c r="M2238" s="15">
        <f t="shared" si="227"/>
        <v>103632.82869875045</v>
      </c>
      <c r="N2238" s="13">
        <v>718730.1</v>
      </c>
      <c r="O2238" s="13">
        <v>0</v>
      </c>
      <c r="P2238" s="11">
        <f t="shared" si="233"/>
        <v>0</v>
      </c>
    </row>
    <row r="2239" spans="1:16" ht="18.75" customHeight="1" thickBot="1" x14ac:dyDescent="0.3">
      <c r="A2239" s="3" t="s">
        <v>11</v>
      </c>
      <c r="B2239" s="4">
        <v>175737</v>
      </c>
      <c r="C2239" s="3" t="s">
        <v>9</v>
      </c>
      <c r="D2239" s="18">
        <v>9.6500000000000002E-2</v>
      </c>
      <c r="E2239" s="21">
        <f t="shared" si="232"/>
        <v>7.706484001444025E-3</v>
      </c>
      <c r="F2239" s="5">
        <v>38982</v>
      </c>
      <c r="G2239" s="5">
        <v>40811</v>
      </c>
      <c r="H2239" s="16">
        <f t="shared" si="228"/>
        <v>1829</v>
      </c>
      <c r="I2239" s="5">
        <v>40902</v>
      </c>
      <c r="J2239" s="5">
        <v>40084</v>
      </c>
      <c r="K2239" s="16">
        <f t="shared" si="229"/>
        <v>1102</v>
      </c>
      <c r="L2239" s="13">
        <v>21182.44</v>
      </c>
      <c r="M2239" s="15">
        <f t="shared" si="227"/>
        <v>436.74493884588674</v>
      </c>
      <c r="N2239" s="13">
        <v>10000</v>
      </c>
      <c r="O2239" s="13">
        <v>0</v>
      </c>
      <c r="P2239" s="11">
        <f t="shared" si="233"/>
        <v>0</v>
      </c>
    </row>
    <row r="2240" spans="1:16" ht="18.75" customHeight="1" thickBot="1" x14ac:dyDescent="0.3">
      <c r="A2240" s="3" t="s">
        <v>11</v>
      </c>
      <c r="B2240" s="4">
        <v>741625</v>
      </c>
      <c r="C2240" s="3" t="s">
        <v>9</v>
      </c>
      <c r="D2240" s="18">
        <v>6.8900000000000003E-2</v>
      </c>
      <c r="E2240" s="21">
        <f t="shared" si="232"/>
        <v>5.5679505949390862E-3</v>
      </c>
      <c r="F2240" s="5">
        <v>38996</v>
      </c>
      <c r="G2240" s="5">
        <v>40457</v>
      </c>
      <c r="H2240" s="16">
        <f t="shared" si="228"/>
        <v>1461</v>
      </c>
      <c r="I2240" s="5">
        <v>40700</v>
      </c>
      <c r="J2240" s="5">
        <v>40721</v>
      </c>
      <c r="K2240" s="16">
        <f t="shared" si="229"/>
        <v>1725</v>
      </c>
      <c r="L2240" s="13">
        <v>29095.05</v>
      </c>
      <c r="M2240" s="15">
        <f t="shared" si="227"/>
        <v>683.74194532434387</v>
      </c>
      <c r="N2240" s="13">
        <v>12300</v>
      </c>
      <c r="O2240" s="13">
        <v>0</v>
      </c>
      <c r="P2240" s="11">
        <f t="shared" si="233"/>
        <v>0</v>
      </c>
    </row>
    <row r="2241" spans="1:16" ht="18.75" customHeight="1" thickBot="1" x14ac:dyDescent="0.3">
      <c r="A2241" s="3" t="s">
        <v>11</v>
      </c>
      <c r="B2241" s="4">
        <v>182609</v>
      </c>
      <c r="C2241" s="3" t="s">
        <v>9</v>
      </c>
      <c r="D2241" s="18">
        <v>6.8900000000000003E-2</v>
      </c>
      <c r="E2241" s="21">
        <f t="shared" si="232"/>
        <v>5.5679505949390862E-3</v>
      </c>
      <c r="F2241" s="5">
        <v>39115</v>
      </c>
      <c r="G2241" s="5">
        <v>40954</v>
      </c>
      <c r="H2241" s="16">
        <f t="shared" si="228"/>
        <v>1839</v>
      </c>
      <c r="I2241" s="5">
        <v>40983</v>
      </c>
      <c r="J2241" s="5">
        <v>40358</v>
      </c>
      <c r="K2241" s="16">
        <f t="shared" si="229"/>
        <v>1243</v>
      </c>
      <c r="L2241" s="13">
        <v>37677.58</v>
      </c>
      <c r="M2241" s="15">
        <f t="shared" si="227"/>
        <v>727.18438185228524</v>
      </c>
      <c r="N2241" s="13">
        <v>15559.63</v>
      </c>
      <c r="O2241" s="13">
        <v>0</v>
      </c>
      <c r="P2241" s="11">
        <f t="shared" si="233"/>
        <v>0</v>
      </c>
    </row>
    <row r="2242" spans="1:16" ht="18.75" customHeight="1" thickBot="1" x14ac:dyDescent="0.3">
      <c r="A2242" s="3" t="s">
        <v>11</v>
      </c>
      <c r="B2242" s="4">
        <v>72407</v>
      </c>
      <c r="C2242" s="3" t="s">
        <v>7</v>
      </c>
      <c r="D2242" s="18">
        <v>5.2690000000000001E-2</v>
      </c>
      <c r="E2242" s="21">
        <f t="shared" si="232"/>
        <v>4.28823434639658E-3</v>
      </c>
      <c r="F2242" s="5">
        <v>39149</v>
      </c>
      <c r="G2242" s="5">
        <v>40247</v>
      </c>
      <c r="H2242" s="16">
        <f t="shared" si="228"/>
        <v>1098</v>
      </c>
      <c r="I2242" s="5">
        <v>41713</v>
      </c>
      <c r="J2242" s="5">
        <v>40900</v>
      </c>
      <c r="K2242" s="16">
        <f t="shared" si="229"/>
        <v>1751</v>
      </c>
      <c r="L2242" s="13">
        <v>329662</v>
      </c>
      <c r="M2242" s="15">
        <f t="shared" ref="M2242:M2305" si="234">-PMT(E2242,(H2242/30),L2242)</f>
        <v>9751.733511661816</v>
      </c>
      <c r="N2242" s="13">
        <v>247876.56</v>
      </c>
      <c r="O2242" s="13">
        <v>0</v>
      </c>
      <c r="P2242" s="11">
        <f t="shared" si="233"/>
        <v>0</v>
      </c>
    </row>
    <row r="2243" spans="1:16" ht="18.75" customHeight="1" thickBot="1" x14ac:dyDescent="0.3">
      <c r="A2243" s="3" t="s">
        <v>11</v>
      </c>
      <c r="B2243" s="4">
        <v>352036</v>
      </c>
      <c r="C2243" s="3" t="s">
        <v>9</v>
      </c>
      <c r="D2243" s="18">
        <v>0.114</v>
      </c>
      <c r="E2243" s="21">
        <f t="shared" si="232"/>
        <v>9.0370179501075842E-3</v>
      </c>
      <c r="F2243" s="5">
        <v>39213</v>
      </c>
      <c r="G2243" s="5">
        <v>39763</v>
      </c>
      <c r="H2243" s="16">
        <f t="shared" ref="H2243:H2306" si="235">G2243-F2243</f>
        <v>550</v>
      </c>
      <c r="I2243" s="5">
        <v>39763</v>
      </c>
      <c r="J2243" s="5">
        <v>39429</v>
      </c>
      <c r="K2243" s="16">
        <f t="shared" ref="K2243:K2306" si="236">J2243-F2243</f>
        <v>216</v>
      </c>
      <c r="L2243" s="13">
        <v>1318.75</v>
      </c>
      <c r="M2243" s="15">
        <f t="shared" si="234"/>
        <v>78.378866421691967</v>
      </c>
      <c r="N2243" s="13">
        <v>1226.4100000000001</v>
      </c>
      <c r="O2243" s="13">
        <v>0</v>
      </c>
      <c r="P2243" s="11">
        <f t="shared" si="233"/>
        <v>0</v>
      </c>
    </row>
    <row r="2244" spans="1:16" ht="18.75" customHeight="1" thickBot="1" x14ac:dyDescent="0.3">
      <c r="A2244" s="3" t="s">
        <v>11</v>
      </c>
      <c r="B2244" s="4">
        <v>698318</v>
      </c>
      <c r="C2244" s="3" t="s">
        <v>9</v>
      </c>
      <c r="D2244" s="18">
        <v>9.4E-2</v>
      </c>
      <c r="E2244" s="21">
        <f t="shared" si="232"/>
        <v>7.5148209323356863E-3</v>
      </c>
      <c r="F2244" s="5">
        <v>39232</v>
      </c>
      <c r="G2244" s="5">
        <v>40688</v>
      </c>
      <c r="H2244" s="16">
        <f t="shared" si="235"/>
        <v>1456</v>
      </c>
      <c r="I2244" s="5">
        <v>40933</v>
      </c>
      <c r="J2244" s="5">
        <v>40015</v>
      </c>
      <c r="K2244" s="16">
        <f t="shared" si="236"/>
        <v>783</v>
      </c>
      <c r="L2244" s="13">
        <v>17080</v>
      </c>
      <c r="M2244" s="15">
        <f t="shared" si="234"/>
        <v>421.29827943283351</v>
      </c>
      <c r="N2244" s="13">
        <v>7333</v>
      </c>
      <c r="O2244" s="13">
        <v>100</v>
      </c>
      <c r="P2244" s="11">
        <f t="shared" si="233"/>
        <v>0</v>
      </c>
    </row>
    <row r="2245" spans="1:16" ht="18.75" customHeight="1" thickBot="1" x14ac:dyDescent="0.3">
      <c r="A2245" s="3" t="s">
        <v>11</v>
      </c>
      <c r="B2245" s="4">
        <v>428269</v>
      </c>
      <c r="C2245" s="3" t="s">
        <v>5</v>
      </c>
      <c r="D2245" s="18">
        <v>0.08</v>
      </c>
      <c r="E2245" s="21">
        <f t="shared" si="232"/>
        <v>6.4340301100034303E-3</v>
      </c>
      <c r="F2245" s="5">
        <v>39273</v>
      </c>
      <c r="G2245" s="5">
        <v>39823</v>
      </c>
      <c r="H2245" s="16">
        <f t="shared" si="235"/>
        <v>550</v>
      </c>
      <c r="I2245" s="5">
        <v>42634</v>
      </c>
      <c r="J2245" s="5">
        <v>42534</v>
      </c>
      <c r="K2245" s="16">
        <f t="shared" si="236"/>
        <v>3261</v>
      </c>
      <c r="L2245" s="13">
        <v>1800368</v>
      </c>
      <c r="M2245" s="15">
        <f t="shared" si="234"/>
        <v>104422.7545823445</v>
      </c>
      <c r="N2245" s="13">
        <v>867119.14</v>
      </c>
      <c r="O2245" s="13">
        <v>108224.65</v>
      </c>
      <c r="P2245" s="11">
        <f t="shared" si="233"/>
        <v>0</v>
      </c>
    </row>
    <row r="2246" spans="1:16" ht="18.75" customHeight="1" thickBot="1" x14ac:dyDescent="0.3">
      <c r="A2246" s="3" t="s">
        <v>11</v>
      </c>
      <c r="B2246" s="4">
        <v>137162</v>
      </c>
      <c r="C2246" s="3" t="s">
        <v>9</v>
      </c>
      <c r="D2246" s="18">
        <v>0.11899999999999999</v>
      </c>
      <c r="E2246" s="21">
        <f t="shared" si="232"/>
        <v>9.4136514064584453E-3</v>
      </c>
      <c r="F2246" s="5">
        <v>39303</v>
      </c>
      <c r="G2246" s="5">
        <v>41130</v>
      </c>
      <c r="H2246" s="16">
        <f t="shared" si="235"/>
        <v>1827</v>
      </c>
      <c r="I2246" s="5">
        <v>41130</v>
      </c>
      <c r="J2246" s="5">
        <v>40668</v>
      </c>
      <c r="K2246" s="16">
        <f t="shared" si="236"/>
        <v>1365</v>
      </c>
      <c r="L2246" s="13">
        <v>23060</v>
      </c>
      <c r="M2246" s="15">
        <f t="shared" si="234"/>
        <v>499.2390944092495</v>
      </c>
      <c r="N2246" s="13">
        <v>8701.25</v>
      </c>
      <c r="O2246" s="13">
        <v>10000</v>
      </c>
      <c r="P2246" s="11">
        <f t="shared" si="233"/>
        <v>0</v>
      </c>
    </row>
    <row r="2247" spans="1:16" ht="18.75" customHeight="1" thickBot="1" x14ac:dyDescent="0.3">
      <c r="A2247" s="3" t="s">
        <v>11</v>
      </c>
      <c r="B2247" s="4">
        <v>100930</v>
      </c>
      <c r="C2247" s="3" t="s">
        <v>9</v>
      </c>
      <c r="D2247" s="18">
        <v>9.4E-2</v>
      </c>
      <c r="E2247" s="21">
        <f t="shared" si="232"/>
        <v>7.5148209323356863E-3</v>
      </c>
      <c r="F2247" s="5">
        <v>39374</v>
      </c>
      <c r="G2247" s="5">
        <v>41201</v>
      </c>
      <c r="H2247" s="16">
        <f t="shared" si="235"/>
        <v>1827</v>
      </c>
      <c r="I2247" s="5">
        <v>41201</v>
      </c>
      <c r="J2247" s="5">
        <v>39926</v>
      </c>
      <c r="K2247" s="16">
        <f t="shared" si="236"/>
        <v>552</v>
      </c>
      <c r="L2247" s="13">
        <v>11252.16</v>
      </c>
      <c r="M2247" s="15">
        <f t="shared" si="234"/>
        <v>230.93860017195567</v>
      </c>
      <c r="N2247" s="13">
        <v>5957.51</v>
      </c>
      <c r="O2247" s="13">
        <v>0.67</v>
      </c>
      <c r="P2247" s="11">
        <f t="shared" si="233"/>
        <v>0</v>
      </c>
    </row>
    <row r="2248" spans="1:16" ht="18.75" customHeight="1" thickBot="1" x14ac:dyDescent="0.3">
      <c r="A2248" s="3" t="s">
        <v>11</v>
      </c>
      <c r="B2248" s="4">
        <v>915657</v>
      </c>
      <c r="C2248" s="3" t="s">
        <v>9</v>
      </c>
      <c r="D2248" s="18">
        <v>7.9000000000000001E-2</v>
      </c>
      <c r="E2248" s="21">
        <f t="shared" si="232"/>
        <v>6.356340187460896E-3</v>
      </c>
      <c r="F2248" s="5">
        <v>39458</v>
      </c>
      <c r="G2248" s="5">
        <v>41661</v>
      </c>
      <c r="H2248" s="16">
        <f t="shared" si="235"/>
        <v>2203</v>
      </c>
      <c r="I2248" s="5">
        <v>41661</v>
      </c>
      <c r="J2248" s="5">
        <v>40631</v>
      </c>
      <c r="K2248" s="16">
        <f t="shared" si="236"/>
        <v>1173</v>
      </c>
      <c r="L2248" s="13">
        <v>25239</v>
      </c>
      <c r="M2248" s="15">
        <f t="shared" si="234"/>
        <v>431.20263748731679</v>
      </c>
      <c r="N2248" s="13">
        <v>8625</v>
      </c>
      <c r="O2248" s="13">
        <v>4230.96</v>
      </c>
      <c r="P2248" s="11">
        <f t="shared" si="233"/>
        <v>0</v>
      </c>
    </row>
    <row r="2249" spans="1:16" ht="18.75" customHeight="1" thickBot="1" x14ac:dyDescent="0.3">
      <c r="A2249" s="3" t="s">
        <v>11</v>
      </c>
      <c r="B2249" s="4">
        <v>311153</v>
      </c>
      <c r="C2249" s="3" t="s">
        <v>9</v>
      </c>
      <c r="D2249" s="18">
        <v>9.4E-2</v>
      </c>
      <c r="E2249" s="21">
        <f t="shared" si="232"/>
        <v>7.5148209323356863E-3</v>
      </c>
      <c r="F2249" s="5">
        <v>39498</v>
      </c>
      <c r="G2249" s="5">
        <v>41325</v>
      </c>
      <c r="H2249" s="16">
        <f t="shared" si="235"/>
        <v>1827</v>
      </c>
      <c r="I2249" s="5">
        <v>41325</v>
      </c>
      <c r="J2249" s="5">
        <v>40074</v>
      </c>
      <c r="K2249" s="16">
        <f t="shared" si="236"/>
        <v>576</v>
      </c>
      <c r="L2249" s="13">
        <v>10858.62</v>
      </c>
      <c r="M2249" s="15">
        <f t="shared" si="234"/>
        <v>222.86161080176618</v>
      </c>
      <c r="N2249" s="13">
        <v>6381.14</v>
      </c>
      <c r="O2249" s="13">
        <v>288.39</v>
      </c>
      <c r="P2249" s="11">
        <f t="shared" si="233"/>
        <v>0</v>
      </c>
    </row>
    <row r="2250" spans="1:16" ht="18.75" customHeight="1" thickBot="1" x14ac:dyDescent="0.3">
      <c r="A2250" s="3" t="s">
        <v>11</v>
      </c>
      <c r="B2250" s="4">
        <v>833245</v>
      </c>
      <c r="C2250" s="3" t="s">
        <v>9</v>
      </c>
      <c r="D2250" s="18">
        <v>0.114</v>
      </c>
      <c r="E2250" s="21">
        <f t="shared" si="232"/>
        <v>9.0370179501075842E-3</v>
      </c>
      <c r="F2250" s="5">
        <v>39561</v>
      </c>
      <c r="G2250" s="5">
        <v>40656</v>
      </c>
      <c r="H2250" s="16">
        <f t="shared" si="235"/>
        <v>1095</v>
      </c>
      <c r="I2250" s="5">
        <v>40656</v>
      </c>
      <c r="J2250" s="5">
        <v>39897</v>
      </c>
      <c r="K2250" s="16">
        <f t="shared" si="236"/>
        <v>336</v>
      </c>
      <c r="L2250" s="13">
        <v>8488.39</v>
      </c>
      <c r="M2250" s="15">
        <f t="shared" si="234"/>
        <v>274.05807214961919</v>
      </c>
      <c r="N2250" s="13">
        <v>7547.16</v>
      </c>
      <c r="O2250" s="13">
        <v>4752.51</v>
      </c>
      <c r="P2250" s="11">
        <f t="shared" si="233"/>
        <v>0</v>
      </c>
    </row>
    <row r="2251" spans="1:16" ht="18.75" customHeight="1" thickBot="1" x14ac:dyDescent="0.3">
      <c r="A2251" s="3" t="s">
        <v>11</v>
      </c>
      <c r="B2251" s="4">
        <v>222780</v>
      </c>
      <c r="C2251" s="3" t="s">
        <v>9</v>
      </c>
      <c r="D2251" s="18">
        <v>8.4000000000000005E-2</v>
      </c>
      <c r="E2251" s="21">
        <f t="shared" si="232"/>
        <v>6.7441318411856077E-3</v>
      </c>
      <c r="F2251" s="5">
        <v>39583</v>
      </c>
      <c r="G2251" s="5">
        <v>41044</v>
      </c>
      <c r="H2251" s="16">
        <f t="shared" si="235"/>
        <v>1461</v>
      </c>
      <c r="I2251" s="5">
        <v>41075</v>
      </c>
      <c r="J2251" s="5">
        <v>39926</v>
      </c>
      <c r="K2251" s="16">
        <f t="shared" si="236"/>
        <v>343</v>
      </c>
      <c r="L2251" s="13">
        <v>10584.17</v>
      </c>
      <c r="M2251" s="15">
        <f t="shared" si="234"/>
        <v>255.70031653948283</v>
      </c>
      <c r="N2251" s="13">
        <v>5709.13</v>
      </c>
      <c r="O2251" s="13">
        <v>3311.79</v>
      </c>
      <c r="P2251" s="11">
        <f t="shared" si="233"/>
        <v>0</v>
      </c>
    </row>
    <row r="2252" spans="1:16" ht="18.75" customHeight="1" thickBot="1" x14ac:dyDescent="0.3">
      <c r="A2252" s="3" t="s">
        <v>11</v>
      </c>
      <c r="B2252" s="4">
        <v>429927</v>
      </c>
      <c r="C2252" s="3" t="s">
        <v>9</v>
      </c>
      <c r="D2252" s="18">
        <v>8.4000000000000005E-2</v>
      </c>
      <c r="E2252" s="21">
        <f t="shared" si="232"/>
        <v>6.7441318411856077E-3</v>
      </c>
      <c r="F2252" s="5">
        <v>39583</v>
      </c>
      <c r="G2252" s="5">
        <v>41409</v>
      </c>
      <c r="H2252" s="16">
        <f t="shared" si="235"/>
        <v>1826</v>
      </c>
      <c r="I2252" s="5">
        <v>41470</v>
      </c>
      <c r="J2252" s="5">
        <v>40627</v>
      </c>
      <c r="K2252" s="16">
        <f t="shared" si="236"/>
        <v>1044</v>
      </c>
      <c r="L2252" s="13">
        <v>14095.14</v>
      </c>
      <c r="M2252" s="15">
        <f t="shared" si="234"/>
        <v>283.11563975766558</v>
      </c>
      <c r="N2252" s="13">
        <v>6283.59</v>
      </c>
      <c r="O2252" s="13">
        <v>20</v>
      </c>
      <c r="P2252" s="11">
        <f t="shared" si="233"/>
        <v>0</v>
      </c>
    </row>
    <row r="2253" spans="1:16" ht="18.75" customHeight="1" thickBot="1" x14ac:dyDescent="0.3">
      <c r="A2253" s="3" t="s">
        <v>11</v>
      </c>
      <c r="B2253" s="4">
        <v>370130</v>
      </c>
      <c r="C2253" s="3" t="s">
        <v>9</v>
      </c>
      <c r="D2253" s="18">
        <v>0.105</v>
      </c>
      <c r="E2253" s="21">
        <f t="shared" si="232"/>
        <v>8.355155683635207E-3</v>
      </c>
      <c r="F2253" s="5">
        <v>39615</v>
      </c>
      <c r="G2253" s="5">
        <v>40710</v>
      </c>
      <c r="H2253" s="16">
        <f t="shared" si="235"/>
        <v>1095</v>
      </c>
      <c r="I2253" s="5">
        <v>40710</v>
      </c>
      <c r="J2253" s="5">
        <v>40148</v>
      </c>
      <c r="K2253" s="16">
        <f t="shared" si="236"/>
        <v>533</v>
      </c>
      <c r="L2253" s="13">
        <v>3603.2</v>
      </c>
      <c r="M2253" s="15">
        <f t="shared" si="234"/>
        <v>114.94302293201602</v>
      </c>
      <c r="N2253" s="13">
        <v>1800</v>
      </c>
      <c r="O2253" s="13">
        <v>0</v>
      </c>
      <c r="P2253" s="11">
        <f t="shared" si="233"/>
        <v>0</v>
      </c>
    </row>
    <row r="2254" spans="1:16" ht="18.75" customHeight="1" thickBot="1" x14ac:dyDescent="0.3">
      <c r="A2254" s="3" t="s">
        <v>11</v>
      </c>
      <c r="B2254" s="4">
        <v>512808</v>
      </c>
      <c r="C2254" s="3" t="s">
        <v>12</v>
      </c>
      <c r="D2254" s="18">
        <v>0.14399999999999999</v>
      </c>
      <c r="E2254" s="21">
        <f t="shared" si="232"/>
        <v>1.1273985471853543E-2</v>
      </c>
      <c r="F2254" s="5">
        <v>39629</v>
      </c>
      <c r="G2254" s="5">
        <v>40724</v>
      </c>
      <c r="H2254" s="16">
        <f t="shared" si="235"/>
        <v>1095</v>
      </c>
      <c r="I2254" s="5">
        <v>40724</v>
      </c>
      <c r="J2254" s="5">
        <v>39897</v>
      </c>
      <c r="K2254" s="16">
        <f t="shared" si="236"/>
        <v>268</v>
      </c>
      <c r="L2254" s="13">
        <v>4144.01</v>
      </c>
      <c r="M2254" s="15">
        <f t="shared" si="234"/>
        <v>139.12177191866874</v>
      </c>
      <c r="N2254" s="13">
        <v>3876.92</v>
      </c>
      <c r="O2254" s="13">
        <v>0</v>
      </c>
      <c r="P2254" s="11">
        <f t="shared" si="233"/>
        <v>0</v>
      </c>
    </row>
    <row r="2255" spans="1:16" ht="18.75" customHeight="1" thickBot="1" x14ac:dyDescent="0.3">
      <c r="A2255" s="3" t="s">
        <v>11</v>
      </c>
      <c r="B2255" s="4">
        <v>983950</v>
      </c>
      <c r="C2255" s="3" t="s">
        <v>9</v>
      </c>
      <c r="D2255" s="18">
        <v>0.104</v>
      </c>
      <c r="E2255" s="21">
        <f t="shared" si="232"/>
        <v>8.2790792398550472E-3</v>
      </c>
      <c r="F2255" s="5">
        <v>39674</v>
      </c>
      <c r="G2255" s="5">
        <v>41136</v>
      </c>
      <c r="H2255" s="16">
        <f t="shared" si="235"/>
        <v>1462</v>
      </c>
      <c r="I2255" s="5">
        <v>41136</v>
      </c>
      <c r="J2255" s="5">
        <v>39897</v>
      </c>
      <c r="K2255" s="16">
        <f t="shared" si="236"/>
        <v>223</v>
      </c>
      <c r="L2255" s="13">
        <v>8790.32</v>
      </c>
      <c r="M2255" s="15">
        <f t="shared" si="234"/>
        <v>219.93972867344604</v>
      </c>
      <c r="N2255" s="13">
        <v>5100</v>
      </c>
      <c r="O2255" s="13">
        <v>0</v>
      </c>
      <c r="P2255" s="11">
        <f t="shared" si="233"/>
        <v>0</v>
      </c>
    </row>
    <row r="2256" spans="1:16" ht="18.75" customHeight="1" thickBot="1" x14ac:dyDescent="0.3">
      <c r="A2256" s="3" t="s">
        <v>11</v>
      </c>
      <c r="B2256" s="4">
        <v>298522</v>
      </c>
      <c r="C2256" s="3" t="s">
        <v>9</v>
      </c>
      <c r="D2256" s="18">
        <v>0.104</v>
      </c>
      <c r="E2256" s="21">
        <f t="shared" si="232"/>
        <v>8.2790792398550472E-3</v>
      </c>
      <c r="F2256" s="5">
        <v>39657</v>
      </c>
      <c r="G2256" s="5">
        <v>41118</v>
      </c>
      <c r="H2256" s="16">
        <f t="shared" si="235"/>
        <v>1461</v>
      </c>
      <c r="I2256" s="5">
        <v>41210</v>
      </c>
      <c r="J2256" s="5">
        <v>40168</v>
      </c>
      <c r="K2256" s="16">
        <f t="shared" si="236"/>
        <v>511</v>
      </c>
      <c r="L2256" s="13">
        <v>10144.43</v>
      </c>
      <c r="M2256" s="15">
        <f t="shared" si="234"/>
        <v>253.96163320526824</v>
      </c>
      <c r="N2256" s="13">
        <v>8863.41</v>
      </c>
      <c r="O2256" s="13">
        <v>2186.9299999999998</v>
      </c>
      <c r="P2256" s="11">
        <f t="shared" si="233"/>
        <v>0</v>
      </c>
    </row>
    <row r="2257" spans="1:16" ht="18.75" customHeight="1" thickBot="1" x14ac:dyDescent="0.3">
      <c r="A2257" s="3" t="s">
        <v>11</v>
      </c>
      <c r="B2257" s="4">
        <v>742572</v>
      </c>
      <c r="C2257" s="3" t="s">
        <v>9</v>
      </c>
      <c r="D2257" s="18">
        <v>6.6500000000000004E-2</v>
      </c>
      <c r="E2257" s="21">
        <f t="shared" si="232"/>
        <v>5.3796066408242638E-3</v>
      </c>
      <c r="F2257" s="5">
        <v>39713</v>
      </c>
      <c r="G2257" s="5">
        <v>41174</v>
      </c>
      <c r="H2257" s="16">
        <f t="shared" si="235"/>
        <v>1461</v>
      </c>
      <c r="I2257" s="5">
        <v>41174</v>
      </c>
      <c r="J2257" s="5">
        <v>40389</v>
      </c>
      <c r="K2257" s="16">
        <f t="shared" si="236"/>
        <v>676</v>
      </c>
      <c r="L2257" s="13">
        <v>11898.12</v>
      </c>
      <c r="M2257" s="15">
        <f t="shared" si="234"/>
        <v>278.36684419974171</v>
      </c>
      <c r="N2257" s="13">
        <v>1400.05</v>
      </c>
      <c r="O2257" s="13">
        <v>0</v>
      </c>
      <c r="P2257" s="11">
        <f t="shared" si="233"/>
        <v>0</v>
      </c>
    </row>
    <row r="2258" spans="1:16" ht="18.75" customHeight="1" thickBot="1" x14ac:dyDescent="0.3">
      <c r="A2258" s="3" t="s">
        <v>11</v>
      </c>
      <c r="B2258" s="4">
        <v>340212</v>
      </c>
      <c r="C2258" s="3" t="s">
        <v>9</v>
      </c>
      <c r="D2258" s="18">
        <v>8.4000000000000005E-2</v>
      </c>
      <c r="E2258" s="21">
        <f t="shared" si="232"/>
        <v>6.7441318411856077E-3</v>
      </c>
      <c r="F2258" s="5">
        <v>39744</v>
      </c>
      <c r="G2258" s="5">
        <v>41571</v>
      </c>
      <c r="H2258" s="16">
        <f t="shared" si="235"/>
        <v>1827</v>
      </c>
      <c r="I2258" s="5">
        <v>42045</v>
      </c>
      <c r="J2258" s="5">
        <v>40814</v>
      </c>
      <c r="K2258" s="16">
        <f t="shared" si="236"/>
        <v>1070</v>
      </c>
      <c r="L2258" s="13">
        <v>10970.55</v>
      </c>
      <c r="M2258" s="15">
        <f t="shared" si="234"/>
        <v>220.25736381894757</v>
      </c>
      <c r="N2258" s="13">
        <v>7356.97</v>
      </c>
      <c r="O2258" s="13">
        <v>7346.01</v>
      </c>
      <c r="P2258" s="11">
        <f t="shared" si="233"/>
        <v>0</v>
      </c>
    </row>
    <row r="2259" spans="1:16" ht="18.75" customHeight="1" thickBot="1" x14ac:dyDescent="0.3">
      <c r="A2259" s="3" t="s">
        <v>11</v>
      </c>
      <c r="B2259" s="4">
        <v>154960</v>
      </c>
      <c r="C2259" s="3" t="s">
        <v>9</v>
      </c>
      <c r="D2259" s="18">
        <v>8.4000000000000005E-2</v>
      </c>
      <c r="E2259" s="21">
        <f t="shared" si="232"/>
        <v>6.7441318411856077E-3</v>
      </c>
      <c r="F2259" s="5">
        <v>39744</v>
      </c>
      <c r="G2259" s="5">
        <v>41205</v>
      </c>
      <c r="H2259" s="16">
        <f t="shared" si="235"/>
        <v>1461</v>
      </c>
      <c r="I2259" s="5">
        <v>41266</v>
      </c>
      <c r="J2259" s="5">
        <v>40228</v>
      </c>
      <c r="K2259" s="16">
        <f t="shared" si="236"/>
        <v>484</v>
      </c>
      <c r="L2259" s="13">
        <v>8221.49</v>
      </c>
      <c r="M2259" s="15">
        <f t="shared" si="234"/>
        <v>198.62092118949266</v>
      </c>
      <c r="N2259" s="13">
        <v>3941.6</v>
      </c>
      <c r="O2259" s="13">
        <v>0</v>
      </c>
      <c r="P2259" s="11">
        <f t="shared" si="233"/>
        <v>0</v>
      </c>
    </row>
    <row r="2260" spans="1:16" ht="18.75" customHeight="1" thickBot="1" x14ac:dyDescent="0.3">
      <c r="A2260" s="3" t="s">
        <v>11</v>
      </c>
      <c r="B2260" s="4">
        <v>410028</v>
      </c>
      <c r="C2260" s="3" t="s">
        <v>9</v>
      </c>
      <c r="D2260" s="18">
        <v>0.109</v>
      </c>
      <c r="E2260" s="21">
        <f t="shared" si="232"/>
        <v>8.6588317099438594E-3</v>
      </c>
      <c r="F2260" s="5">
        <v>39784</v>
      </c>
      <c r="G2260" s="5">
        <v>41245</v>
      </c>
      <c r="H2260" s="16">
        <f t="shared" si="235"/>
        <v>1461</v>
      </c>
      <c r="I2260" s="5">
        <v>41335</v>
      </c>
      <c r="J2260" s="5">
        <v>40900</v>
      </c>
      <c r="K2260" s="16">
        <f t="shared" si="236"/>
        <v>1116</v>
      </c>
      <c r="L2260" s="13">
        <v>8360.41</v>
      </c>
      <c r="M2260" s="15">
        <f t="shared" si="234"/>
        <v>211.13502756107368</v>
      </c>
      <c r="N2260" s="13">
        <v>3976.58</v>
      </c>
      <c r="O2260" s="13">
        <v>4682.01</v>
      </c>
      <c r="P2260" s="11">
        <f t="shared" si="233"/>
        <v>0</v>
      </c>
    </row>
    <row r="2261" spans="1:16" ht="18.75" customHeight="1" thickBot="1" x14ac:dyDescent="0.3">
      <c r="A2261" s="3" t="s">
        <v>11</v>
      </c>
      <c r="B2261" s="4">
        <v>371819</v>
      </c>
      <c r="C2261" s="3" t="s">
        <v>12</v>
      </c>
      <c r="D2261" s="18">
        <v>8.5000000000000006E-2</v>
      </c>
      <c r="E2261" s="21">
        <f t="shared" si="232"/>
        <v>6.8214933659622723E-3</v>
      </c>
      <c r="F2261" s="5">
        <v>39867</v>
      </c>
      <c r="G2261" s="5">
        <v>41698</v>
      </c>
      <c r="H2261" s="16">
        <f t="shared" si="235"/>
        <v>1831</v>
      </c>
      <c r="I2261" s="5">
        <v>41698</v>
      </c>
      <c r="J2261" s="5">
        <v>40484</v>
      </c>
      <c r="K2261" s="16">
        <f t="shared" si="236"/>
        <v>617</v>
      </c>
      <c r="L2261" s="13">
        <v>11487.6</v>
      </c>
      <c r="M2261" s="15">
        <f t="shared" si="234"/>
        <v>230.74279748582902</v>
      </c>
      <c r="N2261" s="13">
        <v>412.64</v>
      </c>
      <c r="O2261" s="13">
        <v>0</v>
      </c>
      <c r="P2261" s="11">
        <f t="shared" si="233"/>
        <v>0</v>
      </c>
    </row>
    <row r="2262" spans="1:16" ht="18.75" customHeight="1" thickBot="1" x14ac:dyDescent="0.3">
      <c r="A2262" s="3" t="s">
        <v>11</v>
      </c>
      <c r="B2262" s="4">
        <v>478251</v>
      </c>
      <c r="C2262" s="3" t="s">
        <v>9</v>
      </c>
      <c r="D2262" s="18">
        <v>0.09</v>
      </c>
      <c r="E2262" s="21">
        <f t="shared" si="232"/>
        <v>7.2073233161367156E-3</v>
      </c>
      <c r="F2262" s="5">
        <v>39974</v>
      </c>
      <c r="G2262" s="5">
        <v>41800</v>
      </c>
      <c r="H2262" s="16">
        <f t="shared" si="235"/>
        <v>1826</v>
      </c>
      <c r="I2262" s="5">
        <v>41800</v>
      </c>
      <c r="J2262" s="5">
        <v>40668</v>
      </c>
      <c r="K2262" s="16">
        <f t="shared" si="236"/>
        <v>694</v>
      </c>
      <c r="L2262" s="13">
        <v>22402</v>
      </c>
      <c r="M2262" s="15">
        <f t="shared" si="234"/>
        <v>455.96700094549163</v>
      </c>
      <c r="N2262" s="13">
        <v>10202.030000000001</v>
      </c>
      <c r="O2262" s="13">
        <v>0</v>
      </c>
      <c r="P2262" s="11">
        <f t="shared" si="233"/>
        <v>0</v>
      </c>
    </row>
    <row r="2263" spans="1:16" ht="18.75" customHeight="1" thickBot="1" x14ac:dyDescent="0.3">
      <c r="A2263" s="3" t="s">
        <v>11</v>
      </c>
      <c r="B2263" s="4">
        <v>886310</v>
      </c>
      <c r="C2263" s="3" t="s">
        <v>4</v>
      </c>
      <c r="D2263" s="18">
        <v>9.35E-2</v>
      </c>
      <c r="E2263" s="21">
        <f t="shared" si="232"/>
        <v>7.4764401457467766E-3</v>
      </c>
      <c r="F2263" s="5">
        <v>42923</v>
      </c>
      <c r="G2263" s="5">
        <v>45480</v>
      </c>
      <c r="H2263" s="16">
        <f t="shared" si="235"/>
        <v>2557</v>
      </c>
      <c r="I2263" s="5">
        <v>45480</v>
      </c>
      <c r="J2263" s="5">
        <v>45201</v>
      </c>
      <c r="K2263" s="16">
        <f t="shared" si="236"/>
        <v>2278</v>
      </c>
      <c r="L2263" s="13">
        <v>33600</v>
      </c>
      <c r="M2263" s="15">
        <f t="shared" si="234"/>
        <v>534.48997250731406</v>
      </c>
      <c r="N2263" s="13">
        <v>8345.99</v>
      </c>
      <c r="O2263" s="13">
        <v>0</v>
      </c>
      <c r="P2263" s="11">
        <f t="shared" si="233"/>
        <v>1</v>
      </c>
    </row>
    <row r="2264" spans="1:16" ht="18.75" customHeight="1" thickBot="1" x14ac:dyDescent="0.3">
      <c r="A2264" s="3" t="s">
        <v>11</v>
      </c>
      <c r="B2264" s="4">
        <v>253684</v>
      </c>
      <c r="C2264" s="3" t="s">
        <v>4</v>
      </c>
      <c r="D2264" s="18">
        <v>7.7499999999999999E-2</v>
      </c>
      <c r="E2264" s="21">
        <f t="shared" si="232"/>
        <v>6.2396814612857288E-3</v>
      </c>
      <c r="F2264" s="5">
        <v>43446</v>
      </c>
      <c r="G2264" s="5">
        <v>46003</v>
      </c>
      <c r="H2264" s="16">
        <f t="shared" si="235"/>
        <v>2557</v>
      </c>
      <c r="I2264" s="5">
        <v>46154</v>
      </c>
      <c r="J2264" s="5">
        <v>45743</v>
      </c>
      <c r="K2264" s="16">
        <f t="shared" si="236"/>
        <v>2297</v>
      </c>
      <c r="L2264" s="13">
        <v>82000</v>
      </c>
      <c r="M2264" s="15">
        <f t="shared" si="234"/>
        <v>1243.3906108012395</v>
      </c>
      <c r="N2264" s="13">
        <v>26589.919999999998</v>
      </c>
      <c r="O2264" s="13">
        <v>0</v>
      </c>
      <c r="P2264" s="11">
        <f t="shared" si="233"/>
        <v>1</v>
      </c>
    </row>
    <row r="2265" spans="1:16" ht="18.75" hidden="1" customHeight="1" thickBot="1" x14ac:dyDescent="0.3">
      <c r="A2265" s="3" t="s">
        <v>11</v>
      </c>
      <c r="B2265" s="4">
        <v>427332</v>
      </c>
      <c r="C2265" s="3" t="s">
        <v>4</v>
      </c>
      <c r="D2265" s="7">
        <v>0.1</v>
      </c>
      <c r="E2265" s="7">
        <f t="shared" ref="E2265:E2306" si="237">D2265/12</f>
        <v>8.3333333333333332E-3</v>
      </c>
      <c r="F2265" s="5">
        <v>43691</v>
      </c>
      <c r="G2265" s="5">
        <v>46248</v>
      </c>
      <c r="H2265" s="8">
        <f t="shared" si="235"/>
        <v>2557</v>
      </c>
      <c r="I2265" s="5">
        <v>46248</v>
      </c>
      <c r="J2265" s="5">
        <v>45091</v>
      </c>
      <c r="K2265" s="8">
        <f t="shared" si="236"/>
        <v>1400</v>
      </c>
      <c r="L2265" s="6">
        <v>30000</v>
      </c>
      <c r="M2265" s="9">
        <f t="shared" si="234"/>
        <v>493.05420807150699</v>
      </c>
      <c r="N2265" s="6">
        <v>21506</v>
      </c>
      <c r="O2265" s="6">
        <v>21506</v>
      </c>
      <c r="P2265" s="6">
        <v>0</v>
      </c>
    </row>
    <row r="2266" spans="1:16" ht="18.75" customHeight="1" thickBot="1" x14ac:dyDescent="0.3">
      <c r="A2266" s="3" t="s">
        <v>11</v>
      </c>
      <c r="B2266" s="4">
        <v>672003</v>
      </c>
      <c r="C2266" s="3" t="s">
        <v>9</v>
      </c>
      <c r="D2266" s="18">
        <v>0.10605000000000001</v>
      </c>
      <c r="E2266" s="21">
        <f t="shared" ref="E2266:E2295" si="238">(1+D2266)^(1/12)-1</f>
        <v>8.4349680573945207E-3</v>
      </c>
      <c r="F2266" s="5">
        <v>43893</v>
      </c>
      <c r="G2266" s="5">
        <v>44868</v>
      </c>
      <c r="H2266" s="16">
        <f t="shared" si="235"/>
        <v>975</v>
      </c>
      <c r="I2266" s="5">
        <v>44898</v>
      </c>
      <c r="J2266" s="5">
        <v>44460</v>
      </c>
      <c r="K2266" s="16">
        <f t="shared" si="236"/>
        <v>567</v>
      </c>
      <c r="L2266" s="13">
        <v>5809.18</v>
      </c>
      <c r="M2266" s="15">
        <f t="shared" si="234"/>
        <v>205.11023801485794</v>
      </c>
      <c r="N2266" s="13">
        <v>3764.67</v>
      </c>
      <c r="O2266" s="13">
        <v>3764.67</v>
      </c>
      <c r="P2266" s="11">
        <f t="shared" ref="P2266:P2295" si="239">IF((G2266)&gt;(ConstantDateCutoff),1,0)</f>
        <v>1</v>
      </c>
    </row>
    <row r="2267" spans="1:16" ht="18.75" customHeight="1" thickBot="1" x14ac:dyDescent="0.3">
      <c r="A2267" s="3" t="s">
        <v>11</v>
      </c>
      <c r="B2267" s="4">
        <v>184556</v>
      </c>
      <c r="C2267" s="3" t="s">
        <v>16</v>
      </c>
      <c r="D2267" s="18">
        <v>0.10249999999999999</v>
      </c>
      <c r="E2267" s="21">
        <f t="shared" si="238"/>
        <v>8.1648460519010424E-3</v>
      </c>
      <c r="F2267" s="5">
        <v>35835</v>
      </c>
      <c r="G2267" s="5">
        <v>36571</v>
      </c>
      <c r="H2267" s="16">
        <f t="shared" si="235"/>
        <v>736</v>
      </c>
      <c r="I2267" s="5">
        <v>36571</v>
      </c>
      <c r="J2267" s="5">
        <v>36138</v>
      </c>
      <c r="K2267" s="16">
        <f t="shared" si="236"/>
        <v>303</v>
      </c>
      <c r="L2267" s="13">
        <v>3698.34</v>
      </c>
      <c r="M2267" s="15">
        <f t="shared" si="234"/>
        <v>166.96199989417599</v>
      </c>
      <c r="N2267" s="13">
        <v>2643.24</v>
      </c>
      <c r="O2267" s="13">
        <v>0</v>
      </c>
      <c r="P2267" s="11">
        <f t="shared" si="239"/>
        <v>0</v>
      </c>
    </row>
    <row r="2268" spans="1:16" ht="18.75" customHeight="1" thickBot="1" x14ac:dyDescent="0.3">
      <c r="A2268" s="3" t="s">
        <v>11</v>
      </c>
      <c r="B2268" s="4">
        <v>69363</v>
      </c>
      <c r="C2268" s="3" t="s">
        <v>9</v>
      </c>
      <c r="D2268" s="18">
        <v>9.5000000000000001E-2</v>
      </c>
      <c r="E2268" s="21">
        <f t="shared" si="238"/>
        <v>7.5915342905825689E-3</v>
      </c>
      <c r="F2268" s="5">
        <v>36845</v>
      </c>
      <c r="G2268" s="5">
        <v>39046</v>
      </c>
      <c r="H2268" s="16">
        <f t="shared" si="235"/>
        <v>2201</v>
      </c>
      <c r="I2268" s="5">
        <v>39076</v>
      </c>
      <c r="J2268" s="5">
        <v>37609</v>
      </c>
      <c r="K2268" s="16">
        <f t="shared" si="236"/>
        <v>764</v>
      </c>
      <c r="L2268" s="13">
        <v>29894.09</v>
      </c>
      <c r="M2268" s="15">
        <f t="shared" si="234"/>
        <v>532.91716360558712</v>
      </c>
      <c r="N2268" s="13">
        <v>24087.07</v>
      </c>
      <c r="O2268" s="13">
        <v>0</v>
      </c>
      <c r="P2268" s="11">
        <f t="shared" si="239"/>
        <v>0</v>
      </c>
    </row>
    <row r="2269" spans="1:16" ht="18.75" customHeight="1" thickBot="1" x14ac:dyDescent="0.3">
      <c r="A2269" s="3" t="s">
        <v>11</v>
      </c>
      <c r="B2269" s="4">
        <v>156396</v>
      </c>
      <c r="C2269" s="3" t="s">
        <v>9</v>
      </c>
      <c r="D2269" s="18">
        <v>0.1075</v>
      </c>
      <c r="E2269" s="21">
        <f t="shared" si="238"/>
        <v>8.5450710394860963E-3</v>
      </c>
      <c r="F2269" s="5">
        <v>36934</v>
      </c>
      <c r="G2269" s="5">
        <v>37664</v>
      </c>
      <c r="H2269" s="16">
        <f t="shared" si="235"/>
        <v>730</v>
      </c>
      <c r="I2269" s="5">
        <v>37664</v>
      </c>
      <c r="J2269" s="5">
        <v>37375</v>
      </c>
      <c r="K2269" s="16">
        <f t="shared" si="236"/>
        <v>441</v>
      </c>
      <c r="L2269" s="13">
        <v>2056</v>
      </c>
      <c r="M2269" s="15">
        <f t="shared" si="234"/>
        <v>93.940883265658229</v>
      </c>
      <c r="N2269" s="13">
        <v>950</v>
      </c>
      <c r="O2269" s="13">
        <v>166.76</v>
      </c>
      <c r="P2269" s="11">
        <f t="shared" si="239"/>
        <v>0</v>
      </c>
    </row>
    <row r="2270" spans="1:16" ht="18.75" customHeight="1" thickBot="1" x14ac:dyDescent="0.3">
      <c r="A2270" s="3" t="s">
        <v>11</v>
      </c>
      <c r="B2270" s="4">
        <v>374403</v>
      </c>
      <c r="C2270" s="3" t="s">
        <v>9</v>
      </c>
      <c r="D2270" s="18">
        <v>0.10249999999999999</v>
      </c>
      <c r="E2270" s="21">
        <f t="shared" si="238"/>
        <v>8.1648460519010424E-3</v>
      </c>
      <c r="F2270" s="5">
        <v>37280</v>
      </c>
      <c r="G2270" s="5">
        <v>38574</v>
      </c>
      <c r="H2270" s="16">
        <f t="shared" si="235"/>
        <v>1294</v>
      </c>
      <c r="I2270" s="5">
        <v>38635</v>
      </c>
      <c r="J2270" s="5">
        <v>38609</v>
      </c>
      <c r="K2270" s="16">
        <f t="shared" si="236"/>
        <v>1329</v>
      </c>
      <c r="L2270" s="13">
        <v>11539.47</v>
      </c>
      <c r="M2270" s="15">
        <f t="shared" si="234"/>
        <v>318.47816616736606</v>
      </c>
      <c r="N2270" s="13">
        <v>3787.97</v>
      </c>
      <c r="O2270" s="13">
        <v>1296.69</v>
      </c>
      <c r="P2270" s="11">
        <f t="shared" si="239"/>
        <v>0</v>
      </c>
    </row>
    <row r="2271" spans="1:16" ht="18.75" customHeight="1" thickBot="1" x14ac:dyDescent="0.3">
      <c r="A2271" s="3" t="s">
        <v>11</v>
      </c>
      <c r="B2271" s="4">
        <v>111138</v>
      </c>
      <c r="C2271" s="3" t="s">
        <v>9</v>
      </c>
      <c r="D2271" s="18">
        <v>9.2499999999999999E-2</v>
      </c>
      <c r="E2271" s="21">
        <f t="shared" si="238"/>
        <v>7.3996302871768282E-3</v>
      </c>
      <c r="F2271" s="5">
        <v>37348</v>
      </c>
      <c r="G2271" s="5">
        <v>39553</v>
      </c>
      <c r="H2271" s="16">
        <f t="shared" si="235"/>
        <v>2205</v>
      </c>
      <c r="I2271" s="5">
        <v>39675</v>
      </c>
      <c r="J2271" s="5">
        <v>38474</v>
      </c>
      <c r="K2271" s="16">
        <f t="shared" si="236"/>
        <v>1126</v>
      </c>
      <c r="L2271" s="13">
        <v>25570.880000000001</v>
      </c>
      <c r="M2271" s="15">
        <f t="shared" si="234"/>
        <v>452.29890235258404</v>
      </c>
      <c r="N2271" s="13">
        <v>18858.93</v>
      </c>
      <c r="O2271" s="13">
        <v>16400</v>
      </c>
      <c r="P2271" s="11">
        <f t="shared" si="239"/>
        <v>0</v>
      </c>
    </row>
    <row r="2272" spans="1:16" ht="18.75" customHeight="1" thickBot="1" x14ac:dyDescent="0.3">
      <c r="A2272" s="3" t="s">
        <v>11</v>
      </c>
      <c r="B2272" s="4">
        <v>248744</v>
      </c>
      <c r="C2272" s="3" t="s">
        <v>16</v>
      </c>
      <c r="D2272" s="18">
        <v>0.13500000000000001</v>
      </c>
      <c r="E2272" s="21">
        <f t="shared" si="238"/>
        <v>1.0608597246586804E-2</v>
      </c>
      <c r="F2272" s="5">
        <v>37426</v>
      </c>
      <c r="G2272" s="5">
        <v>38163</v>
      </c>
      <c r="H2272" s="16">
        <f t="shared" si="235"/>
        <v>737</v>
      </c>
      <c r="I2272" s="5">
        <v>38255</v>
      </c>
      <c r="J2272" s="5">
        <v>38062</v>
      </c>
      <c r="K2272" s="16">
        <f t="shared" si="236"/>
        <v>636</v>
      </c>
      <c r="L2272" s="13">
        <v>2732.84</v>
      </c>
      <c r="M2272" s="15">
        <f t="shared" si="234"/>
        <v>126.95223961836278</v>
      </c>
      <c r="N2272" s="13">
        <v>1074.3599999999999</v>
      </c>
      <c r="O2272" s="13">
        <v>131</v>
      </c>
      <c r="P2272" s="11">
        <f t="shared" si="239"/>
        <v>0</v>
      </c>
    </row>
    <row r="2273" spans="1:16" ht="18.75" customHeight="1" thickBot="1" x14ac:dyDescent="0.3">
      <c r="A2273" s="3" t="s">
        <v>11</v>
      </c>
      <c r="B2273" s="4">
        <v>221532</v>
      </c>
      <c r="C2273" s="3" t="s">
        <v>16</v>
      </c>
      <c r="D2273" s="18">
        <v>0.13500000000000001</v>
      </c>
      <c r="E2273" s="21">
        <f t="shared" si="238"/>
        <v>1.0608597246586804E-2</v>
      </c>
      <c r="F2273" s="5">
        <v>37568</v>
      </c>
      <c r="G2273" s="5">
        <v>38316</v>
      </c>
      <c r="H2273" s="16">
        <f t="shared" si="235"/>
        <v>748</v>
      </c>
      <c r="I2273" s="5">
        <v>38497</v>
      </c>
      <c r="J2273" s="5">
        <v>38062</v>
      </c>
      <c r="K2273" s="16">
        <f t="shared" si="236"/>
        <v>494</v>
      </c>
      <c r="L2273" s="13">
        <v>6315.44</v>
      </c>
      <c r="M2273" s="15">
        <f t="shared" si="234"/>
        <v>289.60052586671475</v>
      </c>
      <c r="N2273" s="13">
        <v>5594.98</v>
      </c>
      <c r="O2273" s="13">
        <v>0</v>
      </c>
      <c r="P2273" s="11">
        <f t="shared" si="239"/>
        <v>0</v>
      </c>
    </row>
    <row r="2274" spans="1:16" ht="18.75" customHeight="1" thickBot="1" x14ac:dyDescent="0.3">
      <c r="A2274" s="3" t="s">
        <v>11</v>
      </c>
      <c r="B2274" s="4">
        <v>20539</v>
      </c>
      <c r="C2274" s="3" t="s">
        <v>16</v>
      </c>
      <c r="D2274" s="18">
        <v>0.1</v>
      </c>
      <c r="E2274" s="21">
        <f t="shared" si="238"/>
        <v>7.9741404289037643E-3</v>
      </c>
      <c r="F2274" s="5">
        <v>37649</v>
      </c>
      <c r="G2274" s="5">
        <v>38384</v>
      </c>
      <c r="H2274" s="16">
        <f t="shared" si="235"/>
        <v>735</v>
      </c>
      <c r="I2274" s="5">
        <v>38412</v>
      </c>
      <c r="J2274" s="5">
        <v>38329</v>
      </c>
      <c r="K2274" s="16">
        <f t="shared" si="236"/>
        <v>680</v>
      </c>
      <c r="L2274" s="13">
        <v>6050</v>
      </c>
      <c r="M2274" s="15">
        <f t="shared" si="234"/>
        <v>272.82563181627734</v>
      </c>
      <c r="N2274" s="13">
        <v>1969.96</v>
      </c>
      <c r="O2274" s="13">
        <v>0</v>
      </c>
      <c r="P2274" s="11">
        <f t="shared" si="239"/>
        <v>0</v>
      </c>
    </row>
    <row r="2275" spans="1:16" ht="18.75" customHeight="1" thickBot="1" x14ac:dyDescent="0.3">
      <c r="A2275" s="3" t="s">
        <v>11</v>
      </c>
      <c r="B2275" s="4">
        <v>376315</v>
      </c>
      <c r="C2275" s="3" t="s">
        <v>9</v>
      </c>
      <c r="D2275" s="18">
        <v>0.13500000000000001</v>
      </c>
      <c r="E2275" s="21">
        <f t="shared" si="238"/>
        <v>1.0608597246586804E-2</v>
      </c>
      <c r="F2275" s="5">
        <v>37586</v>
      </c>
      <c r="G2275" s="5">
        <v>38331</v>
      </c>
      <c r="H2275" s="16">
        <f t="shared" si="235"/>
        <v>745</v>
      </c>
      <c r="I2275" s="5">
        <v>38331</v>
      </c>
      <c r="J2275" s="5">
        <v>37978</v>
      </c>
      <c r="K2275" s="16">
        <f t="shared" si="236"/>
        <v>392</v>
      </c>
      <c r="L2275" s="13">
        <v>5750</v>
      </c>
      <c r="M2275" s="15">
        <f t="shared" si="234"/>
        <v>264.59995753100242</v>
      </c>
      <c r="N2275" s="13">
        <v>4701.78</v>
      </c>
      <c r="O2275" s="13">
        <v>3350.75</v>
      </c>
      <c r="P2275" s="11">
        <f t="shared" si="239"/>
        <v>0</v>
      </c>
    </row>
    <row r="2276" spans="1:16" ht="18.75" customHeight="1" thickBot="1" x14ac:dyDescent="0.3">
      <c r="A2276" s="3" t="s">
        <v>11</v>
      </c>
      <c r="B2276" s="4">
        <v>749255</v>
      </c>
      <c r="C2276" s="3" t="s">
        <v>9</v>
      </c>
      <c r="D2276" s="18">
        <v>0.105</v>
      </c>
      <c r="E2276" s="21">
        <f t="shared" si="238"/>
        <v>8.355155683635207E-3</v>
      </c>
      <c r="F2276" s="5">
        <v>37594</v>
      </c>
      <c r="G2276" s="5">
        <v>39603</v>
      </c>
      <c r="H2276" s="16">
        <f t="shared" si="235"/>
        <v>2009</v>
      </c>
      <c r="I2276" s="5">
        <v>39633</v>
      </c>
      <c r="J2276" s="5">
        <v>38230</v>
      </c>
      <c r="K2276" s="16">
        <f t="shared" si="236"/>
        <v>636</v>
      </c>
      <c r="L2276" s="13">
        <v>30096.95</v>
      </c>
      <c r="M2276" s="15">
        <f t="shared" si="234"/>
        <v>588.65530294131452</v>
      </c>
      <c r="N2276" s="13">
        <v>19500</v>
      </c>
      <c r="O2276" s="13">
        <v>897</v>
      </c>
      <c r="P2276" s="11">
        <f t="shared" si="239"/>
        <v>0</v>
      </c>
    </row>
    <row r="2277" spans="1:16" ht="18.75" customHeight="1" thickBot="1" x14ac:dyDescent="0.3">
      <c r="A2277" s="3" t="s">
        <v>11</v>
      </c>
      <c r="B2277" s="4">
        <v>488351</v>
      </c>
      <c r="C2277" s="3" t="s">
        <v>16</v>
      </c>
      <c r="D2277" s="18">
        <v>0.15</v>
      </c>
      <c r="E2277" s="21">
        <f t="shared" si="238"/>
        <v>1.171491691985338E-2</v>
      </c>
      <c r="F2277" s="5">
        <v>37637</v>
      </c>
      <c r="G2277" s="5">
        <v>38368</v>
      </c>
      <c r="H2277" s="16">
        <f t="shared" si="235"/>
        <v>731</v>
      </c>
      <c r="I2277" s="5">
        <v>38399</v>
      </c>
      <c r="J2277" s="5">
        <v>38042</v>
      </c>
      <c r="K2277" s="16">
        <f t="shared" si="236"/>
        <v>405</v>
      </c>
      <c r="L2277" s="13">
        <v>3050</v>
      </c>
      <c r="M2277" s="15">
        <f t="shared" si="234"/>
        <v>144.6118850847588</v>
      </c>
      <c r="N2277" s="13">
        <v>2173.7800000000002</v>
      </c>
      <c r="O2277" s="13">
        <v>0</v>
      </c>
      <c r="P2277" s="11">
        <f t="shared" si="239"/>
        <v>0</v>
      </c>
    </row>
    <row r="2278" spans="1:16" ht="18.75" customHeight="1" thickBot="1" x14ac:dyDescent="0.3">
      <c r="A2278" s="3" t="s">
        <v>11</v>
      </c>
      <c r="B2278" s="4">
        <v>337303</v>
      </c>
      <c r="C2278" s="3" t="s">
        <v>16</v>
      </c>
      <c r="D2278" s="18">
        <v>0.125</v>
      </c>
      <c r="E2278" s="21">
        <f t="shared" si="238"/>
        <v>9.8635805532114595E-3</v>
      </c>
      <c r="F2278" s="5">
        <v>37645</v>
      </c>
      <c r="G2278" s="5">
        <v>38376</v>
      </c>
      <c r="H2278" s="16">
        <f t="shared" si="235"/>
        <v>731</v>
      </c>
      <c r="I2278" s="5">
        <v>38376</v>
      </c>
      <c r="J2278" s="5">
        <v>37880</v>
      </c>
      <c r="K2278" s="16">
        <f t="shared" si="236"/>
        <v>235</v>
      </c>
      <c r="L2278" s="13">
        <v>2550</v>
      </c>
      <c r="M2278" s="15">
        <f t="shared" si="234"/>
        <v>118.24331646606889</v>
      </c>
      <c r="N2278" s="13">
        <v>2164.08</v>
      </c>
      <c r="O2278" s="13">
        <v>0</v>
      </c>
      <c r="P2278" s="11">
        <f t="shared" si="239"/>
        <v>0</v>
      </c>
    </row>
    <row r="2279" spans="1:16" ht="18.75" customHeight="1" thickBot="1" x14ac:dyDescent="0.3">
      <c r="A2279" s="3" t="s">
        <v>11</v>
      </c>
      <c r="B2279" s="4">
        <v>868111</v>
      </c>
      <c r="C2279" s="3" t="s">
        <v>9</v>
      </c>
      <c r="D2279" s="18">
        <v>4.99E-2</v>
      </c>
      <c r="E2279" s="21">
        <f t="shared" si="238"/>
        <v>4.0661545935285481E-3</v>
      </c>
      <c r="F2279" s="5">
        <v>37672</v>
      </c>
      <c r="G2279" s="5">
        <v>39680</v>
      </c>
      <c r="H2279" s="16">
        <f t="shared" si="235"/>
        <v>2008</v>
      </c>
      <c r="I2279" s="5">
        <v>39680</v>
      </c>
      <c r="J2279" s="5">
        <v>38246</v>
      </c>
      <c r="K2279" s="16">
        <f t="shared" si="236"/>
        <v>574</v>
      </c>
      <c r="L2279" s="13">
        <v>36945.699999999997</v>
      </c>
      <c r="M2279" s="15">
        <f t="shared" si="234"/>
        <v>631.6085887292478</v>
      </c>
      <c r="N2279" s="13">
        <v>33188.5</v>
      </c>
      <c r="O2279" s="13">
        <v>20000</v>
      </c>
      <c r="P2279" s="11">
        <f t="shared" si="239"/>
        <v>0</v>
      </c>
    </row>
    <row r="2280" spans="1:16" ht="18.75" customHeight="1" thickBot="1" x14ac:dyDescent="0.3">
      <c r="A2280" s="3" t="s">
        <v>11</v>
      </c>
      <c r="B2280" s="4">
        <v>952537</v>
      </c>
      <c r="C2280" s="3" t="s">
        <v>16</v>
      </c>
      <c r="D2280" s="18">
        <v>0.14249999999999999</v>
      </c>
      <c r="E2280" s="21">
        <f t="shared" si="238"/>
        <v>1.1163421416801933E-2</v>
      </c>
      <c r="F2280" s="5">
        <v>37750</v>
      </c>
      <c r="G2280" s="5">
        <v>38482</v>
      </c>
      <c r="H2280" s="16">
        <f t="shared" si="235"/>
        <v>732</v>
      </c>
      <c r="I2280" s="5">
        <v>38482</v>
      </c>
      <c r="J2280" s="5">
        <v>38002</v>
      </c>
      <c r="K2280" s="16">
        <f t="shared" si="236"/>
        <v>252</v>
      </c>
      <c r="L2280" s="13">
        <v>3293</v>
      </c>
      <c r="M2280" s="15">
        <f t="shared" si="234"/>
        <v>154.9203015712784</v>
      </c>
      <c r="N2280" s="13">
        <v>2651.31</v>
      </c>
      <c r="O2280" s="13">
        <v>0</v>
      </c>
      <c r="P2280" s="11">
        <f t="shared" si="239"/>
        <v>0</v>
      </c>
    </row>
    <row r="2281" spans="1:16" ht="18.75" customHeight="1" thickBot="1" x14ac:dyDescent="0.3">
      <c r="A2281" s="3" t="s">
        <v>11</v>
      </c>
      <c r="B2281" s="4">
        <v>470382</v>
      </c>
      <c r="C2281" s="3" t="s">
        <v>9</v>
      </c>
      <c r="D2281" s="18">
        <v>6.25E-2</v>
      </c>
      <c r="E2281" s="21">
        <f t="shared" si="238"/>
        <v>5.0648349497708356E-3</v>
      </c>
      <c r="F2281" s="5">
        <v>37804</v>
      </c>
      <c r="G2281" s="5">
        <v>40004</v>
      </c>
      <c r="H2281" s="16">
        <f t="shared" si="235"/>
        <v>2200</v>
      </c>
      <c r="I2281" s="5">
        <v>40035</v>
      </c>
      <c r="J2281" s="5">
        <v>38275</v>
      </c>
      <c r="K2281" s="16">
        <f t="shared" si="236"/>
        <v>471</v>
      </c>
      <c r="L2281" s="13">
        <v>28668.69</v>
      </c>
      <c r="M2281" s="15">
        <f t="shared" si="234"/>
        <v>468.99965412103086</v>
      </c>
      <c r="N2281" s="13">
        <v>21300</v>
      </c>
      <c r="O2281" s="13">
        <v>4500</v>
      </c>
      <c r="P2281" s="11">
        <f t="shared" si="239"/>
        <v>0</v>
      </c>
    </row>
    <row r="2282" spans="1:16" ht="18.75" customHeight="1" thickBot="1" x14ac:dyDescent="0.3">
      <c r="A2282" s="3" t="s">
        <v>11</v>
      </c>
      <c r="B2282" s="4">
        <v>997273</v>
      </c>
      <c r="C2282" s="3" t="s">
        <v>9</v>
      </c>
      <c r="D2282" s="18">
        <v>0.08</v>
      </c>
      <c r="E2282" s="21">
        <f t="shared" si="238"/>
        <v>6.4340301100034303E-3</v>
      </c>
      <c r="F2282" s="5">
        <v>37854</v>
      </c>
      <c r="G2282" s="5">
        <v>39553</v>
      </c>
      <c r="H2282" s="16">
        <f t="shared" si="235"/>
        <v>1699</v>
      </c>
      <c r="I2282" s="5">
        <v>39614</v>
      </c>
      <c r="J2282" s="5">
        <v>38694</v>
      </c>
      <c r="K2282" s="16">
        <f t="shared" si="236"/>
        <v>840</v>
      </c>
      <c r="L2282" s="13">
        <v>12704.52</v>
      </c>
      <c r="M2282" s="15">
        <f t="shared" si="234"/>
        <v>268.38960556700567</v>
      </c>
      <c r="N2282" s="13">
        <v>9773.68</v>
      </c>
      <c r="O2282" s="13">
        <v>3890</v>
      </c>
      <c r="P2282" s="11">
        <f t="shared" si="239"/>
        <v>0</v>
      </c>
    </row>
    <row r="2283" spans="1:16" ht="18.75" customHeight="1" thickBot="1" x14ac:dyDescent="0.3">
      <c r="A2283" s="3" t="s">
        <v>11</v>
      </c>
      <c r="B2283" s="4">
        <v>588811</v>
      </c>
      <c r="C2283" s="3" t="s">
        <v>16</v>
      </c>
      <c r="D2283" s="18">
        <v>0.13</v>
      </c>
      <c r="E2283" s="21">
        <f t="shared" si="238"/>
        <v>1.02368443581764E-2</v>
      </c>
      <c r="F2283" s="5">
        <v>38429</v>
      </c>
      <c r="G2283" s="5">
        <v>38490</v>
      </c>
      <c r="H2283" s="16">
        <f t="shared" si="235"/>
        <v>61</v>
      </c>
      <c r="I2283" s="5">
        <v>38521</v>
      </c>
      <c r="J2283" s="5">
        <v>38616</v>
      </c>
      <c r="K2283" s="16">
        <f t="shared" si="236"/>
        <v>187</v>
      </c>
      <c r="L2283" s="13">
        <v>3550</v>
      </c>
      <c r="M2283" s="15">
        <f t="shared" si="234"/>
        <v>1773.0558457516072</v>
      </c>
      <c r="N2283" s="13">
        <v>1502.71</v>
      </c>
      <c r="O2283" s="13">
        <v>50</v>
      </c>
      <c r="P2283" s="11">
        <f t="shared" si="239"/>
        <v>0</v>
      </c>
    </row>
    <row r="2284" spans="1:16" ht="18.75" customHeight="1" thickBot="1" x14ac:dyDescent="0.3">
      <c r="A2284" s="3" t="s">
        <v>11</v>
      </c>
      <c r="B2284" s="4">
        <v>236411</v>
      </c>
      <c r="C2284" s="3" t="s">
        <v>16</v>
      </c>
      <c r="D2284" s="18">
        <v>0.125</v>
      </c>
      <c r="E2284" s="21">
        <f t="shared" si="238"/>
        <v>9.8635805532114595E-3</v>
      </c>
      <c r="F2284" s="5">
        <v>38128</v>
      </c>
      <c r="G2284" s="5">
        <v>38862</v>
      </c>
      <c r="H2284" s="16">
        <f t="shared" si="235"/>
        <v>734</v>
      </c>
      <c r="I2284" s="5">
        <v>38862</v>
      </c>
      <c r="J2284" s="5">
        <v>38191</v>
      </c>
      <c r="K2284" s="16">
        <f t="shared" si="236"/>
        <v>63</v>
      </c>
      <c r="L2284" s="13">
        <v>4571.4399999999996</v>
      </c>
      <c r="M2284" s="15">
        <f t="shared" si="234"/>
        <v>211.21044585452364</v>
      </c>
      <c r="N2284" s="13">
        <v>4571.4399999999996</v>
      </c>
      <c r="O2284" s="13">
        <v>0</v>
      </c>
      <c r="P2284" s="11">
        <f t="shared" si="239"/>
        <v>0</v>
      </c>
    </row>
    <row r="2285" spans="1:16" ht="18.75" customHeight="1" thickBot="1" x14ac:dyDescent="0.3">
      <c r="A2285" s="3" t="s">
        <v>11</v>
      </c>
      <c r="B2285" s="4">
        <v>891888</v>
      </c>
      <c r="C2285" s="3" t="s">
        <v>9</v>
      </c>
      <c r="D2285" s="18">
        <v>9.4E-2</v>
      </c>
      <c r="E2285" s="21">
        <f t="shared" si="238"/>
        <v>7.5148209323356863E-3</v>
      </c>
      <c r="F2285" s="5">
        <v>39120</v>
      </c>
      <c r="G2285" s="5">
        <v>40589</v>
      </c>
      <c r="H2285" s="16">
        <f t="shared" si="235"/>
        <v>1469</v>
      </c>
      <c r="I2285" s="5">
        <v>40709</v>
      </c>
      <c r="J2285" s="5">
        <v>40260</v>
      </c>
      <c r="K2285" s="16">
        <f t="shared" si="236"/>
        <v>1140</v>
      </c>
      <c r="L2285" s="13">
        <v>10584.19</v>
      </c>
      <c r="M2285" s="15">
        <f t="shared" si="234"/>
        <v>259.15568889257946</v>
      </c>
      <c r="N2285" s="13">
        <v>5097.07</v>
      </c>
      <c r="O2285" s="13">
        <v>0.17</v>
      </c>
      <c r="P2285" s="11">
        <f t="shared" si="239"/>
        <v>0</v>
      </c>
    </row>
    <row r="2286" spans="1:16" ht="18.75" customHeight="1" thickBot="1" x14ac:dyDescent="0.3">
      <c r="A2286" s="3" t="s">
        <v>11</v>
      </c>
      <c r="B2286" s="4">
        <v>327668</v>
      </c>
      <c r="C2286" s="3" t="s">
        <v>9</v>
      </c>
      <c r="D2286" s="18">
        <v>8.4000000000000005E-2</v>
      </c>
      <c r="E2286" s="21">
        <f t="shared" si="238"/>
        <v>6.7441318411856077E-3</v>
      </c>
      <c r="F2286" s="5">
        <v>39286</v>
      </c>
      <c r="G2286" s="5">
        <v>40749</v>
      </c>
      <c r="H2286" s="16">
        <f t="shared" si="235"/>
        <v>1463</v>
      </c>
      <c r="I2286" s="5">
        <v>40811</v>
      </c>
      <c r="J2286" s="5">
        <v>39720</v>
      </c>
      <c r="K2286" s="16">
        <f t="shared" si="236"/>
        <v>434</v>
      </c>
      <c r="L2286" s="13">
        <v>6710</v>
      </c>
      <c r="M2286" s="15">
        <f t="shared" si="234"/>
        <v>161.91790267691098</v>
      </c>
      <c r="N2286" s="13">
        <v>3104.22</v>
      </c>
      <c r="O2286" s="13">
        <v>6.01</v>
      </c>
      <c r="P2286" s="11">
        <f t="shared" si="239"/>
        <v>0</v>
      </c>
    </row>
    <row r="2287" spans="1:16" ht="18.75" customHeight="1" thickBot="1" x14ac:dyDescent="0.3">
      <c r="A2287" s="3" t="s">
        <v>11</v>
      </c>
      <c r="B2287" s="4">
        <v>608537</v>
      </c>
      <c r="C2287" s="3" t="s">
        <v>9</v>
      </c>
      <c r="D2287" s="18">
        <v>0.14899999999999999</v>
      </c>
      <c r="E2287" s="21">
        <f t="shared" si="238"/>
        <v>1.1641575009651461E-2</v>
      </c>
      <c r="F2287" s="5">
        <v>39392</v>
      </c>
      <c r="G2287" s="5">
        <v>40123</v>
      </c>
      <c r="H2287" s="16">
        <f t="shared" si="235"/>
        <v>731</v>
      </c>
      <c r="I2287" s="5">
        <v>40153</v>
      </c>
      <c r="J2287" s="5">
        <v>39720</v>
      </c>
      <c r="K2287" s="16">
        <f t="shared" si="236"/>
        <v>328</v>
      </c>
      <c r="L2287" s="13">
        <v>2760</v>
      </c>
      <c r="M2287" s="15">
        <f t="shared" si="234"/>
        <v>130.74706128835604</v>
      </c>
      <c r="N2287" s="13">
        <v>1974.53</v>
      </c>
      <c r="O2287" s="13">
        <v>0</v>
      </c>
      <c r="P2287" s="11">
        <f t="shared" si="239"/>
        <v>0</v>
      </c>
    </row>
    <row r="2288" spans="1:16" ht="18.75" customHeight="1" thickBot="1" x14ac:dyDescent="0.3">
      <c r="A2288" s="3" t="s">
        <v>11</v>
      </c>
      <c r="B2288" s="4">
        <v>607110</v>
      </c>
      <c r="C2288" s="3" t="s">
        <v>9</v>
      </c>
      <c r="D2288" s="18">
        <v>0.14399999999999999</v>
      </c>
      <c r="E2288" s="21">
        <f t="shared" si="238"/>
        <v>1.1273985471853543E-2</v>
      </c>
      <c r="F2288" s="5">
        <v>39413</v>
      </c>
      <c r="G2288" s="5">
        <v>40132</v>
      </c>
      <c r="H2288" s="16">
        <f t="shared" si="235"/>
        <v>719</v>
      </c>
      <c r="I2288" s="5">
        <v>40162</v>
      </c>
      <c r="J2288" s="5">
        <v>39897</v>
      </c>
      <c r="K2288" s="16">
        <f t="shared" si="236"/>
        <v>484</v>
      </c>
      <c r="L2288" s="13">
        <v>3360</v>
      </c>
      <c r="M2288" s="15">
        <f t="shared" si="234"/>
        <v>160.77096363091292</v>
      </c>
      <c r="N2288" s="13">
        <v>1991.3</v>
      </c>
      <c r="O2288" s="13">
        <v>0</v>
      </c>
      <c r="P2288" s="11">
        <f t="shared" si="239"/>
        <v>0</v>
      </c>
    </row>
    <row r="2289" spans="1:16" ht="18.75" customHeight="1" thickBot="1" x14ac:dyDescent="0.3">
      <c r="A2289" s="3" t="s">
        <v>11</v>
      </c>
      <c r="B2289" s="4">
        <v>569142</v>
      </c>
      <c r="C2289" s="3" t="s">
        <v>9</v>
      </c>
      <c r="D2289" s="18">
        <v>8.4000000000000005E-2</v>
      </c>
      <c r="E2289" s="21">
        <f t="shared" si="238"/>
        <v>6.7441318411856077E-3</v>
      </c>
      <c r="F2289" s="5">
        <v>39444</v>
      </c>
      <c r="G2289" s="5">
        <v>40537</v>
      </c>
      <c r="H2289" s="16">
        <f t="shared" si="235"/>
        <v>1093</v>
      </c>
      <c r="I2289" s="5">
        <v>40537</v>
      </c>
      <c r="J2289" s="5">
        <v>39615</v>
      </c>
      <c r="K2289" s="16">
        <f t="shared" si="236"/>
        <v>171</v>
      </c>
      <c r="L2289" s="13">
        <v>8658.44</v>
      </c>
      <c r="M2289" s="15">
        <f t="shared" si="234"/>
        <v>268.83937222851262</v>
      </c>
      <c r="N2289" s="13">
        <v>6300</v>
      </c>
      <c r="O2289" s="13">
        <v>0</v>
      </c>
      <c r="P2289" s="11">
        <f t="shared" si="239"/>
        <v>0</v>
      </c>
    </row>
    <row r="2290" spans="1:16" ht="18.75" customHeight="1" thickBot="1" x14ac:dyDescent="0.3">
      <c r="A2290" s="3" t="s">
        <v>11</v>
      </c>
      <c r="B2290" s="4">
        <v>713894</v>
      </c>
      <c r="C2290" s="3" t="s">
        <v>9</v>
      </c>
      <c r="D2290" s="18">
        <v>9.4E-2</v>
      </c>
      <c r="E2290" s="21">
        <f t="shared" si="238"/>
        <v>7.5148209323356863E-3</v>
      </c>
      <c r="F2290" s="5">
        <v>39461</v>
      </c>
      <c r="G2290" s="5">
        <v>41299</v>
      </c>
      <c r="H2290" s="16">
        <f t="shared" si="235"/>
        <v>1838</v>
      </c>
      <c r="I2290" s="5">
        <v>41389</v>
      </c>
      <c r="J2290" s="5">
        <v>40813</v>
      </c>
      <c r="K2290" s="16">
        <f t="shared" si="236"/>
        <v>1352</v>
      </c>
      <c r="L2290" s="13">
        <v>12980</v>
      </c>
      <c r="M2290" s="15">
        <f t="shared" si="234"/>
        <v>265.14240077651823</v>
      </c>
      <c r="N2290" s="13">
        <v>6743.28</v>
      </c>
      <c r="O2290" s="13">
        <v>331.39</v>
      </c>
      <c r="P2290" s="11">
        <f t="shared" si="239"/>
        <v>0</v>
      </c>
    </row>
    <row r="2291" spans="1:16" ht="18.75" customHeight="1" thickBot="1" x14ac:dyDescent="0.3">
      <c r="A2291" s="3" t="s">
        <v>11</v>
      </c>
      <c r="B2291" s="4">
        <v>626946</v>
      </c>
      <c r="C2291" s="3" t="s">
        <v>9</v>
      </c>
      <c r="D2291" s="18">
        <v>0.124</v>
      </c>
      <c r="E2291" s="21">
        <f t="shared" si="238"/>
        <v>9.7887453502294441E-3</v>
      </c>
      <c r="F2291" s="5">
        <v>39514</v>
      </c>
      <c r="G2291" s="5">
        <v>40623</v>
      </c>
      <c r="H2291" s="16">
        <f t="shared" si="235"/>
        <v>1109</v>
      </c>
      <c r="I2291" s="5">
        <v>40623</v>
      </c>
      <c r="J2291" s="5">
        <v>39798</v>
      </c>
      <c r="K2291" s="16">
        <f t="shared" si="236"/>
        <v>284</v>
      </c>
      <c r="L2291" s="13">
        <v>4810</v>
      </c>
      <c r="M2291" s="15">
        <f t="shared" si="234"/>
        <v>155.70481869820583</v>
      </c>
      <c r="N2291" s="13">
        <v>4475.8100000000004</v>
      </c>
      <c r="O2291" s="13">
        <v>0.47</v>
      </c>
      <c r="P2291" s="11">
        <f t="shared" si="239"/>
        <v>0</v>
      </c>
    </row>
    <row r="2292" spans="1:16" ht="18.75" customHeight="1" thickBot="1" x14ac:dyDescent="0.3">
      <c r="A2292" s="3" t="s">
        <v>11</v>
      </c>
      <c r="B2292" s="4">
        <v>677169</v>
      </c>
      <c r="C2292" s="3" t="s">
        <v>9</v>
      </c>
      <c r="D2292" s="18">
        <v>6.6400000000000001E-2</v>
      </c>
      <c r="E2292" s="21">
        <f t="shared" si="238"/>
        <v>5.3717505475605609E-3</v>
      </c>
      <c r="F2292" s="5">
        <v>39549</v>
      </c>
      <c r="G2292" s="5">
        <v>41739</v>
      </c>
      <c r="H2292" s="16">
        <f t="shared" si="235"/>
        <v>2190</v>
      </c>
      <c r="I2292" s="5">
        <v>41830</v>
      </c>
      <c r="J2292" s="5">
        <v>40086</v>
      </c>
      <c r="K2292" s="16">
        <f t="shared" si="236"/>
        <v>537</v>
      </c>
      <c r="L2292" s="13">
        <v>19778.63</v>
      </c>
      <c r="M2292" s="15">
        <f t="shared" si="234"/>
        <v>328.24396349932181</v>
      </c>
      <c r="N2292" s="13">
        <v>12185.33</v>
      </c>
      <c r="O2292" s="13">
        <v>220.57</v>
      </c>
      <c r="P2292" s="11">
        <f t="shared" si="239"/>
        <v>0</v>
      </c>
    </row>
    <row r="2293" spans="1:16" ht="18.75" customHeight="1" thickBot="1" x14ac:dyDescent="0.3">
      <c r="A2293" s="3" t="s">
        <v>11</v>
      </c>
      <c r="B2293" s="4">
        <v>367654</v>
      </c>
      <c r="C2293" s="3" t="s">
        <v>16</v>
      </c>
      <c r="D2293" s="18">
        <v>0.159</v>
      </c>
      <c r="E2293" s="21">
        <f t="shared" si="238"/>
        <v>1.2372376038205957E-2</v>
      </c>
      <c r="F2293" s="5">
        <v>39567</v>
      </c>
      <c r="G2293" s="5">
        <v>40298</v>
      </c>
      <c r="H2293" s="16">
        <f t="shared" si="235"/>
        <v>731</v>
      </c>
      <c r="I2293" s="5">
        <v>40298</v>
      </c>
      <c r="J2293" s="5">
        <v>39798</v>
      </c>
      <c r="K2293" s="16">
        <f t="shared" si="236"/>
        <v>231</v>
      </c>
      <c r="L2293" s="13">
        <v>2560</v>
      </c>
      <c r="M2293" s="15">
        <f t="shared" si="234"/>
        <v>122.33645785739105</v>
      </c>
      <c r="N2293" s="13">
        <v>2273.9699999999998</v>
      </c>
      <c r="O2293" s="13">
        <v>15.34</v>
      </c>
      <c r="P2293" s="11">
        <f t="shared" si="239"/>
        <v>0</v>
      </c>
    </row>
    <row r="2294" spans="1:16" ht="18.75" customHeight="1" thickBot="1" x14ac:dyDescent="0.3">
      <c r="A2294" s="3" t="s">
        <v>11</v>
      </c>
      <c r="B2294" s="4">
        <v>46680</v>
      </c>
      <c r="C2294" s="3" t="s">
        <v>12</v>
      </c>
      <c r="D2294" s="18">
        <v>0.14399999999999999</v>
      </c>
      <c r="E2294" s="21">
        <f t="shared" si="238"/>
        <v>1.1273985471853543E-2</v>
      </c>
      <c r="F2294" s="5">
        <v>39673</v>
      </c>
      <c r="G2294" s="5">
        <v>40785</v>
      </c>
      <c r="H2294" s="16">
        <f t="shared" si="235"/>
        <v>1112</v>
      </c>
      <c r="I2294" s="5">
        <v>40846</v>
      </c>
      <c r="J2294" s="5">
        <v>39897</v>
      </c>
      <c r="K2294" s="16">
        <f t="shared" si="236"/>
        <v>224</v>
      </c>
      <c r="L2294" s="13">
        <v>4060</v>
      </c>
      <c r="M2294" s="15">
        <f t="shared" si="234"/>
        <v>134.61536408912741</v>
      </c>
      <c r="N2294" s="13">
        <v>4060</v>
      </c>
      <c r="O2294" s="13">
        <v>4320.22</v>
      </c>
      <c r="P2294" s="11">
        <f t="shared" si="239"/>
        <v>0</v>
      </c>
    </row>
    <row r="2295" spans="1:16" ht="18.75" customHeight="1" thickBot="1" x14ac:dyDescent="0.3">
      <c r="A2295" s="3" t="s">
        <v>11</v>
      </c>
      <c r="B2295" s="4">
        <v>41090</v>
      </c>
      <c r="C2295" s="3" t="s">
        <v>9</v>
      </c>
      <c r="D2295" s="18">
        <v>4.4999999999999998E-2</v>
      </c>
      <c r="E2295" s="21">
        <f t="shared" si="238"/>
        <v>3.6748094004368514E-3</v>
      </c>
      <c r="F2295" s="5">
        <v>44475</v>
      </c>
      <c r="G2295" s="5">
        <v>45935</v>
      </c>
      <c r="H2295" s="16">
        <f t="shared" si="235"/>
        <v>1460</v>
      </c>
      <c r="I2295" s="5">
        <v>45966</v>
      </c>
      <c r="J2295" s="5">
        <v>45106</v>
      </c>
      <c r="K2295" s="16">
        <f t="shared" si="236"/>
        <v>631</v>
      </c>
      <c r="L2295" s="13">
        <v>15081</v>
      </c>
      <c r="M2295" s="15">
        <f t="shared" si="234"/>
        <v>338.98648703887244</v>
      </c>
      <c r="N2295" s="13">
        <v>9663.6299999999992</v>
      </c>
      <c r="O2295" s="13">
        <v>6813.89</v>
      </c>
      <c r="P2295" s="11">
        <f t="shared" si="239"/>
        <v>1</v>
      </c>
    </row>
    <row r="2296" spans="1:16" ht="18.75" hidden="1" customHeight="1" thickBot="1" x14ac:dyDescent="0.3">
      <c r="A2296" s="3" t="s">
        <v>11</v>
      </c>
      <c r="B2296" s="4">
        <v>43266</v>
      </c>
      <c r="C2296" s="3" t="s">
        <v>15</v>
      </c>
      <c r="D2296" s="7">
        <v>0.1515</v>
      </c>
      <c r="E2296" s="7">
        <f t="shared" si="237"/>
        <v>1.2624999999999999E-2</v>
      </c>
      <c r="F2296" s="5">
        <v>35676</v>
      </c>
      <c r="G2296" s="5">
        <v>2958465</v>
      </c>
      <c r="H2296" s="8">
        <f t="shared" si="235"/>
        <v>2922789</v>
      </c>
      <c r="I2296" s="5">
        <v>2958465</v>
      </c>
      <c r="J2296" s="5">
        <v>40773</v>
      </c>
      <c r="K2296" s="8">
        <f t="shared" si="236"/>
        <v>5097</v>
      </c>
      <c r="L2296" s="6">
        <v>2000</v>
      </c>
      <c r="M2296" s="9">
        <f t="shared" si="234"/>
        <v>25.249999999999996</v>
      </c>
      <c r="N2296" s="6">
        <v>1917.6</v>
      </c>
      <c r="O2296" s="6">
        <v>1917.6</v>
      </c>
      <c r="P2296" s="6">
        <v>0</v>
      </c>
    </row>
    <row r="2297" spans="1:16" ht="18.75" hidden="1" customHeight="1" thickBot="1" x14ac:dyDescent="0.3">
      <c r="A2297" s="3" t="s">
        <v>11</v>
      </c>
      <c r="B2297" s="4">
        <v>986355</v>
      </c>
      <c r="C2297" s="3" t="s">
        <v>15</v>
      </c>
      <c r="D2297" s="7">
        <v>0.1515</v>
      </c>
      <c r="E2297" s="7">
        <f t="shared" si="237"/>
        <v>1.2624999999999999E-2</v>
      </c>
      <c r="F2297" s="5">
        <v>36010</v>
      </c>
      <c r="G2297" s="5">
        <v>2958465</v>
      </c>
      <c r="H2297" s="8">
        <f t="shared" si="235"/>
        <v>2922455</v>
      </c>
      <c r="I2297" s="5">
        <v>2958465</v>
      </c>
      <c r="J2297" s="5">
        <v>44005</v>
      </c>
      <c r="K2297" s="8">
        <f t="shared" si="236"/>
        <v>7995</v>
      </c>
      <c r="L2297" s="6">
        <v>300</v>
      </c>
      <c r="M2297" s="9">
        <f t="shared" si="234"/>
        <v>3.7874999999999996</v>
      </c>
      <c r="N2297" s="6">
        <v>288.26</v>
      </c>
      <c r="O2297" s="6">
        <v>288.26</v>
      </c>
      <c r="P2297" s="6">
        <v>85528</v>
      </c>
    </row>
    <row r="2298" spans="1:16" ht="18.75" hidden="1" customHeight="1" thickBot="1" x14ac:dyDescent="0.3">
      <c r="A2298" s="3" t="s">
        <v>11</v>
      </c>
      <c r="B2298" s="4">
        <v>970941</v>
      </c>
      <c r="C2298" s="3" t="s">
        <v>15</v>
      </c>
      <c r="D2298" s="7">
        <v>0.1515</v>
      </c>
      <c r="E2298" s="7">
        <f t="shared" si="237"/>
        <v>1.2624999999999999E-2</v>
      </c>
      <c r="F2298" s="5">
        <v>39415</v>
      </c>
      <c r="G2298" s="5">
        <v>2958465</v>
      </c>
      <c r="H2298" s="8">
        <f t="shared" si="235"/>
        <v>2919050</v>
      </c>
      <c r="I2298" s="5">
        <v>2958465</v>
      </c>
      <c r="J2298" s="5">
        <v>41284</v>
      </c>
      <c r="K2298" s="8">
        <f t="shared" si="236"/>
        <v>1869</v>
      </c>
      <c r="L2298" s="6">
        <v>500</v>
      </c>
      <c r="M2298" s="9">
        <f t="shared" si="234"/>
        <v>6.3124999999999991</v>
      </c>
      <c r="N2298" s="6">
        <v>225.3</v>
      </c>
      <c r="O2298" s="6">
        <v>25.5</v>
      </c>
      <c r="P2298" s="6">
        <v>1500</v>
      </c>
    </row>
    <row r="2299" spans="1:16" ht="18.75" hidden="1" customHeight="1" thickBot="1" x14ac:dyDescent="0.3">
      <c r="A2299" s="3" t="s">
        <v>11</v>
      </c>
      <c r="B2299" s="4">
        <v>467015</v>
      </c>
      <c r="C2299" s="3" t="s">
        <v>15</v>
      </c>
      <c r="D2299" s="7">
        <v>0.1515</v>
      </c>
      <c r="E2299" s="7">
        <f t="shared" si="237"/>
        <v>1.2624999999999999E-2</v>
      </c>
      <c r="F2299" s="5">
        <v>37061</v>
      </c>
      <c r="G2299" s="5">
        <v>2958465</v>
      </c>
      <c r="H2299" s="8">
        <f t="shared" si="235"/>
        <v>2921404</v>
      </c>
      <c r="I2299" s="5">
        <v>2958465</v>
      </c>
      <c r="J2299" s="5">
        <v>42362</v>
      </c>
      <c r="K2299" s="8">
        <f t="shared" si="236"/>
        <v>5301</v>
      </c>
      <c r="L2299" s="6">
        <v>100</v>
      </c>
      <c r="M2299" s="9">
        <f t="shared" si="234"/>
        <v>1.2625</v>
      </c>
      <c r="N2299" s="6">
        <v>100</v>
      </c>
      <c r="O2299" s="6">
        <v>0</v>
      </c>
      <c r="P2299" s="6">
        <v>4968.74</v>
      </c>
    </row>
    <row r="2300" spans="1:16" ht="18.75" hidden="1" customHeight="1" thickBot="1" x14ac:dyDescent="0.3">
      <c r="A2300" s="3" t="s">
        <v>11</v>
      </c>
      <c r="B2300" s="4">
        <v>755766</v>
      </c>
      <c r="C2300" s="3" t="s">
        <v>15</v>
      </c>
      <c r="D2300" s="7">
        <v>0.1515</v>
      </c>
      <c r="E2300" s="7">
        <f t="shared" si="237"/>
        <v>1.2624999999999999E-2</v>
      </c>
      <c r="F2300" s="5">
        <v>37182</v>
      </c>
      <c r="G2300" s="5">
        <v>2958465</v>
      </c>
      <c r="H2300" s="8">
        <f t="shared" si="235"/>
        <v>2921283</v>
      </c>
      <c r="I2300" s="5">
        <v>2958465</v>
      </c>
      <c r="J2300" s="5">
        <v>41670</v>
      </c>
      <c r="K2300" s="8">
        <f t="shared" si="236"/>
        <v>4488</v>
      </c>
      <c r="L2300" s="6">
        <v>200</v>
      </c>
      <c r="M2300" s="9">
        <f t="shared" si="234"/>
        <v>2.5249999999999999</v>
      </c>
      <c r="N2300" s="6">
        <v>200</v>
      </c>
      <c r="O2300" s="6">
        <v>0</v>
      </c>
      <c r="P2300" s="6">
        <v>32550</v>
      </c>
    </row>
    <row r="2301" spans="1:16" ht="18.75" hidden="1" customHeight="1" thickBot="1" x14ac:dyDescent="0.3">
      <c r="A2301" s="3" t="s">
        <v>11</v>
      </c>
      <c r="B2301" s="4">
        <v>616282</v>
      </c>
      <c r="C2301" s="3" t="s">
        <v>15</v>
      </c>
      <c r="D2301" s="7">
        <v>0.1515</v>
      </c>
      <c r="E2301" s="7">
        <f t="shared" si="237"/>
        <v>1.2624999999999999E-2</v>
      </c>
      <c r="F2301" s="5">
        <v>38483</v>
      </c>
      <c r="G2301" s="5">
        <v>2958465</v>
      </c>
      <c r="H2301" s="8">
        <f t="shared" si="235"/>
        <v>2919982</v>
      </c>
      <c r="I2301" s="5">
        <v>2958465</v>
      </c>
      <c r="J2301" s="5">
        <v>41138</v>
      </c>
      <c r="K2301" s="8">
        <f t="shared" si="236"/>
        <v>2655</v>
      </c>
      <c r="L2301" s="6">
        <v>500</v>
      </c>
      <c r="M2301" s="9">
        <f t="shared" si="234"/>
        <v>6.3124999999999991</v>
      </c>
      <c r="N2301" s="6">
        <v>479.54</v>
      </c>
      <c r="O2301" s="6">
        <v>0</v>
      </c>
      <c r="P2301" s="6">
        <v>0</v>
      </c>
    </row>
    <row r="2302" spans="1:16" ht="18.75" hidden="1" customHeight="1" thickBot="1" x14ac:dyDescent="0.3">
      <c r="A2302" s="3" t="s">
        <v>11</v>
      </c>
      <c r="B2302" s="4">
        <v>256673</v>
      </c>
      <c r="C2302" s="3" t="s">
        <v>15</v>
      </c>
      <c r="D2302" s="7">
        <v>0.1515</v>
      </c>
      <c r="E2302" s="7">
        <f t="shared" si="237"/>
        <v>1.2624999999999999E-2</v>
      </c>
      <c r="F2302" s="5">
        <v>38594</v>
      </c>
      <c r="G2302" s="5">
        <v>2958465</v>
      </c>
      <c r="H2302" s="8">
        <f t="shared" si="235"/>
        <v>2919871</v>
      </c>
      <c r="I2302" s="5">
        <v>2958465</v>
      </c>
      <c r="J2302" s="5">
        <v>40793</v>
      </c>
      <c r="K2302" s="8">
        <f t="shared" si="236"/>
        <v>2199</v>
      </c>
      <c r="L2302" s="6">
        <v>300</v>
      </c>
      <c r="M2302" s="9">
        <f t="shared" si="234"/>
        <v>3.7874999999999996</v>
      </c>
      <c r="N2302" s="6">
        <v>217.1</v>
      </c>
      <c r="O2302" s="6">
        <v>217.1</v>
      </c>
      <c r="P2302" s="6">
        <v>120000</v>
      </c>
    </row>
    <row r="2303" spans="1:16" ht="18.75" hidden="1" customHeight="1" thickBot="1" x14ac:dyDescent="0.3">
      <c r="A2303" s="3" t="s">
        <v>11</v>
      </c>
      <c r="B2303" s="4">
        <v>527801</v>
      </c>
      <c r="C2303" s="3" t="s">
        <v>15</v>
      </c>
      <c r="D2303" s="7">
        <v>0.1515</v>
      </c>
      <c r="E2303" s="7">
        <f t="shared" si="237"/>
        <v>1.2624999999999999E-2</v>
      </c>
      <c r="F2303" s="5">
        <v>39252</v>
      </c>
      <c r="G2303" s="5">
        <v>2958465</v>
      </c>
      <c r="H2303" s="8">
        <f t="shared" si="235"/>
        <v>2919213</v>
      </c>
      <c r="I2303" s="5">
        <v>2958465</v>
      </c>
      <c r="J2303" s="5">
        <v>40997</v>
      </c>
      <c r="K2303" s="8">
        <f t="shared" si="236"/>
        <v>1745</v>
      </c>
      <c r="L2303" s="6">
        <v>300</v>
      </c>
      <c r="M2303" s="9">
        <f t="shared" si="234"/>
        <v>3.7874999999999996</v>
      </c>
      <c r="N2303" s="6">
        <v>298.36</v>
      </c>
      <c r="O2303" s="6">
        <v>0</v>
      </c>
      <c r="P2303" s="6">
        <v>66790.539999999994</v>
      </c>
    </row>
    <row r="2304" spans="1:16" ht="18.75" hidden="1" customHeight="1" thickBot="1" x14ac:dyDescent="0.3">
      <c r="A2304" s="3" t="s">
        <v>11</v>
      </c>
      <c r="B2304" s="4">
        <v>57314</v>
      </c>
      <c r="C2304" s="3" t="s">
        <v>15</v>
      </c>
      <c r="D2304" s="7">
        <v>0.1515</v>
      </c>
      <c r="E2304" s="7">
        <f t="shared" si="237"/>
        <v>1.2624999999999999E-2</v>
      </c>
      <c r="F2304" s="5">
        <v>39945</v>
      </c>
      <c r="G2304" s="5">
        <v>2958465</v>
      </c>
      <c r="H2304" s="8">
        <f t="shared" si="235"/>
        <v>2918520</v>
      </c>
      <c r="I2304" s="5">
        <v>2958465</v>
      </c>
      <c r="J2304" s="5">
        <v>45642</v>
      </c>
      <c r="K2304" s="8">
        <f t="shared" si="236"/>
        <v>5697</v>
      </c>
      <c r="L2304" s="6">
        <v>500</v>
      </c>
      <c r="M2304" s="9">
        <f t="shared" si="234"/>
        <v>6.3124999999999991</v>
      </c>
      <c r="N2304" s="6">
        <v>58.6</v>
      </c>
      <c r="O2304" s="6">
        <v>0</v>
      </c>
      <c r="P2304" s="6">
        <v>0</v>
      </c>
    </row>
    <row r="2305" spans="1:16" ht="18.75" hidden="1" customHeight="1" thickBot="1" x14ac:dyDescent="0.3">
      <c r="A2305" s="3" t="s">
        <v>11</v>
      </c>
      <c r="B2305" s="4">
        <v>198774</v>
      </c>
      <c r="C2305" s="3" t="s">
        <v>15</v>
      </c>
      <c r="D2305" s="7">
        <v>0</v>
      </c>
      <c r="E2305" s="7">
        <f t="shared" si="237"/>
        <v>0</v>
      </c>
      <c r="F2305" s="5">
        <v>39079</v>
      </c>
      <c r="G2305" s="5">
        <v>2958465</v>
      </c>
      <c r="H2305" s="8">
        <f t="shared" si="235"/>
        <v>2919386</v>
      </c>
      <c r="I2305" s="5">
        <v>2958465</v>
      </c>
      <c r="J2305" s="5">
        <v>41088</v>
      </c>
      <c r="K2305" s="8">
        <f t="shared" si="236"/>
        <v>2009</v>
      </c>
      <c r="L2305" s="6">
        <v>1500</v>
      </c>
      <c r="M2305" s="9">
        <f t="shared" si="234"/>
        <v>1.5414200109201043E-2</v>
      </c>
      <c r="N2305" s="6">
        <v>1072.99</v>
      </c>
      <c r="O2305" s="6">
        <v>743.72</v>
      </c>
      <c r="P2305" s="6">
        <v>0</v>
      </c>
    </row>
    <row r="2306" spans="1:16" ht="18.75" hidden="1" customHeight="1" thickBot="1" x14ac:dyDescent="0.3">
      <c r="A2306" s="3" t="s">
        <v>11</v>
      </c>
      <c r="B2306" s="4">
        <v>538539</v>
      </c>
      <c r="C2306" s="3" t="s">
        <v>15</v>
      </c>
      <c r="D2306" s="7">
        <v>0.1515</v>
      </c>
      <c r="E2306" s="7">
        <f t="shared" si="237"/>
        <v>1.2624999999999999E-2</v>
      </c>
      <c r="F2306" s="5">
        <v>39668</v>
      </c>
      <c r="G2306" s="5">
        <v>2958465</v>
      </c>
      <c r="H2306" s="8">
        <f t="shared" si="235"/>
        <v>2918797</v>
      </c>
      <c r="I2306" s="5">
        <v>2958465</v>
      </c>
      <c r="J2306" s="5">
        <v>41179</v>
      </c>
      <c r="K2306" s="8">
        <f t="shared" si="236"/>
        <v>1511</v>
      </c>
      <c r="L2306" s="6">
        <v>1500</v>
      </c>
      <c r="M2306" s="9">
        <f t="shared" ref="M2306:M2369" si="240">-PMT(E2306,(H2306/30),L2306)</f>
        <v>18.9375</v>
      </c>
      <c r="N2306" s="6">
        <v>831.69</v>
      </c>
      <c r="O2306" s="6">
        <v>172.32</v>
      </c>
      <c r="P2306" s="6">
        <v>0</v>
      </c>
    </row>
    <row r="2307" spans="1:16" ht="18.75" hidden="1" customHeight="1" thickBot="1" x14ac:dyDescent="0.3">
      <c r="A2307" s="3" t="s">
        <v>11</v>
      </c>
      <c r="B2307" s="4">
        <v>731157</v>
      </c>
      <c r="C2307" s="3" t="s">
        <v>15</v>
      </c>
      <c r="D2307" s="7">
        <v>0.1515</v>
      </c>
      <c r="E2307" s="7">
        <f t="shared" ref="E2307:E2360" si="241">D2307/12</f>
        <v>1.2624999999999999E-2</v>
      </c>
      <c r="F2307" s="5">
        <v>39799</v>
      </c>
      <c r="G2307" s="5">
        <v>2958465</v>
      </c>
      <c r="H2307" s="8">
        <f t="shared" ref="H2307:H2370" si="242">G2307-F2307</f>
        <v>2918666</v>
      </c>
      <c r="I2307" s="5">
        <v>2958465</v>
      </c>
      <c r="J2307" s="5">
        <v>40577</v>
      </c>
      <c r="K2307" s="8">
        <f t="shared" ref="K2307:K2370" si="243">J2307-F2307</f>
        <v>778</v>
      </c>
      <c r="L2307" s="6">
        <v>525</v>
      </c>
      <c r="M2307" s="9">
        <f t="shared" si="240"/>
        <v>6.6281249999999998</v>
      </c>
      <c r="N2307" s="6">
        <v>521.37</v>
      </c>
      <c r="O2307" s="6">
        <v>0</v>
      </c>
      <c r="P2307" s="6">
        <v>715.28</v>
      </c>
    </row>
    <row r="2308" spans="1:16" ht="18.75" hidden="1" customHeight="1" thickBot="1" x14ac:dyDescent="0.3">
      <c r="A2308" s="3" t="s">
        <v>11</v>
      </c>
      <c r="B2308" s="4">
        <v>129660</v>
      </c>
      <c r="C2308" s="3" t="s">
        <v>15</v>
      </c>
      <c r="D2308" s="7">
        <v>0.16650000000000001</v>
      </c>
      <c r="E2308" s="7">
        <f t="shared" si="241"/>
        <v>1.3875E-2</v>
      </c>
      <c r="F2308" s="5">
        <v>42725</v>
      </c>
      <c r="G2308" s="5">
        <v>2958465</v>
      </c>
      <c r="H2308" s="8">
        <f t="shared" si="242"/>
        <v>2915740</v>
      </c>
      <c r="I2308" s="5">
        <v>2958465</v>
      </c>
      <c r="J2308" s="5">
        <v>43599</v>
      </c>
      <c r="K2308" s="8">
        <f t="shared" si="243"/>
        <v>874</v>
      </c>
      <c r="L2308" s="6">
        <v>300</v>
      </c>
      <c r="M2308" s="9">
        <f t="shared" si="240"/>
        <v>4.1624999999999996</v>
      </c>
      <c r="N2308" s="6">
        <v>285.52999999999997</v>
      </c>
      <c r="O2308" s="6">
        <v>285.52999999999997</v>
      </c>
      <c r="P2308" s="6">
        <v>0</v>
      </c>
    </row>
    <row r="2309" spans="1:16" ht="18.75" hidden="1" customHeight="1" thickBot="1" x14ac:dyDescent="0.3">
      <c r="A2309" s="3" t="s">
        <v>11</v>
      </c>
      <c r="B2309" s="4">
        <v>566140</v>
      </c>
      <c r="C2309" s="3" t="s">
        <v>15</v>
      </c>
      <c r="D2309" s="7">
        <v>0.1515</v>
      </c>
      <c r="E2309" s="7">
        <f t="shared" si="241"/>
        <v>1.2624999999999999E-2</v>
      </c>
      <c r="F2309" s="5">
        <v>43152</v>
      </c>
      <c r="G2309" s="5">
        <v>2958465</v>
      </c>
      <c r="H2309" s="8">
        <f t="shared" si="242"/>
        <v>2915313</v>
      </c>
      <c r="I2309" s="5">
        <v>2958465</v>
      </c>
      <c r="J2309" s="5">
        <v>45273</v>
      </c>
      <c r="K2309" s="8">
        <f t="shared" si="243"/>
        <v>2121</v>
      </c>
      <c r="L2309" s="6">
        <v>500</v>
      </c>
      <c r="M2309" s="9">
        <f t="shared" si="240"/>
        <v>6.3124999999999991</v>
      </c>
      <c r="N2309" s="6">
        <v>200</v>
      </c>
      <c r="O2309" s="6">
        <v>0</v>
      </c>
      <c r="P2309" s="6">
        <v>0</v>
      </c>
    </row>
    <row r="2310" spans="1:16" ht="18.75" hidden="1" customHeight="1" thickBot="1" x14ac:dyDescent="0.3">
      <c r="A2310" s="3" t="s">
        <v>11</v>
      </c>
      <c r="B2310" s="4">
        <v>381590</v>
      </c>
      <c r="C2310" s="3" t="s">
        <v>15</v>
      </c>
      <c r="D2310" s="7">
        <v>0.1515</v>
      </c>
      <c r="E2310" s="7">
        <f t="shared" si="241"/>
        <v>1.2624999999999999E-2</v>
      </c>
      <c r="F2310" s="5">
        <v>39379</v>
      </c>
      <c r="G2310" s="5">
        <v>2958465</v>
      </c>
      <c r="H2310" s="8">
        <f t="shared" si="242"/>
        <v>2919086</v>
      </c>
      <c r="I2310" s="5">
        <v>2958465</v>
      </c>
      <c r="J2310" s="5">
        <v>45273</v>
      </c>
      <c r="K2310" s="8">
        <f t="shared" si="243"/>
        <v>5894</v>
      </c>
      <c r="L2310" s="6">
        <v>5000</v>
      </c>
      <c r="M2310" s="9">
        <f t="shared" si="240"/>
        <v>63.124999999999993</v>
      </c>
      <c r="N2310" s="6">
        <v>2421.5300000000002</v>
      </c>
      <c r="O2310" s="6">
        <v>0</v>
      </c>
      <c r="P2310" s="6">
        <v>0</v>
      </c>
    </row>
    <row r="2311" spans="1:16" ht="18.75" hidden="1" customHeight="1" thickBot="1" x14ac:dyDescent="0.3">
      <c r="A2311" s="3" t="s">
        <v>11</v>
      </c>
      <c r="B2311" s="4">
        <v>415367</v>
      </c>
      <c r="C2311" s="3" t="s">
        <v>15</v>
      </c>
      <c r="D2311" s="7">
        <v>0.1515</v>
      </c>
      <c r="E2311" s="7">
        <f t="shared" si="241"/>
        <v>1.2624999999999999E-2</v>
      </c>
      <c r="F2311" s="5">
        <v>38810</v>
      </c>
      <c r="G2311" s="5">
        <v>2958465</v>
      </c>
      <c r="H2311" s="8">
        <f t="shared" si="242"/>
        <v>2919655</v>
      </c>
      <c r="I2311" s="5">
        <v>2958465</v>
      </c>
      <c r="J2311" s="5">
        <v>40886</v>
      </c>
      <c r="K2311" s="8">
        <f t="shared" si="243"/>
        <v>2076</v>
      </c>
      <c r="L2311" s="6">
        <v>300</v>
      </c>
      <c r="M2311" s="9">
        <f t="shared" si="240"/>
        <v>3.7874999999999996</v>
      </c>
      <c r="N2311" s="6">
        <v>300</v>
      </c>
      <c r="O2311" s="6">
        <v>0</v>
      </c>
      <c r="P2311" s="6">
        <v>8101.79</v>
      </c>
    </row>
    <row r="2312" spans="1:16" ht="18.75" customHeight="1" thickBot="1" x14ac:dyDescent="0.3">
      <c r="A2312" s="3" t="s">
        <v>11</v>
      </c>
      <c r="B2312" s="4">
        <v>765000</v>
      </c>
      <c r="C2312" s="3" t="s">
        <v>16</v>
      </c>
      <c r="D2312" s="18">
        <v>0.115</v>
      </c>
      <c r="E2312" s="21">
        <f>(1+D2312)^(1/12)-1</f>
        <v>9.1124684369046083E-3</v>
      </c>
      <c r="F2312" s="5">
        <v>45078</v>
      </c>
      <c r="G2312" s="5">
        <v>45992</v>
      </c>
      <c r="H2312" s="16">
        <f t="shared" si="242"/>
        <v>914</v>
      </c>
      <c r="I2312" s="5">
        <v>45992</v>
      </c>
      <c r="J2312" s="5">
        <v>45467</v>
      </c>
      <c r="K2312" s="16">
        <f t="shared" si="243"/>
        <v>389</v>
      </c>
      <c r="L2312" s="13">
        <v>3075</v>
      </c>
      <c r="M2312" s="15">
        <f t="shared" si="240"/>
        <v>116.0440852141453</v>
      </c>
      <c r="N2312" s="13">
        <v>2146.2800000000002</v>
      </c>
      <c r="O2312" s="13">
        <v>0</v>
      </c>
      <c r="P2312" s="11">
        <f>IF((G2312)&gt;(ConstantDateCutoff),1,0)</f>
        <v>1</v>
      </c>
    </row>
    <row r="2313" spans="1:16" ht="18.75" hidden="1" customHeight="1" thickBot="1" x14ac:dyDescent="0.3">
      <c r="A2313" s="3" t="s">
        <v>11</v>
      </c>
      <c r="B2313" s="4">
        <v>237429</v>
      </c>
      <c r="C2313" s="3" t="s">
        <v>16</v>
      </c>
      <c r="D2313" s="7">
        <v>0.115</v>
      </c>
      <c r="E2313" s="7">
        <f t="shared" si="241"/>
        <v>9.5833333333333343E-3</v>
      </c>
      <c r="F2313" s="5">
        <v>45124</v>
      </c>
      <c r="G2313" s="5">
        <v>46219</v>
      </c>
      <c r="H2313" s="8">
        <f t="shared" si="242"/>
        <v>1095</v>
      </c>
      <c r="I2313" s="5">
        <v>46219</v>
      </c>
      <c r="J2313" s="5">
        <v>45379</v>
      </c>
      <c r="K2313" s="8">
        <f t="shared" si="243"/>
        <v>255</v>
      </c>
      <c r="L2313" s="6">
        <v>5075</v>
      </c>
      <c r="M2313" s="9">
        <f t="shared" si="240"/>
        <v>165.43208066004567</v>
      </c>
      <c r="N2313" s="6">
        <v>4718.3900000000003</v>
      </c>
      <c r="O2313" s="6">
        <v>0</v>
      </c>
      <c r="P2313" s="6">
        <v>3551.27</v>
      </c>
    </row>
    <row r="2314" spans="1:16" ht="18.75" customHeight="1" thickBot="1" x14ac:dyDescent="0.3">
      <c r="A2314" s="3" t="s">
        <v>11</v>
      </c>
      <c r="B2314" s="4">
        <v>321970</v>
      </c>
      <c r="C2314" s="3" t="s">
        <v>9</v>
      </c>
      <c r="D2314" s="18">
        <v>9.5000000000000001E-2</v>
      </c>
      <c r="E2314" s="21">
        <f t="shared" ref="E2314:E2326" si="244">(1+D2314)^(1/12)-1</f>
        <v>7.5915342905825689E-3</v>
      </c>
      <c r="F2314" s="5">
        <v>45125</v>
      </c>
      <c r="G2314" s="5">
        <v>46038</v>
      </c>
      <c r="H2314" s="16">
        <f t="shared" si="242"/>
        <v>913</v>
      </c>
      <c r="I2314" s="5">
        <v>46069</v>
      </c>
      <c r="J2314" s="5">
        <v>45467</v>
      </c>
      <c r="K2314" s="16">
        <f t="shared" si="243"/>
        <v>342</v>
      </c>
      <c r="L2314" s="13">
        <v>12105</v>
      </c>
      <c r="M2314" s="15">
        <f t="shared" si="240"/>
        <v>446.9713232671873</v>
      </c>
      <c r="N2314" s="13">
        <v>9861.5</v>
      </c>
      <c r="O2314" s="13">
        <v>9861.5</v>
      </c>
      <c r="P2314" s="11">
        <f t="shared" ref="P2314:P2326" si="245">IF((G2314)&gt;(ConstantDateCutoff),1,0)</f>
        <v>1</v>
      </c>
    </row>
    <row r="2315" spans="1:16" ht="18.75" customHeight="1" thickBot="1" x14ac:dyDescent="0.3">
      <c r="A2315" s="3" t="s">
        <v>11</v>
      </c>
      <c r="B2315" s="4">
        <v>562814</v>
      </c>
      <c r="C2315" s="3" t="s">
        <v>16</v>
      </c>
      <c r="D2315" s="18">
        <v>8.2500000000000004E-2</v>
      </c>
      <c r="E2315" s="21">
        <f t="shared" si="244"/>
        <v>6.6279668043680573E-3</v>
      </c>
      <c r="F2315" s="5">
        <v>35632</v>
      </c>
      <c r="G2315" s="5">
        <v>36366</v>
      </c>
      <c r="H2315" s="16">
        <f t="shared" si="242"/>
        <v>734</v>
      </c>
      <c r="I2315" s="5">
        <v>36397</v>
      </c>
      <c r="J2315" s="5">
        <v>36523</v>
      </c>
      <c r="K2315" s="16">
        <f t="shared" si="243"/>
        <v>891</v>
      </c>
      <c r="L2315" s="13">
        <v>9392.68</v>
      </c>
      <c r="M2315" s="15">
        <f t="shared" si="240"/>
        <v>417.13316143003567</v>
      </c>
      <c r="N2315" s="13">
        <v>1904.86</v>
      </c>
      <c r="O2315" s="13">
        <v>0</v>
      </c>
      <c r="P2315" s="11">
        <f t="shared" si="245"/>
        <v>0</v>
      </c>
    </row>
    <row r="2316" spans="1:16" ht="18.75" customHeight="1" thickBot="1" x14ac:dyDescent="0.3">
      <c r="A2316" s="3" t="s">
        <v>11</v>
      </c>
      <c r="B2316" s="4">
        <v>791965</v>
      </c>
      <c r="C2316" s="3" t="s">
        <v>9</v>
      </c>
      <c r="D2316" s="18">
        <v>0.10249999999999999</v>
      </c>
      <c r="E2316" s="21">
        <f t="shared" si="244"/>
        <v>8.1648460519010424E-3</v>
      </c>
      <c r="F2316" s="5">
        <v>35969</v>
      </c>
      <c r="G2316" s="5">
        <v>36519</v>
      </c>
      <c r="H2316" s="16">
        <f t="shared" si="242"/>
        <v>550</v>
      </c>
      <c r="I2316" s="5">
        <v>36519</v>
      </c>
      <c r="J2316" s="5">
        <v>36595</v>
      </c>
      <c r="K2316" s="16">
        <f t="shared" si="243"/>
        <v>626</v>
      </c>
      <c r="L2316" s="13">
        <v>3146.88</v>
      </c>
      <c r="M2316" s="15">
        <f t="shared" si="240"/>
        <v>185.51377203380142</v>
      </c>
      <c r="N2316" s="13">
        <v>914.35</v>
      </c>
      <c r="O2316" s="13">
        <v>0</v>
      </c>
      <c r="P2316" s="11">
        <f t="shared" si="245"/>
        <v>0</v>
      </c>
    </row>
    <row r="2317" spans="1:16" ht="18.75" customHeight="1" thickBot="1" x14ac:dyDescent="0.3">
      <c r="A2317" s="3" t="s">
        <v>11</v>
      </c>
      <c r="B2317" s="4">
        <v>554143</v>
      </c>
      <c r="C2317" s="3" t="s">
        <v>9</v>
      </c>
      <c r="D2317" s="18">
        <v>9.4E-2</v>
      </c>
      <c r="E2317" s="21">
        <f t="shared" si="244"/>
        <v>7.5148209323356863E-3</v>
      </c>
      <c r="F2317" s="5">
        <v>38810</v>
      </c>
      <c r="G2317" s="5">
        <v>40648</v>
      </c>
      <c r="H2317" s="16">
        <f t="shared" si="242"/>
        <v>1838</v>
      </c>
      <c r="I2317" s="5">
        <v>40678</v>
      </c>
      <c r="J2317" s="5">
        <v>39918</v>
      </c>
      <c r="K2317" s="16">
        <f t="shared" si="243"/>
        <v>1108</v>
      </c>
      <c r="L2317" s="13">
        <v>8800.34</v>
      </c>
      <c r="M2317" s="15">
        <f t="shared" si="240"/>
        <v>179.76450502693564</v>
      </c>
      <c r="N2317" s="13">
        <v>3500</v>
      </c>
      <c r="O2317" s="13">
        <v>79.86</v>
      </c>
      <c r="P2317" s="11">
        <f t="shared" si="245"/>
        <v>0</v>
      </c>
    </row>
    <row r="2318" spans="1:16" ht="18.75" customHeight="1" thickBot="1" x14ac:dyDescent="0.3">
      <c r="A2318" s="3" t="s">
        <v>11</v>
      </c>
      <c r="B2318" s="4">
        <v>241089</v>
      </c>
      <c r="C2318" s="3" t="s">
        <v>16</v>
      </c>
      <c r="D2318" s="18">
        <v>0.15</v>
      </c>
      <c r="E2318" s="21">
        <f t="shared" si="244"/>
        <v>1.171491691985338E-2</v>
      </c>
      <c r="F2318" s="5">
        <v>39007</v>
      </c>
      <c r="G2318" s="5">
        <v>40106</v>
      </c>
      <c r="H2318" s="16">
        <f t="shared" si="242"/>
        <v>1099</v>
      </c>
      <c r="I2318" s="5">
        <v>40257</v>
      </c>
      <c r="J2318" s="5">
        <v>39624</v>
      </c>
      <c r="K2318" s="16">
        <f t="shared" si="243"/>
        <v>617</v>
      </c>
      <c r="L2318" s="13">
        <v>8672.0400000000009</v>
      </c>
      <c r="M2318" s="15">
        <f t="shared" si="240"/>
        <v>292.50663623985747</v>
      </c>
      <c r="N2318" s="13">
        <v>7022.18</v>
      </c>
      <c r="O2318" s="13">
        <v>0</v>
      </c>
      <c r="P2318" s="11">
        <f t="shared" si="245"/>
        <v>0</v>
      </c>
    </row>
    <row r="2319" spans="1:16" ht="18.75" customHeight="1" thickBot="1" x14ac:dyDescent="0.3">
      <c r="A2319" s="3" t="s">
        <v>11</v>
      </c>
      <c r="B2319" s="4">
        <v>725606</v>
      </c>
      <c r="C2319" s="3" t="s">
        <v>9</v>
      </c>
      <c r="D2319" s="18">
        <v>0.10249999999999999</v>
      </c>
      <c r="E2319" s="21">
        <f t="shared" si="244"/>
        <v>8.1648460519010424E-3</v>
      </c>
      <c r="F2319" s="5">
        <v>39559</v>
      </c>
      <c r="G2319" s="5">
        <v>41389</v>
      </c>
      <c r="H2319" s="16">
        <f t="shared" si="242"/>
        <v>1830</v>
      </c>
      <c r="I2319" s="5">
        <v>41603</v>
      </c>
      <c r="J2319" s="5">
        <v>40436</v>
      </c>
      <c r="K2319" s="16">
        <f t="shared" si="243"/>
        <v>877</v>
      </c>
      <c r="L2319" s="13">
        <v>20421.71</v>
      </c>
      <c r="M2319" s="15">
        <f t="shared" si="240"/>
        <v>426.3813484992848</v>
      </c>
      <c r="N2319" s="13">
        <v>10722.68</v>
      </c>
      <c r="O2319" s="13">
        <v>0</v>
      </c>
      <c r="P2319" s="11">
        <f t="shared" si="245"/>
        <v>0</v>
      </c>
    </row>
    <row r="2320" spans="1:16" ht="18.75" customHeight="1" thickBot="1" x14ac:dyDescent="0.3">
      <c r="A2320" s="3" t="s">
        <v>11</v>
      </c>
      <c r="B2320" s="4">
        <v>756861</v>
      </c>
      <c r="C2320" s="3" t="s">
        <v>9</v>
      </c>
      <c r="D2320" s="18">
        <v>0.12</v>
      </c>
      <c r="E2320" s="21">
        <f t="shared" si="244"/>
        <v>9.4887929345830457E-3</v>
      </c>
      <c r="F2320" s="5">
        <v>39913</v>
      </c>
      <c r="G2320" s="5">
        <v>41014</v>
      </c>
      <c r="H2320" s="16">
        <f t="shared" si="242"/>
        <v>1101</v>
      </c>
      <c r="I2320" s="5">
        <v>41044</v>
      </c>
      <c r="J2320" s="5">
        <v>40451</v>
      </c>
      <c r="K2320" s="16">
        <f t="shared" si="243"/>
        <v>538</v>
      </c>
      <c r="L2320" s="13">
        <v>6075</v>
      </c>
      <c r="M2320" s="15">
        <f t="shared" si="240"/>
        <v>196.79927785076174</v>
      </c>
      <c r="N2320" s="13">
        <v>4344.04</v>
      </c>
      <c r="O2320" s="13">
        <v>2001</v>
      </c>
      <c r="P2320" s="11">
        <f t="shared" si="245"/>
        <v>0</v>
      </c>
    </row>
    <row r="2321" spans="1:16" ht="18.75" customHeight="1" thickBot="1" x14ac:dyDescent="0.3">
      <c r="A2321" s="3" t="s">
        <v>11</v>
      </c>
      <c r="B2321" s="4">
        <v>939878</v>
      </c>
      <c r="C2321" s="3" t="s">
        <v>16</v>
      </c>
      <c r="D2321" s="18">
        <v>0.14000000000000001</v>
      </c>
      <c r="E2321" s="21">
        <f t="shared" si="244"/>
        <v>1.0978851950173452E-2</v>
      </c>
      <c r="F2321" s="5">
        <v>40148</v>
      </c>
      <c r="G2321" s="5">
        <v>40887</v>
      </c>
      <c r="H2321" s="16">
        <f t="shared" si="242"/>
        <v>739</v>
      </c>
      <c r="I2321" s="5">
        <v>40887</v>
      </c>
      <c r="J2321" s="5">
        <v>40268</v>
      </c>
      <c r="K2321" s="16">
        <f t="shared" si="243"/>
        <v>120</v>
      </c>
      <c r="L2321" s="13">
        <v>2075</v>
      </c>
      <c r="M2321" s="15">
        <f t="shared" si="240"/>
        <v>96.597583755513313</v>
      </c>
      <c r="N2321" s="13">
        <v>2004.44</v>
      </c>
      <c r="O2321" s="13">
        <v>0</v>
      </c>
      <c r="P2321" s="11">
        <f t="shared" si="245"/>
        <v>0</v>
      </c>
    </row>
    <row r="2322" spans="1:16" ht="18.75" customHeight="1" thickBot="1" x14ac:dyDescent="0.3">
      <c r="A2322" s="3" t="s">
        <v>11</v>
      </c>
      <c r="B2322" s="4">
        <v>253056</v>
      </c>
      <c r="C2322" s="3" t="s">
        <v>9</v>
      </c>
      <c r="D2322" s="18">
        <v>7.0000000000000007E-2</v>
      </c>
      <c r="E2322" s="21">
        <f t="shared" si="244"/>
        <v>5.6541453874052738E-3</v>
      </c>
      <c r="F2322" s="5">
        <v>40416</v>
      </c>
      <c r="G2322" s="5">
        <v>42241</v>
      </c>
      <c r="H2322" s="16">
        <f t="shared" si="242"/>
        <v>1825</v>
      </c>
      <c r="I2322" s="5">
        <v>42241</v>
      </c>
      <c r="J2322" s="5">
        <v>40886</v>
      </c>
      <c r="K2322" s="16">
        <f t="shared" si="243"/>
        <v>470</v>
      </c>
      <c r="L2322" s="13">
        <v>10075</v>
      </c>
      <c r="M2322" s="15">
        <f t="shared" si="240"/>
        <v>196.19200707537814</v>
      </c>
      <c r="N2322" s="13">
        <v>8343.57</v>
      </c>
      <c r="O2322" s="13">
        <v>5727.02</v>
      </c>
      <c r="P2322" s="11">
        <f t="shared" si="245"/>
        <v>1</v>
      </c>
    </row>
    <row r="2323" spans="1:16" ht="18.75" customHeight="1" thickBot="1" x14ac:dyDescent="0.3">
      <c r="A2323" s="3" t="s">
        <v>11</v>
      </c>
      <c r="B2323" s="4">
        <v>705388</v>
      </c>
      <c r="C2323" s="3" t="s">
        <v>9</v>
      </c>
      <c r="D2323" s="18">
        <v>0.1225</v>
      </c>
      <c r="E2323" s="21">
        <f t="shared" si="244"/>
        <v>9.6763780332134175E-3</v>
      </c>
      <c r="F2323" s="5">
        <v>41263</v>
      </c>
      <c r="G2323" s="5">
        <v>41793</v>
      </c>
      <c r="H2323" s="16">
        <f t="shared" si="242"/>
        <v>530</v>
      </c>
      <c r="I2323" s="5">
        <v>41915</v>
      </c>
      <c r="J2323" s="5">
        <v>41787</v>
      </c>
      <c r="K2323" s="16">
        <f t="shared" si="243"/>
        <v>524</v>
      </c>
      <c r="L2323" s="13">
        <v>1627.45</v>
      </c>
      <c r="M2323" s="15">
        <f t="shared" si="240"/>
        <v>100.66185367667086</v>
      </c>
      <c r="N2323" s="13">
        <v>478.83</v>
      </c>
      <c r="O2323" s="13">
        <v>0</v>
      </c>
      <c r="P2323" s="11">
        <f t="shared" si="245"/>
        <v>0</v>
      </c>
    </row>
    <row r="2324" spans="1:16" ht="18.75" customHeight="1" thickBot="1" x14ac:dyDescent="0.3">
      <c r="A2324" s="3" t="s">
        <v>11</v>
      </c>
      <c r="B2324" s="4">
        <v>270764</v>
      </c>
      <c r="C2324" s="3" t="s">
        <v>9</v>
      </c>
      <c r="D2324" s="18">
        <v>0.10249999999999999</v>
      </c>
      <c r="E2324" s="21">
        <f t="shared" si="244"/>
        <v>8.1648460519010424E-3</v>
      </c>
      <c r="F2324" s="5">
        <v>41858</v>
      </c>
      <c r="G2324" s="5">
        <v>43327</v>
      </c>
      <c r="H2324" s="16">
        <f t="shared" si="242"/>
        <v>1469</v>
      </c>
      <c r="I2324" s="5">
        <v>43419</v>
      </c>
      <c r="J2324" s="5">
        <v>42998</v>
      </c>
      <c r="K2324" s="16">
        <f t="shared" si="243"/>
        <v>1140</v>
      </c>
      <c r="L2324" s="13">
        <v>7075</v>
      </c>
      <c r="M2324" s="15">
        <f t="shared" si="240"/>
        <v>175.86998657016568</v>
      </c>
      <c r="N2324" s="13">
        <v>3487.03</v>
      </c>
      <c r="O2324" s="13">
        <v>0</v>
      </c>
      <c r="P2324" s="11">
        <f t="shared" si="245"/>
        <v>1</v>
      </c>
    </row>
    <row r="2325" spans="1:16" ht="18.75" customHeight="1" thickBot="1" x14ac:dyDescent="0.3">
      <c r="A2325" s="3" t="s">
        <v>11</v>
      </c>
      <c r="B2325" s="4">
        <v>210986</v>
      </c>
      <c r="C2325" s="3" t="s">
        <v>9</v>
      </c>
      <c r="D2325" s="18">
        <v>0.1125</v>
      </c>
      <c r="E2325" s="21">
        <f t="shared" si="244"/>
        <v>8.9237257287477778E-3</v>
      </c>
      <c r="F2325" s="5">
        <v>42916</v>
      </c>
      <c r="G2325" s="5">
        <v>43470</v>
      </c>
      <c r="H2325" s="16">
        <f t="shared" si="242"/>
        <v>554</v>
      </c>
      <c r="I2325" s="5">
        <v>43470</v>
      </c>
      <c r="J2325" s="5">
        <v>43455</v>
      </c>
      <c r="K2325" s="16">
        <f t="shared" si="243"/>
        <v>539</v>
      </c>
      <c r="L2325" s="13">
        <v>2450</v>
      </c>
      <c r="M2325" s="15">
        <f t="shared" si="240"/>
        <v>144.49290197494145</v>
      </c>
      <c r="N2325" s="13">
        <v>860.82</v>
      </c>
      <c r="O2325" s="13">
        <v>0</v>
      </c>
      <c r="P2325" s="11">
        <f t="shared" si="245"/>
        <v>1</v>
      </c>
    </row>
    <row r="2326" spans="1:16" ht="18.75" customHeight="1" thickBot="1" x14ac:dyDescent="0.3">
      <c r="A2326" s="3" t="s">
        <v>11</v>
      </c>
      <c r="B2326" s="4">
        <v>622211</v>
      </c>
      <c r="C2326" s="3" t="s">
        <v>9</v>
      </c>
      <c r="D2326" s="18">
        <v>0.10249999999999999</v>
      </c>
      <c r="E2326" s="21">
        <f t="shared" si="244"/>
        <v>8.1648460519010424E-3</v>
      </c>
      <c r="F2326" s="5">
        <v>43550</v>
      </c>
      <c r="G2326" s="5">
        <v>45376</v>
      </c>
      <c r="H2326" s="16">
        <f t="shared" si="242"/>
        <v>1826</v>
      </c>
      <c r="I2326" s="5">
        <v>45498</v>
      </c>
      <c r="J2326" s="5">
        <v>44249</v>
      </c>
      <c r="K2326" s="16">
        <f t="shared" si="243"/>
        <v>699</v>
      </c>
      <c r="L2326" s="13">
        <v>21025</v>
      </c>
      <c r="M2326" s="15">
        <f t="shared" si="240"/>
        <v>439.72012440202843</v>
      </c>
      <c r="N2326" s="13">
        <v>12508.4</v>
      </c>
      <c r="O2326" s="13">
        <v>0</v>
      </c>
      <c r="P2326" s="11">
        <f t="shared" si="245"/>
        <v>1</v>
      </c>
    </row>
    <row r="2327" spans="1:16" ht="18.75" hidden="1" customHeight="1" thickBot="1" x14ac:dyDescent="0.3">
      <c r="A2327" s="3" t="s">
        <v>11</v>
      </c>
      <c r="B2327" s="4">
        <v>582435</v>
      </c>
      <c r="C2327" s="3" t="s">
        <v>15</v>
      </c>
      <c r="D2327" s="7">
        <v>0.1515</v>
      </c>
      <c r="E2327" s="7">
        <f t="shared" si="241"/>
        <v>1.2624999999999999E-2</v>
      </c>
      <c r="F2327" s="5">
        <v>39666</v>
      </c>
      <c r="G2327" s="5">
        <v>2958465</v>
      </c>
      <c r="H2327" s="8">
        <f t="shared" si="242"/>
        <v>2918799</v>
      </c>
      <c r="I2327" s="5">
        <v>2958465</v>
      </c>
      <c r="J2327" s="5">
        <v>40585</v>
      </c>
      <c r="K2327" s="8">
        <f t="shared" si="243"/>
        <v>919</v>
      </c>
      <c r="L2327" s="6">
        <v>300</v>
      </c>
      <c r="M2327" s="9">
        <f t="shared" si="240"/>
        <v>3.7874999999999996</v>
      </c>
      <c r="N2327" s="6">
        <v>300</v>
      </c>
      <c r="O2327" s="6">
        <v>0</v>
      </c>
      <c r="P2327" s="6">
        <v>0</v>
      </c>
    </row>
    <row r="2328" spans="1:16" ht="18.75" hidden="1" customHeight="1" thickBot="1" x14ac:dyDescent="0.3">
      <c r="A2328" s="3" t="s">
        <v>11</v>
      </c>
      <c r="B2328" s="4">
        <v>759661</v>
      </c>
      <c r="C2328" s="3" t="s">
        <v>15</v>
      </c>
      <c r="D2328" s="7">
        <v>0.1515</v>
      </c>
      <c r="E2328" s="7">
        <f t="shared" si="241"/>
        <v>1.2624999999999999E-2</v>
      </c>
      <c r="F2328" s="5">
        <v>34956</v>
      </c>
      <c r="G2328" s="5">
        <v>2958465</v>
      </c>
      <c r="H2328" s="8">
        <f t="shared" si="242"/>
        <v>2923509</v>
      </c>
      <c r="I2328" s="5">
        <v>2958465</v>
      </c>
      <c r="J2328" s="5">
        <v>40519</v>
      </c>
      <c r="K2328" s="8">
        <f t="shared" si="243"/>
        <v>5563</v>
      </c>
      <c r="L2328" s="6">
        <v>2000</v>
      </c>
      <c r="M2328" s="9">
        <f t="shared" si="240"/>
        <v>25.249999999999996</v>
      </c>
      <c r="N2328" s="6">
        <v>1374.45</v>
      </c>
      <c r="O2328" s="6">
        <v>0</v>
      </c>
      <c r="P2328" s="6">
        <v>0</v>
      </c>
    </row>
    <row r="2329" spans="1:16" ht="18.75" hidden="1" customHeight="1" thickBot="1" x14ac:dyDescent="0.3">
      <c r="A2329" s="3" t="s">
        <v>11</v>
      </c>
      <c r="B2329" s="4">
        <v>178530</v>
      </c>
      <c r="C2329" s="3" t="s">
        <v>15</v>
      </c>
      <c r="D2329" s="7">
        <v>0.1515</v>
      </c>
      <c r="E2329" s="7">
        <f t="shared" si="241"/>
        <v>1.2624999999999999E-2</v>
      </c>
      <c r="F2329" s="5">
        <v>36447</v>
      </c>
      <c r="G2329" s="5">
        <v>2958465</v>
      </c>
      <c r="H2329" s="8">
        <f t="shared" si="242"/>
        <v>2922018</v>
      </c>
      <c r="I2329" s="5">
        <v>2958465</v>
      </c>
      <c r="J2329" s="5">
        <v>40644</v>
      </c>
      <c r="K2329" s="8">
        <f t="shared" si="243"/>
        <v>4197</v>
      </c>
      <c r="L2329" s="6">
        <v>500</v>
      </c>
      <c r="M2329" s="9">
        <f t="shared" si="240"/>
        <v>6.3124999999999991</v>
      </c>
      <c r="N2329" s="6">
        <v>500</v>
      </c>
      <c r="O2329" s="6">
        <v>0</v>
      </c>
      <c r="P2329" s="6">
        <v>0</v>
      </c>
    </row>
    <row r="2330" spans="1:16" ht="18.75" customHeight="1" thickBot="1" x14ac:dyDescent="0.3">
      <c r="A2330" s="3" t="s">
        <v>11</v>
      </c>
      <c r="B2330" s="4">
        <v>140953</v>
      </c>
      <c r="C2330" s="3" t="s">
        <v>16</v>
      </c>
      <c r="D2330" s="18">
        <v>0.11</v>
      </c>
      <c r="E2330" s="21">
        <f t="shared" ref="E2330:E2332" si="246">(1+D2330)^(1/12)-1</f>
        <v>8.7345938235519061E-3</v>
      </c>
      <c r="F2330" s="5">
        <v>38685</v>
      </c>
      <c r="G2330" s="5">
        <v>38866</v>
      </c>
      <c r="H2330" s="16">
        <f t="shared" si="242"/>
        <v>181</v>
      </c>
      <c r="I2330" s="5">
        <v>39431</v>
      </c>
      <c r="J2330" s="5">
        <v>39520</v>
      </c>
      <c r="K2330" s="16">
        <f t="shared" si="243"/>
        <v>835</v>
      </c>
      <c r="L2330" s="13">
        <v>20120.310000000001</v>
      </c>
      <c r="M2330" s="15">
        <f t="shared" si="240"/>
        <v>3438.0409820667032</v>
      </c>
      <c r="N2330" s="13">
        <v>15710.28</v>
      </c>
      <c r="O2330" s="13">
        <v>0</v>
      </c>
      <c r="P2330" s="11">
        <f>IF((G2330)&gt;(ConstantDateCutoff),1,0)</f>
        <v>0</v>
      </c>
    </row>
    <row r="2331" spans="1:16" ht="18.75" customHeight="1" thickBot="1" x14ac:dyDescent="0.3">
      <c r="A2331" s="3" t="s">
        <v>11</v>
      </c>
      <c r="B2331" s="4">
        <v>99177</v>
      </c>
      <c r="C2331" s="3" t="s">
        <v>16</v>
      </c>
      <c r="D2331" s="18">
        <v>0.11</v>
      </c>
      <c r="E2331" s="21">
        <f t="shared" si="246"/>
        <v>8.7345938235519061E-3</v>
      </c>
      <c r="F2331" s="5">
        <v>38750</v>
      </c>
      <c r="G2331" s="5">
        <v>38769</v>
      </c>
      <c r="H2331" s="16">
        <f t="shared" si="242"/>
        <v>19</v>
      </c>
      <c r="I2331" s="5">
        <v>39431</v>
      </c>
      <c r="J2331" s="5">
        <v>39520</v>
      </c>
      <c r="K2331" s="16">
        <f t="shared" si="243"/>
        <v>770</v>
      </c>
      <c r="L2331" s="13">
        <v>18060</v>
      </c>
      <c r="M2331" s="15">
        <f t="shared" si="240"/>
        <v>28719.091670349659</v>
      </c>
      <c r="N2331" s="13">
        <v>16814.560000000001</v>
      </c>
      <c r="O2331" s="13">
        <v>0</v>
      </c>
      <c r="P2331" s="11">
        <f>IF((G2331)&gt;(ConstantDateCutoff),1,0)</f>
        <v>0</v>
      </c>
    </row>
    <row r="2332" spans="1:16" ht="18.75" customHeight="1" thickBot="1" x14ac:dyDescent="0.3">
      <c r="A2332" s="3" t="s">
        <v>11</v>
      </c>
      <c r="B2332" s="4">
        <v>652932</v>
      </c>
      <c r="C2332" s="3" t="s">
        <v>9</v>
      </c>
      <c r="D2332" s="18">
        <v>0.1</v>
      </c>
      <c r="E2332" s="21">
        <f t="shared" si="246"/>
        <v>7.9741404289037643E-3</v>
      </c>
      <c r="F2332" s="5">
        <v>38810</v>
      </c>
      <c r="G2332" s="5">
        <v>38993</v>
      </c>
      <c r="H2332" s="16">
        <f t="shared" si="242"/>
        <v>183</v>
      </c>
      <c r="I2332" s="5">
        <v>39358</v>
      </c>
      <c r="J2332" s="5">
        <v>39520</v>
      </c>
      <c r="K2332" s="16">
        <f t="shared" si="243"/>
        <v>710</v>
      </c>
      <c r="L2332" s="13">
        <v>44213.68</v>
      </c>
      <c r="M2332" s="15">
        <f t="shared" si="240"/>
        <v>7454.7113246597582</v>
      </c>
      <c r="N2332" s="13">
        <v>30878.61</v>
      </c>
      <c r="O2332" s="13">
        <v>267.82</v>
      </c>
      <c r="P2332" s="11">
        <f>IF((G2332)&gt;(ConstantDateCutoff),1,0)</f>
        <v>0</v>
      </c>
    </row>
    <row r="2333" spans="1:16" ht="18.75" hidden="1" customHeight="1" thickBot="1" x14ac:dyDescent="0.3">
      <c r="A2333" s="3" t="s">
        <v>11</v>
      </c>
      <c r="B2333" s="4">
        <v>651038</v>
      </c>
      <c r="C2333" s="3" t="s">
        <v>9</v>
      </c>
      <c r="D2333" s="7">
        <v>0.115</v>
      </c>
      <c r="E2333" s="7">
        <f t="shared" si="241"/>
        <v>9.5833333333333343E-3</v>
      </c>
      <c r="F2333" s="5">
        <v>44770</v>
      </c>
      <c r="G2333" s="5">
        <v>46231</v>
      </c>
      <c r="H2333" s="8">
        <f t="shared" si="242"/>
        <v>1461</v>
      </c>
      <c r="I2333" s="5">
        <v>46231</v>
      </c>
      <c r="J2333" s="5">
        <v>44971</v>
      </c>
      <c r="K2333" s="8">
        <f t="shared" si="243"/>
        <v>201</v>
      </c>
      <c r="L2333" s="6">
        <v>15081</v>
      </c>
      <c r="M2333" s="9">
        <f t="shared" si="240"/>
        <v>388.99025791330143</v>
      </c>
      <c r="N2333" s="6">
        <v>15081</v>
      </c>
      <c r="O2333" s="6">
        <v>8940.41</v>
      </c>
      <c r="P2333" s="6">
        <v>12223</v>
      </c>
    </row>
    <row r="2334" spans="1:16" ht="18.75" customHeight="1" thickBot="1" x14ac:dyDescent="0.3">
      <c r="A2334" s="3" t="s">
        <v>11</v>
      </c>
      <c r="B2334" s="4">
        <v>67290</v>
      </c>
      <c r="C2334" s="3" t="s">
        <v>9</v>
      </c>
      <c r="D2334" s="18">
        <v>0.13500000000000001</v>
      </c>
      <c r="E2334" s="21">
        <f>(1+D2334)^(1/12)-1</f>
        <v>1.0608597246586804E-2</v>
      </c>
      <c r="F2334" s="5">
        <v>45161</v>
      </c>
      <c r="G2334" s="5">
        <v>46076</v>
      </c>
      <c r="H2334" s="16">
        <f t="shared" si="242"/>
        <v>915</v>
      </c>
      <c r="I2334" s="5">
        <v>46076</v>
      </c>
      <c r="J2334" s="5">
        <v>45833</v>
      </c>
      <c r="K2334" s="16">
        <f t="shared" si="243"/>
        <v>672</v>
      </c>
      <c r="L2334" s="13">
        <v>3381</v>
      </c>
      <c r="M2334" s="15">
        <f t="shared" si="240"/>
        <v>130.33362076370912</v>
      </c>
      <c r="N2334" s="13">
        <v>1550.04</v>
      </c>
      <c r="O2334" s="13">
        <v>718.02</v>
      </c>
      <c r="P2334" s="11">
        <f>IF((G2334)&gt;(ConstantDateCutoff),1,0)</f>
        <v>1</v>
      </c>
    </row>
    <row r="2335" spans="1:16" ht="18.75" hidden="1" customHeight="1" thickBot="1" x14ac:dyDescent="0.3">
      <c r="A2335" s="3" t="s">
        <v>11</v>
      </c>
      <c r="B2335" s="4">
        <v>957907</v>
      </c>
      <c r="C2335" s="3" t="s">
        <v>15</v>
      </c>
      <c r="D2335" s="7">
        <v>0.1515</v>
      </c>
      <c r="E2335" s="7">
        <f t="shared" si="241"/>
        <v>1.2624999999999999E-2</v>
      </c>
      <c r="F2335" s="5">
        <v>34956</v>
      </c>
      <c r="G2335" s="5">
        <v>2958465</v>
      </c>
      <c r="H2335" s="8">
        <f t="shared" si="242"/>
        <v>2923509</v>
      </c>
      <c r="I2335" s="5">
        <v>2958465</v>
      </c>
      <c r="J2335" s="5">
        <v>40632</v>
      </c>
      <c r="K2335" s="8">
        <f t="shared" si="243"/>
        <v>5676</v>
      </c>
      <c r="L2335" s="6">
        <v>1000</v>
      </c>
      <c r="M2335" s="9">
        <f t="shared" si="240"/>
        <v>12.624999999999998</v>
      </c>
      <c r="N2335" s="6">
        <v>491.19</v>
      </c>
      <c r="O2335" s="6">
        <v>0</v>
      </c>
      <c r="P2335" s="6">
        <v>0</v>
      </c>
    </row>
    <row r="2336" spans="1:16" ht="18.75" hidden="1" customHeight="1" thickBot="1" x14ac:dyDescent="0.3">
      <c r="A2336" s="3" t="s">
        <v>11</v>
      </c>
      <c r="B2336" s="4">
        <v>415412</v>
      </c>
      <c r="C2336" s="3" t="s">
        <v>22</v>
      </c>
      <c r="D2336" s="7">
        <v>0.08</v>
      </c>
      <c r="E2336" s="7">
        <f t="shared" si="241"/>
        <v>6.6666666666666671E-3</v>
      </c>
      <c r="F2336" s="5">
        <v>43958</v>
      </c>
      <c r="G2336" s="5">
        <v>2958465</v>
      </c>
      <c r="H2336" s="8">
        <f t="shared" si="242"/>
        <v>2914507</v>
      </c>
      <c r="I2336" s="5">
        <v>2958465</v>
      </c>
      <c r="J2336" s="5">
        <v>43977</v>
      </c>
      <c r="K2336" s="8">
        <f t="shared" si="243"/>
        <v>19</v>
      </c>
      <c r="L2336" s="6">
        <v>4814.1499999999996</v>
      </c>
      <c r="M2336" s="9">
        <f t="shared" si="240"/>
        <v>32.094333333333331</v>
      </c>
      <c r="N2336" s="6">
        <v>4814.1499999999996</v>
      </c>
      <c r="O2336" s="6">
        <v>2265.7199999999998</v>
      </c>
      <c r="P2336" s="6">
        <v>0</v>
      </c>
    </row>
    <row r="2337" spans="1:16" ht="18.75" hidden="1" customHeight="1" thickBot="1" x14ac:dyDescent="0.3">
      <c r="A2337" s="3" t="s">
        <v>11</v>
      </c>
      <c r="B2337" s="4">
        <v>511042</v>
      </c>
      <c r="C2337" s="3" t="s">
        <v>15</v>
      </c>
      <c r="D2337" s="7">
        <v>0.1515</v>
      </c>
      <c r="E2337" s="7">
        <f t="shared" si="241"/>
        <v>1.2624999999999999E-2</v>
      </c>
      <c r="F2337" s="5">
        <v>42172</v>
      </c>
      <c r="G2337" s="5">
        <v>2958465</v>
      </c>
      <c r="H2337" s="8">
        <f t="shared" si="242"/>
        <v>2916293</v>
      </c>
      <c r="I2337" s="5">
        <v>2958465</v>
      </c>
      <c r="J2337" s="5">
        <v>43874</v>
      </c>
      <c r="K2337" s="8">
        <f t="shared" si="243"/>
        <v>1702</v>
      </c>
      <c r="L2337" s="6">
        <v>5000</v>
      </c>
      <c r="M2337" s="9">
        <f t="shared" si="240"/>
        <v>63.124999999999993</v>
      </c>
      <c r="N2337" s="6">
        <v>5000</v>
      </c>
      <c r="O2337" s="6">
        <v>0</v>
      </c>
      <c r="P2337" s="6">
        <v>0</v>
      </c>
    </row>
    <row r="2338" spans="1:16" ht="18.75" hidden="1" customHeight="1" thickBot="1" x14ac:dyDescent="0.3">
      <c r="A2338" s="3" t="s">
        <v>11</v>
      </c>
      <c r="B2338" s="4">
        <v>47499</v>
      </c>
      <c r="C2338" s="3" t="s">
        <v>15</v>
      </c>
      <c r="D2338" s="7">
        <v>0.1515</v>
      </c>
      <c r="E2338" s="7">
        <f t="shared" si="241"/>
        <v>1.2624999999999999E-2</v>
      </c>
      <c r="F2338" s="5">
        <v>38307</v>
      </c>
      <c r="G2338" s="5">
        <v>2958465</v>
      </c>
      <c r="H2338" s="8">
        <f t="shared" si="242"/>
        <v>2920158</v>
      </c>
      <c r="I2338" s="5">
        <v>2958465</v>
      </c>
      <c r="J2338" s="5">
        <v>45560</v>
      </c>
      <c r="K2338" s="8">
        <f t="shared" si="243"/>
        <v>7253</v>
      </c>
      <c r="L2338" s="6">
        <v>100</v>
      </c>
      <c r="M2338" s="9">
        <f t="shared" si="240"/>
        <v>1.2625</v>
      </c>
      <c r="N2338" s="6">
        <v>15.86</v>
      </c>
      <c r="O2338" s="6">
        <v>15.86</v>
      </c>
      <c r="P2338" s="6">
        <v>0</v>
      </c>
    </row>
    <row r="2339" spans="1:16" ht="18.75" hidden="1" customHeight="1" thickBot="1" x14ac:dyDescent="0.3">
      <c r="A2339" s="3" t="s">
        <v>11</v>
      </c>
      <c r="B2339" s="4">
        <v>735016</v>
      </c>
      <c r="C2339" s="3" t="s">
        <v>15</v>
      </c>
      <c r="D2339" s="7">
        <v>0.1515</v>
      </c>
      <c r="E2339" s="7">
        <f t="shared" si="241"/>
        <v>1.2624999999999999E-2</v>
      </c>
      <c r="F2339" s="5">
        <v>39618</v>
      </c>
      <c r="G2339" s="5">
        <v>2958465</v>
      </c>
      <c r="H2339" s="8">
        <f t="shared" si="242"/>
        <v>2918847</v>
      </c>
      <c r="I2339" s="5">
        <v>2958465</v>
      </c>
      <c r="J2339" s="5">
        <v>41360</v>
      </c>
      <c r="K2339" s="8">
        <f t="shared" si="243"/>
        <v>1742</v>
      </c>
      <c r="L2339" s="6">
        <v>500</v>
      </c>
      <c r="M2339" s="9">
        <f t="shared" si="240"/>
        <v>6.3124999999999991</v>
      </c>
      <c r="N2339" s="6">
        <v>395.14</v>
      </c>
      <c r="O2339" s="6">
        <v>21.3</v>
      </c>
      <c r="P2339" s="6">
        <v>6800</v>
      </c>
    </row>
    <row r="2340" spans="1:16" ht="18.75" hidden="1" customHeight="1" thickBot="1" x14ac:dyDescent="0.3">
      <c r="A2340" s="3" t="s">
        <v>11</v>
      </c>
      <c r="B2340" s="4">
        <v>279041</v>
      </c>
      <c r="C2340" s="3" t="s">
        <v>15</v>
      </c>
      <c r="D2340" s="7">
        <v>0.1515</v>
      </c>
      <c r="E2340" s="7">
        <f t="shared" si="241"/>
        <v>1.2624999999999999E-2</v>
      </c>
      <c r="F2340" s="5">
        <v>43087</v>
      </c>
      <c r="G2340" s="5">
        <v>2958465</v>
      </c>
      <c r="H2340" s="8">
        <f t="shared" si="242"/>
        <v>2915378</v>
      </c>
      <c r="I2340" s="5">
        <v>2958465</v>
      </c>
      <c r="J2340" s="5">
        <v>44831</v>
      </c>
      <c r="K2340" s="8">
        <f t="shared" si="243"/>
        <v>1744</v>
      </c>
      <c r="L2340" s="6">
        <v>300</v>
      </c>
      <c r="M2340" s="9">
        <f t="shared" si="240"/>
        <v>3.7874999999999996</v>
      </c>
      <c r="N2340" s="6">
        <v>300</v>
      </c>
      <c r="O2340" s="6">
        <v>300</v>
      </c>
      <c r="P2340" s="6">
        <v>0</v>
      </c>
    </row>
    <row r="2341" spans="1:16" ht="18.75" hidden="1" customHeight="1" thickBot="1" x14ac:dyDescent="0.3">
      <c r="A2341" s="3" t="s">
        <v>11</v>
      </c>
      <c r="B2341" s="4">
        <v>973631</v>
      </c>
      <c r="C2341" s="3" t="s">
        <v>15</v>
      </c>
      <c r="D2341" s="7">
        <v>0.1515</v>
      </c>
      <c r="E2341" s="7">
        <f t="shared" si="241"/>
        <v>1.2624999999999999E-2</v>
      </c>
      <c r="F2341" s="5">
        <v>40892</v>
      </c>
      <c r="G2341" s="5">
        <v>2958465</v>
      </c>
      <c r="H2341" s="8">
        <f t="shared" si="242"/>
        <v>2917573</v>
      </c>
      <c r="I2341" s="5">
        <v>2958465</v>
      </c>
      <c r="J2341" s="5">
        <v>45309</v>
      </c>
      <c r="K2341" s="8">
        <f t="shared" si="243"/>
        <v>4417</v>
      </c>
      <c r="L2341" s="6">
        <v>300</v>
      </c>
      <c r="M2341" s="9">
        <f t="shared" si="240"/>
        <v>3.7874999999999996</v>
      </c>
      <c r="N2341" s="6">
        <v>300</v>
      </c>
      <c r="O2341" s="6">
        <v>0</v>
      </c>
      <c r="P2341" s="6">
        <v>34253.019999999997</v>
      </c>
    </row>
    <row r="2342" spans="1:16" ht="18.75" hidden="1" customHeight="1" thickBot="1" x14ac:dyDescent="0.3">
      <c r="A2342" s="3" t="s">
        <v>11</v>
      </c>
      <c r="B2342" s="4">
        <v>406462</v>
      </c>
      <c r="C2342" s="3" t="s">
        <v>15</v>
      </c>
      <c r="D2342" s="7">
        <v>0.1515</v>
      </c>
      <c r="E2342" s="7">
        <f t="shared" si="241"/>
        <v>1.2624999999999999E-2</v>
      </c>
      <c r="F2342" s="5">
        <v>40935</v>
      </c>
      <c r="G2342" s="5">
        <v>2958465</v>
      </c>
      <c r="H2342" s="8">
        <f t="shared" si="242"/>
        <v>2917530</v>
      </c>
      <c r="I2342" s="5">
        <v>2958465</v>
      </c>
      <c r="J2342" s="5">
        <v>41704</v>
      </c>
      <c r="K2342" s="8">
        <f t="shared" si="243"/>
        <v>769</v>
      </c>
      <c r="L2342" s="6">
        <v>300</v>
      </c>
      <c r="M2342" s="9">
        <f t="shared" si="240"/>
        <v>3.7874999999999996</v>
      </c>
      <c r="N2342" s="6">
        <v>293.33999999999997</v>
      </c>
      <c r="O2342" s="6">
        <v>0</v>
      </c>
      <c r="P2342" s="6">
        <v>0</v>
      </c>
    </row>
    <row r="2343" spans="1:16" ht="18.75" customHeight="1" thickBot="1" x14ac:dyDescent="0.3">
      <c r="A2343" s="3" t="s">
        <v>11</v>
      </c>
      <c r="B2343" s="4">
        <v>368821</v>
      </c>
      <c r="C2343" s="3" t="s">
        <v>9</v>
      </c>
      <c r="D2343" s="18">
        <v>9.2499999999999999E-2</v>
      </c>
      <c r="E2343" s="21">
        <f t="shared" ref="E2343:E2357" si="247">(1+D2343)^(1/12)-1</f>
        <v>7.3996302871768282E-3</v>
      </c>
      <c r="F2343" s="5">
        <v>37489</v>
      </c>
      <c r="G2343" s="5">
        <v>38596</v>
      </c>
      <c r="H2343" s="16">
        <f t="shared" si="242"/>
        <v>1107</v>
      </c>
      <c r="I2343" s="5">
        <v>38596</v>
      </c>
      <c r="J2343" s="5">
        <v>37973</v>
      </c>
      <c r="K2343" s="16">
        <f t="shared" si="243"/>
        <v>484</v>
      </c>
      <c r="L2343" s="13">
        <v>11495.7</v>
      </c>
      <c r="M2343" s="15">
        <f t="shared" si="240"/>
        <v>357.14579446580535</v>
      </c>
      <c r="N2343" s="13">
        <v>4234.62</v>
      </c>
      <c r="O2343" s="13">
        <v>636</v>
      </c>
      <c r="P2343" s="11">
        <f t="shared" ref="P2343:P2357" si="248">IF((G2343)&gt;(ConstantDateCutoff),1,0)</f>
        <v>0</v>
      </c>
    </row>
    <row r="2344" spans="1:16" ht="18.75" customHeight="1" thickBot="1" x14ac:dyDescent="0.3">
      <c r="A2344" s="3" t="s">
        <v>11</v>
      </c>
      <c r="B2344" s="4">
        <v>699572</v>
      </c>
      <c r="C2344" s="3" t="s">
        <v>9</v>
      </c>
      <c r="D2344" s="18">
        <v>0.09</v>
      </c>
      <c r="E2344" s="21">
        <f t="shared" si="247"/>
        <v>7.2073233161367156E-3</v>
      </c>
      <c r="F2344" s="5">
        <v>37495</v>
      </c>
      <c r="G2344" s="5">
        <v>38961</v>
      </c>
      <c r="H2344" s="16">
        <f t="shared" si="242"/>
        <v>1466</v>
      </c>
      <c r="I2344" s="5">
        <v>38991</v>
      </c>
      <c r="J2344" s="5">
        <v>38785</v>
      </c>
      <c r="K2344" s="16">
        <f t="shared" si="243"/>
        <v>1290</v>
      </c>
      <c r="L2344" s="13">
        <v>4905.6899999999996</v>
      </c>
      <c r="M2344" s="15">
        <f t="shared" si="240"/>
        <v>119.46095424845245</v>
      </c>
      <c r="N2344" s="13">
        <v>834.58</v>
      </c>
      <c r="O2344" s="13">
        <v>75</v>
      </c>
      <c r="P2344" s="11">
        <f t="shared" si="248"/>
        <v>0</v>
      </c>
    </row>
    <row r="2345" spans="1:16" ht="18.75" customHeight="1" thickBot="1" x14ac:dyDescent="0.3">
      <c r="A2345" s="3" t="s">
        <v>11</v>
      </c>
      <c r="B2345" s="4">
        <v>984882</v>
      </c>
      <c r="C2345" s="3" t="s">
        <v>9</v>
      </c>
      <c r="D2345" s="18">
        <v>7.0000000000000007E-2</v>
      </c>
      <c r="E2345" s="21">
        <f t="shared" si="247"/>
        <v>5.6541453874052738E-3</v>
      </c>
      <c r="F2345" s="5">
        <v>37565</v>
      </c>
      <c r="G2345" s="5">
        <v>39026</v>
      </c>
      <c r="H2345" s="16">
        <f t="shared" si="242"/>
        <v>1461</v>
      </c>
      <c r="I2345" s="5">
        <v>39026</v>
      </c>
      <c r="J2345" s="5">
        <v>38873</v>
      </c>
      <c r="K2345" s="16">
        <f t="shared" si="243"/>
        <v>1308</v>
      </c>
      <c r="L2345" s="13">
        <v>6725.7</v>
      </c>
      <c r="M2345" s="15">
        <f t="shared" si="240"/>
        <v>158.37788960561014</v>
      </c>
      <c r="N2345" s="13">
        <v>1653.88</v>
      </c>
      <c r="O2345" s="13">
        <v>1734.27</v>
      </c>
      <c r="P2345" s="11">
        <f t="shared" si="248"/>
        <v>0</v>
      </c>
    </row>
    <row r="2346" spans="1:16" ht="18.75" customHeight="1" thickBot="1" x14ac:dyDescent="0.3">
      <c r="A2346" s="3" t="s">
        <v>11</v>
      </c>
      <c r="B2346" s="4">
        <v>981905</v>
      </c>
      <c r="C2346" s="3" t="s">
        <v>9</v>
      </c>
      <c r="D2346" s="18">
        <v>0.09</v>
      </c>
      <c r="E2346" s="21">
        <f t="shared" si="247"/>
        <v>7.2073233161367156E-3</v>
      </c>
      <c r="F2346" s="5">
        <v>37596</v>
      </c>
      <c r="G2346" s="5">
        <v>39066</v>
      </c>
      <c r="H2346" s="16">
        <f t="shared" si="242"/>
        <v>1470</v>
      </c>
      <c r="I2346" s="5">
        <v>39066</v>
      </c>
      <c r="J2346" s="5">
        <v>37963</v>
      </c>
      <c r="K2346" s="16">
        <f t="shared" si="243"/>
        <v>367</v>
      </c>
      <c r="L2346" s="13">
        <v>6168.74</v>
      </c>
      <c r="M2346" s="15">
        <f t="shared" si="240"/>
        <v>149.87691745457724</v>
      </c>
      <c r="N2346" s="13">
        <v>4120.2299999999996</v>
      </c>
      <c r="O2346" s="13">
        <v>345</v>
      </c>
      <c r="P2346" s="11">
        <f t="shared" si="248"/>
        <v>0</v>
      </c>
    </row>
    <row r="2347" spans="1:16" ht="18.75" customHeight="1" thickBot="1" x14ac:dyDescent="0.3">
      <c r="A2347" s="3" t="s">
        <v>11</v>
      </c>
      <c r="B2347" s="4">
        <v>400752</v>
      </c>
      <c r="C2347" s="3" t="s">
        <v>9</v>
      </c>
      <c r="D2347" s="18">
        <v>7.0000000000000007E-2</v>
      </c>
      <c r="E2347" s="21">
        <f t="shared" si="247"/>
        <v>5.6541453874052738E-3</v>
      </c>
      <c r="F2347" s="5">
        <v>37607</v>
      </c>
      <c r="G2347" s="5">
        <v>39066</v>
      </c>
      <c r="H2347" s="16">
        <f t="shared" si="242"/>
        <v>1459</v>
      </c>
      <c r="I2347" s="5">
        <v>39797</v>
      </c>
      <c r="J2347" s="5">
        <v>38342</v>
      </c>
      <c r="K2347" s="16">
        <f t="shared" si="243"/>
        <v>735</v>
      </c>
      <c r="L2347" s="13">
        <v>15353.7</v>
      </c>
      <c r="M2347" s="15">
        <f t="shared" si="240"/>
        <v>361.98213818409693</v>
      </c>
      <c r="N2347" s="13">
        <v>14967.55</v>
      </c>
      <c r="O2347" s="13">
        <v>6431.05</v>
      </c>
      <c r="P2347" s="11">
        <f t="shared" si="248"/>
        <v>0</v>
      </c>
    </row>
    <row r="2348" spans="1:16" ht="18.75" customHeight="1" thickBot="1" x14ac:dyDescent="0.3">
      <c r="A2348" s="3" t="s">
        <v>11</v>
      </c>
      <c r="B2348" s="4">
        <v>778482</v>
      </c>
      <c r="C2348" s="3" t="s">
        <v>9</v>
      </c>
      <c r="D2348" s="18">
        <v>7.4999999999999997E-2</v>
      </c>
      <c r="E2348" s="21">
        <f t="shared" si="247"/>
        <v>6.0449190242917172E-3</v>
      </c>
      <c r="F2348" s="5">
        <v>37608</v>
      </c>
      <c r="G2348" s="5">
        <v>39441</v>
      </c>
      <c r="H2348" s="16">
        <f t="shared" si="242"/>
        <v>1833</v>
      </c>
      <c r="I2348" s="5">
        <v>39441</v>
      </c>
      <c r="J2348" s="5">
        <v>38252</v>
      </c>
      <c r="K2348" s="16">
        <f t="shared" si="243"/>
        <v>644</v>
      </c>
      <c r="L2348" s="13">
        <v>13965.7</v>
      </c>
      <c r="M2348" s="15">
        <f t="shared" si="240"/>
        <v>274.0568390672903</v>
      </c>
      <c r="N2348" s="13">
        <v>8793.2099999999991</v>
      </c>
      <c r="O2348" s="13">
        <v>2150</v>
      </c>
      <c r="P2348" s="11">
        <f t="shared" si="248"/>
        <v>0</v>
      </c>
    </row>
    <row r="2349" spans="1:16" ht="18.75" customHeight="1" thickBot="1" x14ac:dyDescent="0.3">
      <c r="A2349" s="3" t="s">
        <v>11</v>
      </c>
      <c r="B2349" s="4">
        <v>489712</v>
      </c>
      <c r="C2349" s="3" t="s">
        <v>9</v>
      </c>
      <c r="D2349" s="18">
        <v>0.08</v>
      </c>
      <c r="E2349" s="21">
        <f t="shared" si="247"/>
        <v>6.4340301100034303E-3</v>
      </c>
      <c r="F2349" s="5">
        <v>37620</v>
      </c>
      <c r="G2349" s="5">
        <v>39083</v>
      </c>
      <c r="H2349" s="16">
        <f t="shared" si="242"/>
        <v>1463</v>
      </c>
      <c r="I2349" s="5">
        <v>39114</v>
      </c>
      <c r="J2349" s="5">
        <v>38608</v>
      </c>
      <c r="K2349" s="16">
        <f t="shared" si="243"/>
        <v>988</v>
      </c>
      <c r="L2349" s="13">
        <v>10905.7</v>
      </c>
      <c r="M2349" s="15">
        <f t="shared" si="240"/>
        <v>261.25849927357461</v>
      </c>
      <c r="N2349" s="13">
        <v>5793.06</v>
      </c>
      <c r="O2349" s="13">
        <v>4303</v>
      </c>
      <c r="P2349" s="11">
        <f t="shared" si="248"/>
        <v>0</v>
      </c>
    </row>
    <row r="2350" spans="1:16" ht="18.75" customHeight="1" thickBot="1" x14ac:dyDescent="0.3">
      <c r="A2350" s="3" t="s">
        <v>11</v>
      </c>
      <c r="B2350" s="4">
        <v>543223</v>
      </c>
      <c r="C2350" s="3" t="s">
        <v>9</v>
      </c>
      <c r="D2350" s="18">
        <v>9.5000000000000001E-2</v>
      </c>
      <c r="E2350" s="21">
        <f t="shared" si="247"/>
        <v>7.5915342905825689E-3</v>
      </c>
      <c r="F2350" s="5">
        <v>37772</v>
      </c>
      <c r="G2350" s="5">
        <v>38869</v>
      </c>
      <c r="H2350" s="16">
        <f t="shared" si="242"/>
        <v>1097</v>
      </c>
      <c r="I2350" s="5">
        <v>38899</v>
      </c>
      <c r="J2350" s="5">
        <v>38061</v>
      </c>
      <c r="K2350" s="16">
        <f t="shared" si="243"/>
        <v>289</v>
      </c>
      <c r="L2350" s="13">
        <v>12250</v>
      </c>
      <c r="M2350" s="15">
        <f t="shared" si="240"/>
        <v>384.91314219790797</v>
      </c>
      <c r="N2350" s="13">
        <v>13280.96</v>
      </c>
      <c r="O2350" s="13">
        <v>2462.94</v>
      </c>
      <c r="P2350" s="11">
        <f t="shared" si="248"/>
        <v>0</v>
      </c>
    </row>
    <row r="2351" spans="1:16" ht="18.75" customHeight="1" thickBot="1" x14ac:dyDescent="0.3">
      <c r="A2351" s="3" t="s">
        <v>11</v>
      </c>
      <c r="B2351" s="4">
        <v>735271</v>
      </c>
      <c r="C2351" s="3" t="s">
        <v>9</v>
      </c>
      <c r="D2351" s="18">
        <v>0.09</v>
      </c>
      <c r="E2351" s="21">
        <f t="shared" si="247"/>
        <v>7.2073233161367156E-3</v>
      </c>
      <c r="F2351" s="5">
        <v>37788</v>
      </c>
      <c r="G2351" s="5">
        <v>39249</v>
      </c>
      <c r="H2351" s="16">
        <f t="shared" si="242"/>
        <v>1461</v>
      </c>
      <c r="I2351" s="5">
        <v>39249</v>
      </c>
      <c r="J2351" s="5">
        <v>38146</v>
      </c>
      <c r="K2351" s="16">
        <f t="shared" si="243"/>
        <v>358</v>
      </c>
      <c r="L2351" s="13">
        <v>16324</v>
      </c>
      <c r="M2351" s="15">
        <f t="shared" si="240"/>
        <v>398.64971483150902</v>
      </c>
      <c r="N2351" s="13">
        <v>16812.39</v>
      </c>
      <c r="O2351" s="13">
        <v>6700</v>
      </c>
      <c r="P2351" s="11">
        <f t="shared" si="248"/>
        <v>0</v>
      </c>
    </row>
    <row r="2352" spans="1:16" ht="18.75" customHeight="1" thickBot="1" x14ac:dyDescent="0.3">
      <c r="A2352" s="3" t="s">
        <v>11</v>
      </c>
      <c r="B2352" s="4">
        <v>108637</v>
      </c>
      <c r="C2352" s="3" t="s">
        <v>9</v>
      </c>
      <c r="D2352" s="18">
        <v>0.08</v>
      </c>
      <c r="E2352" s="21">
        <f t="shared" si="247"/>
        <v>6.4340301100034303E-3</v>
      </c>
      <c r="F2352" s="5">
        <v>37858</v>
      </c>
      <c r="G2352" s="5">
        <v>39685</v>
      </c>
      <c r="H2352" s="16">
        <f t="shared" si="242"/>
        <v>1827</v>
      </c>
      <c r="I2352" s="5">
        <v>39685</v>
      </c>
      <c r="J2352" s="5">
        <v>38061</v>
      </c>
      <c r="K2352" s="16">
        <f t="shared" si="243"/>
        <v>203</v>
      </c>
      <c r="L2352" s="13">
        <v>13698</v>
      </c>
      <c r="M2352" s="15">
        <f t="shared" si="240"/>
        <v>272.576904362824</v>
      </c>
      <c r="N2352" s="13">
        <v>13698</v>
      </c>
      <c r="O2352" s="13">
        <v>5600</v>
      </c>
      <c r="P2352" s="11">
        <f t="shared" si="248"/>
        <v>0</v>
      </c>
    </row>
    <row r="2353" spans="1:16" ht="18.75" customHeight="1" thickBot="1" x14ac:dyDescent="0.3">
      <c r="A2353" s="3" t="s">
        <v>11</v>
      </c>
      <c r="B2353" s="4">
        <v>880376</v>
      </c>
      <c r="C2353" s="3" t="s">
        <v>9</v>
      </c>
      <c r="D2353" s="18">
        <v>9.5000000000000001E-2</v>
      </c>
      <c r="E2353" s="21">
        <f t="shared" si="247"/>
        <v>7.5915342905825689E-3</v>
      </c>
      <c r="F2353" s="5">
        <v>38089</v>
      </c>
      <c r="G2353" s="5">
        <v>38822</v>
      </c>
      <c r="H2353" s="16">
        <f t="shared" si="242"/>
        <v>733</v>
      </c>
      <c r="I2353" s="5">
        <v>38822</v>
      </c>
      <c r="J2353" s="5">
        <v>38687</v>
      </c>
      <c r="K2353" s="16">
        <f t="shared" si="243"/>
        <v>598</v>
      </c>
      <c r="L2353" s="13">
        <v>6228.96</v>
      </c>
      <c r="M2353" s="15">
        <f t="shared" si="240"/>
        <v>280.2748707454586</v>
      </c>
      <c r="N2353" s="13">
        <v>2236.75</v>
      </c>
      <c r="O2353" s="13">
        <v>0.05</v>
      </c>
      <c r="P2353" s="11">
        <f t="shared" si="248"/>
        <v>0</v>
      </c>
    </row>
    <row r="2354" spans="1:16" ht="18.75" customHeight="1" thickBot="1" x14ac:dyDescent="0.3">
      <c r="A2354" s="3" t="s">
        <v>11</v>
      </c>
      <c r="B2354" s="4">
        <v>863473</v>
      </c>
      <c r="C2354" s="3" t="s">
        <v>9</v>
      </c>
      <c r="D2354" s="18">
        <v>0.104</v>
      </c>
      <c r="E2354" s="21">
        <f t="shared" si="247"/>
        <v>8.2790792398550472E-3</v>
      </c>
      <c r="F2354" s="5">
        <v>38688</v>
      </c>
      <c r="G2354" s="5">
        <v>39783</v>
      </c>
      <c r="H2354" s="16">
        <f t="shared" si="242"/>
        <v>1095</v>
      </c>
      <c r="I2354" s="5">
        <v>39783</v>
      </c>
      <c r="J2354" s="5">
        <v>38867</v>
      </c>
      <c r="K2354" s="16">
        <f t="shared" si="243"/>
        <v>179</v>
      </c>
      <c r="L2354" s="13">
        <v>4450</v>
      </c>
      <c r="M2354" s="15">
        <f t="shared" si="240"/>
        <v>141.76529867914678</v>
      </c>
      <c r="N2354" s="13">
        <v>2070.11</v>
      </c>
      <c r="O2354" s="13">
        <v>361</v>
      </c>
      <c r="P2354" s="11">
        <f t="shared" si="248"/>
        <v>0</v>
      </c>
    </row>
    <row r="2355" spans="1:16" ht="18.75" customHeight="1" thickBot="1" x14ac:dyDescent="0.3">
      <c r="A2355" s="3" t="s">
        <v>11</v>
      </c>
      <c r="B2355" s="4">
        <v>172162</v>
      </c>
      <c r="C2355" s="3" t="s">
        <v>9</v>
      </c>
      <c r="D2355" s="18">
        <v>0.114</v>
      </c>
      <c r="E2355" s="21">
        <f t="shared" si="247"/>
        <v>9.0370179501075842E-3</v>
      </c>
      <c r="F2355" s="5">
        <v>39372</v>
      </c>
      <c r="G2355" s="5">
        <v>40854</v>
      </c>
      <c r="H2355" s="16">
        <f t="shared" si="242"/>
        <v>1482</v>
      </c>
      <c r="I2355" s="5">
        <v>40854</v>
      </c>
      <c r="J2355" s="5">
        <v>39447</v>
      </c>
      <c r="K2355" s="16">
        <f t="shared" si="243"/>
        <v>75</v>
      </c>
      <c r="L2355" s="13">
        <v>10810</v>
      </c>
      <c r="M2355" s="15">
        <f t="shared" si="240"/>
        <v>272.26440728188248</v>
      </c>
      <c r="N2355" s="13">
        <v>10810</v>
      </c>
      <c r="O2355" s="13">
        <v>1000</v>
      </c>
      <c r="P2355" s="11">
        <f t="shared" si="248"/>
        <v>0</v>
      </c>
    </row>
    <row r="2356" spans="1:16" ht="18.75" customHeight="1" thickBot="1" x14ac:dyDescent="0.3">
      <c r="A2356" s="3" t="s">
        <v>11</v>
      </c>
      <c r="B2356" s="4">
        <v>17879</v>
      </c>
      <c r="C2356" s="3" t="s">
        <v>16</v>
      </c>
      <c r="D2356" s="18">
        <v>0.14399999999999999</v>
      </c>
      <c r="E2356" s="21">
        <f t="shared" si="247"/>
        <v>1.1273985471853543E-2</v>
      </c>
      <c r="F2356" s="5">
        <v>39378</v>
      </c>
      <c r="G2356" s="5">
        <v>40116</v>
      </c>
      <c r="H2356" s="16">
        <f t="shared" si="242"/>
        <v>738</v>
      </c>
      <c r="I2356" s="5">
        <v>40116</v>
      </c>
      <c r="J2356" s="5">
        <v>39853</v>
      </c>
      <c r="K2356" s="16">
        <f t="shared" si="243"/>
        <v>475</v>
      </c>
      <c r="L2356" s="13">
        <v>3560</v>
      </c>
      <c r="M2356" s="15">
        <f t="shared" si="240"/>
        <v>166.51861578701664</v>
      </c>
      <c r="N2356" s="13">
        <v>2060.7399999999998</v>
      </c>
      <c r="O2356" s="13">
        <v>0.49</v>
      </c>
      <c r="P2356" s="11">
        <f t="shared" si="248"/>
        <v>0</v>
      </c>
    </row>
    <row r="2357" spans="1:16" ht="18.75" customHeight="1" thickBot="1" x14ac:dyDescent="0.3">
      <c r="A2357" s="3" t="s">
        <v>11</v>
      </c>
      <c r="B2357" s="4">
        <v>214014</v>
      </c>
      <c r="C2357" s="3" t="s">
        <v>12</v>
      </c>
      <c r="D2357" s="18">
        <v>7.4999999999999997E-2</v>
      </c>
      <c r="E2357" s="21">
        <f t="shared" si="247"/>
        <v>6.0449190242917172E-3</v>
      </c>
      <c r="F2357" s="5">
        <v>40044</v>
      </c>
      <c r="G2357" s="5">
        <v>41167</v>
      </c>
      <c r="H2357" s="16">
        <f t="shared" si="242"/>
        <v>1123</v>
      </c>
      <c r="I2357" s="5">
        <v>41167</v>
      </c>
      <c r="J2357" s="5">
        <v>40406</v>
      </c>
      <c r="K2357" s="16">
        <f t="shared" si="243"/>
        <v>362</v>
      </c>
      <c r="L2357" s="13">
        <v>2875</v>
      </c>
      <c r="M2357" s="15">
        <f t="shared" si="240"/>
        <v>86.051129680718731</v>
      </c>
      <c r="N2357" s="13">
        <v>374.44</v>
      </c>
      <c r="O2357" s="13">
        <v>0</v>
      </c>
      <c r="P2357" s="11">
        <f t="shared" si="248"/>
        <v>0</v>
      </c>
    </row>
    <row r="2358" spans="1:16" ht="18.75" hidden="1" customHeight="1" thickBot="1" x14ac:dyDescent="0.3">
      <c r="A2358" s="3" t="s">
        <v>11</v>
      </c>
      <c r="B2358" s="4">
        <v>538205</v>
      </c>
      <c r="C2358" s="3" t="s">
        <v>15</v>
      </c>
      <c r="D2358" s="7">
        <v>0.1515</v>
      </c>
      <c r="E2358" s="7">
        <f t="shared" si="241"/>
        <v>1.2624999999999999E-2</v>
      </c>
      <c r="F2358" s="5">
        <v>38580</v>
      </c>
      <c r="G2358" s="5">
        <v>2958465</v>
      </c>
      <c r="H2358" s="8">
        <f t="shared" si="242"/>
        <v>2919885</v>
      </c>
      <c r="I2358" s="5">
        <v>2958465</v>
      </c>
      <c r="J2358" s="5">
        <v>40900</v>
      </c>
      <c r="K2358" s="8">
        <f t="shared" si="243"/>
        <v>2320</v>
      </c>
      <c r="L2358" s="6">
        <v>500</v>
      </c>
      <c r="M2358" s="9">
        <f t="shared" si="240"/>
        <v>6.3124999999999991</v>
      </c>
      <c r="N2358" s="6">
        <v>500</v>
      </c>
      <c r="O2358" s="6">
        <v>0</v>
      </c>
      <c r="P2358" s="6">
        <v>0</v>
      </c>
    </row>
    <row r="2359" spans="1:16" ht="18.75" hidden="1" customHeight="1" thickBot="1" x14ac:dyDescent="0.3">
      <c r="A2359" s="3" t="s">
        <v>11</v>
      </c>
      <c r="B2359" s="4">
        <v>941489</v>
      </c>
      <c r="C2359" s="3" t="s">
        <v>15</v>
      </c>
      <c r="D2359" s="7">
        <v>0.1515</v>
      </c>
      <c r="E2359" s="7">
        <f t="shared" si="241"/>
        <v>1.2624999999999999E-2</v>
      </c>
      <c r="F2359" s="5">
        <v>38337</v>
      </c>
      <c r="G2359" s="5">
        <v>2958465</v>
      </c>
      <c r="H2359" s="8">
        <f t="shared" si="242"/>
        <v>2920128</v>
      </c>
      <c r="I2359" s="5">
        <v>2958465</v>
      </c>
      <c r="J2359" s="5">
        <v>43875</v>
      </c>
      <c r="K2359" s="8">
        <f t="shared" si="243"/>
        <v>5538</v>
      </c>
      <c r="L2359" s="6">
        <v>700</v>
      </c>
      <c r="M2359" s="9">
        <f t="shared" si="240"/>
        <v>8.8374999999999986</v>
      </c>
      <c r="N2359" s="6">
        <v>700</v>
      </c>
      <c r="O2359" s="6">
        <v>0</v>
      </c>
      <c r="P2359" s="6">
        <v>0</v>
      </c>
    </row>
    <row r="2360" spans="1:16" ht="18.75" hidden="1" customHeight="1" thickBot="1" x14ac:dyDescent="0.3">
      <c r="A2360" s="3" t="s">
        <v>11</v>
      </c>
      <c r="B2360" s="4">
        <v>910040</v>
      </c>
      <c r="C2360" s="3" t="s">
        <v>15</v>
      </c>
      <c r="D2360" s="7">
        <v>0.1515</v>
      </c>
      <c r="E2360" s="7">
        <f t="shared" si="241"/>
        <v>1.2624999999999999E-2</v>
      </c>
      <c r="F2360" s="5">
        <v>44783</v>
      </c>
      <c r="G2360" s="5">
        <v>2958465</v>
      </c>
      <c r="H2360" s="8">
        <f t="shared" si="242"/>
        <v>2913682</v>
      </c>
      <c r="I2360" s="5">
        <v>2958465</v>
      </c>
      <c r="J2360" s="5">
        <v>45469</v>
      </c>
      <c r="K2360" s="8">
        <f t="shared" si="243"/>
        <v>686</v>
      </c>
      <c r="L2360" s="6">
        <v>500</v>
      </c>
      <c r="M2360" s="9">
        <f t="shared" si="240"/>
        <v>6.3124999999999991</v>
      </c>
      <c r="N2360" s="6">
        <v>499.68</v>
      </c>
      <c r="O2360" s="6">
        <v>151.16</v>
      </c>
      <c r="P2360" s="6">
        <v>0</v>
      </c>
    </row>
    <row r="2361" spans="1:16" ht="18.75" customHeight="1" thickBot="1" x14ac:dyDescent="0.3">
      <c r="A2361" s="3" t="s">
        <v>11</v>
      </c>
      <c r="B2361" s="4">
        <v>311779</v>
      </c>
      <c r="C2361" s="3" t="s">
        <v>9</v>
      </c>
      <c r="D2361" s="18">
        <v>0.115</v>
      </c>
      <c r="E2361" s="21">
        <f t="shared" ref="E2361:E2371" si="249">(1+D2361)^(1/12)-1</f>
        <v>9.1124684369046083E-3</v>
      </c>
      <c r="F2361" s="5">
        <v>37454</v>
      </c>
      <c r="G2361" s="5">
        <v>38382</v>
      </c>
      <c r="H2361" s="16">
        <f t="shared" si="242"/>
        <v>928</v>
      </c>
      <c r="I2361" s="5">
        <v>38411</v>
      </c>
      <c r="J2361" s="5">
        <v>38421</v>
      </c>
      <c r="K2361" s="16">
        <f t="shared" si="243"/>
        <v>967</v>
      </c>
      <c r="L2361" s="13">
        <v>4750</v>
      </c>
      <c r="M2361" s="15">
        <f t="shared" si="240"/>
        <v>176.90753914051788</v>
      </c>
      <c r="N2361" s="13">
        <v>1633.13</v>
      </c>
      <c r="O2361" s="13">
        <v>400</v>
      </c>
      <c r="P2361" s="11">
        <f t="shared" ref="P2361:P2371" si="250">IF((G2361)&gt;(ConstantDateCutoff),1,0)</f>
        <v>0</v>
      </c>
    </row>
    <row r="2362" spans="1:16" ht="18.75" customHeight="1" thickBot="1" x14ac:dyDescent="0.3">
      <c r="A2362" s="3" t="s">
        <v>11</v>
      </c>
      <c r="B2362" s="4">
        <v>47813</v>
      </c>
      <c r="C2362" s="3" t="s">
        <v>12</v>
      </c>
      <c r="D2362" s="18">
        <v>0.1225</v>
      </c>
      <c r="E2362" s="21">
        <f t="shared" si="249"/>
        <v>9.6763780332134175E-3</v>
      </c>
      <c r="F2362" s="5">
        <v>37488</v>
      </c>
      <c r="G2362" s="5">
        <v>38599</v>
      </c>
      <c r="H2362" s="16">
        <f t="shared" si="242"/>
        <v>1111</v>
      </c>
      <c r="I2362" s="5">
        <v>38599</v>
      </c>
      <c r="J2362" s="5">
        <v>38146</v>
      </c>
      <c r="K2362" s="16">
        <f t="shared" si="243"/>
        <v>658</v>
      </c>
      <c r="L2362" s="13">
        <v>14050</v>
      </c>
      <c r="M2362" s="15">
        <f t="shared" si="240"/>
        <v>453.22892699696547</v>
      </c>
      <c r="N2362" s="13">
        <v>9231.1200000000008</v>
      </c>
      <c r="O2362" s="13">
        <v>1882.72</v>
      </c>
      <c r="P2362" s="11">
        <f t="shared" si="250"/>
        <v>0</v>
      </c>
    </row>
    <row r="2363" spans="1:16" ht="18.75" customHeight="1" thickBot="1" x14ac:dyDescent="0.3">
      <c r="A2363" s="3" t="s">
        <v>11</v>
      </c>
      <c r="B2363" s="4">
        <v>824941</v>
      </c>
      <c r="C2363" s="3" t="s">
        <v>9</v>
      </c>
      <c r="D2363" s="18">
        <v>6.5000000000000002E-2</v>
      </c>
      <c r="E2363" s="21">
        <f t="shared" si="249"/>
        <v>5.2616942768477504E-3</v>
      </c>
      <c r="F2363" s="5">
        <v>37567</v>
      </c>
      <c r="G2363" s="5">
        <v>39041</v>
      </c>
      <c r="H2363" s="16">
        <f t="shared" si="242"/>
        <v>1474</v>
      </c>
      <c r="I2363" s="5">
        <v>39071</v>
      </c>
      <c r="J2363" s="5">
        <v>38162</v>
      </c>
      <c r="K2363" s="16">
        <f t="shared" si="243"/>
        <v>595</v>
      </c>
      <c r="L2363" s="13">
        <v>10404.9</v>
      </c>
      <c r="M2363" s="15">
        <f t="shared" si="240"/>
        <v>240.87407061477043</v>
      </c>
      <c r="N2363" s="13">
        <v>8011.24</v>
      </c>
      <c r="O2363" s="13">
        <v>3358.36</v>
      </c>
      <c r="P2363" s="11">
        <f t="shared" si="250"/>
        <v>0</v>
      </c>
    </row>
    <row r="2364" spans="1:16" ht="18.75" customHeight="1" thickBot="1" x14ac:dyDescent="0.3">
      <c r="A2364" s="3" t="s">
        <v>11</v>
      </c>
      <c r="B2364" s="4">
        <v>274310</v>
      </c>
      <c r="C2364" s="3" t="s">
        <v>9</v>
      </c>
      <c r="D2364" s="18">
        <v>7.4999999999999997E-2</v>
      </c>
      <c r="E2364" s="21">
        <f t="shared" si="249"/>
        <v>6.0449190242917172E-3</v>
      </c>
      <c r="F2364" s="5">
        <v>37603</v>
      </c>
      <c r="G2364" s="5">
        <v>39619</v>
      </c>
      <c r="H2364" s="16">
        <f t="shared" si="242"/>
        <v>2016</v>
      </c>
      <c r="I2364" s="5">
        <v>39680</v>
      </c>
      <c r="J2364" s="5">
        <v>38495</v>
      </c>
      <c r="K2364" s="16">
        <f t="shared" si="243"/>
        <v>892</v>
      </c>
      <c r="L2364" s="13">
        <v>17557.400000000001</v>
      </c>
      <c r="M2364" s="15">
        <f t="shared" si="240"/>
        <v>318.69845024856562</v>
      </c>
      <c r="N2364" s="13">
        <v>7488.92</v>
      </c>
      <c r="O2364" s="13">
        <v>0</v>
      </c>
      <c r="P2364" s="11">
        <f t="shared" si="250"/>
        <v>0</v>
      </c>
    </row>
    <row r="2365" spans="1:16" ht="18.75" customHeight="1" thickBot="1" x14ac:dyDescent="0.3">
      <c r="A2365" s="3" t="s">
        <v>11</v>
      </c>
      <c r="B2365" s="4">
        <v>849334</v>
      </c>
      <c r="C2365" s="3" t="s">
        <v>9</v>
      </c>
      <c r="D2365" s="18">
        <v>0.1</v>
      </c>
      <c r="E2365" s="21">
        <f t="shared" si="249"/>
        <v>7.9741404289037643E-3</v>
      </c>
      <c r="F2365" s="5">
        <v>37627</v>
      </c>
      <c r="G2365" s="5">
        <v>38723</v>
      </c>
      <c r="H2365" s="16">
        <f t="shared" si="242"/>
        <v>1096</v>
      </c>
      <c r="I2365" s="5">
        <v>38723</v>
      </c>
      <c r="J2365" s="5">
        <v>37886</v>
      </c>
      <c r="K2365" s="16">
        <f t="shared" si="243"/>
        <v>259</v>
      </c>
      <c r="L2365" s="13">
        <v>6350</v>
      </c>
      <c r="M2365" s="15">
        <f t="shared" si="240"/>
        <v>201.04654153789053</v>
      </c>
      <c r="N2365" s="13">
        <v>6872.47</v>
      </c>
      <c r="O2365" s="13">
        <v>2111</v>
      </c>
      <c r="P2365" s="11">
        <f t="shared" si="250"/>
        <v>0</v>
      </c>
    </row>
    <row r="2366" spans="1:16" ht="18.75" customHeight="1" thickBot="1" x14ac:dyDescent="0.3">
      <c r="A2366" s="3" t="s">
        <v>11</v>
      </c>
      <c r="B2366" s="4">
        <v>79287</v>
      </c>
      <c r="C2366" s="3" t="s">
        <v>16</v>
      </c>
      <c r="D2366" s="18">
        <v>0.1</v>
      </c>
      <c r="E2366" s="21">
        <f t="shared" si="249"/>
        <v>7.9741404289037643E-3</v>
      </c>
      <c r="F2366" s="5">
        <v>37652</v>
      </c>
      <c r="G2366" s="5">
        <v>38371</v>
      </c>
      <c r="H2366" s="16">
        <f t="shared" si="242"/>
        <v>719</v>
      </c>
      <c r="I2366" s="5">
        <v>38371</v>
      </c>
      <c r="J2366" s="5">
        <v>37963</v>
      </c>
      <c r="K2366" s="16">
        <f t="shared" si="243"/>
        <v>311</v>
      </c>
      <c r="L2366" s="13">
        <v>2950</v>
      </c>
      <c r="M2366" s="15">
        <f t="shared" si="240"/>
        <v>135.71251892760625</v>
      </c>
      <c r="N2366" s="13">
        <v>2419.69</v>
      </c>
      <c r="O2366" s="13">
        <v>0</v>
      </c>
      <c r="P2366" s="11">
        <f t="shared" si="250"/>
        <v>0</v>
      </c>
    </row>
    <row r="2367" spans="1:16" ht="18.75" customHeight="1" thickBot="1" x14ac:dyDescent="0.3">
      <c r="A2367" s="3" t="s">
        <v>11</v>
      </c>
      <c r="B2367" s="4">
        <v>380465</v>
      </c>
      <c r="C2367" s="3" t="s">
        <v>9</v>
      </c>
      <c r="D2367" s="18">
        <v>4.99E-2</v>
      </c>
      <c r="E2367" s="21">
        <f t="shared" si="249"/>
        <v>4.0661545935285481E-3</v>
      </c>
      <c r="F2367" s="5">
        <v>37718</v>
      </c>
      <c r="G2367" s="5">
        <v>39186</v>
      </c>
      <c r="H2367" s="16">
        <f t="shared" si="242"/>
        <v>1468</v>
      </c>
      <c r="I2367" s="5">
        <v>39186</v>
      </c>
      <c r="J2367" s="5">
        <v>38063</v>
      </c>
      <c r="K2367" s="16">
        <f t="shared" si="243"/>
        <v>345</v>
      </c>
      <c r="L2367" s="13">
        <v>15879.9</v>
      </c>
      <c r="M2367" s="15">
        <f t="shared" si="240"/>
        <v>358.53326857802307</v>
      </c>
      <c r="N2367" s="13">
        <v>7874.03</v>
      </c>
      <c r="O2367" s="13">
        <v>0</v>
      </c>
      <c r="P2367" s="11">
        <f t="shared" si="250"/>
        <v>0</v>
      </c>
    </row>
    <row r="2368" spans="1:16" ht="18.75" customHeight="1" thickBot="1" x14ac:dyDescent="0.3">
      <c r="A2368" s="3" t="s">
        <v>11</v>
      </c>
      <c r="B2368" s="4">
        <v>777421</v>
      </c>
      <c r="C2368" s="3" t="s">
        <v>16</v>
      </c>
      <c r="D2368" s="18">
        <v>0.11</v>
      </c>
      <c r="E2368" s="21">
        <f t="shared" si="249"/>
        <v>8.7345938235519061E-3</v>
      </c>
      <c r="F2368" s="5">
        <v>37824</v>
      </c>
      <c r="G2368" s="5">
        <v>38565</v>
      </c>
      <c r="H2368" s="16">
        <f t="shared" si="242"/>
        <v>741</v>
      </c>
      <c r="I2368" s="5">
        <v>38856</v>
      </c>
      <c r="J2368" s="5">
        <v>38894</v>
      </c>
      <c r="K2368" s="16">
        <f t="shared" si="243"/>
        <v>1070</v>
      </c>
      <c r="L2368" s="13">
        <v>4050</v>
      </c>
      <c r="M2368" s="15">
        <f t="shared" si="240"/>
        <v>183.00297175552959</v>
      </c>
      <c r="N2368" s="13">
        <v>447</v>
      </c>
      <c r="O2368" s="13">
        <v>0</v>
      </c>
      <c r="P2368" s="11">
        <f t="shared" si="250"/>
        <v>0</v>
      </c>
    </row>
    <row r="2369" spans="1:16" ht="18.75" customHeight="1" thickBot="1" x14ac:dyDescent="0.3">
      <c r="A2369" s="3" t="s">
        <v>11</v>
      </c>
      <c r="B2369" s="4">
        <v>630292</v>
      </c>
      <c r="C2369" s="3" t="s">
        <v>9</v>
      </c>
      <c r="D2369" s="18">
        <v>8.5000000000000006E-2</v>
      </c>
      <c r="E2369" s="21">
        <f t="shared" si="249"/>
        <v>6.8214933659622723E-3</v>
      </c>
      <c r="F2369" s="5">
        <v>37851</v>
      </c>
      <c r="G2369" s="5">
        <v>39312</v>
      </c>
      <c r="H2369" s="16">
        <f t="shared" si="242"/>
        <v>1461</v>
      </c>
      <c r="I2369" s="5">
        <v>39312</v>
      </c>
      <c r="J2369" s="5">
        <v>38243</v>
      </c>
      <c r="K2369" s="16">
        <f t="shared" si="243"/>
        <v>392</v>
      </c>
      <c r="L2369" s="13">
        <v>4050</v>
      </c>
      <c r="M2369" s="15">
        <f t="shared" si="240"/>
        <v>98.019904169803084</v>
      </c>
      <c r="N2369" s="13">
        <v>3445.99</v>
      </c>
      <c r="O2369" s="13">
        <v>200</v>
      </c>
      <c r="P2369" s="11">
        <f t="shared" si="250"/>
        <v>0</v>
      </c>
    </row>
    <row r="2370" spans="1:16" ht="18.75" customHeight="1" thickBot="1" x14ac:dyDescent="0.3">
      <c r="A2370" s="3" t="s">
        <v>11</v>
      </c>
      <c r="B2370" s="4">
        <v>132504</v>
      </c>
      <c r="C2370" s="3" t="s">
        <v>9</v>
      </c>
      <c r="D2370" s="18">
        <v>0.1</v>
      </c>
      <c r="E2370" s="21">
        <f t="shared" si="249"/>
        <v>7.9741404289037643E-3</v>
      </c>
      <c r="F2370" s="5">
        <v>37879</v>
      </c>
      <c r="G2370" s="5">
        <v>38990</v>
      </c>
      <c r="H2370" s="16">
        <f t="shared" si="242"/>
        <v>1111</v>
      </c>
      <c r="I2370" s="5">
        <v>38990</v>
      </c>
      <c r="J2370" s="5">
        <v>38525</v>
      </c>
      <c r="K2370" s="16">
        <f t="shared" si="243"/>
        <v>646</v>
      </c>
      <c r="L2370" s="13">
        <v>7050</v>
      </c>
      <c r="M2370" s="15">
        <f t="shared" ref="M2370:M2433" si="251">-PMT(E2370,(H2370/30),L2370)</f>
        <v>220.61188798707275</v>
      </c>
      <c r="N2370" s="13">
        <v>5400.43</v>
      </c>
      <c r="O2370" s="13">
        <v>0</v>
      </c>
      <c r="P2370" s="11">
        <f t="shared" si="250"/>
        <v>0</v>
      </c>
    </row>
    <row r="2371" spans="1:16" ht="18.75" customHeight="1" thickBot="1" x14ac:dyDescent="0.3">
      <c r="A2371" s="3" t="s">
        <v>11</v>
      </c>
      <c r="B2371" s="4">
        <v>512515</v>
      </c>
      <c r="C2371" s="3" t="s">
        <v>9</v>
      </c>
      <c r="D2371" s="18">
        <v>9.4E-2</v>
      </c>
      <c r="E2371" s="21">
        <f t="shared" si="249"/>
        <v>7.5148209323356863E-3</v>
      </c>
      <c r="F2371" s="5">
        <v>38982</v>
      </c>
      <c r="G2371" s="5">
        <v>40801</v>
      </c>
      <c r="H2371" s="16">
        <f t="shared" ref="H2371:H2434" si="252">G2371-F2371</f>
        <v>1819</v>
      </c>
      <c r="I2371" s="5">
        <v>40801</v>
      </c>
      <c r="J2371" s="5">
        <v>39262</v>
      </c>
      <c r="K2371" s="16">
        <f t="shared" ref="K2371:K2434" si="253">J2371-F2371</f>
        <v>280</v>
      </c>
      <c r="L2371" s="13">
        <v>17585</v>
      </c>
      <c r="M2371" s="15">
        <f t="shared" si="251"/>
        <v>362.16633978602181</v>
      </c>
      <c r="N2371" s="13">
        <v>17004.72</v>
      </c>
      <c r="O2371" s="13">
        <v>0</v>
      </c>
      <c r="P2371" s="11">
        <f t="shared" si="250"/>
        <v>0</v>
      </c>
    </row>
    <row r="2372" spans="1:16" ht="18.75" hidden="1" customHeight="1" thickBot="1" x14ac:dyDescent="0.3">
      <c r="A2372" s="3" t="s">
        <v>11</v>
      </c>
      <c r="B2372" s="4">
        <v>947511</v>
      </c>
      <c r="C2372" s="3" t="s">
        <v>15</v>
      </c>
      <c r="D2372" s="7">
        <v>0.1515</v>
      </c>
      <c r="E2372" s="7">
        <f t="shared" ref="E2372:E2433" si="254">D2372/12</f>
        <v>1.2624999999999999E-2</v>
      </c>
      <c r="F2372" s="5">
        <v>38764</v>
      </c>
      <c r="G2372" s="5">
        <v>2958465</v>
      </c>
      <c r="H2372" s="8">
        <f t="shared" si="252"/>
        <v>2919701</v>
      </c>
      <c r="I2372" s="5">
        <v>2958465</v>
      </c>
      <c r="J2372" s="5">
        <v>45040</v>
      </c>
      <c r="K2372" s="8">
        <f t="shared" si="253"/>
        <v>6276</v>
      </c>
      <c r="L2372" s="6">
        <v>300</v>
      </c>
      <c r="M2372" s="9">
        <f t="shared" si="251"/>
        <v>3.7874999999999996</v>
      </c>
      <c r="N2372" s="6">
        <v>300</v>
      </c>
      <c r="O2372" s="6">
        <v>129.91999999999999</v>
      </c>
      <c r="P2372" s="6">
        <v>0</v>
      </c>
    </row>
    <row r="2373" spans="1:16" ht="18.75" hidden="1" customHeight="1" thickBot="1" x14ac:dyDescent="0.3">
      <c r="A2373" s="3" t="s">
        <v>11</v>
      </c>
      <c r="B2373" s="4">
        <v>465969</v>
      </c>
      <c r="C2373" s="3" t="s">
        <v>15</v>
      </c>
      <c r="D2373" s="7">
        <v>0.1515</v>
      </c>
      <c r="E2373" s="7">
        <f t="shared" si="254"/>
        <v>1.2624999999999999E-2</v>
      </c>
      <c r="F2373" s="5">
        <v>40129</v>
      </c>
      <c r="G2373" s="5">
        <v>2958465</v>
      </c>
      <c r="H2373" s="8">
        <f t="shared" si="252"/>
        <v>2918336</v>
      </c>
      <c r="I2373" s="5">
        <v>2958465</v>
      </c>
      <c r="J2373" s="5">
        <v>41528</v>
      </c>
      <c r="K2373" s="8">
        <f t="shared" si="253"/>
        <v>1399</v>
      </c>
      <c r="L2373" s="6">
        <v>1000</v>
      </c>
      <c r="M2373" s="9">
        <f t="shared" si="251"/>
        <v>12.624999999999998</v>
      </c>
      <c r="N2373" s="6">
        <v>976.56</v>
      </c>
      <c r="O2373" s="6">
        <v>0</v>
      </c>
      <c r="P2373" s="6">
        <v>2750</v>
      </c>
    </row>
    <row r="2374" spans="1:16" ht="18.75" customHeight="1" thickBot="1" x14ac:dyDescent="0.3">
      <c r="A2374" s="3" t="s">
        <v>11</v>
      </c>
      <c r="B2374" s="4">
        <v>674686</v>
      </c>
      <c r="C2374" s="3" t="s">
        <v>12</v>
      </c>
      <c r="D2374" s="18">
        <v>0.11749999999999999</v>
      </c>
      <c r="E2374" s="21">
        <f t="shared" ref="E2374:E2389" si="255">(1+D2374)^(1/12)-1</f>
        <v>9.300823618865417E-3</v>
      </c>
      <c r="F2374" s="5">
        <v>37487</v>
      </c>
      <c r="G2374" s="5">
        <v>38565</v>
      </c>
      <c r="H2374" s="16">
        <f t="shared" si="252"/>
        <v>1078</v>
      </c>
      <c r="I2374" s="5">
        <v>38565</v>
      </c>
      <c r="J2374" s="5">
        <v>38146</v>
      </c>
      <c r="K2374" s="16">
        <f t="shared" si="253"/>
        <v>659</v>
      </c>
      <c r="L2374" s="13">
        <v>1750</v>
      </c>
      <c r="M2374" s="15">
        <f t="shared" si="251"/>
        <v>57.516037756212022</v>
      </c>
      <c r="N2374" s="13">
        <v>1075.47</v>
      </c>
      <c r="O2374" s="13">
        <v>197.7</v>
      </c>
      <c r="P2374" s="11">
        <f t="shared" ref="P2374:P2389" si="256">IF((G2374)&gt;(ConstantDateCutoff),1,0)</f>
        <v>0</v>
      </c>
    </row>
    <row r="2375" spans="1:16" ht="18.75" customHeight="1" thickBot="1" x14ac:dyDescent="0.3">
      <c r="A2375" s="3" t="s">
        <v>11</v>
      </c>
      <c r="B2375" s="4">
        <v>568161</v>
      </c>
      <c r="C2375" s="3" t="s">
        <v>9</v>
      </c>
      <c r="D2375" s="18">
        <v>8.7499999999999994E-2</v>
      </c>
      <c r="E2375" s="21">
        <f t="shared" si="255"/>
        <v>7.0146116041400752E-3</v>
      </c>
      <c r="F2375" s="5">
        <v>37489</v>
      </c>
      <c r="G2375" s="5">
        <v>38399</v>
      </c>
      <c r="H2375" s="16">
        <f t="shared" si="252"/>
        <v>910</v>
      </c>
      <c r="I2375" s="5">
        <v>38427</v>
      </c>
      <c r="J2375" s="5">
        <v>37960</v>
      </c>
      <c r="K2375" s="16">
        <f t="shared" si="253"/>
        <v>471</v>
      </c>
      <c r="L2375" s="13">
        <v>5504.14</v>
      </c>
      <c r="M2375" s="15">
        <f t="shared" si="251"/>
        <v>202.07724173813006</v>
      </c>
      <c r="N2375" s="13">
        <v>2550</v>
      </c>
      <c r="O2375" s="13">
        <v>81.150000000000006</v>
      </c>
      <c r="P2375" s="11">
        <f t="shared" si="256"/>
        <v>0</v>
      </c>
    </row>
    <row r="2376" spans="1:16" ht="18.75" customHeight="1" thickBot="1" x14ac:dyDescent="0.3">
      <c r="A2376" s="3" t="s">
        <v>11</v>
      </c>
      <c r="B2376" s="4">
        <v>265254</v>
      </c>
      <c r="C2376" s="3" t="s">
        <v>9</v>
      </c>
      <c r="D2376" s="18">
        <v>0.08</v>
      </c>
      <c r="E2376" s="21">
        <f t="shared" si="255"/>
        <v>6.4340301100034303E-3</v>
      </c>
      <c r="F2376" s="5">
        <v>37538</v>
      </c>
      <c r="G2376" s="5">
        <v>39009</v>
      </c>
      <c r="H2376" s="16">
        <f t="shared" si="252"/>
        <v>1471</v>
      </c>
      <c r="I2376" s="5">
        <v>39040</v>
      </c>
      <c r="J2376" s="5">
        <v>38566</v>
      </c>
      <c r="K2376" s="16">
        <f t="shared" si="253"/>
        <v>1028</v>
      </c>
      <c r="L2376" s="13">
        <v>9948.1299999999992</v>
      </c>
      <c r="M2376" s="15">
        <f t="shared" si="251"/>
        <v>237.21490936096285</v>
      </c>
      <c r="N2376" s="13">
        <v>5175.97</v>
      </c>
      <c r="O2376" s="13">
        <v>4700</v>
      </c>
      <c r="P2376" s="11">
        <f t="shared" si="256"/>
        <v>0</v>
      </c>
    </row>
    <row r="2377" spans="1:16" ht="18.75" customHeight="1" thickBot="1" x14ac:dyDescent="0.3">
      <c r="A2377" s="3" t="s">
        <v>11</v>
      </c>
      <c r="B2377" s="4">
        <v>963781</v>
      </c>
      <c r="C2377" s="3" t="s">
        <v>9</v>
      </c>
      <c r="D2377" s="18">
        <v>8.5000000000000006E-2</v>
      </c>
      <c r="E2377" s="21">
        <f t="shared" si="255"/>
        <v>6.8214933659622723E-3</v>
      </c>
      <c r="F2377" s="5">
        <v>37559</v>
      </c>
      <c r="G2377" s="5">
        <v>38645</v>
      </c>
      <c r="H2377" s="16">
        <f t="shared" si="252"/>
        <v>1086</v>
      </c>
      <c r="I2377" s="5">
        <v>38768</v>
      </c>
      <c r="J2377" s="5">
        <v>38525</v>
      </c>
      <c r="K2377" s="16">
        <f t="shared" si="253"/>
        <v>966</v>
      </c>
      <c r="L2377" s="13">
        <v>12848.75</v>
      </c>
      <c r="M2377" s="15">
        <f t="shared" si="251"/>
        <v>401.76660109161168</v>
      </c>
      <c r="N2377" s="13">
        <v>359.01</v>
      </c>
      <c r="O2377" s="13">
        <v>0</v>
      </c>
      <c r="P2377" s="11">
        <f t="shared" si="256"/>
        <v>0</v>
      </c>
    </row>
    <row r="2378" spans="1:16" ht="18.75" customHeight="1" thickBot="1" x14ac:dyDescent="0.3">
      <c r="A2378" s="3" t="s">
        <v>11</v>
      </c>
      <c r="B2378" s="4">
        <v>606466</v>
      </c>
      <c r="C2378" s="3" t="s">
        <v>9</v>
      </c>
      <c r="D2378" s="18">
        <v>9.5000000000000001E-2</v>
      </c>
      <c r="E2378" s="21">
        <f t="shared" si="255"/>
        <v>7.5915342905825689E-3</v>
      </c>
      <c r="F2378" s="5">
        <v>37579</v>
      </c>
      <c r="G2378" s="5">
        <v>38671</v>
      </c>
      <c r="H2378" s="16">
        <f t="shared" si="252"/>
        <v>1092</v>
      </c>
      <c r="I2378" s="5">
        <v>38671</v>
      </c>
      <c r="J2378" s="5">
        <v>37886</v>
      </c>
      <c r="K2378" s="16">
        <f t="shared" si="253"/>
        <v>307</v>
      </c>
      <c r="L2378" s="13">
        <v>12723.91</v>
      </c>
      <c r="M2378" s="15">
        <f t="shared" si="251"/>
        <v>401.39327357908434</v>
      </c>
      <c r="N2378" s="13">
        <v>7327.4</v>
      </c>
      <c r="O2378" s="13">
        <v>0</v>
      </c>
      <c r="P2378" s="11">
        <f t="shared" si="256"/>
        <v>0</v>
      </c>
    </row>
    <row r="2379" spans="1:16" ht="18.75" customHeight="1" thickBot="1" x14ac:dyDescent="0.3">
      <c r="A2379" s="3" t="s">
        <v>11</v>
      </c>
      <c r="B2379" s="4">
        <v>558881</v>
      </c>
      <c r="C2379" s="3" t="s">
        <v>9</v>
      </c>
      <c r="D2379" s="18">
        <v>8.5000000000000006E-2</v>
      </c>
      <c r="E2379" s="21">
        <f t="shared" si="255"/>
        <v>6.8214933659622723E-3</v>
      </c>
      <c r="F2379" s="5">
        <v>37594</v>
      </c>
      <c r="G2379" s="5">
        <v>38873</v>
      </c>
      <c r="H2379" s="16">
        <f t="shared" si="252"/>
        <v>1279</v>
      </c>
      <c r="I2379" s="5">
        <v>38873</v>
      </c>
      <c r="J2379" s="5">
        <v>37732</v>
      </c>
      <c r="K2379" s="16">
        <f t="shared" si="253"/>
        <v>138</v>
      </c>
      <c r="L2379" s="13">
        <v>16092.5</v>
      </c>
      <c r="M2379" s="15">
        <f t="shared" si="251"/>
        <v>436.28395808480116</v>
      </c>
      <c r="N2379" s="13">
        <v>12000</v>
      </c>
      <c r="O2379" s="13">
        <v>0</v>
      </c>
      <c r="P2379" s="11">
        <f t="shared" si="256"/>
        <v>0</v>
      </c>
    </row>
    <row r="2380" spans="1:16" ht="18.75" customHeight="1" thickBot="1" x14ac:dyDescent="0.3">
      <c r="A2380" s="3" t="s">
        <v>11</v>
      </c>
      <c r="B2380" s="4">
        <v>218190</v>
      </c>
      <c r="C2380" s="3" t="s">
        <v>9</v>
      </c>
      <c r="D2380" s="18">
        <v>0.08</v>
      </c>
      <c r="E2380" s="21">
        <f t="shared" si="255"/>
        <v>6.4340301100034303E-3</v>
      </c>
      <c r="F2380" s="5">
        <v>37607</v>
      </c>
      <c r="G2380" s="5">
        <v>39253</v>
      </c>
      <c r="H2380" s="16">
        <f t="shared" si="252"/>
        <v>1646</v>
      </c>
      <c r="I2380" s="5">
        <v>39253</v>
      </c>
      <c r="J2380" s="5">
        <v>38146</v>
      </c>
      <c r="K2380" s="16">
        <f t="shared" si="253"/>
        <v>539</v>
      </c>
      <c r="L2380" s="13">
        <v>13850</v>
      </c>
      <c r="M2380" s="15">
        <f t="shared" si="251"/>
        <v>300.40468197176739</v>
      </c>
      <c r="N2380" s="13">
        <v>8482.68</v>
      </c>
      <c r="O2380" s="13">
        <v>7224</v>
      </c>
      <c r="P2380" s="11">
        <f t="shared" si="256"/>
        <v>0</v>
      </c>
    </row>
    <row r="2381" spans="1:16" ht="18.75" customHeight="1" thickBot="1" x14ac:dyDescent="0.3">
      <c r="A2381" s="3" t="s">
        <v>11</v>
      </c>
      <c r="B2381" s="4">
        <v>72807</v>
      </c>
      <c r="C2381" s="3" t="s">
        <v>9</v>
      </c>
      <c r="D2381" s="18">
        <v>7.2499999999999995E-2</v>
      </c>
      <c r="E2381" s="21">
        <f t="shared" si="255"/>
        <v>5.8497409526456767E-3</v>
      </c>
      <c r="F2381" s="5">
        <v>37620</v>
      </c>
      <c r="G2381" s="5">
        <v>39071</v>
      </c>
      <c r="H2381" s="16">
        <f t="shared" si="252"/>
        <v>1451</v>
      </c>
      <c r="I2381" s="5">
        <v>39071</v>
      </c>
      <c r="J2381" s="5">
        <v>37960</v>
      </c>
      <c r="K2381" s="16">
        <f t="shared" si="253"/>
        <v>340</v>
      </c>
      <c r="L2381" s="13">
        <v>13773.75</v>
      </c>
      <c r="M2381" s="15">
        <f t="shared" si="251"/>
        <v>327.78798332023558</v>
      </c>
      <c r="N2381" s="13">
        <v>9700</v>
      </c>
      <c r="O2381" s="13">
        <v>0</v>
      </c>
      <c r="P2381" s="11">
        <f t="shared" si="256"/>
        <v>0</v>
      </c>
    </row>
    <row r="2382" spans="1:16" ht="18.75" customHeight="1" thickBot="1" x14ac:dyDescent="0.3">
      <c r="A2382" s="3" t="s">
        <v>11</v>
      </c>
      <c r="B2382" s="4">
        <v>183813</v>
      </c>
      <c r="C2382" s="3" t="s">
        <v>16</v>
      </c>
      <c r="D2382" s="18">
        <v>0.14499999999999999</v>
      </c>
      <c r="E2382" s="21">
        <f t="shared" si="255"/>
        <v>1.1347621038123146E-2</v>
      </c>
      <c r="F2382" s="5">
        <v>37621</v>
      </c>
      <c r="G2382" s="5">
        <v>38367</v>
      </c>
      <c r="H2382" s="16">
        <f t="shared" si="252"/>
        <v>746</v>
      </c>
      <c r="I2382" s="5">
        <v>38367</v>
      </c>
      <c r="J2382" s="5">
        <v>37886</v>
      </c>
      <c r="K2382" s="16">
        <f t="shared" si="253"/>
        <v>265</v>
      </c>
      <c r="L2382" s="13">
        <v>20000</v>
      </c>
      <c r="M2382" s="15">
        <f t="shared" si="251"/>
        <v>927.62029546217343</v>
      </c>
      <c r="N2382" s="13">
        <v>17440.89</v>
      </c>
      <c r="O2382" s="13">
        <v>0</v>
      </c>
      <c r="P2382" s="11">
        <f t="shared" si="256"/>
        <v>0</v>
      </c>
    </row>
    <row r="2383" spans="1:16" ht="18.75" customHeight="1" thickBot="1" x14ac:dyDescent="0.3">
      <c r="A2383" s="3" t="s">
        <v>11</v>
      </c>
      <c r="B2383" s="4">
        <v>205327</v>
      </c>
      <c r="C2383" s="3" t="s">
        <v>9</v>
      </c>
      <c r="D2383" s="18">
        <v>0.09</v>
      </c>
      <c r="E2383" s="21">
        <f t="shared" si="255"/>
        <v>7.2073233161367156E-3</v>
      </c>
      <c r="F2383" s="5">
        <v>37628</v>
      </c>
      <c r="G2383" s="5">
        <v>39828</v>
      </c>
      <c r="H2383" s="16">
        <f t="shared" si="252"/>
        <v>2200</v>
      </c>
      <c r="I2383" s="5">
        <v>39828</v>
      </c>
      <c r="J2383" s="5">
        <v>37886</v>
      </c>
      <c r="K2383" s="16">
        <f t="shared" si="253"/>
        <v>258</v>
      </c>
      <c r="L2383" s="13">
        <v>39850</v>
      </c>
      <c r="M2383" s="15">
        <f t="shared" si="251"/>
        <v>701.51784814301186</v>
      </c>
      <c r="N2383" s="13">
        <v>36767.120000000003</v>
      </c>
      <c r="O2383" s="13">
        <v>0</v>
      </c>
      <c r="P2383" s="11">
        <f t="shared" si="256"/>
        <v>0</v>
      </c>
    </row>
    <row r="2384" spans="1:16" ht="18.75" customHeight="1" thickBot="1" x14ac:dyDescent="0.3">
      <c r="A2384" s="3" t="s">
        <v>11</v>
      </c>
      <c r="B2384" s="4">
        <v>562298</v>
      </c>
      <c r="C2384" s="3" t="s">
        <v>9</v>
      </c>
      <c r="D2384" s="18">
        <v>9.2499999999999999E-2</v>
      </c>
      <c r="E2384" s="21">
        <f t="shared" si="255"/>
        <v>7.3996302871768282E-3</v>
      </c>
      <c r="F2384" s="5">
        <v>37628</v>
      </c>
      <c r="G2384" s="5">
        <v>39828</v>
      </c>
      <c r="H2384" s="16">
        <f t="shared" si="252"/>
        <v>2200</v>
      </c>
      <c r="I2384" s="5">
        <v>39828</v>
      </c>
      <c r="J2384" s="5">
        <v>37886</v>
      </c>
      <c r="K2384" s="16">
        <f t="shared" si="253"/>
        <v>258</v>
      </c>
      <c r="L2384" s="13">
        <v>39850</v>
      </c>
      <c r="M2384" s="15">
        <f t="shared" si="251"/>
        <v>706.07565130783917</v>
      </c>
      <c r="N2384" s="13">
        <v>37218.93</v>
      </c>
      <c r="O2384" s="13">
        <v>0</v>
      </c>
      <c r="P2384" s="11">
        <f t="shared" si="256"/>
        <v>0</v>
      </c>
    </row>
    <row r="2385" spans="1:16" ht="18.75" customHeight="1" thickBot="1" x14ac:dyDescent="0.3">
      <c r="A2385" s="3" t="s">
        <v>11</v>
      </c>
      <c r="B2385" s="4">
        <v>69523</v>
      </c>
      <c r="C2385" s="3" t="s">
        <v>12</v>
      </c>
      <c r="D2385" s="18">
        <v>8.7499999999999994E-2</v>
      </c>
      <c r="E2385" s="21">
        <f t="shared" si="255"/>
        <v>7.0146116041400752E-3</v>
      </c>
      <c r="F2385" s="5">
        <v>37629</v>
      </c>
      <c r="G2385" s="5">
        <v>39462</v>
      </c>
      <c r="H2385" s="16">
        <f t="shared" si="252"/>
        <v>1833</v>
      </c>
      <c r="I2385" s="5">
        <v>39462</v>
      </c>
      <c r="J2385" s="5">
        <v>37960</v>
      </c>
      <c r="K2385" s="16">
        <f t="shared" si="253"/>
        <v>331</v>
      </c>
      <c r="L2385" s="13">
        <v>18948</v>
      </c>
      <c r="M2385" s="15">
        <f t="shared" si="251"/>
        <v>382.37362856910039</v>
      </c>
      <c r="N2385" s="13">
        <v>17751.05</v>
      </c>
      <c r="O2385" s="13">
        <v>12000</v>
      </c>
      <c r="P2385" s="11">
        <f t="shared" si="256"/>
        <v>0</v>
      </c>
    </row>
    <row r="2386" spans="1:16" ht="18.75" customHeight="1" thickBot="1" x14ac:dyDescent="0.3">
      <c r="A2386" s="3" t="s">
        <v>11</v>
      </c>
      <c r="B2386" s="4">
        <v>550430</v>
      </c>
      <c r="C2386" s="3" t="s">
        <v>12</v>
      </c>
      <c r="D2386" s="18">
        <v>8.5000000000000006E-2</v>
      </c>
      <c r="E2386" s="21">
        <f t="shared" si="255"/>
        <v>6.8214933659622723E-3</v>
      </c>
      <c r="F2386" s="5">
        <v>37650</v>
      </c>
      <c r="G2386" s="5">
        <v>39483</v>
      </c>
      <c r="H2386" s="16">
        <f t="shared" si="252"/>
        <v>1833</v>
      </c>
      <c r="I2386" s="5">
        <v>39483</v>
      </c>
      <c r="J2386" s="5">
        <v>37886</v>
      </c>
      <c r="K2386" s="16">
        <f t="shared" si="253"/>
        <v>236</v>
      </c>
      <c r="L2386" s="13">
        <v>40050</v>
      </c>
      <c r="M2386" s="15">
        <f t="shared" si="251"/>
        <v>803.74609194863092</v>
      </c>
      <c r="N2386" s="13">
        <v>42709.72</v>
      </c>
      <c r="O2386" s="13">
        <v>22645</v>
      </c>
      <c r="P2386" s="11">
        <f t="shared" si="256"/>
        <v>0</v>
      </c>
    </row>
    <row r="2387" spans="1:16" ht="18.75" customHeight="1" thickBot="1" x14ac:dyDescent="0.3">
      <c r="A2387" s="3" t="s">
        <v>11</v>
      </c>
      <c r="B2387" s="4">
        <v>165013</v>
      </c>
      <c r="C2387" s="3" t="s">
        <v>9</v>
      </c>
      <c r="D2387" s="18">
        <v>0.08</v>
      </c>
      <c r="E2387" s="21">
        <f t="shared" si="255"/>
        <v>6.4340301100034303E-3</v>
      </c>
      <c r="F2387" s="5">
        <v>37566</v>
      </c>
      <c r="G2387" s="5">
        <v>39771</v>
      </c>
      <c r="H2387" s="16">
        <f t="shared" si="252"/>
        <v>2205</v>
      </c>
      <c r="I2387" s="5">
        <v>39771</v>
      </c>
      <c r="J2387" s="5">
        <v>37886</v>
      </c>
      <c r="K2387" s="16">
        <f t="shared" si="253"/>
        <v>320</v>
      </c>
      <c r="L2387" s="13">
        <v>18160.63</v>
      </c>
      <c r="M2387" s="15">
        <f t="shared" si="251"/>
        <v>310.87350301673285</v>
      </c>
      <c r="N2387" s="13">
        <v>17246.009999999998</v>
      </c>
      <c r="O2387" s="13">
        <v>5307.94</v>
      </c>
      <c r="P2387" s="11">
        <f t="shared" si="256"/>
        <v>0</v>
      </c>
    </row>
    <row r="2388" spans="1:16" ht="18.75" customHeight="1" thickBot="1" x14ac:dyDescent="0.3">
      <c r="A2388" s="3" t="s">
        <v>11</v>
      </c>
      <c r="B2388" s="4">
        <v>179505</v>
      </c>
      <c r="C2388" s="3" t="s">
        <v>9</v>
      </c>
      <c r="D2388" s="18">
        <v>7.2499999999999995E-2</v>
      </c>
      <c r="E2388" s="21">
        <f t="shared" si="255"/>
        <v>5.8497409526456767E-3</v>
      </c>
      <c r="F2388" s="5">
        <v>37609</v>
      </c>
      <c r="G2388" s="5">
        <v>39257</v>
      </c>
      <c r="H2388" s="16">
        <f t="shared" si="252"/>
        <v>1648</v>
      </c>
      <c r="I2388" s="5">
        <v>39257</v>
      </c>
      <c r="J2388" s="5">
        <v>38421</v>
      </c>
      <c r="K2388" s="16">
        <f t="shared" si="253"/>
        <v>812</v>
      </c>
      <c r="L2388" s="13">
        <v>15201.69</v>
      </c>
      <c r="M2388" s="15">
        <f t="shared" si="251"/>
        <v>324.37172056926835</v>
      </c>
      <c r="N2388" s="13">
        <v>6262.99</v>
      </c>
      <c r="O2388" s="13">
        <v>0</v>
      </c>
      <c r="P2388" s="11">
        <f t="shared" si="256"/>
        <v>0</v>
      </c>
    </row>
    <row r="2389" spans="1:16" ht="18.75" customHeight="1" thickBot="1" x14ac:dyDescent="0.3">
      <c r="A2389" s="3" t="s">
        <v>11</v>
      </c>
      <c r="B2389" s="4">
        <v>140558</v>
      </c>
      <c r="C2389" s="3" t="s">
        <v>9</v>
      </c>
      <c r="D2389" s="18">
        <v>9.7500000000000003E-2</v>
      </c>
      <c r="E2389" s="21">
        <f t="shared" si="255"/>
        <v>7.7830370878799737E-3</v>
      </c>
      <c r="F2389" s="5">
        <v>37687</v>
      </c>
      <c r="G2389" s="5">
        <v>38801</v>
      </c>
      <c r="H2389" s="16">
        <f t="shared" si="252"/>
        <v>1114</v>
      </c>
      <c r="I2389" s="5">
        <v>38832</v>
      </c>
      <c r="J2389" s="5">
        <v>38243</v>
      </c>
      <c r="K2389" s="16">
        <f t="shared" si="253"/>
        <v>556</v>
      </c>
      <c r="L2389" s="13">
        <v>9705.25</v>
      </c>
      <c r="M2389" s="15">
        <f t="shared" si="251"/>
        <v>301.95583888755027</v>
      </c>
      <c r="N2389" s="13">
        <v>7010.28</v>
      </c>
      <c r="O2389" s="13">
        <v>5134.6400000000003</v>
      </c>
      <c r="P2389" s="11">
        <f t="shared" si="256"/>
        <v>0</v>
      </c>
    </row>
    <row r="2390" spans="1:16" ht="18.75" hidden="1" customHeight="1" thickBot="1" x14ac:dyDescent="0.3">
      <c r="A2390" s="3" t="s">
        <v>11</v>
      </c>
      <c r="B2390" s="4">
        <v>688539</v>
      </c>
      <c r="C2390" s="3" t="s">
        <v>15</v>
      </c>
      <c r="D2390" s="7">
        <v>0.1515</v>
      </c>
      <c r="E2390" s="7">
        <f t="shared" si="254"/>
        <v>1.2624999999999999E-2</v>
      </c>
      <c r="F2390" s="5">
        <v>39791</v>
      </c>
      <c r="G2390" s="5">
        <v>2958465</v>
      </c>
      <c r="H2390" s="8">
        <f t="shared" si="252"/>
        <v>2918674</v>
      </c>
      <c r="I2390" s="5">
        <v>2958465</v>
      </c>
      <c r="J2390" s="5">
        <v>41087</v>
      </c>
      <c r="K2390" s="8">
        <f t="shared" si="253"/>
        <v>1296</v>
      </c>
      <c r="L2390" s="6">
        <v>500</v>
      </c>
      <c r="M2390" s="9">
        <f t="shared" si="251"/>
        <v>6.3124999999999991</v>
      </c>
      <c r="N2390" s="6">
        <v>444.11</v>
      </c>
      <c r="O2390" s="6">
        <v>0</v>
      </c>
      <c r="P2390" s="6">
        <v>0</v>
      </c>
    </row>
    <row r="2391" spans="1:16" ht="18.75" hidden="1" customHeight="1" thickBot="1" x14ac:dyDescent="0.3">
      <c r="A2391" s="3" t="s">
        <v>11</v>
      </c>
      <c r="B2391" s="4">
        <v>39154</v>
      </c>
      <c r="C2391" s="3" t="s">
        <v>15</v>
      </c>
      <c r="D2391" s="7">
        <v>0.1515</v>
      </c>
      <c r="E2391" s="7">
        <f t="shared" si="254"/>
        <v>1.2624999999999999E-2</v>
      </c>
      <c r="F2391" s="5">
        <v>39364</v>
      </c>
      <c r="G2391" s="5">
        <v>2958465</v>
      </c>
      <c r="H2391" s="8">
        <f t="shared" si="252"/>
        <v>2919101</v>
      </c>
      <c r="I2391" s="5">
        <v>2958465</v>
      </c>
      <c r="J2391" s="5">
        <v>40431</v>
      </c>
      <c r="K2391" s="8">
        <f t="shared" si="253"/>
        <v>1067</v>
      </c>
      <c r="L2391" s="6">
        <v>500</v>
      </c>
      <c r="M2391" s="9">
        <f t="shared" si="251"/>
        <v>6.3124999999999991</v>
      </c>
      <c r="N2391" s="6">
        <v>500</v>
      </c>
      <c r="O2391" s="6">
        <v>0</v>
      </c>
      <c r="P2391" s="6">
        <v>0</v>
      </c>
    </row>
    <row r="2392" spans="1:16" ht="18.75" hidden="1" customHeight="1" thickBot="1" x14ac:dyDescent="0.3">
      <c r="A2392" s="3" t="s">
        <v>11</v>
      </c>
      <c r="B2392" s="4">
        <v>238203</v>
      </c>
      <c r="C2392" s="3" t="s">
        <v>15</v>
      </c>
      <c r="D2392" s="7">
        <v>0.1515</v>
      </c>
      <c r="E2392" s="7">
        <f t="shared" si="254"/>
        <v>1.2624999999999999E-2</v>
      </c>
      <c r="F2392" s="5">
        <v>40374</v>
      </c>
      <c r="G2392" s="5">
        <v>2958465</v>
      </c>
      <c r="H2392" s="8">
        <f t="shared" si="252"/>
        <v>2918091</v>
      </c>
      <c r="I2392" s="5">
        <v>2958465</v>
      </c>
      <c r="J2392" s="5">
        <v>43258</v>
      </c>
      <c r="K2392" s="8">
        <f t="shared" si="253"/>
        <v>2884</v>
      </c>
      <c r="L2392" s="6">
        <v>300</v>
      </c>
      <c r="M2392" s="9">
        <f t="shared" si="251"/>
        <v>3.7874999999999996</v>
      </c>
      <c r="N2392" s="6">
        <v>295.18</v>
      </c>
      <c r="O2392" s="6">
        <v>0</v>
      </c>
      <c r="P2392" s="6">
        <v>52100.14</v>
      </c>
    </row>
    <row r="2393" spans="1:16" ht="18.75" hidden="1" customHeight="1" thickBot="1" x14ac:dyDescent="0.3">
      <c r="A2393" s="3" t="s">
        <v>11</v>
      </c>
      <c r="B2393" s="4">
        <v>102200</v>
      </c>
      <c r="C2393" s="3" t="s">
        <v>15</v>
      </c>
      <c r="D2393" s="7">
        <v>0.1515</v>
      </c>
      <c r="E2393" s="7">
        <f t="shared" si="254"/>
        <v>1.2624999999999999E-2</v>
      </c>
      <c r="F2393" s="5">
        <v>42548</v>
      </c>
      <c r="G2393" s="5">
        <v>2958465</v>
      </c>
      <c r="H2393" s="8">
        <f t="shared" si="252"/>
        <v>2915917</v>
      </c>
      <c r="I2393" s="5">
        <v>2958465</v>
      </c>
      <c r="J2393" s="5">
        <v>43874</v>
      </c>
      <c r="K2393" s="8">
        <f t="shared" si="253"/>
        <v>1326</v>
      </c>
      <c r="L2393" s="6">
        <v>300</v>
      </c>
      <c r="M2393" s="9">
        <f t="shared" si="251"/>
        <v>3.7874999999999996</v>
      </c>
      <c r="N2393" s="6">
        <v>300</v>
      </c>
      <c r="O2393" s="6">
        <v>300</v>
      </c>
      <c r="P2393" s="6">
        <v>0</v>
      </c>
    </row>
    <row r="2394" spans="1:16" ht="18.75" hidden="1" customHeight="1" thickBot="1" x14ac:dyDescent="0.3">
      <c r="A2394" s="3" t="s">
        <v>11</v>
      </c>
      <c r="B2394" s="4">
        <v>190489</v>
      </c>
      <c r="C2394" s="3" t="s">
        <v>15</v>
      </c>
      <c r="D2394" s="7">
        <v>0.1515</v>
      </c>
      <c r="E2394" s="7">
        <f t="shared" si="254"/>
        <v>1.2624999999999999E-2</v>
      </c>
      <c r="F2394" s="5">
        <v>40344</v>
      </c>
      <c r="G2394" s="5">
        <v>2958465</v>
      </c>
      <c r="H2394" s="8">
        <f t="shared" si="252"/>
        <v>2918121</v>
      </c>
      <c r="I2394" s="5">
        <v>2958465</v>
      </c>
      <c r="J2394" s="5">
        <v>42038</v>
      </c>
      <c r="K2394" s="8">
        <f t="shared" si="253"/>
        <v>1694</v>
      </c>
      <c r="L2394" s="6">
        <v>100</v>
      </c>
      <c r="M2394" s="9">
        <f t="shared" si="251"/>
        <v>1.2625</v>
      </c>
      <c r="N2394" s="6">
        <v>100</v>
      </c>
      <c r="O2394" s="6">
        <v>10.87</v>
      </c>
      <c r="P2394" s="6">
        <v>190</v>
      </c>
    </row>
    <row r="2395" spans="1:16" ht="18.75" hidden="1" customHeight="1" thickBot="1" x14ac:dyDescent="0.3">
      <c r="A2395" s="3" t="s">
        <v>11</v>
      </c>
      <c r="B2395" s="4">
        <v>253135</v>
      </c>
      <c r="C2395" s="3" t="s">
        <v>15</v>
      </c>
      <c r="D2395" s="7">
        <v>0.1515</v>
      </c>
      <c r="E2395" s="7">
        <f t="shared" si="254"/>
        <v>1.2624999999999999E-2</v>
      </c>
      <c r="F2395" s="5">
        <v>39897</v>
      </c>
      <c r="G2395" s="5">
        <v>2958465</v>
      </c>
      <c r="H2395" s="8">
        <f t="shared" si="252"/>
        <v>2918568</v>
      </c>
      <c r="I2395" s="5">
        <v>2958465</v>
      </c>
      <c r="J2395" s="5">
        <v>40539</v>
      </c>
      <c r="K2395" s="8">
        <f t="shared" si="253"/>
        <v>642</v>
      </c>
      <c r="L2395" s="6">
        <v>500</v>
      </c>
      <c r="M2395" s="9">
        <f t="shared" si="251"/>
        <v>6.3124999999999991</v>
      </c>
      <c r="N2395" s="6">
        <v>481.25</v>
      </c>
      <c r="O2395" s="6">
        <v>859.93</v>
      </c>
      <c r="P2395" s="6">
        <v>0</v>
      </c>
    </row>
    <row r="2396" spans="1:16" ht="18.75" hidden="1" customHeight="1" thickBot="1" x14ac:dyDescent="0.3">
      <c r="A2396" s="3" t="s">
        <v>11</v>
      </c>
      <c r="B2396" s="4">
        <v>54270</v>
      </c>
      <c r="C2396" s="3" t="s">
        <v>15</v>
      </c>
      <c r="D2396" s="7">
        <v>0.1515</v>
      </c>
      <c r="E2396" s="7">
        <f t="shared" si="254"/>
        <v>1.2624999999999999E-2</v>
      </c>
      <c r="F2396" s="5">
        <v>40681</v>
      </c>
      <c r="G2396" s="5">
        <v>2958465</v>
      </c>
      <c r="H2396" s="8">
        <f t="shared" si="252"/>
        <v>2917784</v>
      </c>
      <c r="I2396" s="5">
        <v>2958465</v>
      </c>
      <c r="J2396" s="5">
        <v>41670</v>
      </c>
      <c r="K2396" s="8">
        <f t="shared" si="253"/>
        <v>989</v>
      </c>
      <c r="L2396" s="6">
        <v>300</v>
      </c>
      <c r="M2396" s="9">
        <f t="shared" si="251"/>
        <v>3.7874999999999996</v>
      </c>
      <c r="N2396" s="6">
        <v>856.85</v>
      </c>
      <c r="O2396" s="6">
        <v>0</v>
      </c>
      <c r="P2396" s="6">
        <v>28512.38</v>
      </c>
    </row>
    <row r="2397" spans="1:16" ht="18.75" hidden="1" customHeight="1" thickBot="1" x14ac:dyDescent="0.3">
      <c r="A2397" s="3" t="s">
        <v>11</v>
      </c>
      <c r="B2397" s="4">
        <v>667512</v>
      </c>
      <c r="C2397" s="3" t="s">
        <v>15</v>
      </c>
      <c r="D2397" s="7">
        <v>0.1515</v>
      </c>
      <c r="E2397" s="7">
        <f t="shared" si="254"/>
        <v>1.2624999999999999E-2</v>
      </c>
      <c r="F2397" s="5">
        <v>41059</v>
      </c>
      <c r="G2397" s="5">
        <v>2958465</v>
      </c>
      <c r="H2397" s="8">
        <f t="shared" si="252"/>
        <v>2917406</v>
      </c>
      <c r="I2397" s="5">
        <v>2958465</v>
      </c>
      <c r="J2397" s="5">
        <v>41429</v>
      </c>
      <c r="K2397" s="8">
        <f t="shared" si="253"/>
        <v>370</v>
      </c>
      <c r="L2397" s="6">
        <v>300</v>
      </c>
      <c r="M2397" s="9">
        <f t="shared" si="251"/>
        <v>3.7874999999999996</v>
      </c>
      <c r="N2397" s="6">
        <v>976</v>
      </c>
      <c r="O2397" s="6">
        <v>100</v>
      </c>
      <c r="P2397" s="6">
        <v>154200</v>
      </c>
    </row>
    <row r="2398" spans="1:16" ht="18.75" hidden="1" customHeight="1" thickBot="1" x14ac:dyDescent="0.3">
      <c r="A2398" s="3" t="s">
        <v>11</v>
      </c>
      <c r="B2398" s="4">
        <v>433373</v>
      </c>
      <c r="C2398" s="3" t="s">
        <v>15</v>
      </c>
      <c r="D2398" s="7">
        <v>0.11650000000000001</v>
      </c>
      <c r="E2398" s="7">
        <f t="shared" si="254"/>
        <v>9.7083333333333344E-3</v>
      </c>
      <c r="F2398" s="5">
        <v>41053</v>
      </c>
      <c r="G2398" s="5">
        <v>2958465</v>
      </c>
      <c r="H2398" s="8">
        <f t="shared" si="252"/>
        <v>2917412</v>
      </c>
      <c r="I2398" s="5">
        <v>2958465</v>
      </c>
      <c r="J2398" s="5">
        <v>43535</v>
      </c>
      <c r="K2398" s="8">
        <f t="shared" si="253"/>
        <v>2482</v>
      </c>
      <c r="L2398" s="6">
        <v>300</v>
      </c>
      <c r="M2398" s="9">
        <f t="shared" si="251"/>
        <v>2.9125000000000005</v>
      </c>
      <c r="N2398" s="6">
        <v>300</v>
      </c>
      <c r="O2398" s="6">
        <v>300</v>
      </c>
      <c r="P2398" s="6">
        <v>101339.12</v>
      </c>
    </row>
    <row r="2399" spans="1:16" ht="18.75" hidden="1" customHeight="1" thickBot="1" x14ac:dyDescent="0.3">
      <c r="A2399" s="3" t="s">
        <v>11</v>
      </c>
      <c r="B2399" s="4">
        <v>302280</v>
      </c>
      <c r="C2399" s="3" t="s">
        <v>15</v>
      </c>
      <c r="D2399" s="7">
        <v>0.1515</v>
      </c>
      <c r="E2399" s="7">
        <f t="shared" si="254"/>
        <v>1.2624999999999999E-2</v>
      </c>
      <c r="F2399" s="5">
        <v>40739</v>
      </c>
      <c r="G2399" s="5">
        <v>2958465</v>
      </c>
      <c r="H2399" s="8">
        <f t="shared" si="252"/>
        <v>2917726</v>
      </c>
      <c r="I2399" s="5">
        <v>2958465</v>
      </c>
      <c r="J2399" s="5">
        <v>41908</v>
      </c>
      <c r="K2399" s="8">
        <f t="shared" si="253"/>
        <v>1169</v>
      </c>
      <c r="L2399" s="6">
        <v>500</v>
      </c>
      <c r="M2399" s="9">
        <f t="shared" si="251"/>
        <v>6.3124999999999991</v>
      </c>
      <c r="N2399" s="6">
        <v>250.95</v>
      </c>
      <c r="O2399" s="6">
        <v>0</v>
      </c>
      <c r="P2399" s="6">
        <v>200</v>
      </c>
    </row>
    <row r="2400" spans="1:16" ht="18.75" hidden="1" customHeight="1" thickBot="1" x14ac:dyDescent="0.3">
      <c r="A2400" s="3" t="s">
        <v>11</v>
      </c>
      <c r="B2400" s="4">
        <v>990957</v>
      </c>
      <c r="C2400" s="3" t="s">
        <v>15</v>
      </c>
      <c r="D2400" s="7">
        <v>0.16900000000000001</v>
      </c>
      <c r="E2400" s="7">
        <f t="shared" si="254"/>
        <v>1.4083333333333335E-2</v>
      </c>
      <c r="F2400" s="5">
        <v>41086</v>
      </c>
      <c r="G2400" s="5">
        <v>2958465</v>
      </c>
      <c r="H2400" s="8">
        <f t="shared" si="252"/>
        <v>2917379</v>
      </c>
      <c r="I2400" s="5">
        <v>2958465</v>
      </c>
      <c r="J2400" s="5">
        <v>44909</v>
      </c>
      <c r="K2400" s="8">
        <f t="shared" si="253"/>
        <v>3823</v>
      </c>
      <c r="L2400" s="6">
        <v>300</v>
      </c>
      <c r="M2400" s="9">
        <f t="shared" si="251"/>
        <v>4.2250000000000005</v>
      </c>
      <c r="N2400" s="6">
        <v>299.18</v>
      </c>
      <c r="O2400" s="6">
        <v>299.18</v>
      </c>
      <c r="P2400" s="6">
        <v>0</v>
      </c>
    </row>
    <row r="2401" spans="1:16" ht="18.75" hidden="1" customHeight="1" thickBot="1" x14ac:dyDescent="0.3">
      <c r="A2401" s="3" t="s">
        <v>11</v>
      </c>
      <c r="B2401" s="4">
        <v>768162</v>
      </c>
      <c r="C2401" s="3" t="s">
        <v>15</v>
      </c>
      <c r="D2401" s="7">
        <v>0.11650000000000001</v>
      </c>
      <c r="E2401" s="7">
        <f t="shared" si="254"/>
        <v>9.7083333333333344E-3</v>
      </c>
      <c r="F2401" s="5">
        <v>41464</v>
      </c>
      <c r="G2401" s="5">
        <v>2958465</v>
      </c>
      <c r="H2401" s="8">
        <f t="shared" si="252"/>
        <v>2917001</v>
      </c>
      <c r="I2401" s="5">
        <v>2958465</v>
      </c>
      <c r="J2401" s="5">
        <v>41821</v>
      </c>
      <c r="K2401" s="8">
        <f t="shared" si="253"/>
        <v>357</v>
      </c>
      <c r="L2401" s="6">
        <v>300</v>
      </c>
      <c r="M2401" s="9">
        <f t="shared" si="251"/>
        <v>2.9125000000000005</v>
      </c>
      <c r="N2401" s="6">
        <v>292.54000000000002</v>
      </c>
      <c r="O2401" s="6">
        <v>292.54000000000002</v>
      </c>
      <c r="P2401" s="6">
        <v>0</v>
      </c>
    </row>
    <row r="2402" spans="1:16" ht="18.75" hidden="1" customHeight="1" thickBot="1" x14ac:dyDescent="0.3">
      <c r="A2402" s="3" t="s">
        <v>11</v>
      </c>
      <c r="B2402" s="4">
        <v>926564</v>
      </c>
      <c r="C2402" s="3" t="s">
        <v>15</v>
      </c>
      <c r="D2402" s="7">
        <v>0.1515</v>
      </c>
      <c r="E2402" s="7">
        <f t="shared" si="254"/>
        <v>1.2624999999999999E-2</v>
      </c>
      <c r="F2402" s="5">
        <v>41443</v>
      </c>
      <c r="G2402" s="5">
        <v>2958465</v>
      </c>
      <c r="H2402" s="8">
        <f t="shared" si="252"/>
        <v>2917022</v>
      </c>
      <c r="I2402" s="5">
        <v>2958465</v>
      </c>
      <c r="J2402" s="5">
        <v>43874</v>
      </c>
      <c r="K2402" s="8">
        <f t="shared" si="253"/>
        <v>2431</v>
      </c>
      <c r="L2402" s="6">
        <v>300</v>
      </c>
      <c r="M2402" s="9">
        <f t="shared" si="251"/>
        <v>3.7874999999999996</v>
      </c>
      <c r="N2402" s="6">
        <v>300</v>
      </c>
      <c r="O2402" s="6">
        <v>0</v>
      </c>
      <c r="P2402" s="6">
        <v>0</v>
      </c>
    </row>
    <row r="2403" spans="1:16" ht="18.75" customHeight="1" thickBot="1" x14ac:dyDescent="0.3">
      <c r="A2403" s="3" t="s">
        <v>11</v>
      </c>
      <c r="B2403" s="4">
        <v>22257</v>
      </c>
      <c r="C2403" s="3" t="s">
        <v>12</v>
      </c>
      <c r="D2403" s="18">
        <v>8.8999999999999996E-2</v>
      </c>
      <c r="E2403" s="21">
        <f t="shared" ref="E2403:E2413" si="257">(1+D2403)^(1/12)-1</f>
        <v>7.1302872999576827E-3</v>
      </c>
      <c r="F2403" s="5">
        <v>39210</v>
      </c>
      <c r="G2403" s="5">
        <v>41037</v>
      </c>
      <c r="H2403" s="16">
        <f t="shared" si="252"/>
        <v>1827</v>
      </c>
      <c r="I2403" s="5">
        <v>41068</v>
      </c>
      <c r="J2403" s="5">
        <v>39664</v>
      </c>
      <c r="K2403" s="16">
        <f t="shared" si="253"/>
        <v>454</v>
      </c>
      <c r="L2403" s="13">
        <v>10060</v>
      </c>
      <c r="M2403" s="15">
        <f t="shared" si="251"/>
        <v>204.22082039757879</v>
      </c>
      <c r="N2403" s="13">
        <v>1831.13</v>
      </c>
      <c r="O2403" s="13">
        <v>0</v>
      </c>
      <c r="P2403" s="11">
        <f t="shared" ref="P2403:P2413" si="258">IF((G2403)&gt;(ConstantDateCutoff),1,0)</f>
        <v>0</v>
      </c>
    </row>
    <row r="2404" spans="1:16" ht="18.75" customHeight="1" thickBot="1" x14ac:dyDescent="0.3">
      <c r="A2404" s="3" t="s">
        <v>11</v>
      </c>
      <c r="B2404" s="4">
        <v>276813</v>
      </c>
      <c r="C2404" s="3" t="s">
        <v>9</v>
      </c>
      <c r="D2404" s="18">
        <v>6.8900000000000003E-2</v>
      </c>
      <c r="E2404" s="21">
        <f t="shared" si="257"/>
        <v>5.5679505949390862E-3</v>
      </c>
      <c r="F2404" s="5">
        <v>39471</v>
      </c>
      <c r="G2404" s="5">
        <v>41298</v>
      </c>
      <c r="H2404" s="16">
        <f t="shared" si="252"/>
        <v>1827</v>
      </c>
      <c r="I2404" s="5">
        <v>41357</v>
      </c>
      <c r="J2404" s="5">
        <v>40485</v>
      </c>
      <c r="K2404" s="16">
        <f t="shared" si="253"/>
        <v>1014</v>
      </c>
      <c r="L2404" s="13">
        <v>21066</v>
      </c>
      <c r="M2404" s="15">
        <f t="shared" si="251"/>
        <v>408.81962626691967</v>
      </c>
      <c r="N2404" s="13">
        <v>5807.76</v>
      </c>
      <c r="O2404" s="13">
        <v>0</v>
      </c>
      <c r="P2404" s="11">
        <f t="shared" si="258"/>
        <v>0</v>
      </c>
    </row>
    <row r="2405" spans="1:16" ht="18.75" customHeight="1" thickBot="1" x14ac:dyDescent="0.3">
      <c r="A2405" s="3" t="s">
        <v>11</v>
      </c>
      <c r="B2405" s="4">
        <v>370606</v>
      </c>
      <c r="C2405" s="3" t="s">
        <v>16</v>
      </c>
      <c r="D2405" s="18">
        <v>0.1</v>
      </c>
      <c r="E2405" s="21">
        <f t="shared" si="257"/>
        <v>7.9741404289037643E-3</v>
      </c>
      <c r="F2405" s="5">
        <v>39580</v>
      </c>
      <c r="G2405" s="5">
        <v>39726</v>
      </c>
      <c r="H2405" s="16">
        <f t="shared" si="252"/>
        <v>146</v>
      </c>
      <c r="I2405" s="5">
        <v>40045</v>
      </c>
      <c r="J2405" s="5">
        <v>39797</v>
      </c>
      <c r="K2405" s="16">
        <f t="shared" si="253"/>
        <v>217</v>
      </c>
      <c r="L2405" s="13">
        <v>4160</v>
      </c>
      <c r="M2405" s="15">
        <f t="shared" si="251"/>
        <v>874.89119696787554</v>
      </c>
      <c r="N2405" s="13">
        <v>3776.11</v>
      </c>
      <c r="O2405" s="13">
        <v>367.08</v>
      </c>
      <c r="P2405" s="11">
        <f t="shared" si="258"/>
        <v>0</v>
      </c>
    </row>
    <row r="2406" spans="1:16" ht="18.75" customHeight="1" thickBot="1" x14ac:dyDescent="0.3">
      <c r="A2406" s="3" t="s">
        <v>11</v>
      </c>
      <c r="B2406" s="4">
        <v>439956</v>
      </c>
      <c r="C2406" s="3" t="s">
        <v>9</v>
      </c>
      <c r="D2406" s="18">
        <v>0.104</v>
      </c>
      <c r="E2406" s="21">
        <f t="shared" si="257"/>
        <v>8.2790792398550472E-3</v>
      </c>
      <c r="F2406" s="5">
        <v>39638</v>
      </c>
      <c r="G2406" s="5">
        <v>41099</v>
      </c>
      <c r="H2406" s="16">
        <f t="shared" si="252"/>
        <v>1461</v>
      </c>
      <c r="I2406" s="5">
        <v>41099</v>
      </c>
      <c r="J2406" s="5">
        <v>39716</v>
      </c>
      <c r="K2406" s="16">
        <f t="shared" si="253"/>
        <v>78</v>
      </c>
      <c r="L2406" s="13">
        <v>10860</v>
      </c>
      <c r="M2406" s="15">
        <f t="shared" si="251"/>
        <v>271.87563388078115</v>
      </c>
      <c r="N2406" s="13">
        <v>3247.39</v>
      </c>
      <c r="O2406" s="13">
        <v>50</v>
      </c>
      <c r="P2406" s="11">
        <f t="shared" si="258"/>
        <v>0</v>
      </c>
    </row>
    <row r="2407" spans="1:16" ht="18.75" customHeight="1" thickBot="1" x14ac:dyDescent="0.3">
      <c r="A2407" s="3" t="s">
        <v>11</v>
      </c>
      <c r="B2407" s="4">
        <v>809417</v>
      </c>
      <c r="C2407" s="3" t="s">
        <v>9</v>
      </c>
      <c r="D2407" s="18">
        <v>0.11</v>
      </c>
      <c r="E2407" s="21">
        <f t="shared" si="257"/>
        <v>8.7345938235519061E-3</v>
      </c>
      <c r="F2407" s="5">
        <v>39862</v>
      </c>
      <c r="G2407" s="5">
        <v>41323</v>
      </c>
      <c r="H2407" s="16">
        <f t="shared" si="252"/>
        <v>1461</v>
      </c>
      <c r="I2407" s="5">
        <v>41351</v>
      </c>
      <c r="J2407" s="5">
        <v>41082</v>
      </c>
      <c r="K2407" s="16">
        <f t="shared" si="253"/>
        <v>1220</v>
      </c>
      <c r="L2407" s="13">
        <v>6175</v>
      </c>
      <c r="M2407" s="15">
        <f t="shared" si="251"/>
        <v>156.21568250004353</v>
      </c>
      <c r="N2407" s="13">
        <v>2114.9299999999998</v>
      </c>
      <c r="O2407" s="13">
        <v>400</v>
      </c>
      <c r="P2407" s="11">
        <f t="shared" si="258"/>
        <v>0</v>
      </c>
    </row>
    <row r="2408" spans="1:16" ht="18.75" customHeight="1" thickBot="1" x14ac:dyDescent="0.3">
      <c r="A2408" s="3" t="s">
        <v>11</v>
      </c>
      <c r="B2408" s="4">
        <v>641767</v>
      </c>
      <c r="C2408" s="3" t="s">
        <v>2</v>
      </c>
      <c r="D2408" s="18">
        <v>3.6299999999999999E-2</v>
      </c>
      <c r="E2408" s="21">
        <f t="shared" si="257"/>
        <v>2.9758087216387175E-3</v>
      </c>
      <c r="F2408" s="5">
        <v>40106</v>
      </c>
      <c r="G2408" s="5">
        <v>40471</v>
      </c>
      <c r="H2408" s="16">
        <f t="shared" si="252"/>
        <v>365</v>
      </c>
      <c r="I2408" s="5">
        <v>43493</v>
      </c>
      <c r="J2408" s="5">
        <v>43584</v>
      </c>
      <c r="K2408" s="16">
        <f t="shared" si="253"/>
        <v>3478</v>
      </c>
      <c r="L2408" s="13">
        <v>20100</v>
      </c>
      <c r="M2408" s="15">
        <f t="shared" si="251"/>
        <v>1684.5987489049701</v>
      </c>
      <c r="N2408" s="13">
        <v>7536.67</v>
      </c>
      <c r="O2408" s="13">
        <v>144.34</v>
      </c>
      <c r="P2408" s="11">
        <f t="shared" si="258"/>
        <v>0</v>
      </c>
    </row>
    <row r="2409" spans="1:16" ht="18.75" customHeight="1" thickBot="1" x14ac:dyDescent="0.3">
      <c r="A2409" s="3" t="s">
        <v>11</v>
      </c>
      <c r="B2409" s="4">
        <v>149541</v>
      </c>
      <c r="C2409" s="3" t="s">
        <v>16</v>
      </c>
      <c r="D2409" s="18">
        <v>0.115</v>
      </c>
      <c r="E2409" s="21">
        <f t="shared" si="257"/>
        <v>9.1124684369046083E-3</v>
      </c>
      <c r="F2409" s="5">
        <v>40732</v>
      </c>
      <c r="G2409" s="5">
        <v>41654</v>
      </c>
      <c r="H2409" s="16">
        <f t="shared" si="252"/>
        <v>922</v>
      </c>
      <c r="I2409" s="5">
        <v>41654</v>
      </c>
      <c r="J2409" s="5">
        <v>41729</v>
      </c>
      <c r="K2409" s="16">
        <f t="shared" si="253"/>
        <v>997</v>
      </c>
      <c r="L2409" s="13">
        <v>3575</v>
      </c>
      <c r="M2409" s="15">
        <f t="shared" si="251"/>
        <v>133.89680573548515</v>
      </c>
      <c r="N2409" s="13">
        <v>214.69</v>
      </c>
      <c r="O2409" s="13">
        <v>0</v>
      </c>
      <c r="P2409" s="11">
        <f t="shared" si="258"/>
        <v>0</v>
      </c>
    </row>
    <row r="2410" spans="1:16" ht="18.75" customHeight="1" thickBot="1" x14ac:dyDescent="0.3">
      <c r="A2410" s="3" t="s">
        <v>11</v>
      </c>
      <c r="B2410" s="4">
        <v>513261</v>
      </c>
      <c r="C2410" s="3" t="s">
        <v>9</v>
      </c>
      <c r="D2410" s="18">
        <v>6.7500000000000004E-2</v>
      </c>
      <c r="E2410" s="21">
        <f t="shared" si="257"/>
        <v>5.4581304569467637E-3</v>
      </c>
      <c r="F2410" s="5">
        <v>40798</v>
      </c>
      <c r="G2410" s="5">
        <v>42259</v>
      </c>
      <c r="H2410" s="16">
        <f t="shared" si="252"/>
        <v>1461</v>
      </c>
      <c r="I2410" s="5">
        <v>42320</v>
      </c>
      <c r="J2410" s="5">
        <v>42123</v>
      </c>
      <c r="K2410" s="16">
        <f t="shared" si="253"/>
        <v>1325</v>
      </c>
      <c r="L2410" s="13">
        <v>10075</v>
      </c>
      <c r="M2410" s="15">
        <f t="shared" si="251"/>
        <v>236.15161678512749</v>
      </c>
      <c r="N2410" s="13">
        <v>4251.55</v>
      </c>
      <c r="O2410" s="13">
        <v>0</v>
      </c>
      <c r="P2410" s="11">
        <f t="shared" si="258"/>
        <v>1</v>
      </c>
    </row>
    <row r="2411" spans="1:16" ht="18.75" customHeight="1" thickBot="1" x14ac:dyDescent="0.3">
      <c r="A2411" s="3" t="s">
        <v>11</v>
      </c>
      <c r="B2411" s="4">
        <v>493794</v>
      </c>
      <c r="C2411" s="3" t="s">
        <v>2</v>
      </c>
      <c r="D2411" s="18">
        <v>0.10249999999999999</v>
      </c>
      <c r="E2411" s="21">
        <f t="shared" si="257"/>
        <v>8.1648460519010424E-3</v>
      </c>
      <c r="F2411" s="5">
        <v>41197</v>
      </c>
      <c r="G2411" s="5">
        <v>41377</v>
      </c>
      <c r="H2411" s="16">
        <f t="shared" si="252"/>
        <v>180</v>
      </c>
      <c r="I2411" s="5">
        <v>43509</v>
      </c>
      <c r="J2411" s="5">
        <v>43584</v>
      </c>
      <c r="K2411" s="16">
        <f t="shared" si="253"/>
        <v>2387</v>
      </c>
      <c r="L2411" s="13">
        <v>9912</v>
      </c>
      <c r="M2411" s="15">
        <f t="shared" si="251"/>
        <v>1699.5290353953158</v>
      </c>
      <c r="N2411" s="13">
        <v>6703.09</v>
      </c>
      <c r="O2411" s="13">
        <v>0</v>
      </c>
      <c r="P2411" s="11">
        <f t="shared" si="258"/>
        <v>0</v>
      </c>
    </row>
    <row r="2412" spans="1:16" ht="18.75" customHeight="1" thickBot="1" x14ac:dyDescent="0.3">
      <c r="A2412" s="3" t="s">
        <v>11</v>
      </c>
      <c r="B2412" s="4">
        <v>493001</v>
      </c>
      <c r="C2412" s="3" t="s">
        <v>9</v>
      </c>
      <c r="D2412" s="18">
        <v>9.5000000000000001E-2</v>
      </c>
      <c r="E2412" s="21">
        <f t="shared" si="257"/>
        <v>7.5915342905825689E-3</v>
      </c>
      <c r="F2412" s="5">
        <v>43231</v>
      </c>
      <c r="G2412" s="5">
        <v>45051</v>
      </c>
      <c r="H2412" s="16">
        <f t="shared" si="252"/>
        <v>1820</v>
      </c>
      <c r="I2412" s="5">
        <v>45204</v>
      </c>
      <c r="J2412" s="5">
        <v>44187</v>
      </c>
      <c r="K2412" s="16">
        <f t="shared" si="253"/>
        <v>956</v>
      </c>
      <c r="L2412" s="13">
        <v>11075</v>
      </c>
      <c r="M2412" s="15">
        <f t="shared" si="251"/>
        <v>228.48851775176939</v>
      </c>
      <c r="N2412" s="13">
        <v>198.44</v>
      </c>
      <c r="O2412" s="13">
        <v>0</v>
      </c>
      <c r="P2412" s="11">
        <f t="shared" si="258"/>
        <v>1</v>
      </c>
    </row>
    <row r="2413" spans="1:16" ht="18.75" customHeight="1" thickBot="1" x14ac:dyDescent="0.3">
      <c r="A2413" s="3" t="s">
        <v>11</v>
      </c>
      <c r="B2413" s="4">
        <v>871261</v>
      </c>
      <c r="C2413" s="3" t="s">
        <v>9</v>
      </c>
      <c r="D2413" s="18">
        <v>0.12</v>
      </c>
      <c r="E2413" s="21">
        <f t="shared" si="257"/>
        <v>9.4887929345830457E-3</v>
      </c>
      <c r="F2413" s="5">
        <v>43808</v>
      </c>
      <c r="G2413" s="5">
        <v>44536</v>
      </c>
      <c r="H2413" s="16">
        <f t="shared" si="252"/>
        <v>728</v>
      </c>
      <c r="I2413" s="5">
        <v>44598</v>
      </c>
      <c r="J2413" s="5">
        <v>44264</v>
      </c>
      <c r="K2413" s="16">
        <f t="shared" si="253"/>
        <v>456</v>
      </c>
      <c r="L2413" s="13">
        <v>3863.75</v>
      </c>
      <c r="M2413" s="15">
        <f t="shared" si="251"/>
        <v>179.00540915531619</v>
      </c>
      <c r="N2413" s="13">
        <v>2592.44</v>
      </c>
      <c r="O2413" s="13">
        <v>0</v>
      </c>
      <c r="P2413" s="11">
        <f t="shared" si="258"/>
        <v>1</v>
      </c>
    </row>
    <row r="2414" spans="1:16" ht="18.75" hidden="1" customHeight="1" thickBot="1" x14ac:dyDescent="0.3">
      <c r="A2414" s="3" t="s">
        <v>11</v>
      </c>
      <c r="B2414" s="4">
        <v>806870</v>
      </c>
      <c r="C2414" s="3" t="s">
        <v>2</v>
      </c>
      <c r="D2414" s="7">
        <v>3.7400000000000003E-2</v>
      </c>
      <c r="E2414" s="7">
        <f t="shared" si="254"/>
        <v>3.1166666666666669E-3</v>
      </c>
      <c r="F2414" s="5">
        <v>44554</v>
      </c>
      <c r="G2414" s="5">
        <v>46745</v>
      </c>
      <c r="H2414" s="8">
        <f t="shared" si="252"/>
        <v>2191</v>
      </c>
      <c r="I2414" s="5">
        <v>46776</v>
      </c>
      <c r="J2414" s="5">
        <v>45467</v>
      </c>
      <c r="K2414" s="8">
        <f t="shared" si="253"/>
        <v>913</v>
      </c>
      <c r="L2414" s="6">
        <v>44530</v>
      </c>
      <c r="M2414" s="9">
        <f t="shared" si="251"/>
        <v>682.69000434478426</v>
      </c>
      <c r="N2414" s="6">
        <v>30592.400000000001</v>
      </c>
      <c r="O2414" s="6">
        <v>30592.400000000001</v>
      </c>
      <c r="P2414" s="6">
        <v>0</v>
      </c>
    </row>
    <row r="2415" spans="1:16" ht="18.75" hidden="1" customHeight="1" thickBot="1" x14ac:dyDescent="0.3">
      <c r="A2415" s="3" t="s">
        <v>11</v>
      </c>
      <c r="B2415" s="4">
        <v>256590</v>
      </c>
      <c r="C2415" s="3" t="s">
        <v>12</v>
      </c>
      <c r="D2415" s="7">
        <v>0.115</v>
      </c>
      <c r="E2415" s="7">
        <f t="shared" si="254"/>
        <v>9.5833333333333343E-3</v>
      </c>
      <c r="F2415" s="5">
        <v>44684</v>
      </c>
      <c r="G2415" s="5">
        <v>46876</v>
      </c>
      <c r="H2415" s="8">
        <f t="shared" si="252"/>
        <v>2192</v>
      </c>
      <c r="I2415" s="5">
        <v>46907</v>
      </c>
      <c r="J2415" s="5">
        <v>45013</v>
      </c>
      <c r="K2415" s="8">
        <f t="shared" si="253"/>
        <v>329</v>
      </c>
      <c r="L2415" s="6">
        <v>90290.68</v>
      </c>
      <c r="M2415" s="9">
        <f t="shared" si="251"/>
        <v>1724.1332731814493</v>
      </c>
      <c r="N2415" s="6">
        <v>84850.44</v>
      </c>
      <c r="O2415" s="6">
        <v>45067.88</v>
      </c>
    </row>
    <row r="2416" spans="1:16" ht="18.75" hidden="1" customHeight="1" thickBot="1" x14ac:dyDescent="0.3">
      <c r="A2416" s="3" t="s">
        <v>11</v>
      </c>
      <c r="B2416" s="4">
        <v>412092</v>
      </c>
      <c r="C2416" s="3" t="s">
        <v>15</v>
      </c>
      <c r="D2416" s="7">
        <v>0.1515</v>
      </c>
      <c r="E2416" s="7">
        <f t="shared" si="254"/>
        <v>1.2624999999999999E-2</v>
      </c>
      <c r="F2416" s="5">
        <v>40556</v>
      </c>
      <c r="G2416" s="5">
        <v>2958465</v>
      </c>
      <c r="H2416" s="8">
        <f t="shared" si="252"/>
        <v>2917909</v>
      </c>
      <c r="I2416" s="5">
        <v>2958465</v>
      </c>
      <c r="J2416" s="5">
        <v>41120</v>
      </c>
      <c r="K2416" s="8">
        <f t="shared" si="253"/>
        <v>564</v>
      </c>
      <c r="L2416" s="6">
        <v>305</v>
      </c>
      <c r="M2416" s="9">
        <f t="shared" si="251"/>
        <v>3.8506249999999995</v>
      </c>
      <c r="N2416" s="6">
        <v>677.46</v>
      </c>
      <c r="O2416" s="6">
        <v>0</v>
      </c>
    </row>
    <row r="2417" spans="1:16" ht="18.75" hidden="1" customHeight="1" thickBot="1" x14ac:dyDescent="0.3">
      <c r="A2417" s="3" t="s">
        <v>11</v>
      </c>
      <c r="B2417" s="4">
        <v>127393</v>
      </c>
      <c r="C2417" s="3" t="s">
        <v>15</v>
      </c>
      <c r="D2417" s="7">
        <v>0.1515</v>
      </c>
      <c r="E2417" s="7">
        <f t="shared" si="254"/>
        <v>1.2624999999999999E-2</v>
      </c>
      <c r="F2417" s="5">
        <v>43378</v>
      </c>
      <c r="G2417" s="5">
        <v>2958465</v>
      </c>
      <c r="H2417" s="8">
        <f t="shared" si="252"/>
        <v>2915087</v>
      </c>
      <c r="I2417" s="5">
        <v>2958465</v>
      </c>
      <c r="J2417" s="5">
        <v>44861</v>
      </c>
      <c r="K2417" s="8">
        <f t="shared" si="253"/>
        <v>1483</v>
      </c>
      <c r="L2417" s="6">
        <v>1000</v>
      </c>
      <c r="M2417" s="9">
        <f t="shared" si="251"/>
        <v>12.624999999999998</v>
      </c>
      <c r="N2417" s="6">
        <v>993.68</v>
      </c>
      <c r="O2417" s="6">
        <v>500</v>
      </c>
    </row>
    <row r="2418" spans="1:16" ht="18.75" hidden="1" customHeight="1" thickBot="1" x14ac:dyDescent="0.3">
      <c r="A2418" s="3" t="s">
        <v>11</v>
      </c>
      <c r="B2418" s="4">
        <v>85121</v>
      </c>
      <c r="C2418" s="3" t="s">
        <v>15</v>
      </c>
      <c r="D2418" s="7">
        <v>0.1515</v>
      </c>
      <c r="E2418" s="7">
        <f t="shared" si="254"/>
        <v>1.2624999999999999E-2</v>
      </c>
      <c r="F2418" s="5">
        <v>43031</v>
      </c>
      <c r="G2418" s="5">
        <v>2958465</v>
      </c>
      <c r="H2418" s="8">
        <f t="shared" si="252"/>
        <v>2915434</v>
      </c>
      <c r="I2418" s="5">
        <v>2958465</v>
      </c>
      <c r="J2418" s="5">
        <v>45474</v>
      </c>
      <c r="K2418" s="8">
        <f t="shared" si="253"/>
        <v>2443</v>
      </c>
      <c r="L2418" s="6">
        <v>500</v>
      </c>
      <c r="M2418" s="9">
        <f t="shared" si="251"/>
        <v>6.3124999999999991</v>
      </c>
      <c r="N2418" s="6">
        <v>135.44</v>
      </c>
      <c r="O2418" s="6">
        <v>0</v>
      </c>
    </row>
    <row r="2419" spans="1:16" ht="18.75" hidden="1" customHeight="1" thickBot="1" x14ac:dyDescent="0.3">
      <c r="A2419" s="3" t="s">
        <v>11</v>
      </c>
      <c r="B2419" s="4">
        <v>164759</v>
      </c>
      <c r="C2419" s="3" t="s">
        <v>15</v>
      </c>
      <c r="D2419" s="7">
        <v>0.1515</v>
      </c>
      <c r="E2419" s="7">
        <f t="shared" si="254"/>
        <v>1.2624999999999999E-2</v>
      </c>
      <c r="F2419" s="5">
        <v>43661</v>
      </c>
      <c r="G2419" s="5">
        <v>2958465</v>
      </c>
      <c r="H2419" s="8">
        <f t="shared" si="252"/>
        <v>2914804</v>
      </c>
      <c r="I2419" s="5">
        <v>2958465</v>
      </c>
      <c r="J2419" s="5">
        <v>45593</v>
      </c>
      <c r="K2419" s="8">
        <f t="shared" si="253"/>
        <v>1932</v>
      </c>
      <c r="L2419" s="6">
        <v>300</v>
      </c>
      <c r="M2419" s="9">
        <f t="shared" si="251"/>
        <v>3.7874999999999996</v>
      </c>
      <c r="N2419" s="6">
        <v>300</v>
      </c>
      <c r="O2419" s="6">
        <v>0</v>
      </c>
    </row>
    <row r="2420" spans="1:16" ht="18.75" hidden="1" customHeight="1" thickBot="1" x14ac:dyDescent="0.3">
      <c r="A2420" s="3" t="s">
        <v>11</v>
      </c>
      <c r="B2420" s="4">
        <v>982452</v>
      </c>
      <c r="C2420" s="3" t="s">
        <v>15</v>
      </c>
      <c r="D2420" s="7">
        <v>0.1515</v>
      </c>
      <c r="E2420" s="7">
        <f t="shared" si="254"/>
        <v>1.2624999999999999E-2</v>
      </c>
      <c r="F2420" s="5">
        <v>45800</v>
      </c>
      <c r="G2420" s="5">
        <v>2958465</v>
      </c>
      <c r="H2420" s="8">
        <f t="shared" si="252"/>
        <v>2912665</v>
      </c>
      <c r="I2420" s="5">
        <v>2958465</v>
      </c>
      <c r="J2420" s="5">
        <v>45922</v>
      </c>
      <c r="K2420" s="8">
        <f t="shared" si="253"/>
        <v>122</v>
      </c>
      <c r="L2420" s="6">
        <v>100</v>
      </c>
      <c r="M2420" s="9">
        <f t="shared" si="251"/>
        <v>1.2625</v>
      </c>
      <c r="N2420" s="6">
        <v>100</v>
      </c>
      <c r="O2420" s="6">
        <v>100</v>
      </c>
    </row>
    <row r="2421" spans="1:16" ht="18.75" hidden="1" customHeight="1" thickBot="1" x14ac:dyDescent="0.3">
      <c r="A2421" s="3" t="s">
        <v>11</v>
      </c>
      <c r="B2421" s="4">
        <v>640869</v>
      </c>
      <c r="C2421" s="3" t="s">
        <v>9</v>
      </c>
      <c r="D2421" s="7">
        <v>8.5000000000000006E-2</v>
      </c>
      <c r="E2421" s="7">
        <f t="shared" si="254"/>
        <v>7.0833333333333338E-3</v>
      </c>
      <c r="F2421" s="5">
        <v>45117</v>
      </c>
      <c r="G2421" s="5">
        <v>46577</v>
      </c>
      <c r="H2421" s="8">
        <f t="shared" si="252"/>
        <v>1460</v>
      </c>
      <c r="I2421" s="5">
        <v>46608</v>
      </c>
      <c r="J2421" s="5">
        <v>45736</v>
      </c>
      <c r="K2421" s="8">
        <f t="shared" si="253"/>
        <v>619</v>
      </c>
      <c r="L2421" s="6">
        <v>11362.55</v>
      </c>
      <c r="M2421" s="9">
        <f t="shared" si="251"/>
        <v>276.84474904208759</v>
      </c>
      <c r="N2421" s="6">
        <v>8383.0400000000009</v>
      </c>
      <c r="O2421" s="6">
        <v>3983.05</v>
      </c>
    </row>
    <row r="2422" spans="1:16" ht="18.75" customHeight="1" thickBot="1" x14ac:dyDescent="0.3">
      <c r="A2422" s="3" t="s">
        <v>11</v>
      </c>
      <c r="B2422" s="4">
        <v>173525</v>
      </c>
      <c r="C2422" s="3" t="s">
        <v>9</v>
      </c>
      <c r="D2422" s="18">
        <v>0.05</v>
      </c>
      <c r="E2422" s="21">
        <f t="shared" ref="E2422:E2424" si="259">(1+D2422)^(1/12)-1</f>
        <v>4.0741237836483535E-3</v>
      </c>
      <c r="F2422" s="5">
        <v>39302</v>
      </c>
      <c r="G2422" s="5">
        <v>41501</v>
      </c>
      <c r="H2422" s="16">
        <f t="shared" si="252"/>
        <v>2199</v>
      </c>
      <c r="I2422" s="5">
        <v>41501</v>
      </c>
      <c r="J2422" s="5">
        <v>40115</v>
      </c>
      <c r="K2422" s="16">
        <f t="shared" si="253"/>
        <v>813</v>
      </c>
      <c r="L2422" s="13">
        <v>23684.06</v>
      </c>
      <c r="M2422" s="15">
        <f t="shared" si="251"/>
        <v>374.40785773847165</v>
      </c>
      <c r="N2422" s="13">
        <v>9616</v>
      </c>
      <c r="O2422" s="13">
        <v>200</v>
      </c>
      <c r="P2422" s="11">
        <f>IF((G2422)&gt;(ConstantDateCutoff),1,0)</f>
        <v>0</v>
      </c>
    </row>
    <row r="2423" spans="1:16" ht="18.75" customHeight="1" thickBot="1" x14ac:dyDescent="0.3">
      <c r="A2423" s="3" t="s">
        <v>11</v>
      </c>
      <c r="B2423" s="4">
        <v>645819</v>
      </c>
      <c r="C2423" s="3" t="s">
        <v>9</v>
      </c>
      <c r="D2423" s="18">
        <v>6.25E-2</v>
      </c>
      <c r="E2423" s="21">
        <f t="shared" si="259"/>
        <v>5.0648349497708356E-3</v>
      </c>
      <c r="F2423" s="5">
        <v>39422</v>
      </c>
      <c r="G2423" s="5">
        <v>41623</v>
      </c>
      <c r="H2423" s="16">
        <f t="shared" si="252"/>
        <v>2201</v>
      </c>
      <c r="I2423" s="5">
        <v>41623</v>
      </c>
      <c r="J2423" s="5">
        <v>40631</v>
      </c>
      <c r="K2423" s="16">
        <f t="shared" si="253"/>
        <v>1209</v>
      </c>
      <c r="L2423" s="13">
        <v>55060</v>
      </c>
      <c r="M2423" s="15">
        <f t="shared" si="251"/>
        <v>900.40486698597749</v>
      </c>
      <c r="N2423" s="13">
        <v>32197.52</v>
      </c>
      <c r="O2423" s="13">
        <v>0</v>
      </c>
      <c r="P2423" s="11">
        <f>IF((G2423)&gt;(ConstantDateCutoff),1,0)</f>
        <v>0</v>
      </c>
    </row>
    <row r="2424" spans="1:16" ht="18.75" customHeight="1" thickBot="1" x14ac:dyDescent="0.3">
      <c r="A2424" s="3" t="s">
        <v>11</v>
      </c>
      <c r="B2424" s="4">
        <v>935463</v>
      </c>
      <c r="C2424" s="3" t="s">
        <v>7</v>
      </c>
      <c r="D2424" s="18">
        <v>5.2499999999999998E-2</v>
      </c>
      <c r="E2424" s="21">
        <f t="shared" si="259"/>
        <v>4.2731277661580691E-3</v>
      </c>
      <c r="F2424" s="5">
        <v>39651</v>
      </c>
      <c r="G2424" s="5">
        <v>45122</v>
      </c>
      <c r="H2424" s="16">
        <f t="shared" si="252"/>
        <v>5471</v>
      </c>
      <c r="I2424" s="5">
        <v>40983</v>
      </c>
      <c r="J2424" s="5">
        <v>40900</v>
      </c>
      <c r="K2424" s="16">
        <f t="shared" si="253"/>
        <v>1249</v>
      </c>
      <c r="L2424" s="13">
        <v>423092</v>
      </c>
      <c r="M2424" s="15">
        <f t="shared" si="251"/>
        <v>3344.9157538952036</v>
      </c>
      <c r="N2424" s="13">
        <v>293336.09999999998</v>
      </c>
      <c r="O2424" s="13">
        <v>0</v>
      </c>
      <c r="P2424" s="11">
        <f>IF((G2424)&gt;(ConstantDateCutoff),1,0)</f>
        <v>1</v>
      </c>
    </row>
    <row r="2425" spans="1:16" ht="18.75" hidden="1" customHeight="1" thickBot="1" x14ac:dyDescent="0.3">
      <c r="A2425" s="3" t="s">
        <v>11</v>
      </c>
      <c r="B2425" s="4">
        <v>519593</v>
      </c>
      <c r="C2425" s="3" t="s">
        <v>9</v>
      </c>
      <c r="D2425" s="7">
        <v>3.7499999999999999E-2</v>
      </c>
      <c r="E2425" s="7">
        <f t="shared" si="254"/>
        <v>3.1249999999999997E-3</v>
      </c>
      <c r="F2425" s="5">
        <v>44403</v>
      </c>
      <c r="G2425" s="5">
        <v>46225</v>
      </c>
      <c r="H2425" s="8">
        <f t="shared" si="252"/>
        <v>1822</v>
      </c>
      <c r="I2425" s="5">
        <v>46225</v>
      </c>
      <c r="J2425" s="5">
        <v>45594</v>
      </c>
      <c r="K2425" s="8">
        <f t="shared" si="253"/>
        <v>1191</v>
      </c>
      <c r="L2425" s="6">
        <v>48338.25</v>
      </c>
      <c r="M2425" s="9">
        <f t="shared" si="251"/>
        <v>875.06515464798463</v>
      </c>
      <c r="N2425" s="6">
        <v>18973.240000000002</v>
      </c>
      <c r="O2425" s="6">
        <v>0</v>
      </c>
    </row>
    <row r="2426" spans="1:16" ht="18.75" hidden="1" customHeight="1" thickBot="1" x14ac:dyDescent="0.3">
      <c r="A2426" s="3" t="s">
        <v>11</v>
      </c>
      <c r="B2426" s="4">
        <v>199438</v>
      </c>
      <c r="C2426" s="3" t="s">
        <v>15</v>
      </c>
      <c r="D2426" s="7">
        <v>0.1515</v>
      </c>
      <c r="E2426" s="7">
        <f t="shared" si="254"/>
        <v>1.2624999999999999E-2</v>
      </c>
      <c r="F2426" s="5">
        <v>42111</v>
      </c>
      <c r="G2426" s="5">
        <v>2958465</v>
      </c>
      <c r="H2426" s="8">
        <f t="shared" si="252"/>
        <v>2916354</v>
      </c>
      <c r="I2426" s="5">
        <v>2958465</v>
      </c>
      <c r="J2426" s="5">
        <v>44005</v>
      </c>
      <c r="K2426" s="8">
        <f t="shared" si="253"/>
        <v>1894</v>
      </c>
      <c r="L2426" s="6">
        <v>200</v>
      </c>
      <c r="M2426" s="9">
        <f t="shared" si="251"/>
        <v>2.5249999999999999</v>
      </c>
      <c r="N2426" s="6">
        <v>300</v>
      </c>
      <c r="O2426" s="6">
        <v>300</v>
      </c>
    </row>
    <row r="2427" spans="1:16" ht="18.75" hidden="1" customHeight="1" thickBot="1" x14ac:dyDescent="0.3">
      <c r="A2427" s="3" t="s">
        <v>11</v>
      </c>
      <c r="B2427" s="4">
        <v>740350</v>
      </c>
      <c r="C2427" s="3" t="s">
        <v>15</v>
      </c>
      <c r="D2427" s="7">
        <v>0.1515</v>
      </c>
      <c r="E2427" s="7">
        <f t="shared" si="254"/>
        <v>1.2624999999999999E-2</v>
      </c>
      <c r="F2427" s="5">
        <v>41878</v>
      </c>
      <c r="G2427" s="5">
        <v>2958465</v>
      </c>
      <c r="H2427" s="8">
        <f t="shared" si="252"/>
        <v>2916587</v>
      </c>
      <c r="I2427" s="5">
        <v>2958465</v>
      </c>
      <c r="J2427" s="5">
        <v>43875</v>
      </c>
      <c r="K2427" s="8">
        <f t="shared" si="253"/>
        <v>1997</v>
      </c>
      <c r="L2427" s="6">
        <v>100</v>
      </c>
      <c r="M2427" s="9">
        <f t="shared" si="251"/>
        <v>1.2625</v>
      </c>
      <c r="N2427" s="6">
        <v>100</v>
      </c>
      <c r="O2427" s="6">
        <v>0</v>
      </c>
    </row>
    <row r="2428" spans="1:16" ht="18.75" hidden="1" customHeight="1" thickBot="1" x14ac:dyDescent="0.3">
      <c r="A2428" s="3" t="s">
        <v>11</v>
      </c>
      <c r="B2428" s="4">
        <v>955078</v>
      </c>
      <c r="C2428" s="3" t="s">
        <v>15</v>
      </c>
      <c r="D2428" s="7">
        <v>0.08</v>
      </c>
      <c r="E2428" s="7">
        <f t="shared" si="254"/>
        <v>6.6666666666666671E-3</v>
      </c>
      <c r="F2428" s="5">
        <v>43161</v>
      </c>
      <c r="G2428" s="5">
        <v>2958465</v>
      </c>
      <c r="H2428" s="8">
        <f t="shared" si="252"/>
        <v>2915304</v>
      </c>
      <c r="I2428" s="5">
        <v>45108</v>
      </c>
      <c r="J2428" s="5">
        <v>44243</v>
      </c>
      <c r="K2428" s="8">
        <f t="shared" si="253"/>
        <v>1082</v>
      </c>
      <c r="L2428" s="6">
        <v>15000</v>
      </c>
      <c r="M2428" s="9">
        <f t="shared" si="251"/>
        <v>100</v>
      </c>
      <c r="N2428" s="6">
        <v>12009.6</v>
      </c>
      <c r="O2428" s="6">
        <v>0</v>
      </c>
    </row>
    <row r="2429" spans="1:16" ht="18.75" hidden="1" customHeight="1" thickBot="1" x14ac:dyDescent="0.3">
      <c r="A2429" s="3" t="s">
        <v>11</v>
      </c>
      <c r="B2429" s="4">
        <v>329462</v>
      </c>
      <c r="C2429" s="3" t="s">
        <v>15</v>
      </c>
      <c r="D2429" s="7">
        <v>0.1515</v>
      </c>
      <c r="E2429" s="7">
        <f t="shared" si="254"/>
        <v>1.2624999999999999E-2</v>
      </c>
      <c r="F2429" s="5">
        <v>44354</v>
      </c>
      <c r="G2429" s="5">
        <v>2958465</v>
      </c>
      <c r="H2429" s="8">
        <f t="shared" si="252"/>
        <v>2914111</v>
      </c>
      <c r="I2429" s="5">
        <v>2958465</v>
      </c>
      <c r="J2429" s="5">
        <v>45357</v>
      </c>
      <c r="K2429" s="8">
        <f t="shared" si="253"/>
        <v>1003</v>
      </c>
      <c r="L2429" s="6">
        <v>2000</v>
      </c>
      <c r="M2429" s="9">
        <f t="shared" si="251"/>
        <v>25.249999999999996</v>
      </c>
      <c r="N2429" s="6">
        <v>1930.69</v>
      </c>
      <c r="O2429" s="6">
        <v>0</v>
      </c>
    </row>
    <row r="2430" spans="1:16" ht="18.75" customHeight="1" thickBot="1" x14ac:dyDescent="0.3">
      <c r="A2430" s="3" t="s">
        <v>11</v>
      </c>
      <c r="B2430" s="4">
        <v>536997</v>
      </c>
      <c r="C2430" s="3" t="s">
        <v>12</v>
      </c>
      <c r="D2430" s="18">
        <v>0.10249999999999999</v>
      </c>
      <c r="E2430" s="21">
        <f>(1+D2430)^(1/12)-1</f>
        <v>8.1648460519010424E-3</v>
      </c>
      <c r="F2430" s="5">
        <v>42905</v>
      </c>
      <c r="G2430" s="5">
        <v>43997</v>
      </c>
      <c r="H2430" s="16">
        <f t="shared" si="252"/>
        <v>1092</v>
      </c>
      <c r="I2430" s="5">
        <v>44150</v>
      </c>
      <c r="J2430" s="5">
        <v>43811</v>
      </c>
      <c r="K2430" s="16">
        <f t="shared" si="253"/>
        <v>906</v>
      </c>
      <c r="L2430" s="13">
        <v>8475</v>
      </c>
      <c r="M2430" s="15">
        <f t="shared" si="251"/>
        <v>270.08176387352609</v>
      </c>
      <c r="N2430" s="13">
        <v>4676.28</v>
      </c>
      <c r="O2430" s="13">
        <v>0</v>
      </c>
      <c r="P2430" s="11">
        <f>IF((G2430)&gt;(ConstantDateCutoff),1,0)</f>
        <v>1</v>
      </c>
    </row>
    <row r="2431" spans="1:16" ht="18.75" hidden="1" customHeight="1" thickBot="1" x14ac:dyDescent="0.3">
      <c r="A2431" s="3" t="s">
        <v>11</v>
      </c>
      <c r="B2431" s="4">
        <v>346704</v>
      </c>
      <c r="C2431" s="3" t="s">
        <v>12</v>
      </c>
      <c r="D2431" s="7">
        <v>5.7500000000000002E-2</v>
      </c>
      <c r="E2431" s="7">
        <f t="shared" si="254"/>
        <v>4.7916666666666672E-3</v>
      </c>
      <c r="F2431" s="5">
        <v>43895</v>
      </c>
      <c r="G2431" s="5">
        <v>46086</v>
      </c>
      <c r="H2431" s="8">
        <f t="shared" si="252"/>
        <v>2191</v>
      </c>
      <c r="I2431" s="5">
        <v>46178</v>
      </c>
      <c r="J2431" s="5">
        <v>45643</v>
      </c>
      <c r="K2431" s="8">
        <f t="shared" si="253"/>
        <v>1748</v>
      </c>
      <c r="L2431" s="6">
        <v>41046</v>
      </c>
      <c r="M2431" s="9">
        <f t="shared" si="251"/>
        <v>667.41252488961243</v>
      </c>
      <c r="N2431" s="6">
        <v>13817.15</v>
      </c>
      <c r="O2431" s="6">
        <v>13817.15</v>
      </c>
    </row>
    <row r="2432" spans="1:16" ht="18.75" hidden="1" customHeight="1" thickBot="1" x14ac:dyDescent="0.3">
      <c r="A2432" s="3" t="s">
        <v>11</v>
      </c>
      <c r="B2432" s="4">
        <v>850927</v>
      </c>
      <c r="C2432" s="3" t="s">
        <v>15</v>
      </c>
      <c r="D2432" s="7">
        <v>0.1515</v>
      </c>
      <c r="E2432" s="7">
        <f t="shared" si="254"/>
        <v>1.2624999999999999E-2</v>
      </c>
      <c r="F2432" s="5">
        <v>45348</v>
      </c>
      <c r="G2432" s="5">
        <v>2958465</v>
      </c>
      <c r="H2432" s="8">
        <f t="shared" si="252"/>
        <v>2913117</v>
      </c>
      <c r="I2432" s="5">
        <v>2958465</v>
      </c>
      <c r="J2432" s="5">
        <v>45929</v>
      </c>
      <c r="K2432" s="8">
        <f t="shared" si="253"/>
        <v>581</v>
      </c>
      <c r="L2432" s="6">
        <v>6000</v>
      </c>
      <c r="M2432" s="9">
        <f t="shared" si="251"/>
        <v>75.75</v>
      </c>
      <c r="N2432" s="6">
        <v>5552.81</v>
      </c>
      <c r="O2432" s="6">
        <v>460.76</v>
      </c>
    </row>
    <row r="2433" spans="1:16" ht="18.75" hidden="1" customHeight="1" thickBot="1" x14ac:dyDescent="0.3">
      <c r="A2433" s="3" t="s">
        <v>11</v>
      </c>
      <c r="B2433" s="4">
        <v>202164</v>
      </c>
      <c r="C2433" s="3" t="s">
        <v>15</v>
      </c>
      <c r="D2433" s="7">
        <v>0.1515</v>
      </c>
      <c r="E2433" s="7">
        <f t="shared" si="254"/>
        <v>1.2624999999999999E-2</v>
      </c>
      <c r="F2433" s="5">
        <v>45153</v>
      </c>
      <c r="G2433" s="5">
        <v>2958465</v>
      </c>
      <c r="H2433" s="8">
        <f t="shared" si="252"/>
        <v>2913312</v>
      </c>
      <c r="I2433" s="5">
        <v>2958465</v>
      </c>
      <c r="J2433" s="5">
        <v>45761</v>
      </c>
      <c r="K2433" s="8">
        <f t="shared" si="253"/>
        <v>608</v>
      </c>
      <c r="L2433" s="6">
        <v>1000</v>
      </c>
      <c r="M2433" s="9">
        <f t="shared" si="251"/>
        <v>12.624999999999998</v>
      </c>
      <c r="N2433" s="6">
        <v>1000</v>
      </c>
      <c r="O2433" s="6">
        <v>0</v>
      </c>
    </row>
    <row r="2434" spans="1:16" ht="18.75" customHeight="1" thickBot="1" x14ac:dyDescent="0.3">
      <c r="A2434" s="3" t="s">
        <v>11</v>
      </c>
      <c r="B2434" s="4">
        <v>268638</v>
      </c>
      <c r="C2434" s="3" t="s">
        <v>9</v>
      </c>
      <c r="D2434" s="18">
        <v>9.5000000000000001E-2</v>
      </c>
      <c r="E2434" s="21">
        <f>(1+D2434)^(1/12)-1</f>
        <v>7.5915342905825689E-3</v>
      </c>
      <c r="F2434" s="5">
        <v>44355</v>
      </c>
      <c r="G2434" s="5">
        <v>45270</v>
      </c>
      <c r="H2434" s="16">
        <f t="shared" si="252"/>
        <v>915</v>
      </c>
      <c r="I2434" s="5">
        <v>45270</v>
      </c>
      <c r="J2434" s="5">
        <v>44832</v>
      </c>
      <c r="K2434" s="16">
        <f t="shared" si="253"/>
        <v>477</v>
      </c>
      <c r="L2434" s="13">
        <v>10075</v>
      </c>
      <c r="M2434" s="15">
        <f t="shared" ref="M2434:M2497" si="260">-PMT(E2434,(H2434/30),L2434)</f>
        <v>371.29139829398821</v>
      </c>
      <c r="N2434" s="13">
        <v>6998.23</v>
      </c>
      <c r="O2434" s="13">
        <v>0</v>
      </c>
      <c r="P2434" s="11">
        <f>IF((G2434)&gt;(ConstantDateCutoff),1,0)</f>
        <v>1</v>
      </c>
    </row>
    <row r="2435" spans="1:16" ht="18.75" hidden="1" customHeight="1" thickBot="1" x14ac:dyDescent="0.3">
      <c r="A2435" s="3" t="s">
        <v>11</v>
      </c>
      <c r="B2435" s="4">
        <v>55222</v>
      </c>
      <c r="C2435" s="3" t="s">
        <v>9</v>
      </c>
      <c r="D2435" s="7">
        <v>8.5000000000000006E-2</v>
      </c>
      <c r="E2435" s="7">
        <f t="shared" ref="E2435:E2467" si="261">D2435/12</f>
        <v>7.0833333333333338E-3</v>
      </c>
      <c r="F2435" s="5">
        <v>44902</v>
      </c>
      <c r="G2435" s="5">
        <v>46373</v>
      </c>
      <c r="H2435" s="8">
        <f t="shared" ref="H2435:H2498" si="262">G2435-F2435</f>
        <v>1471</v>
      </c>
      <c r="I2435" s="5">
        <v>46404</v>
      </c>
      <c r="J2435" s="5">
        <v>45281</v>
      </c>
      <c r="K2435" s="8">
        <f t="shared" ref="K2435:K2498" si="263">J2435-F2435</f>
        <v>379</v>
      </c>
      <c r="L2435" s="6">
        <v>18531</v>
      </c>
      <c r="M2435" s="9">
        <f t="shared" si="260"/>
        <v>448.67232469407378</v>
      </c>
      <c r="N2435" s="6">
        <v>17046.7</v>
      </c>
      <c r="O2435" s="6">
        <v>9563.1299999999992</v>
      </c>
    </row>
    <row r="2436" spans="1:16" ht="18.75" customHeight="1" thickBot="1" x14ac:dyDescent="0.3">
      <c r="A2436" s="3" t="s">
        <v>11</v>
      </c>
      <c r="B2436" s="4">
        <v>257081</v>
      </c>
      <c r="C2436" s="3" t="s">
        <v>12</v>
      </c>
      <c r="D2436" s="18">
        <v>0.10249999999999999</v>
      </c>
      <c r="E2436" s="21">
        <f t="shared" ref="E2436:E2440" si="264">(1+D2436)^(1/12)-1</f>
        <v>8.1648460519010424E-3</v>
      </c>
      <c r="F2436" s="5">
        <v>45099</v>
      </c>
      <c r="G2436" s="5">
        <v>45472</v>
      </c>
      <c r="H2436" s="16">
        <f t="shared" si="262"/>
        <v>373</v>
      </c>
      <c r="I2436" s="5">
        <v>45502</v>
      </c>
      <c r="J2436" s="5">
        <v>45419</v>
      </c>
      <c r="K2436" s="16">
        <f t="shared" si="263"/>
        <v>320</v>
      </c>
      <c r="L2436" s="13">
        <v>2581</v>
      </c>
      <c r="M2436" s="15">
        <f t="shared" si="260"/>
        <v>219.14769599562001</v>
      </c>
      <c r="N2436" s="13">
        <v>1755.46</v>
      </c>
      <c r="O2436" s="13">
        <v>0</v>
      </c>
      <c r="P2436" s="11">
        <f>IF((G2436)&gt;(ConstantDateCutoff),1,0)</f>
        <v>1</v>
      </c>
    </row>
    <row r="2437" spans="1:16" ht="18.75" customHeight="1" thickBot="1" x14ac:dyDescent="0.3">
      <c r="A2437" s="3" t="s">
        <v>11</v>
      </c>
      <c r="B2437" s="4">
        <v>530891</v>
      </c>
      <c r="C2437" s="3" t="s">
        <v>9</v>
      </c>
      <c r="D2437" s="18">
        <v>0.13</v>
      </c>
      <c r="E2437" s="21">
        <f t="shared" si="264"/>
        <v>1.02368443581764E-2</v>
      </c>
      <c r="F2437" s="5">
        <v>43557</v>
      </c>
      <c r="G2437" s="5">
        <v>44470</v>
      </c>
      <c r="H2437" s="16">
        <f t="shared" si="262"/>
        <v>913</v>
      </c>
      <c r="I2437" s="5">
        <v>44531</v>
      </c>
      <c r="J2437" s="5">
        <v>44460</v>
      </c>
      <c r="K2437" s="16">
        <f t="shared" si="263"/>
        <v>903</v>
      </c>
      <c r="L2437" s="13">
        <v>9081</v>
      </c>
      <c r="M2437" s="15">
        <f t="shared" si="260"/>
        <v>348.79232984662866</v>
      </c>
      <c r="N2437" s="13">
        <v>2278.33</v>
      </c>
      <c r="O2437" s="13">
        <v>0</v>
      </c>
      <c r="P2437" s="11">
        <f>IF((G2437)&gt;(ConstantDateCutoff),1,0)</f>
        <v>1</v>
      </c>
    </row>
    <row r="2438" spans="1:16" ht="18.75" customHeight="1" thickBot="1" x14ac:dyDescent="0.3">
      <c r="A2438" s="3" t="s">
        <v>11</v>
      </c>
      <c r="B2438" s="4">
        <v>154017</v>
      </c>
      <c r="C2438" s="3" t="s">
        <v>2</v>
      </c>
      <c r="D2438" s="18">
        <v>0.08</v>
      </c>
      <c r="E2438" s="21">
        <f t="shared" si="264"/>
        <v>6.4340301100034303E-3</v>
      </c>
      <c r="F2438" s="5">
        <v>43560</v>
      </c>
      <c r="G2438" s="5">
        <v>44413</v>
      </c>
      <c r="H2438" s="16">
        <f t="shared" si="262"/>
        <v>853</v>
      </c>
      <c r="I2438" s="5">
        <v>45194</v>
      </c>
      <c r="J2438" s="5">
        <v>44011</v>
      </c>
      <c r="K2438" s="16">
        <f t="shared" si="263"/>
        <v>451</v>
      </c>
      <c r="L2438" s="13">
        <v>41391.599999999999</v>
      </c>
      <c r="M2438" s="15">
        <f t="shared" si="260"/>
        <v>1597.6223686574112</v>
      </c>
      <c r="N2438" s="13">
        <v>26042.639999999999</v>
      </c>
      <c r="O2438" s="13">
        <v>0</v>
      </c>
      <c r="P2438" s="11">
        <f>IF((G2438)&gt;(ConstantDateCutoff),1,0)</f>
        <v>1</v>
      </c>
    </row>
    <row r="2439" spans="1:16" ht="18.75" hidden="1" customHeight="1" thickBot="1" x14ac:dyDescent="0.3">
      <c r="A2439" s="3" t="s">
        <v>11</v>
      </c>
      <c r="B2439" s="4">
        <v>940851</v>
      </c>
      <c r="C2439" s="3" t="s">
        <v>2</v>
      </c>
      <c r="D2439" s="18">
        <v>9.9999999999999995E-8</v>
      </c>
      <c r="E2439" s="21">
        <f t="shared" si="264"/>
        <v>8.3333329126134004E-9</v>
      </c>
      <c r="F2439" s="5">
        <v>43808</v>
      </c>
      <c r="G2439" s="5">
        <v>45261</v>
      </c>
      <c r="H2439" s="16">
        <f t="shared" si="262"/>
        <v>1453</v>
      </c>
      <c r="I2439" s="5">
        <v>45261</v>
      </c>
      <c r="J2439" s="5">
        <v>43829</v>
      </c>
      <c r="K2439" s="16">
        <f t="shared" si="263"/>
        <v>21</v>
      </c>
      <c r="L2439" s="13">
        <v>222953.26</v>
      </c>
      <c r="M2439" s="15">
        <f t="shared" si="260"/>
        <v>4603.3029440229711</v>
      </c>
      <c r="N2439" s="13">
        <v>222953.26</v>
      </c>
      <c r="O2439" s="13">
        <v>0</v>
      </c>
      <c r="P2439" s="11">
        <f>IF((G2439)&gt;(ConstantDateCutoff),1,0)</f>
        <v>1</v>
      </c>
    </row>
    <row r="2440" spans="1:16" ht="18.75" customHeight="1" thickBot="1" x14ac:dyDescent="0.3">
      <c r="A2440" s="3" t="s">
        <v>11</v>
      </c>
      <c r="B2440" s="4">
        <v>82455</v>
      </c>
      <c r="C2440" s="3" t="s">
        <v>9</v>
      </c>
      <c r="D2440" s="18">
        <v>0.12</v>
      </c>
      <c r="E2440" s="21">
        <f t="shared" si="264"/>
        <v>9.4887929345830457E-3</v>
      </c>
      <c r="F2440" s="5">
        <v>43762</v>
      </c>
      <c r="G2440" s="5">
        <v>44675</v>
      </c>
      <c r="H2440" s="16">
        <f t="shared" si="262"/>
        <v>913</v>
      </c>
      <c r="I2440" s="5">
        <v>44705</v>
      </c>
      <c r="J2440" s="5">
        <v>44195</v>
      </c>
      <c r="K2440" s="16">
        <f t="shared" si="263"/>
        <v>433</v>
      </c>
      <c r="L2440" s="13">
        <v>4287.28</v>
      </c>
      <c r="M2440" s="15">
        <f t="shared" si="260"/>
        <v>162.85536991427293</v>
      </c>
      <c r="N2440" s="13">
        <v>3175.92</v>
      </c>
      <c r="O2440" s="13">
        <v>750</v>
      </c>
      <c r="P2440" s="11">
        <f>IF((G2440)&gt;(ConstantDateCutoff),1,0)</f>
        <v>1</v>
      </c>
    </row>
    <row r="2441" spans="1:16" ht="18.75" hidden="1" customHeight="1" thickBot="1" x14ac:dyDescent="0.3">
      <c r="A2441" s="3" t="s">
        <v>11</v>
      </c>
      <c r="B2441" s="4">
        <v>280186</v>
      </c>
      <c r="C2441" s="3" t="s">
        <v>23</v>
      </c>
      <c r="D2441" s="7">
        <v>9.9999999999999995E-8</v>
      </c>
      <c r="E2441" s="7">
        <f t="shared" si="261"/>
        <v>8.3333333333333335E-9</v>
      </c>
      <c r="F2441" s="5">
        <v>43830</v>
      </c>
      <c r="G2441" s="5">
        <v>51561</v>
      </c>
      <c r="H2441" s="8">
        <f t="shared" si="262"/>
        <v>7731</v>
      </c>
      <c r="I2441" s="5">
        <v>51561</v>
      </c>
      <c r="J2441" s="5">
        <v>43833</v>
      </c>
      <c r="K2441" s="8">
        <f t="shared" si="263"/>
        <v>3</v>
      </c>
      <c r="L2441" s="6">
        <v>316000</v>
      </c>
      <c r="M2441" s="9">
        <f t="shared" si="260"/>
        <v>1226.233374550982</v>
      </c>
      <c r="N2441" s="6">
        <v>316000</v>
      </c>
      <c r="O2441" s="6">
        <v>316000</v>
      </c>
    </row>
    <row r="2442" spans="1:16" ht="18.75" customHeight="1" thickBot="1" x14ac:dyDescent="0.3">
      <c r="A2442" s="3" t="s">
        <v>11</v>
      </c>
      <c r="B2442" s="4">
        <v>602441</v>
      </c>
      <c r="C2442" s="3" t="s">
        <v>9</v>
      </c>
      <c r="D2442" s="18">
        <v>0.1</v>
      </c>
      <c r="E2442" s="21">
        <f t="shared" ref="E2442:E2445" si="265">(1+D2442)^(1/12)-1</f>
        <v>7.9741404289037643E-3</v>
      </c>
      <c r="F2442" s="5">
        <v>43915</v>
      </c>
      <c r="G2442" s="5">
        <v>45376</v>
      </c>
      <c r="H2442" s="16">
        <f t="shared" si="262"/>
        <v>1461</v>
      </c>
      <c r="I2442" s="5">
        <v>45516</v>
      </c>
      <c r="J2442" s="5">
        <v>45104</v>
      </c>
      <c r="K2442" s="16">
        <f t="shared" si="263"/>
        <v>1189</v>
      </c>
      <c r="L2442" s="13">
        <v>33075</v>
      </c>
      <c r="M2442" s="15">
        <f t="shared" si="260"/>
        <v>822.2149823688236</v>
      </c>
      <c r="N2442" s="13">
        <v>13973.52</v>
      </c>
      <c r="O2442" s="13">
        <v>13973.52</v>
      </c>
      <c r="P2442" s="11">
        <f>IF((G2442)&gt;(ConstantDateCutoff),1,0)</f>
        <v>1</v>
      </c>
    </row>
    <row r="2443" spans="1:16" ht="18.75" customHeight="1" thickBot="1" x14ac:dyDescent="0.3">
      <c r="A2443" s="3" t="s">
        <v>11</v>
      </c>
      <c r="B2443" s="4">
        <v>937917</v>
      </c>
      <c r="C2443" s="3" t="s">
        <v>9</v>
      </c>
      <c r="D2443" s="18">
        <v>4.4999999999999998E-2</v>
      </c>
      <c r="E2443" s="21">
        <f t="shared" si="265"/>
        <v>3.6748094004368514E-3</v>
      </c>
      <c r="F2443" s="5">
        <v>44508</v>
      </c>
      <c r="G2443" s="5">
        <v>45634</v>
      </c>
      <c r="H2443" s="16">
        <f t="shared" si="262"/>
        <v>1126</v>
      </c>
      <c r="I2443" s="5">
        <v>45634</v>
      </c>
      <c r="J2443" s="5">
        <v>45379</v>
      </c>
      <c r="K2443" s="16">
        <f t="shared" si="263"/>
        <v>871</v>
      </c>
      <c r="L2443" s="13">
        <v>3575</v>
      </c>
      <c r="M2443" s="15">
        <f t="shared" si="260"/>
        <v>102.142970253931</v>
      </c>
      <c r="N2443" s="13">
        <v>1227.68</v>
      </c>
      <c r="O2443" s="13">
        <v>0</v>
      </c>
      <c r="P2443" s="11">
        <f>IF((G2443)&gt;(ConstantDateCutoff),1,0)</f>
        <v>1</v>
      </c>
    </row>
    <row r="2444" spans="1:16" ht="18.75" customHeight="1" thickBot="1" x14ac:dyDescent="0.3">
      <c r="A2444" s="3" t="s">
        <v>11</v>
      </c>
      <c r="B2444" s="4">
        <v>245603</v>
      </c>
      <c r="C2444" s="3" t="s">
        <v>9</v>
      </c>
      <c r="D2444" s="18">
        <v>4.2500000000000003E-2</v>
      </c>
      <c r="E2444" s="21">
        <f t="shared" si="265"/>
        <v>3.474495003497502E-3</v>
      </c>
      <c r="F2444" s="5">
        <v>44221</v>
      </c>
      <c r="G2444" s="5">
        <v>45498</v>
      </c>
      <c r="H2444" s="16">
        <f t="shared" si="262"/>
        <v>1277</v>
      </c>
      <c r="I2444" s="5">
        <v>46249</v>
      </c>
      <c r="J2444" s="5">
        <v>45923</v>
      </c>
      <c r="K2444" s="16">
        <f t="shared" si="263"/>
        <v>1702</v>
      </c>
      <c r="L2444" s="13">
        <v>10075</v>
      </c>
      <c r="M2444" s="15">
        <f t="shared" si="260"/>
        <v>255.03179696127916</v>
      </c>
      <c r="N2444" s="13">
        <v>9254.2900000000009</v>
      </c>
      <c r="O2444" s="13">
        <v>0</v>
      </c>
      <c r="P2444" s="11">
        <f>IF((G2444)&gt;(ConstantDateCutoff),1,0)</f>
        <v>1</v>
      </c>
    </row>
    <row r="2445" spans="1:16" ht="18.75" customHeight="1" thickBot="1" x14ac:dyDescent="0.3">
      <c r="A2445" s="3" t="s">
        <v>11</v>
      </c>
      <c r="B2445" s="4">
        <v>883555</v>
      </c>
      <c r="C2445" s="3" t="s">
        <v>2</v>
      </c>
      <c r="D2445" s="18">
        <v>8.2500000000000004E-2</v>
      </c>
      <c r="E2445" s="21">
        <f t="shared" si="265"/>
        <v>6.6279668043680573E-3</v>
      </c>
      <c r="F2445" s="5">
        <v>44267</v>
      </c>
      <c r="G2445" s="5">
        <v>45884</v>
      </c>
      <c r="H2445" s="16">
        <f t="shared" si="262"/>
        <v>1617</v>
      </c>
      <c r="I2445" s="5">
        <v>45884</v>
      </c>
      <c r="J2445" s="5">
        <v>44649</v>
      </c>
      <c r="K2445" s="16">
        <f t="shared" si="263"/>
        <v>382</v>
      </c>
      <c r="L2445" s="13">
        <v>70540</v>
      </c>
      <c r="M2445" s="15">
        <f t="shared" si="260"/>
        <v>1560.6642495781966</v>
      </c>
      <c r="N2445" s="13">
        <v>40000</v>
      </c>
      <c r="O2445" s="13">
        <v>1000</v>
      </c>
      <c r="P2445" s="11">
        <f>IF((G2445)&gt;(ConstantDateCutoff),1,0)</f>
        <v>1</v>
      </c>
    </row>
    <row r="2446" spans="1:16" ht="18.75" hidden="1" customHeight="1" thickBot="1" x14ac:dyDescent="0.3">
      <c r="A2446" s="3" t="s">
        <v>11</v>
      </c>
      <c r="B2446" s="4">
        <v>402235</v>
      </c>
      <c r="C2446" s="3" t="s">
        <v>9</v>
      </c>
      <c r="D2446" s="7">
        <v>9.2499999999999999E-2</v>
      </c>
      <c r="E2446" s="7">
        <f t="shared" si="261"/>
        <v>7.7083333333333335E-3</v>
      </c>
      <c r="F2446" s="5">
        <v>44449</v>
      </c>
      <c r="G2446" s="5">
        <v>46275</v>
      </c>
      <c r="H2446" s="8">
        <f t="shared" si="262"/>
        <v>1826</v>
      </c>
      <c r="I2446" s="5">
        <v>46275</v>
      </c>
      <c r="J2446" s="5">
        <v>45190</v>
      </c>
      <c r="K2446" s="8">
        <f t="shared" si="263"/>
        <v>741</v>
      </c>
      <c r="L2446" s="6">
        <v>30229.02</v>
      </c>
      <c r="M2446" s="9">
        <f t="shared" si="260"/>
        <v>624.10535935013456</v>
      </c>
      <c r="N2446" s="6">
        <v>11231.48</v>
      </c>
      <c r="O2446" s="6">
        <v>0</v>
      </c>
    </row>
    <row r="2447" spans="1:16" ht="18.75" customHeight="1" thickBot="1" x14ac:dyDescent="0.3">
      <c r="A2447" s="3" t="s">
        <v>11</v>
      </c>
      <c r="B2447" s="4">
        <v>243246</v>
      </c>
      <c r="C2447" s="3" t="s">
        <v>9</v>
      </c>
      <c r="D2447" s="18">
        <v>9.2499999999999999E-2</v>
      </c>
      <c r="E2447" s="21">
        <f t="shared" ref="E2447:E2449" si="266">(1+D2447)^(1/12)-1</f>
        <v>7.3996302871768282E-3</v>
      </c>
      <c r="F2447" s="5">
        <v>44456</v>
      </c>
      <c r="G2447" s="5">
        <v>45918</v>
      </c>
      <c r="H2447" s="16">
        <f t="shared" si="262"/>
        <v>1462</v>
      </c>
      <c r="I2447" s="5">
        <v>45948</v>
      </c>
      <c r="J2447" s="5">
        <v>45098</v>
      </c>
      <c r="K2447" s="16">
        <f t="shared" si="263"/>
        <v>642</v>
      </c>
      <c r="L2447" s="13">
        <v>8210.6200000000008</v>
      </c>
      <c r="M2447" s="15">
        <f t="shared" si="260"/>
        <v>201.29605674607026</v>
      </c>
      <c r="N2447" s="13">
        <v>5737.6</v>
      </c>
      <c r="O2447" s="13">
        <v>213.1</v>
      </c>
      <c r="P2447" s="11">
        <f>IF((G2447)&gt;(ConstantDateCutoff),1,0)</f>
        <v>1</v>
      </c>
    </row>
    <row r="2448" spans="1:16" ht="18.75" customHeight="1" thickBot="1" x14ac:dyDescent="0.3">
      <c r="A2448" s="3" t="s">
        <v>11</v>
      </c>
      <c r="B2448" s="4">
        <v>239171</v>
      </c>
      <c r="C2448" s="3" t="s">
        <v>9</v>
      </c>
      <c r="D2448" s="18">
        <v>0.06</v>
      </c>
      <c r="E2448" s="21">
        <f t="shared" si="266"/>
        <v>4.8675505653430484E-3</v>
      </c>
      <c r="F2448" s="5">
        <v>44489</v>
      </c>
      <c r="G2448" s="5">
        <v>45397</v>
      </c>
      <c r="H2448" s="16">
        <f t="shared" si="262"/>
        <v>908</v>
      </c>
      <c r="I2448" s="5">
        <v>45397</v>
      </c>
      <c r="J2448" s="5">
        <v>45104</v>
      </c>
      <c r="K2448" s="16">
        <f t="shared" si="263"/>
        <v>615</v>
      </c>
      <c r="L2448" s="13">
        <v>6021</v>
      </c>
      <c r="M2448" s="15">
        <f t="shared" si="260"/>
        <v>214.42805004597787</v>
      </c>
      <c r="N2448" s="13">
        <v>2883.43</v>
      </c>
      <c r="O2448" s="13">
        <v>500</v>
      </c>
      <c r="P2448" s="11">
        <f>IF((G2448)&gt;(ConstantDateCutoff),1,0)</f>
        <v>1</v>
      </c>
    </row>
    <row r="2449" spans="1:16" ht="18.75" hidden="1" customHeight="1" thickBot="1" x14ac:dyDescent="0.3">
      <c r="A2449" s="3" t="s">
        <v>11</v>
      </c>
      <c r="B2449" s="4">
        <v>674466</v>
      </c>
      <c r="C2449" s="3" t="s">
        <v>9</v>
      </c>
      <c r="D2449" s="18">
        <v>9.9999999999999995E-8</v>
      </c>
      <c r="E2449" s="21">
        <f t="shared" si="266"/>
        <v>8.3333329126134004E-9</v>
      </c>
      <c r="F2449" s="5">
        <v>44617</v>
      </c>
      <c r="G2449" s="5">
        <v>46078</v>
      </c>
      <c r="H2449" s="16">
        <f t="shared" si="262"/>
        <v>1461</v>
      </c>
      <c r="I2449" s="5">
        <v>47423</v>
      </c>
      <c r="J2449" s="5">
        <v>45560</v>
      </c>
      <c r="K2449" s="16">
        <f t="shared" si="263"/>
        <v>943</v>
      </c>
      <c r="L2449" s="13">
        <v>13075</v>
      </c>
      <c r="M2449" s="15">
        <f t="shared" si="260"/>
        <v>268.48054841097792</v>
      </c>
      <c r="N2449" s="13">
        <v>6395.7</v>
      </c>
      <c r="O2449" s="13">
        <v>4195.7</v>
      </c>
      <c r="P2449" s="11">
        <f>IF((G2449)&gt;(ConstantDateCutoff),1,0)</f>
        <v>1</v>
      </c>
    </row>
    <row r="2450" spans="1:16" ht="18.75" hidden="1" customHeight="1" thickBot="1" x14ac:dyDescent="0.3">
      <c r="A2450" s="3" t="s">
        <v>11</v>
      </c>
      <c r="B2450" s="4">
        <v>534860</v>
      </c>
      <c r="C2450" s="3" t="s">
        <v>12</v>
      </c>
      <c r="D2450" s="7">
        <v>8.5000000000000006E-2</v>
      </c>
      <c r="E2450" s="7">
        <f t="shared" si="261"/>
        <v>7.0833333333333338E-3</v>
      </c>
      <c r="F2450" s="5">
        <v>44739</v>
      </c>
      <c r="G2450" s="5">
        <v>46208</v>
      </c>
      <c r="H2450" s="8">
        <f t="shared" si="262"/>
        <v>1469</v>
      </c>
      <c r="I2450" s="5">
        <v>46208</v>
      </c>
      <c r="J2450" s="5">
        <v>45833</v>
      </c>
      <c r="K2450" s="8">
        <f t="shared" si="263"/>
        <v>1094</v>
      </c>
      <c r="L2450" s="6">
        <v>12081</v>
      </c>
      <c r="M2450" s="9">
        <f t="shared" si="260"/>
        <v>292.83830548524077</v>
      </c>
      <c r="N2450" s="6">
        <v>5023.47</v>
      </c>
      <c r="O2450" s="6">
        <v>0</v>
      </c>
    </row>
    <row r="2451" spans="1:16" ht="18.75" customHeight="1" thickBot="1" x14ac:dyDescent="0.3">
      <c r="A2451" s="3" t="s">
        <v>11</v>
      </c>
      <c r="B2451" s="4">
        <v>615132</v>
      </c>
      <c r="C2451" s="3" t="s">
        <v>9</v>
      </c>
      <c r="D2451" s="18">
        <v>0.1575</v>
      </c>
      <c r="E2451" s="21">
        <f t="shared" ref="E2451:E2452" si="267">(1+D2451)^(1/12)-1</f>
        <v>1.2263125240543182E-2</v>
      </c>
      <c r="F2451" s="5">
        <v>45145</v>
      </c>
      <c r="G2451" s="5">
        <v>45876</v>
      </c>
      <c r="H2451" s="16">
        <f t="shared" si="262"/>
        <v>731</v>
      </c>
      <c r="I2451" s="5">
        <v>45876</v>
      </c>
      <c r="J2451" s="5">
        <v>45891</v>
      </c>
      <c r="K2451" s="16">
        <f t="shared" si="263"/>
        <v>746</v>
      </c>
      <c r="L2451" s="13">
        <v>3081</v>
      </c>
      <c r="M2451" s="15">
        <f t="shared" si="260"/>
        <v>147.04202382368439</v>
      </c>
      <c r="N2451" s="13">
        <v>627.47</v>
      </c>
      <c r="O2451" s="13">
        <v>0</v>
      </c>
      <c r="P2451" s="11">
        <f>IF((G2451)&gt;(ConstantDateCutoff),1,0)</f>
        <v>1</v>
      </c>
    </row>
    <row r="2452" spans="1:16" ht="18.75" customHeight="1" thickBot="1" x14ac:dyDescent="0.3">
      <c r="A2452" s="3" t="s">
        <v>11</v>
      </c>
      <c r="B2452" s="4">
        <v>556811</v>
      </c>
      <c r="C2452" s="3" t="s">
        <v>12</v>
      </c>
      <c r="D2452" s="18">
        <v>0.14749999999999999</v>
      </c>
      <c r="E2452" s="21">
        <f t="shared" si="267"/>
        <v>1.1531452360343364E-2</v>
      </c>
      <c r="F2452" s="5">
        <v>45159</v>
      </c>
      <c r="G2452" s="5">
        <v>45890</v>
      </c>
      <c r="H2452" s="16">
        <f t="shared" si="262"/>
        <v>731</v>
      </c>
      <c r="I2452" s="5">
        <v>45951</v>
      </c>
      <c r="J2452" s="5">
        <v>45930</v>
      </c>
      <c r="K2452" s="16">
        <f t="shared" si="263"/>
        <v>771</v>
      </c>
      <c r="L2452" s="13">
        <v>8075</v>
      </c>
      <c r="M2452" s="15">
        <f t="shared" si="260"/>
        <v>382.02572709143101</v>
      </c>
      <c r="N2452" s="13">
        <v>2459.3200000000002</v>
      </c>
      <c r="O2452" s="13">
        <v>2459.3200000000002</v>
      </c>
      <c r="P2452" s="11">
        <f>IF((G2452)&gt;(ConstantDateCutoff),1,0)</f>
        <v>1</v>
      </c>
    </row>
    <row r="2453" spans="1:16" ht="18.75" hidden="1" customHeight="1" thickBot="1" x14ac:dyDescent="0.3">
      <c r="A2453" s="3" t="s">
        <v>11</v>
      </c>
      <c r="B2453" s="4">
        <v>949311</v>
      </c>
      <c r="C2453" s="3" t="s">
        <v>15</v>
      </c>
      <c r="D2453" s="7">
        <v>0.1515</v>
      </c>
      <c r="E2453" s="7">
        <f t="shared" si="261"/>
        <v>1.2624999999999999E-2</v>
      </c>
      <c r="F2453" s="5">
        <v>44831</v>
      </c>
      <c r="G2453" s="5">
        <v>2958465</v>
      </c>
      <c r="H2453" s="8">
        <f t="shared" si="262"/>
        <v>2913634</v>
      </c>
      <c r="I2453" s="5">
        <v>2958465</v>
      </c>
      <c r="J2453" s="5">
        <v>45698</v>
      </c>
      <c r="K2453" s="8">
        <f t="shared" si="263"/>
        <v>867</v>
      </c>
      <c r="L2453" s="6">
        <v>500</v>
      </c>
      <c r="M2453" s="9">
        <f t="shared" si="260"/>
        <v>6.3124999999999991</v>
      </c>
      <c r="N2453" s="6">
        <v>500</v>
      </c>
      <c r="O2453" s="6">
        <v>91.13</v>
      </c>
    </row>
    <row r="2454" spans="1:16" ht="18.75" hidden="1" customHeight="1" thickBot="1" x14ac:dyDescent="0.3">
      <c r="A2454" s="3" t="s">
        <v>11</v>
      </c>
      <c r="B2454" s="4">
        <v>609593</v>
      </c>
      <c r="C2454" s="3" t="s">
        <v>15</v>
      </c>
      <c r="D2454" s="7">
        <v>0.159</v>
      </c>
      <c r="E2454" s="7">
        <f t="shared" si="261"/>
        <v>1.325E-2</v>
      </c>
      <c r="F2454" s="5">
        <v>44204</v>
      </c>
      <c r="G2454" s="5">
        <v>2958465</v>
      </c>
      <c r="H2454" s="8">
        <f t="shared" si="262"/>
        <v>2914261</v>
      </c>
      <c r="I2454" s="5">
        <v>2958465</v>
      </c>
      <c r="J2454" s="5">
        <v>45118</v>
      </c>
      <c r="K2454" s="8">
        <f t="shared" si="263"/>
        <v>914</v>
      </c>
      <c r="L2454" s="6">
        <v>500</v>
      </c>
      <c r="M2454" s="9">
        <f t="shared" si="260"/>
        <v>6.625</v>
      </c>
      <c r="N2454" s="6">
        <v>500</v>
      </c>
      <c r="O2454" s="6">
        <v>500</v>
      </c>
    </row>
    <row r="2455" spans="1:16" ht="18.75" customHeight="1" thickBot="1" x14ac:dyDescent="0.3">
      <c r="A2455" s="3" t="s">
        <v>11</v>
      </c>
      <c r="B2455" s="4">
        <v>16602</v>
      </c>
      <c r="C2455" s="3" t="s">
        <v>9</v>
      </c>
      <c r="D2455" s="18">
        <v>0.11749999999999999</v>
      </c>
      <c r="E2455" s="21">
        <f>(1+D2455)^(1/12)-1</f>
        <v>9.300823618865417E-3</v>
      </c>
      <c r="F2455" s="5">
        <v>44858</v>
      </c>
      <c r="G2455" s="5">
        <v>45223</v>
      </c>
      <c r="H2455" s="16">
        <f t="shared" si="262"/>
        <v>365</v>
      </c>
      <c r="I2455" s="5">
        <v>45223</v>
      </c>
      <c r="J2455" s="5">
        <v>44972</v>
      </c>
      <c r="K2455" s="16">
        <f t="shared" si="263"/>
        <v>114</v>
      </c>
      <c r="L2455" s="13">
        <v>4488.51</v>
      </c>
      <c r="M2455" s="15">
        <f t="shared" si="260"/>
        <v>391.89679691621882</v>
      </c>
      <c r="N2455" s="13">
        <v>4488.51</v>
      </c>
      <c r="O2455" s="13">
        <v>0</v>
      </c>
      <c r="P2455" s="11">
        <f>IF((G2455)&gt;(ConstantDateCutoff),1,0)</f>
        <v>1</v>
      </c>
    </row>
    <row r="2456" spans="1:16" ht="18.75" hidden="1" customHeight="1" thickBot="1" x14ac:dyDescent="0.3">
      <c r="A2456" s="3" t="s">
        <v>11</v>
      </c>
      <c r="B2456" s="4">
        <v>623548</v>
      </c>
      <c r="C2456" s="3" t="s">
        <v>2</v>
      </c>
      <c r="D2456" s="7">
        <v>0.109</v>
      </c>
      <c r="E2456" s="7">
        <f t="shared" si="261"/>
        <v>9.0833333333333339E-3</v>
      </c>
      <c r="F2456" s="5">
        <v>45009</v>
      </c>
      <c r="G2456" s="5">
        <v>46836</v>
      </c>
      <c r="H2456" s="8">
        <f t="shared" si="262"/>
        <v>1827</v>
      </c>
      <c r="I2456" s="5">
        <v>46331</v>
      </c>
      <c r="J2456" s="5">
        <v>45629</v>
      </c>
      <c r="K2456" s="8">
        <f t="shared" si="263"/>
        <v>620</v>
      </c>
      <c r="L2456" s="6">
        <v>65499</v>
      </c>
      <c r="M2456" s="9">
        <f t="shared" si="260"/>
        <v>1405.034257696266</v>
      </c>
      <c r="N2456" s="6">
        <v>23167.48</v>
      </c>
      <c r="O2456" s="6">
        <v>18402.34</v>
      </c>
    </row>
    <row r="2457" spans="1:16" ht="18.75" hidden="1" customHeight="1" thickBot="1" x14ac:dyDescent="0.3">
      <c r="A2457" s="3" t="s">
        <v>11</v>
      </c>
      <c r="B2457" s="4">
        <v>3133</v>
      </c>
      <c r="C2457" s="3" t="s">
        <v>15</v>
      </c>
      <c r="D2457" s="7">
        <v>0.1515</v>
      </c>
      <c r="E2457" s="7">
        <f t="shared" si="261"/>
        <v>1.2624999999999999E-2</v>
      </c>
      <c r="F2457" s="5">
        <v>44606</v>
      </c>
      <c r="G2457" s="5">
        <v>2958465</v>
      </c>
      <c r="H2457" s="8">
        <f t="shared" si="262"/>
        <v>2913859</v>
      </c>
      <c r="I2457" s="5">
        <v>2958465</v>
      </c>
      <c r="J2457" s="5">
        <v>45635</v>
      </c>
      <c r="K2457" s="8">
        <f t="shared" si="263"/>
        <v>1029</v>
      </c>
      <c r="L2457" s="6">
        <v>300</v>
      </c>
      <c r="M2457" s="9">
        <f t="shared" si="260"/>
        <v>3.7874999999999996</v>
      </c>
      <c r="N2457" s="6">
        <v>300</v>
      </c>
      <c r="O2457" s="6">
        <v>123.78</v>
      </c>
    </row>
    <row r="2458" spans="1:16" ht="18.75" hidden="1" customHeight="1" thickBot="1" x14ac:dyDescent="0.3">
      <c r="A2458" s="3" t="s">
        <v>11</v>
      </c>
      <c r="B2458" s="4">
        <v>675906</v>
      </c>
      <c r="C2458" s="3" t="s">
        <v>15</v>
      </c>
      <c r="D2458" s="7">
        <v>0.1515</v>
      </c>
      <c r="E2458" s="7">
        <f t="shared" si="261"/>
        <v>1.2624999999999999E-2</v>
      </c>
      <c r="F2458" s="5">
        <v>44818</v>
      </c>
      <c r="G2458" s="5">
        <v>2958465</v>
      </c>
      <c r="H2458" s="8">
        <f t="shared" si="262"/>
        <v>2913647</v>
      </c>
      <c r="I2458" s="5">
        <v>2958465</v>
      </c>
      <c r="J2458" s="5">
        <v>45712</v>
      </c>
      <c r="K2458" s="8">
        <f t="shared" si="263"/>
        <v>894</v>
      </c>
      <c r="L2458" s="6">
        <v>500</v>
      </c>
      <c r="M2458" s="9">
        <f t="shared" si="260"/>
        <v>6.3124999999999991</v>
      </c>
      <c r="N2458" s="6">
        <v>486.03</v>
      </c>
      <c r="O2458" s="6">
        <v>486.03</v>
      </c>
    </row>
    <row r="2459" spans="1:16" ht="18.75" hidden="1" customHeight="1" thickBot="1" x14ac:dyDescent="0.3">
      <c r="A2459" s="3" t="s">
        <v>11</v>
      </c>
      <c r="B2459" s="4">
        <v>849944</v>
      </c>
      <c r="C2459" s="3" t="s">
        <v>15</v>
      </c>
      <c r="D2459" s="7">
        <v>0.1515</v>
      </c>
      <c r="E2459" s="7">
        <f t="shared" si="261"/>
        <v>1.2624999999999999E-2</v>
      </c>
      <c r="F2459" s="5">
        <v>42590</v>
      </c>
      <c r="G2459" s="5">
        <v>2958465</v>
      </c>
      <c r="H2459" s="8">
        <f t="shared" si="262"/>
        <v>2915875</v>
      </c>
      <c r="I2459" s="5">
        <v>2958465</v>
      </c>
      <c r="J2459" s="5">
        <v>43875</v>
      </c>
      <c r="K2459" s="8">
        <f t="shared" si="263"/>
        <v>1285</v>
      </c>
      <c r="L2459" s="6">
        <v>500</v>
      </c>
      <c r="M2459" s="9">
        <f t="shared" si="260"/>
        <v>6.3124999999999991</v>
      </c>
      <c r="N2459" s="6">
        <v>974.35</v>
      </c>
      <c r="O2459" s="6">
        <v>0</v>
      </c>
    </row>
    <row r="2460" spans="1:16" ht="18.75" hidden="1" customHeight="1" thickBot="1" x14ac:dyDescent="0.3">
      <c r="A2460" s="3" t="s">
        <v>11</v>
      </c>
      <c r="B2460" s="4">
        <v>266766</v>
      </c>
      <c r="C2460" s="3" t="s">
        <v>15</v>
      </c>
      <c r="D2460" s="7">
        <v>0.1515</v>
      </c>
      <c r="E2460" s="7">
        <f t="shared" si="261"/>
        <v>1.2624999999999999E-2</v>
      </c>
      <c r="F2460" s="5">
        <v>44068</v>
      </c>
      <c r="G2460" s="5">
        <v>2958465</v>
      </c>
      <c r="H2460" s="8">
        <f t="shared" si="262"/>
        <v>2914397</v>
      </c>
      <c r="I2460" s="5">
        <v>2958465</v>
      </c>
      <c r="J2460" s="5">
        <v>44207</v>
      </c>
      <c r="K2460" s="8">
        <f t="shared" si="263"/>
        <v>139</v>
      </c>
      <c r="L2460" s="6">
        <v>300</v>
      </c>
      <c r="M2460" s="9">
        <f t="shared" si="260"/>
        <v>3.7874999999999996</v>
      </c>
      <c r="N2460" s="6">
        <v>300</v>
      </c>
      <c r="O2460" s="6">
        <v>297.83</v>
      </c>
    </row>
    <row r="2461" spans="1:16" ht="18.75" hidden="1" customHeight="1" thickBot="1" x14ac:dyDescent="0.3">
      <c r="A2461" s="3" t="s">
        <v>11</v>
      </c>
      <c r="B2461" s="4">
        <v>988129</v>
      </c>
      <c r="C2461" s="3" t="s">
        <v>22</v>
      </c>
      <c r="D2461" s="7">
        <v>0.08</v>
      </c>
      <c r="E2461" s="7">
        <f t="shared" si="261"/>
        <v>6.6666666666666671E-3</v>
      </c>
      <c r="F2461" s="5">
        <v>40253</v>
      </c>
      <c r="G2461" s="5">
        <v>2958465</v>
      </c>
      <c r="H2461" s="8">
        <f t="shared" si="262"/>
        <v>2918212</v>
      </c>
      <c r="I2461" s="5">
        <v>2958465</v>
      </c>
      <c r="J2461" s="5">
        <v>40421</v>
      </c>
      <c r="K2461" s="8">
        <f t="shared" si="263"/>
        <v>168</v>
      </c>
      <c r="L2461" s="6">
        <v>1507.82</v>
      </c>
      <c r="M2461" s="9">
        <f t="shared" si="260"/>
        <v>10.052133333333334</v>
      </c>
      <c r="N2461" s="6">
        <v>1582.82</v>
      </c>
      <c r="O2461" s="6">
        <v>10</v>
      </c>
    </row>
    <row r="2462" spans="1:16" ht="18.75" hidden="1" customHeight="1" thickBot="1" x14ac:dyDescent="0.3">
      <c r="A2462" s="3" t="s">
        <v>11</v>
      </c>
      <c r="B2462" s="4">
        <v>491093</v>
      </c>
      <c r="C2462" s="3" t="s">
        <v>22</v>
      </c>
      <c r="D2462" s="7">
        <v>0.08</v>
      </c>
      <c r="E2462" s="7">
        <f t="shared" si="261"/>
        <v>6.6666666666666671E-3</v>
      </c>
      <c r="F2462" s="5">
        <v>43398</v>
      </c>
      <c r="G2462" s="5">
        <v>2958465</v>
      </c>
      <c r="H2462" s="8">
        <f t="shared" si="262"/>
        <v>2915067</v>
      </c>
      <c r="I2462" s="5">
        <v>2958465</v>
      </c>
      <c r="J2462" s="5">
        <v>43402</v>
      </c>
      <c r="K2462" s="8">
        <f t="shared" si="263"/>
        <v>4</v>
      </c>
      <c r="L2462" s="6">
        <v>258.11</v>
      </c>
      <c r="M2462" s="9">
        <f t="shared" si="260"/>
        <v>1.7207333333333334</v>
      </c>
      <c r="N2462" s="6">
        <v>258.11</v>
      </c>
      <c r="O2462" s="6">
        <v>258.11</v>
      </c>
    </row>
    <row r="2463" spans="1:16" ht="18.75" hidden="1" customHeight="1" thickBot="1" x14ac:dyDescent="0.3">
      <c r="A2463" s="3" t="s">
        <v>11</v>
      </c>
      <c r="B2463" s="4">
        <v>185772</v>
      </c>
      <c r="C2463" s="3" t="s">
        <v>22</v>
      </c>
      <c r="D2463" s="7">
        <v>0.08</v>
      </c>
      <c r="E2463" s="7">
        <f t="shared" si="261"/>
        <v>6.6666666666666671E-3</v>
      </c>
      <c r="F2463" s="5">
        <v>40127</v>
      </c>
      <c r="G2463" s="5">
        <v>2958465</v>
      </c>
      <c r="H2463" s="8">
        <f t="shared" si="262"/>
        <v>2918338</v>
      </c>
      <c r="I2463" s="5">
        <v>2958465</v>
      </c>
      <c r="J2463" s="5">
        <v>40248</v>
      </c>
      <c r="K2463" s="8">
        <f t="shared" si="263"/>
        <v>121</v>
      </c>
      <c r="L2463" s="6">
        <v>2635.43</v>
      </c>
      <c r="M2463" s="9">
        <f t="shared" si="260"/>
        <v>17.569533333333332</v>
      </c>
      <c r="N2463" s="6">
        <v>2635.43</v>
      </c>
      <c r="O2463" s="6">
        <v>1256.5999999999999</v>
      </c>
    </row>
    <row r="2464" spans="1:16" ht="18.75" hidden="1" customHeight="1" thickBot="1" x14ac:dyDescent="0.3">
      <c r="A2464" s="3" t="s">
        <v>11</v>
      </c>
      <c r="B2464" s="4">
        <v>828020</v>
      </c>
      <c r="C2464" s="3" t="s">
        <v>22</v>
      </c>
      <c r="D2464" s="7">
        <v>0.08</v>
      </c>
      <c r="E2464" s="7">
        <f t="shared" si="261"/>
        <v>6.6666666666666671E-3</v>
      </c>
      <c r="F2464" s="5">
        <v>43577</v>
      </c>
      <c r="G2464" s="5">
        <v>2958465</v>
      </c>
      <c r="H2464" s="8">
        <f t="shared" si="262"/>
        <v>2914888</v>
      </c>
      <c r="I2464" s="5">
        <v>2958465</v>
      </c>
      <c r="J2464" s="5">
        <v>43578</v>
      </c>
      <c r="K2464" s="8">
        <f t="shared" si="263"/>
        <v>1</v>
      </c>
      <c r="L2464" s="6">
        <v>534.76</v>
      </c>
      <c r="M2464" s="9">
        <f t="shared" si="260"/>
        <v>3.5650666666666671</v>
      </c>
      <c r="N2464" s="6">
        <v>534.76</v>
      </c>
      <c r="O2464" s="6">
        <v>534.76</v>
      </c>
    </row>
    <row r="2465" spans="1:16" ht="18.75" hidden="1" customHeight="1" thickBot="1" x14ac:dyDescent="0.3">
      <c r="A2465" s="3" t="s">
        <v>11</v>
      </c>
      <c r="B2465" s="4">
        <v>621431</v>
      </c>
      <c r="C2465" s="3" t="s">
        <v>22</v>
      </c>
      <c r="D2465" s="7">
        <v>0.08</v>
      </c>
      <c r="E2465" s="7">
        <f t="shared" si="261"/>
        <v>6.6666666666666671E-3</v>
      </c>
      <c r="F2465" s="5">
        <v>43829</v>
      </c>
      <c r="G2465" s="5">
        <v>2958465</v>
      </c>
      <c r="H2465" s="8">
        <f t="shared" si="262"/>
        <v>2914636</v>
      </c>
      <c r="I2465" s="5">
        <v>2958465</v>
      </c>
      <c r="J2465" s="5">
        <v>43867</v>
      </c>
      <c r="K2465" s="8">
        <f t="shared" si="263"/>
        <v>38</v>
      </c>
      <c r="L2465" s="6">
        <v>1048.46</v>
      </c>
      <c r="M2465" s="9">
        <f t="shared" si="260"/>
        <v>6.9897333333333345</v>
      </c>
      <c r="N2465" s="6">
        <v>1048.46</v>
      </c>
      <c r="O2465" s="6">
        <v>1048.46</v>
      </c>
    </row>
    <row r="2466" spans="1:16" ht="18.75" hidden="1" customHeight="1" thickBot="1" x14ac:dyDescent="0.3">
      <c r="A2466" s="3" t="s">
        <v>11</v>
      </c>
      <c r="B2466" s="4">
        <v>97892</v>
      </c>
      <c r="C2466" s="3" t="s">
        <v>22</v>
      </c>
      <c r="D2466" s="7">
        <v>0.08</v>
      </c>
      <c r="E2466" s="7">
        <f t="shared" si="261"/>
        <v>6.6666666666666671E-3</v>
      </c>
      <c r="F2466" s="5">
        <v>43454</v>
      </c>
      <c r="G2466" s="5">
        <v>2958465</v>
      </c>
      <c r="H2466" s="8">
        <f t="shared" si="262"/>
        <v>2915011</v>
      </c>
      <c r="I2466" s="5">
        <v>2958465</v>
      </c>
      <c r="J2466" s="5">
        <v>43458</v>
      </c>
      <c r="K2466" s="8">
        <f t="shared" si="263"/>
        <v>4</v>
      </c>
      <c r="L2466" s="6">
        <v>669.48</v>
      </c>
      <c r="M2466" s="9">
        <f t="shared" si="260"/>
        <v>4.4632000000000005</v>
      </c>
      <c r="N2466" s="6">
        <v>669.48</v>
      </c>
      <c r="O2466" s="6">
        <v>669.48</v>
      </c>
    </row>
    <row r="2467" spans="1:16" ht="18.75" hidden="1" customHeight="1" thickBot="1" x14ac:dyDescent="0.3">
      <c r="A2467" s="3" t="s">
        <v>11</v>
      </c>
      <c r="B2467" s="4">
        <v>640622</v>
      </c>
      <c r="C2467" s="3" t="s">
        <v>22</v>
      </c>
      <c r="D2467" s="7">
        <v>0.08</v>
      </c>
      <c r="E2467" s="7">
        <f t="shared" si="261"/>
        <v>6.6666666666666671E-3</v>
      </c>
      <c r="F2467" s="5">
        <v>43494</v>
      </c>
      <c r="G2467" s="5">
        <v>2958465</v>
      </c>
      <c r="H2467" s="8">
        <f t="shared" si="262"/>
        <v>2914971</v>
      </c>
      <c r="I2467" s="5">
        <v>2958465</v>
      </c>
      <c r="J2467" s="5">
        <v>43495</v>
      </c>
      <c r="K2467" s="8">
        <f t="shared" si="263"/>
        <v>1</v>
      </c>
      <c r="L2467" s="6">
        <v>2525.2199999999998</v>
      </c>
      <c r="M2467" s="9">
        <f t="shared" si="260"/>
        <v>16.834800000000001</v>
      </c>
      <c r="N2467" s="6">
        <v>2525.2199999999998</v>
      </c>
      <c r="O2467" s="6">
        <v>2525.2199999999998</v>
      </c>
    </row>
    <row r="2468" spans="1:16" ht="18.75" customHeight="1" thickBot="1" x14ac:dyDescent="0.3">
      <c r="A2468" s="3" t="s">
        <v>11</v>
      </c>
      <c r="B2468" s="4">
        <v>246958</v>
      </c>
      <c r="C2468" s="3" t="s">
        <v>9</v>
      </c>
      <c r="D2468" s="18">
        <v>0.14000000000000001</v>
      </c>
      <c r="E2468" s="21">
        <f t="shared" ref="E2468:E2507" si="268">(1+D2468)^(1/12)-1</f>
        <v>1.0978851950173452E-2</v>
      </c>
      <c r="F2468" s="5">
        <v>41246</v>
      </c>
      <c r="G2468" s="5">
        <v>42707</v>
      </c>
      <c r="H2468" s="16">
        <f t="shared" si="262"/>
        <v>1461</v>
      </c>
      <c r="I2468" s="5">
        <v>42707</v>
      </c>
      <c r="J2468" s="5">
        <v>41732</v>
      </c>
      <c r="K2468" s="16">
        <f t="shared" si="263"/>
        <v>486</v>
      </c>
      <c r="L2468" s="13">
        <v>107.02</v>
      </c>
      <c r="M2468" s="15">
        <f t="shared" si="260"/>
        <v>2.8488777204981792</v>
      </c>
      <c r="N2468" s="13">
        <v>107.02</v>
      </c>
      <c r="O2468" s="13">
        <v>0</v>
      </c>
      <c r="P2468" s="11">
        <f t="shared" ref="P2468:P2507" si="269">IF((G2468)&gt;(ConstantDateCutoff),1,0)</f>
        <v>1</v>
      </c>
    </row>
    <row r="2469" spans="1:16" ht="18.75" customHeight="1" thickBot="1" x14ac:dyDescent="0.3">
      <c r="A2469" s="3" t="s">
        <v>11</v>
      </c>
      <c r="B2469" s="4">
        <v>243182</v>
      </c>
      <c r="C2469" s="3" t="s">
        <v>9</v>
      </c>
      <c r="D2469" s="18">
        <v>9.5000000000000001E-2</v>
      </c>
      <c r="E2469" s="21">
        <f t="shared" si="268"/>
        <v>7.5915342905825689E-3</v>
      </c>
      <c r="F2469" s="5">
        <v>38727</v>
      </c>
      <c r="G2469" s="5">
        <v>40568</v>
      </c>
      <c r="H2469" s="16">
        <f t="shared" si="262"/>
        <v>1841</v>
      </c>
      <c r="I2469" s="5">
        <v>40568</v>
      </c>
      <c r="J2469" s="5">
        <v>40617</v>
      </c>
      <c r="K2469" s="16">
        <f t="shared" si="263"/>
        <v>1890</v>
      </c>
      <c r="L2469" s="13">
        <v>9712.9500000000007</v>
      </c>
      <c r="M2469" s="15">
        <f t="shared" si="260"/>
        <v>198.5870271570333</v>
      </c>
      <c r="N2469" s="13">
        <v>9712.9500000000007</v>
      </c>
      <c r="O2469" s="13">
        <v>0</v>
      </c>
      <c r="P2469" s="11">
        <f t="shared" si="269"/>
        <v>0</v>
      </c>
    </row>
    <row r="2470" spans="1:16" ht="18.75" customHeight="1" thickBot="1" x14ac:dyDescent="0.3">
      <c r="A2470" s="3" t="s">
        <v>11</v>
      </c>
      <c r="B2470" s="4">
        <v>332031</v>
      </c>
      <c r="C2470" s="3" t="s">
        <v>9</v>
      </c>
      <c r="D2470" s="18">
        <v>0.11</v>
      </c>
      <c r="E2470" s="21">
        <f t="shared" si="268"/>
        <v>8.7345938235519061E-3</v>
      </c>
      <c r="F2470" s="5">
        <v>38933</v>
      </c>
      <c r="G2470" s="5">
        <v>39298</v>
      </c>
      <c r="H2470" s="16">
        <f t="shared" si="262"/>
        <v>365</v>
      </c>
      <c r="I2470" s="5">
        <v>39298</v>
      </c>
      <c r="J2470" s="5">
        <v>39084</v>
      </c>
      <c r="K2470" s="16">
        <f t="shared" si="263"/>
        <v>151</v>
      </c>
      <c r="L2470" s="13">
        <v>5000</v>
      </c>
      <c r="M2470" s="15">
        <f t="shared" si="260"/>
        <v>434.97257939543437</v>
      </c>
      <c r="N2470" s="13">
        <v>5000</v>
      </c>
      <c r="O2470" s="13">
        <v>0</v>
      </c>
      <c r="P2470" s="11">
        <f t="shared" si="269"/>
        <v>0</v>
      </c>
    </row>
    <row r="2471" spans="1:16" ht="18.75" customHeight="1" thickBot="1" x14ac:dyDescent="0.3">
      <c r="A2471" s="3" t="s">
        <v>11</v>
      </c>
      <c r="B2471" s="4">
        <v>712957</v>
      </c>
      <c r="C2471" s="3" t="s">
        <v>9</v>
      </c>
      <c r="D2471" s="18">
        <v>0.1</v>
      </c>
      <c r="E2471" s="21">
        <f t="shared" si="268"/>
        <v>7.9741404289037643E-3</v>
      </c>
      <c r="F2471" s="5">
        <v>38973</v>
      </c>
      <c r="G2471" s="5">
        <v>39338</v>
      </c>
      <c r="H2471" s="16">
        <f t="shared" si="262"/>
        <v>365</v>
      </c>
      <c r="I2471" s="5">
        <v>39338</v>
      </c>
      <c r="J2471" s="5">
        <v>39009</v>
      </c>
      <c r="K2471" s="16">
        <f t="shared" si="263"/>
        <v>36</v>
      </c>
      <c r="L2471" s="13">
        <v>1843.92</v>
      </c>
      <c r="M2471" s="15">
        <f t="shared" si="260"/>
        <v>159.628755565045</v>
      </c>
      <c r="N2471" s="13">
        <v>1843.92</v>
      </c>
      <c r="O2471" s="13">
        <v>0</v>
      </c>
      <c r="P2471" s="11">
        <f t="shared" si="269"/>
        <v>0</v>
      </c>
    </row>
    <row r="2472" spans="1:16" ht="18.75" customHeight="1" thickBot="1" x14ac:dyDescent="0.3">
      <c r="A2472" s="3" t="s">
        <v>11</v>
      </c>
      <c r="B2472" s="4">
        <v>308821</v>
      </c>
      <c r="C2472" s="3" t="s">
        <v>9</v>
      </c>
      <c r="D2472" s="18">
        <v>0.12</v>
      </c>
      <c r="E2472" s="21">
        <f t="shared" si="268"/>
        <v>9.4887929345830457E-3</v>
      </c>
      <c r="F2472" s="5">
        <v>39128</v>
      </c>
      <c r="G2472" s="5">
        <v>41320</v>
      </c>
      <c r="H2472" s="16">
        <f t="shared" si="262"/>
        <v>2192</v>
      </c>
      <c r="I2472" s="5">
        <v>41320</v>
      </c>
      <c r="J2472" s="5">
        <v>39751</v>
      </c>
      <c r="K2472" s="16">
        <f t="shared" si="263"/>
        <v>623</v>
      </c>
      <c r="L2472" s="13">
        <v>12135.59</v>
      </c>
      <c r="M2472" s="15">
        <f t="shared" si="260"/>
        <v>231.02180634832155</v>
      </c>
      <c r="N2472" s="13">
        <v>12135.59</v>
      </c>
      <c r="O2472" s="13">
        <v>0</v>
      </c>
      <c r="P2472" s="11">
        <f t="shared" si="269"/>
        <v>0</v>
      </c>
    </row>
    <row r="2473" spans="1:16" ht="18.75" customHeight="1" thickBot="1" x14ac:dyDescent="0.3">
      <c r="A2473" s="3" t="s">
        <v>11</v>
      </c>
      <c r="B2473" s="4">
        <v>666581</v>
      </c>
      <c r="C2473" s="3" t="s">
        <v>9</v>
      </c>
      <c r="D2473" s="18">
        <v>9.7500000000000003E-2</v>
      </c>
      <c r="E2473" s="21">
        <f t="shared" si="268"/>
        <v>7.7830370878799737E-3</v>
      </c>
      <c r="F2473" s="5">
        <v>39161</v>
      </c>
      <c r="G2473" s="5">
        <v>39619</v>
      </c>
      <c r="H2473" s="16">
        <f t="shared" si="262"/>
        <v>458</v>
      </c>
      <c r="I2473" s="5">
        <v>39619</v>
      </c>
      <c r="J2473" s="5">
        <v>41339</v>
      </c>
      <c r="K2473" s="16">
        <f t="shared" si="263"/>
        <v>2178</v>
      </c>
      <c r="L2473" s="13">
        <v>498790.29</v>
      </c>
      <c r="M2473" s="15">
        <f t="shared" si="260"/>
        <v>34778.165426830943</v>
      </c>
      <c r="N2473" s="13">
        <v>495481.46</v>
      </c>
      <c r="O2473" s="13">
        <v>0</v>
      </c>
      <c r="P2473" s="11">
        <f t="shared" si="269"/>
        <v>0</v>
      </c>
    </row>
    <row r="2474" spans="1:16" ht="18.75" customHeight="1" thickBot="1" x14ac:dyDescent="0.3">
      <c r="A2474" s="3" t="s">
        <v>11</v>
      </c>
      <c r="B2474" s="4">
        <v>289890</v>
      </c>
      <c r="C2474" s="3" t="s">
        <v>9</v>
      </c>
      <c r="D2474" s="18">
        <v>0.1</v>
      </c>
      <c r="E2474" s="21">
        <f t="shared" si="268"/>
        <v>7.9741404289037643E-3</v>
      </c>
      <c r="F2474" s="5">
        <v>39164</v>
      </c>
      <c r="G2474" s="5">
        <v>40717</v>
      </c>
      <c r="H2474" s="16">
        <f t="shared" si="262"/>
        <v>1553</v>
      </c>
      <c r="I2474" s="5">
        <v>40717</v>
      </c>
      <c r="J2474" s="5">
        <v>40394</v>
      </c>
      <c r="K2474" s="16">
        <f t="shared" si="263"/>
        <v>1230</v>
      </c>
      <c r="L2474" s="13">
        <v>3139.08</v>
      </c>
      <c r="M2474" s="15">
        <f t="shared" si="260"/>
        <v>74.251455097699903</v>
      </c>
      <c r="N2474" s="13">
        <v>3139.08</v>
      </c>
      <c r="O2474" s="13">
        <v>0</v>
      </c>
      <c r="P2474" s="11">
        <f t="shared" si="269"/>
        <v>0</v>
      </c>
    </row>
    <row r="2475" spans="1:16" ht="18.75" customHeight="1" thickBot="1" x14ac:dyDescent="0.3">
      <c r="A2475" s="3" t="s">
        <v>11</v>
      </c>
      <c r="B2475" s="4">
        <v>249986</v>
      </c>
      <c r="C2475" s="3" t="s">
        <v>9</v>
      </c>
      <c r="D2475" s="18">
        <v>0.11</v>
      </c>
      <c r="E2475" s="21">
        <f t="shared" si="268"/>
        <v>8.7345938235519061E-3</v>
      </c>
      <c r="F2475" s="5">
        <v>39192</v>
      </c>
      <c r="G2475" s="5">
        <v>39741</v>
      </c>
      <c r="H2475" s="16">
        <f t="shared" si="262"/>
        <v>549</v>
      </c>
      <c r="I2475" s="5">
        <v>39741</v>
      </c>
      <c r="J2475" s="5">
        <v>39447</v>
      </c>
      <c r="K2475" s="16">
        <f t="shared" si="263"/>
        <v>255</v>
      </c>
      <c r="L2475" s="13">
        <v>5728.03</v>
      </c>
      <c r="M2475" s="15">
        <f t="shared" si="260"/>
        <v>340.05139072425743</v>
      </c>
      <c r="N2475" s="13">
        <v>5728.03</v>
      </c>
      <c r="O2475" s="13">
        <v>0</v>
      </c>
      <c r="P2475" s="11">
        <f t="shared" si="269"/>
        <v>0</v>
      </c>
    </row>
    <row r="2476" spans="1:16" ht="18.75" customHeight="1" thickBot="1" x14ac:dyDescent="0.3">
      <c r="A2476" s="3" t="s">
        <v>11</v>
      </c>
      <c r="B2476" s="4">
        <v>552296</v>
      </c>
      <c r="C2476" s="3" t="s">
        <v>19</v>
      </c>
      <c r="D2476" s="18">
        <v>0.1</v>
      </c>
      <c r="E2476" s="21">
        <f t="shared" si="268"/>
        <v>7.9741404289037643E-3</v>
      </c>
      <c r="F2476" s="5">
        <v>39261</v>
      </c>
      <c r="G2476" s="5">
        <v>43279</v>
      </c>
      <c r="H2476" s="16">
        <f t="shared" si="262"/>
        <v>4018</v>
      </c>
      <c r="I2476" s="5">
        <v>43279</v>
      </c>
      <c r="J2476" s="5">
        <v>43496</v>
      </c>
      <c r="K2476" s="16">
        <f t="shared" si="263"/>
        <v>4235</v>
      </c>
      <c r="L2476" s="13">
        <v>11892.72</v>
      </c>
      <c r="M2476" s="15">
        <f t="shared" si="260"/>
        <v>144.81889375850631</v>
      </c>
      <c r="N2476" s="13">
        <v>11892.72</v>
      </c>
      <c r="O2476" s="13">
        <v>0</v>
      </c>
      <c r="P2476" s="11">
        <f t="shared" si="269"/>
        <v>1</v>
      </c>
    </row>
    <row r="2477" spans="1:16" ht="18.75" customHeight="1" thickBot="1" x14ac:dyDescent="0.3">
      <c r="A2477" s="3" t="s">
        <v>11</v>
      </c>
      <c r="B2477" s="4">
        <v>406774</v>
      </c>
      <c r="C2477" s="3" t="s">
        <v>9</v>
      </c>
      <c r="D2477" s="18">
        <v>8.5000000000000006E-2</v>
      </c>
      <c r="E2477" s="21">
        <f t="shared" si="268"/>
        <v>6.8214933659622723E-3</v>
      </c>
      <c r="F2477" s="5">
        <v>39366</v>
      </c>
      <c r="G2477" s="5">
        <v>40067</v>
      </c>
      <c r="H2477" s="16">
        <f t="shared" si="262"/>
        <v>701</v>
      </c>
      <c r="I2477" s="5">
        <v>40067</v>
      </c>
      <c r="J2477" s="5">
        <v>41138</v>
      </c>
      <c r="K2477" s="16">
        <f t="shared" si="263"/>
        <v>1772</v>
      </c>
      <c r="L2477" s="13">
        <v>15695.8</v>
      </c>
      <c r="M2477" s="15">
        <f t="shared" si="260"/>
        <v>728.95717300896524</v>
      </c>
      <c r="N2477" s="13">
        <v>15695.8</v>
      </c>
      <c r="O2477" s="13">
        <v>0</v>
      </c>
      <c r="P2477" s="11">
        <f t="shared" si="269"/>
        <v>0</v>
      </c>
    </row>
    <row r="2478" spans="1:16" ht="18.75" hidden="1" customHeight="1" thickBot="1" x14ac:dyDescent="0.3">
      <c r="A2478" s="3" t="s">
        <v>11</v>
      </c>
      <c r="B2478" s="4">
        <v>856506</v>
      </c>
      <c r="C2478" s="3" t="s">
        <v>9</v>
      </c>
      <c r="D2478" s="18">
        <v>0.1</v>
      </c>
      <c r="E2478" s="21">
        <f t="shared" si="268"/>
        <v>7.9741404289037643E-3</v>
      </c>
      <c r="F2478" s="5">
        <v>41023</v>
      </c>
      <c r="G2478" s="5">
        <v>41388</v>
      </c>
      <c r="H2478" s="16">
        <f t="shared" si="262"/>
        <v>365</v>
      </c>
      <c r="I2478" s="5">
        <v>41388</v>
      </c>
      <c r="J2478" s="2"/>
      <c r="K2478" s="16">
        <f t="shared" si="263"/>
        <v>-41023</v>
      </c>
      <c r="L2478" s="13">
        <v>2503.84</v>
      </c>
      <c r="M2478" s="15">
        <f t="shared" si="260"/>
        <v>216.75824511583053</v>
      </c>
      <c r="N2478" s="13">
        <v>2503.84</v>
      </c>
      <c r="O2478" s="13">
        <v>0</v>
      </c>
      <c r="P2478" s="11">
        <f t="shared" si="269"/>
        <v>0</v>
      </c>
    </row>
    <row r="2479" spans="1:16" ht="18.75" hidden="1" customHeight="1" thickBot="1" x14ac:dyDescent="0.3">
      <c r="A2479" s="3" t="s">
        <v>11</v>
      </c>
      <c r="B2479" s="4">
        <v>464073</v>
      </c>
      <c r="C2479" s="3" t="s">
        <v>9</v>
      </c>
      <c r="D2479" s="18">
        <v>0.09</v>
      </c>
      <c r="E2479" s="21">
        <f t="shared" si="268"/>
        <v>7.2073233161367156E-3</v>
      </c>
      <c r="F2479" s="5">
        <v>41082</v>
      </c>
      <c r="G2479" s="5">
        <v>41447</v>
      </c>
      <c r="H2479" s="16">
        <f t="shared" si="262"/>
        <v>365</v>
      </c>
      <c r="I2479" s="5">
        <v>41447</v>
      </c>
      <c r="J2479" s="2"/>
      <c r="K2479" s="16">
        <f t="shared" si="263"/>
        <v>-41082</v>
      </c>
      <c r="L2479" s="13">
        <v>3050</v>
      </c>
      <c r="M2479" s="15">
        <f t="shared" si="260"/>
        <v>262.73843977575825</v>
      </c>
      <c r="N2479" s="13">
        <v>3050</v>
      </c>
      <c r="O2479" s="13">
        <v>0</v>
      </c>
      <c r="P2479" s="11">
        <f t="shared" si="269"/>
        <v>0</v>
      </c>
    </row>
    <row r="2480" spans="1:16" ht="18.75" customHeight="1" thickBot="1" x14ac:dyDescent="0.3">
      <c r="A2480" s="3" t="s">
        <v>11</v>
      </c>
      <c r="B2480" s="4">
        <v>49861</v>
      </c>
      <c r="C2480" s="3" t="s">
        <v>9</v>
      </c>
      <c r="D2480" s="18">
        <v>0.1</v>
      </c>
      <c r="E2480" s="21">
        <f t="shared" si="268"/>
        <v>7.9741404289037643E-3</v>
      </c>
      <c r="F2480" s="5">
        <v>41183</v>
      </c>
      <c r="G2480" s="5">
        <v>41730</v>
      </c>
      <c r="H2480" s="16">
        <f t="shared" si="262"/>
        <v>547</v>
      </c>
      <c r="I2480" s="5">
        <v>41730</v>
      </c>
      <c r="J2480" s="5">
        <v>41275</v>
      </c>
      <c r="K2480" s="16">
        <f t="shared" si="263"/>
        <v>92</v>
      </c>
      <c r="L2480" s="13">
        <v>1459.9</v>
      </c>
      <c r="M2480" s="15">
        <f t="shared" si="260"/>
        <v>86.347620563892363</v>
      </c>
      <c r="N2480" s="13">
        <v>1459.9</v>
      </c>
      <c r="O2480" s="13">
        <v>0</v>
      </c>
      <c r="P2480" s="11">
        <f t="shared" si="269"/>
        <v>0</v>
      </c>
    </row>
    <row r="2481" spans="1:16" ht="18.75" customHeight="1" thickBot="1" x14ac:dyDescent="0.3">
      <c r="A2481" s="3" t="s">
        <v>11</v>
      </c>
      <c r="B2481" s="4">
        <v>569376</v>
      </c>
      <c r="C2481" s="3" t="s">
        <v>9</v>
      </c>
      <c r="D2481" s="18">
        <v>0.11</v>
      </c>
      <c r="E2481" s="21">
        <f t="shared" si="268"/>
        <v>8.7345938235519061E-3</v>
      </c>
      <c r="F2481" s="5">
        <v>41205</v>
      </c>
      <c r="G2481" s="5">
        <v>41752</v>
      </c>
      <c r="H2481" s="16">
        <f t="shared" si="262"/>
        <v>547</v>
      </c>
      <c r="I2481" s="5">
        <v>41752</v>
      </c>
      <c r="J2481" s="5">
        <v>41632</v>
      </c>
      <c r="K2481" s="16">
        <f t="shared" si="263"/>
        <v>427</v>
      </c>
      <c r="L2481" s="13">
        <v>1588.18</v>
      </c>
      <c r="M2481" s="15">
        <f t="shared" si="260"/>
        <v>94.602245920766677</v>
      </c>
      <c r="N2481" s="13">
        <v>1588.18</v>
      </c>
      <c r="O2481" s="13">
        <v>0</v>
      </c>
      <c r="P2481" s="11">
        <f t="shared" si="269"/>
        <v>0</v>
      </c>
    </row>
    <row r="2482" spans="1:16" ht="18.75" customHeight="1" thickBot="1" x14ac:dyDescent="0.3">
      <c r="A2482" s="3" t="s">
        <v>11</v>
      </c>
      <c r="B2482" s="4">
        <v>380681</v>
      </c>
      <c r="C2482" s="3" t="s">
        <v>9</v>
      </c>
      <c r="D2482" s="18">
        <v>0.12</v>
      </c>
      <c r="E2482" s="21">
        <f t="shared" si="268"/>
        <v>9.4887929345830457E-3</v>
      </c>
      <c r="F2482" s="5">
        <v>41213</v>
      </c>
      <c r="G2482" s="5">
        <v>41943</v>
      </c>
      <c r="H2482" s="16">
        <f t="shared" si="262"/>
        <v>730</v>
      </c>
      <c r="I2482" s="5">
        <v>41943</v>
      </c>
      <c r="J2482" s="5">
        <v>41362</v>
      </c>
      <c r="K2482" s="16">
        <f t="shared" si="263"/>
        <v>149</v>
      </c>
      <c r="L2482" s="13">
        <v>2834.58</v>
      </c>
      <c r="M2482" s="15">
        <f t="shared" si="260"/>
        <v>131.00439517020061</v>
      </c>
      <c r="N2482" s="13">
        <v>2834.58</v>
      </c>
      <c r="O2482" s="13">
        <v>0</v>
      </c>
      <c r="P2482" s="11">
        <f t="shared" si="269"/>
        <v>0</v>
      </c>
    </row>
    <row r="2483" spans="1:16" ht="18.75" customHeight="1" thickBot="1" x14ac:dyDescent="0.3">
      <c r="A2483" s="3" t="s">
        <v>11</v>
      </c>
      <c r="B2483" s="4">
        <v>924541</v>
      </c>
      <c r="C2483" s="3" t="s">
        <v>9</v>
      </c>
      <c r="D2483" s="18">
        <v>0.1</v>
      </c>
      <c r="E2483" s="21">
        <f t="shared" si="268"/>
        <v>7.9741404289037643E-3</v>
      </c>
      <c r="F2483" s="5">
        <v>41239</v>
      </c>
      <c r="G2483" s="5">
        <v>43065</v>
      </c>
      <c r="H2483" s="16">
        <f t="shared" si="262"/>
        <v>1826</v>
      </c>
      <c r="I2483" s="5">
        <v>43065</v>
      </c>
      <c r="J2483" s="5">
        <v>42394</v>
      </c>
      <c r="K2483" s="16">
        <f t="shared" si="263"/>
        <v>1155</v>
      </c>
      <c r="L2483" s="13">
        <v>7516.74</v>
      </c>
      <c r="M2483" s="15">
        <f t="shared" si="260"/>
        <v>156.36206569979049</v>
      </c>
      <c r="N2483" s="13">
        <v>7516.74</v>
      </c>
      <c r="O2483" s="13">
        <v>0</v>
      </c>
      <c r="P2483" s="11">
        <f t="shared" si="269"/>
        <v>1</v>
      </c>
    </row>
    <row r="2484" spans="1:16" ht="18.75" customHeight="1" thickBot="1" x14ac:dyDescent="0.3">
      <c r="A2484" s="3" t="s">
        <v>11</v>
      </c>
      <c r="B2484" s="4">
        <v>448145</v>
      </c>
      <c r="C2484" s="3" t="s">
        <v>9</v>
      </c>
      <c r="D2484" s="18">
        <v>0.09</v>
      </c>
      <c r="E2484" s="21">
        <f t="shared" si="268"/>
        <v>7.2073233161367156E-3</v>
      </c>
      <c r="F2484" s="5">
        <v>41242</v>
      </c>
      <c r="G2484" s="5">
        <v>41623</v>
      </c>
      <c r="H2484" s="16">
        <f t="shared" si="262"/>
        <v>381</v>
      </c>
      <c r="I2484" s="5">
        <v>41623</v>
      </c>
      <c r="J2484" s="5">
        <v>41453</v>
      </c>
      <c r="K2484" s="16">
        <f t="shared" si="263"/>
        <v>211</v>
      </c>
      <c r="L2484" s="13">
        <v>8000</v>
      </c>
      <c r="M2484" s="15">
        <f t="shared" si="260"/>
        <v>661.45602641663049</v>
      </c>
      <c r="N2484" s="13">
        <v>8000</v>
      </c>
      <c r="O2484" s="13">
        <v>0</v>
      </c>
      <c r="P2484" s="11">
        <f t="shared" si="269"/>
        <v>0</v>
      </c>
    </row>
    <row r="2485" spans="1:16" ht="18.75" customHeight="1" thickBot="1" x14ac:dyDescent="0.3">
      <c r="A2485" s="3" t="s">
        <v>11</v>
      </c>
      <c r="B2485" s="4">
        <v>841852</v>
      </c>
      <c r="C2485" s="3" t="s">
        <v>9</v>
      </c>
      <c r="D2485" s="18">
        <v>0.12</v>
      </c>
      <c r="E2485" s="21">
        <f t="shared" si="268"/>
        <v>9.4887929345830457E-3</v>
      </c>
      <c r="F2485" s="5">
        <v>41247</v>
      </c>
      <c r="G2485" s="5">
        <v>42342</v>
      </c>
      <c r="H2485" s="16">
        <f t="shared" si="262"/>
        <v>1095</v>
      </c>
      <c r="I2485" s="5">
        <v>42342</v>
      </c>
      <c r="J2485" s="5">
        <v>42136</v>
      </c>
      <c r="K2485" s="16">
        <f t="shared" si="263"/>
        <v>889</v>
      </c>
      <c r="L2485" s="13">
        <v>8960.43</v>
      </c>
      <c r="M2485" s="15">
        <f t="shared" si="260"/>
        <v>291.60347865173287</v>
      </c>
      <c r="N2485" s="13">
        <v>8960.43</v>
      </c>
      <c r="O2485" s="13">
        <v>0</v>
      </c>
      <c r="P2485" s="11">
        <f t="shared" si="269"/>
        <v>1</v>
      </c>
    </row>
    <row r="2486" spans="1:16" ht="18.75" customHeight="1" thickBot="1" x14ac:dyDescent="0.3">
      <c r="A2486" s="3" t="s">
        <v>11</v>
      </c>
      <c r="B2486" s="4">
        <v>277726</v>
      </c>
      <c r="C2486" s="3" t="s">
        <v>9</v>
      </c>
      <c r="D2486" s="18">
        <v>0.1</v>
      </c>
      <c r="E2486" s="21">
        <f t="shared" si="268"/>
        <v>7.9741404289037643E-3</v>
      </c>
      <c r="F2486" s="5">
        <v>41250</v>
      </c>
      <c r="G2486" s="5">
        <v>43641</v>
      </c>
      <c r="H2486" s="16">
        <f t="shared" si="262"/>
        <v>2391</v>
      </c>
      <c r="I2486" s="5">
        <v>43641</v>
      </c>
      <c r="J2486" s="5">
        <v>42311</v>
      </c>
      <c r="K2486" s="16">
        <f t="shared" si="263"/>
        <v>1061</v>
      </c>
      <c r="L2486" s="13">
        <v>5586.91</v>
      </c>
      <c r="M2486" s="15">
        <f t="shared" si="260"/>
        <v>94.988346576787222</v>
      </c>
      <c r="N2486" s="13">
        <v>5586.91</v>
      </c>
      <c r="O2486" s="13">
        <v>0</v>
      </c>
      <c r="P2486" s="11">
        <f t="shared" si="269"/>
        <v>1</v>
      </c>
    </row>
    <row r="2487" spans="1:16" ht="18.75" customHeight="1" thickBot="1" x14ac:dyDescent="0.3">
      <c r="A2487" s="3" t="s">
        <v>11</v>
      </c>
      <c r="B2487" s="4">
        <v>583039</v>
      </c>
      <c r="C2487" s="3" t="s">
        <v>9</v>
      </c>
      <c r="D2487" s="18">
        <v>9.5000000000000001E-2</v>
      </c>
      <c r="E2487" s="21">
        <f t="shared" si="268"/>
        <v>7.5915342905825689E-3</v>
      </c>
      <c r="F2487" s="5">
        <v>41254</v>
      </c>
      <c r="G2487" s="5">
        <v>42934</v>
      </c>
      <c r="H2487" s="16">
        <f t="shared" si="262"/>
        <v>1680</v>
      </c>
      <c r="I2487" s="5">
        <v>42934</v>
      </c>
      <c r="J2487" s="5">
        <v>42846</v>
      </c>
      <c r="K2487" s="16">
        <f t="shared" si="263"/>
        <v>1592</v>
      </c>
      <c r="L2487" s="13">
        <v>2560.1799999999998</v>
      </c>
      <c r="M2487" s="15">
        <f t="shared" si="260"/>
        <v>56.292570476357064</v>
      </c>
      <c r="N2487" s="13">
        <v>2560.1799999999998</v>
      </c>
      <c r="O2487" s="13">
        <v>0</v>
      </c>
      <c r="P2487" s="11">
        <f t="shared" si="269"/>
        <v>1</v>
      </c>
    </row>
    <row r="2488" spans="1:16" ht="18.75" customHeight="1" thickBot="1" x14ac:dyDescent="0.3">
      <c r="A2488" s="3" t="s">
        <v>11</v>
      </c>
      <c r="B2488" s="4">
        <v>85852</v>
      </c>
      <c r="C2488" s="3" t="s">
        <v>9</v>
      </c>
      <c r="D2488" s="18">
        <v>0.12</v>
      </c>
      <c r="E2488" s="21">
        <f t="shared" si="268"/>
        <v>9.4887929345830457E-3</v>
      </c>
      <c r="F2488" s="5">
        <v>41257</v>
      </c>
      <c r="G2488" s="5">
        <v>43448</v>
      </c>
      <c r="H2488" s="16">
        <f t="shared" si="262"/>
        <v>2191</v>
      </c>
      <c r="I2488" s="5">
        <v>43448</v>
      </c>
      <c r="J2488" s="5">
        <v>42076</v>
      </c>
      <c r="K2488" s="16">
        <f t="shared" si="263"/>
        <v>819</v>
      </c>
      <c r="L2488" s="13">
        <v>5637.4</v>
      </c>
      <c r="M2488" s="15">
        <f t="shared" si="260"/>
        <v>107.35160531158112</v>
      </c>
      <c r="N2488" s="13">
        <v>5637.4</v>
      </c>
      <c r="O2488" s="13">
        <v>0</v>
      </c>
      <c r="P2488" s="11">
        <f t="shared" si="269"/>
        <v>1</v>
      </c>
    </row>
    <row r="2489" spans="1:16" ht="18.75" customHeight="1" thickBot="1" x14ac:dyDescent="0.3">
      <c r="A2489" s="3" t="s">
        <v>11</v>
      </c>
      <c r="B2489" s="4">
        <v>995312</v>
      </c>
      <c r="C2489" s="3" t="s">
        <v>9</v>
      </c>
      <c r="D2489" s="18">
        <v>0.11</v>
      </c>
      <c r="E2489" s="21">
        <f t="shared" si="268"/>
        <v>8.7345938235519061E-3</v>
      </c>
      <c r="F2489" s="5">
        <v>41260</v>
      </c>
      <c r="G2489" s="5">
        <v>42355</v>
      </c>
      <c r="H2489" s="16">
        <f t="shared" si="262"/>
        <v>1095</v>
      </c>
      <c r="I2489" s="5">
        <v>42355</v>
      </c>
      <c r="J2489" s="5">
        <v>41533</v>
      </c>
      <c r="K2489" s="16">
        <f t="shared" si="263"/>
        <v>273</v>
      </c>
      <c r="L2489" s="13">
        <v>5499.54</v>
      </c>
      <c r="M2489" s="15">
        <f t="shared" si="260"/>
        <v>176.6160734191854</v>
      </c>
      <c r="N2489" s="13">
        <v>5499.54</v>
      </c>
      <c r="O2489" s="13">
        <v>0</v>
      </c>
      <c r="P2489" s="11">
        <f t="shared" si="269"/>
        <v>1</v>
      </c>
    </row>
    <row r="2490" spans="1:16" ht="18.75" hidden="1" customHeight="1" thickBot="1" x14ac:dyDescent="0.3">
      <c r="A2490" s="3" t="s">
        <v>11</v>
      </c>
      <c r="B2490" s="4">
        <v>193464</v>
      </c>
      <c r="C2490" s="3" t="s">
        <v>9</v>
      </c>
      <c r="D2490" s="18">
        <v>0.1</v>
      </c>
      <c r="E2490" s="21">
        <f t="shared" si="268"/>
        <v>7.9741404289037643E-3</v>
      </c>
      <c r="F2490" s="5">
        <v>41263</v>
      </c>
      <c r="G2490" s="5">
        <v>41628</v>
      </c>
      <c r="H2490" s="16">
        <f t="shared" si="262"/>
        <v>365</v>
      </c>
      <c r="I2490" s="5">
        <v>41628</v>
      </c>
      <c r="J2490" s="2"/>
      <c r="K2490" s="16">
        <f t="shared" si="263"/>
        <v>-41263</v>
      </c>
      <c r="L2490" s="13">
        <v>10895.2</v>
      </c>
      <c r="M2490" s="15">
        <f t="shared" si="260"/>
        <v>943.20101611364817</v>
      </c>
      <c r="N2490" s="13">
        <v>10895.2</v>
      </c>
      <c r="O2490" s="13">
        <v>0</v>
      </c>
      <c r="P2490" s="11">
        <f t="shared" si="269"/>
        <v>0</v>
      </c>
    </row>
    <row r="2491" spans="1:16" ht="18.75" customHeight="1" thickBot="1" x14ac:dyDescent="0.3">
      <c r="A2491" s="3" t="s">
        <v>11</v>
      </c>
      <c r="B2491" s="4">
        <v>613144</v>
      </c>
      <c r="C2491" s="3" t="s">
        <v>9</v>
      </c>
      <c r="D2491" s="18">
        <v>0.13</v>
      </c>
      <c r="E2491" s="21">
        <f t="shared" si="268"/>
        <v>1.02368443581764E-2</v>
      </c>
      <c r="F2491" s="5">
        <v>41262</v>
      </c>
      <c r="G2491" s="5">
        <v>41566</v>
      </c>
      <c r="H2491" s="16">
        <f t="shared" si="262"/>
        <v>304</v>
      </c>
      <c r="I2491" s="5">
        <v>41566</v>
      </c>
      <c r="J2491" s="5">
        <v>42058</v>
      </c>
      <c r="K2491" s="16">
        <f t="shared" si="263"/>
        <v>796</v>
      </c>
      <c r="L2491" s="13">
        <v>645.29999999999995</v>
      </c>
      <c r="M2491" s="15">
        <f t="shared" si="260"/>
        <v>67.366034849035799</v>
      </c>
      <c r="N2491" s="13">
        <v>645.29999999999995</v>
      </c>
      <c r="O2491" s="13">
        <v>0</v>
      </c>
      <c r="P2491" s="11">
        <f t="shared" si="269"/>
        <v>0</v>
      </c>
    </row>
    <row r="2492" spans="1:16" ht="18.75" customHeight="1" thickBot="1" x14ac:dyDescent="0.3">
      <c r="A2492" s="3" t="s">
        <v>11</v>
      </c>
      <c r="B2492" s="4">
        <v>969055</v>
      </c>
      <c r="C2492" s="3" t="s">
        <v>9</v>
      </c>
      <c r="D2492" s="18">
        <v>0.1</v>
      </c>
      <c r="E2492" s="21">
        <f t="shared" si="268"/>
        <v>7.9741404289037643E-3</v>
      </c>
      <c r="F2492" s="5">
        <v>41269</v>
      </c>
      <c r="G2492" s="5">
        <v>41724</v>
      </c>
      <c r="H2492" s="16">
        <f t="shared" si="262"/>
        <v>455</v>
      </c>
      <c r="I2492" s="5">
        <v>41724</v>
      </c>
      <c r="J2492" s="5">
        <v>41638</v>
      </c>
      <c r="K2492" s="16">
        <f t="shared" si="263"/>
        <v>369</v>
      </c>
      <c r="L2492" s="13">
        <v>9000</v>
      </c>
      <c r="M2492" s="15">
        <f t="shared" si="260"/>
        <v>632.37330553226298</v>
      </c>
      <c r="N2492" s="13">
        <v>9000</v>
      </c>
      <c r="O2492" s="13">
        <v>0</v>
      </c>
      <c r="P2492" s="11">
        <f t="shared" si="269"/>
        <v>0</v>
      </c>
    </row>
    <row r="2493" spans="1:16" ht="18.75" customHeight="1" thickBot="1" x14ac:dyDescent="0.3">
      <c r="A2493" s="3" t="s">
        <v>11</v>
      </c>
      <c r="B2493" s="4">
        <v>21743</v>
      </c>
      <c r="C2493" s="3" t="s">
        <v>9</v>
      </c>
      <c r="D2493" s="18">
        <v>0.1</v>
      </c>
      <c r="E2493" s="21">
        <f t="shared" si="268"/>
        <v>7.9741404289037643E-3</v>
      </c>
      <c r="F2493" s="5">
        <v>41274</v>
      </c>
      <c r="G2493" s="5">
        <v>42868</v>
      </c>
      <c r="H2493" s="16">
        <f t="shared" si="262"/>
        <v>1594</v>
      </c>
      <c r="I2493" s="5">
        <v>42868</v>
      </c>
      <c r="J2493" s="5">
        <v>42846</v>
      </c>
      <c r="K2493" s="16">
        <f t="shared" si="263"/>
        <v>1572</v>
      </c>
      <c r="L2493" s="13">
        <v>6021.46</v>
      </c>
      <c r="M2493" s="15">
        <f t="shared" si="260"/>
        <v>139.47020205550365</v>
      </c>
      <c r="N2493" s="13">
        <v>6021.46</v>
      </c>
      <c r="O2493" s="13">
        <v>0</v>
      </c>
      <c r="P2493" s="11">
        <f t="shared" si="269"/>
        <v>1</v>
      </c>
    </row>
    <row r="2494" spans="1:16" ht="18.75" customHeight="1" thickBot="1" x14ac:dyDescent="0.3">
      <c r="A2494" s="3" t="s">
        <v>11</v>
      </c>
      <c r="B2494" s="4">
        <v>542752</v>
      </c>
      <c r="C2494" s="3" t="s">
        <v>9</v>
      </c>
      <c r="D2494" s="18">
        <v>0.1</v>
      </c>
      <c r="E2494" s="21">
        <f t="shared" si="268"/>
        <v>7.9741404289037643E-3</v>
      </c>
      <c r="F2494" s="5">
        <v>41289</v>
      </c>
      <c r="G2494" s="5">
        <v>43157</v>
      </c>
      <c r="H2494" s="16">
        <f t="shared" si="262"/>
        <v>1868</v>
      </c>
      <c r="I2494" s="5">
        <v>43157</v>
      </c>
      <c r="J2494" s="5">
        <v>42667</v>
      </c>
      <c r="K2494" s="16">
        <f t="shared" si="263"/>
        <v>1378</v>
      </c>
      <c r="L2494" s="13">
        <v>6500.71</v>
      </c>
      <c r="M2494" s="15">
        <f t="shared" si="260"/>
        <v>132.86332974142039</v>
      </c>
      <c r="N2494" s="13">
        <v>6500.71</v>
      </c>
      <c r="O2494" s="13">
        <v>300</v>
      </c>
      <c r="P2494" s="11">
        <f t="shared" si="269"/>
        <v>1</v>
      </c>
    </row>
    <row r="2495" spans="1:16" ht="18.75" customHeight="1" thickBot="1" x14ac:dyDescent="0.3">
      <c r="A2495" s="3" t="s">
        <v>11</v>
      </c>
      <c r="B2495" s="4">
        <v>824439</v>
      </c>
      <c r="C2495" s="3" t="s">
        <v>9</v>
      </c>
      <c r="D2495" s="18">
        <v>0.08</v>
      </c>
      <c r="E2495" s="21">
        <f t="shared" si="268"/>
        <v>6.4340301100034303E-3</v>
      </c>
      <c r="F2495" s="5">
        <v>41295</v>
      </c>
      <c r="G2495" s="5">
        <v>43682</v>
      </c>
      <c r="H2495" s="16">
        <f t="shared" si="262"/>
        <v>2387</v>
      </c>
      <c r="I2495" s="5">
        <v>43682</v>
      </c>
      <c r="J2495" s="5">
        <v>41946</v>
      </c>
      <c r="K2495" s="16">
        <f t="shared" si="263"/>
        <v>651</v>
      </c>
      <c r="L2495" s="13">
        <v>13228.04</v>
      </c>
      <c r="M2495" s="15">
        <f t="shared" si="260"/>
        <v>212.94372655781947</v>
      </c>
      <c r="N2495" s="13">
        <v>13228.04</v>
      </c>
      <c r="O2495" s="13">
        <v>0</v>
      </c>
      <c r="P2495" s="11">
        <f t="shared" si="269"/>
        <v>1</v>
      </c>
    </row>
    <row r="2496" spans="1:16" ht="18.75" customHeight="1" thickBot="1" x14ac:dyDescent="0.3">
      <c r="A2496" s="3" t="s">
        <v>11</v>
      </c>
      <c r="B2496" s="4">
        <v>737030</v>
      </c>
      <c r="C2496" s="3" t="s">
        <v>9</v>
      </c>
      <c r="D2496" s="18">
        <v>0.1</v>
      </c>
      <c r="E2496" s="21">
        <f t="shared" si="268"/>
        <v>7.9741404289037643E-3</v>
      </c>
      <c r="F2496" s="5">
        <v>41296</v>
      </c>
      <c r="G2496" s="5">
        <v>42757</v>
      </c>
      <c r="H2496" s="16">
        <f t="shared" si="262"/>
        <v>1461</v>
      </c>
      <c r="I2496" s="5">
        <v>42757</v>
      </c>
      <c r="J2496" s="5">
        <v>41498</v>
      </c>
      <c r="K2496" s="16">
        <f t="shared" si="263"/>
        <v>202</v>
      </c>
      <c r="L2496" s="13">
        <v>6018.83</v>
      </c>
      <c r="M2496" s="15">
        <f t="shared" si="260"/>
        <v>149.62274232293112</v>
      </c>
      <c r="N2496" s="13">
        <v>6018.83</v>
      </c>
      <c r="O2496" s="13">
        <v>0</v>
      </c>
      <c r="P2496" s="11">
        <f t="shared" si="269"/>
        <v>1</v>
      </c>
    </row>
    <row r="2497" spans="1:16" ht="18.75" customHeight="1" thickBot="1" x14ac:dyDescent="0.3">
      <c r="A2497" s="3" t="s">
        <v>11</v>
      </c>
      <c r="B2497" s="4">
        <v>827718</v>
      </c>
      <c r="C2497" s="3" t="s">
        <v>9</v>
      </c>
      <c r="D2497" s="18">
        <v>0.09</v>
      </c>
      <c r="E2497" s="21">
        <f t="shared" si="268"/>
        <v>7.2073233161367156E-3</v>
      </c>
      <c r="F2497" s="5">
        <v>41298</v>
      </c>
      <c r="G2497" s="5">
        <v>43885</v>
      </c>
      <c r="H2497" s="16">
        <f t="shared" si="262"/>
        <v>2587</v>
      </c>
      <c r="I2497" s="5">
        <v>43885</v>
      </c>
      <c r="J2497" s="5">
        <v>42536</v>
      </c>
      <c r="K2497" s="16">
        <f t="shared" si="263"/>
        <v>1238</v>
      </c>
      <c r="L2497" s="13">
        <v>21619.439999999999</v>
      </c>
      <c r="M2497" s="15">
        <f t="shared" si="260"/>
        <v>337.5105160639244</v>
      </c>
      <c r="N2497" s="13">
        <v>21619.439999999999</v>
      </c>
      <c r="O2497" s="13">
        <v>0</v>
      </c>
      <c r="P2497" s="11">
        <f t="shared" si="269"/>
        <v>1</v>
      </c>
    </row>
    <row r="2498" spans="1:16" ht="18.75" customHeight="1" thickBot="1" x14ac:dyDescent="0.3">
      <c r="A2498" s="3" t="s">
        <v>11</v>
      </c>
      <c r="B2498" s="4">
        <v>356335</v>
      </c>
      <c r="C2498" s="3" t="s">
        <v>2</v>
      </c>
      <c r="D2498" s="18">
        <v>0.09</v>
      </c>
      <c r="E2498" s="21">
        <f t="shared" si="268"/>
        <v>7.2073233161367156E-3</v>
      </c>
      <c r="F2498" s="5">
        <v>41303</v>
      </c>
      <c r="G2498" s="5">
        <v>41668</v>
      </c>
      <c r="H2498" s="16">
        <f t="shared" si="262"/>
        <v>365</v>
      </c>
      <c r="I2498" s="5">
        <v>44711</v>
      </c>
      <c r="J2498" s="5">
        <v>44102</v>
      </c>
      <c r="K2498" s="16">
        <f t="shared" si="263"/>
        <v>2799</v>
      </c>
      <c r="L2498" s="13">
        <v>25000</v>
      </c>
      <c r="M2498" s="15">
        <f t="shared" ref="M2498:M2561" si="270">-PMT(E2498,(H2498/30),L2498)</f>
        <v>2153.5937686537563</v>
      </c>
      <c r="N2498" s="13">
        <v>22250</v>
      </c>
      <c r="O2498" s="13">
        <v>6384.11</v>
      </c>
      <c r="P2498" s="11">
        <f t="shared" si="269"/>
        <v>0</v>
      </c>
    </row>
    <row r="2499" spans="1:16" ht="18.75" customHeight="1" thickBot="1" x14ac:dyDescent="0.3">
      <c r="A2499" s="3" t="s">
        <v>11</v>
      </c>
      <c r="B2499" s="4">
        <v>668028</v>
      </c>
      <c r="C2499" s="3" t="s">
        <v>9</v>
      </c>
      <c r="D2499" s="18">
        <v>0.13</v>
      </c>
      <c r="E2499" s="21">
        <f t="shared" si="268"/>
        <v>1.02368443581764E-2</v>
      </c>
      <c r="F2499" s="5">
        <v>41304</v>
      </c>
      <c r="G2499" s="5">
        <v>42400</v>
      </c>
      <c r="H2499" s="16">
        <f t="shared" ref="H2499:H2562" si="271">G2499-F2499</f>
        <v>1096</v>
      </c>
      <c r="I2499" s="5">
        <v>42400</v>
      </c>
      <c r="J2499" s="5">
        <v>42282</v>
      </c>
      <c r="K2499" s="16">
        <f t="shared" ref="K2499:K2562" si="272">J2499-F2499</f>
        <v>978</v>
      </c>
      <c r="L2499" s="13">
        <v>371.2</v>
      </c>
      <c r="M2499" s="15">
        <f t="shared" si="270"/>
        <v>12.230013419322304</v>
      </c>
      <c r="N2499" s="13">
        <v>371.2</v>
      </c>
      <c r="O2499" s="13">
        <v>0</v>
      </c>
      <c r="P2499" s="11">
        <f t="shared" si="269"/>
        <v>1</v>
      </c>
    </row>
    <row r="2500" spans="1:16" ht="18.75" customHeight="1" thickBot="1" x14ac:dyDescent="0.3">
      <c r="A2500" s="3" t="s">
        <v>11</v>
      </c>
      <c r="B2500" s="4">
        <v>20499</v>
      </c>
      <c r="C2500" s="3" t="s">
        <v>9</v>
      </c>
      <c r="D2500" s="18">
        <v>0.09</v>
      </c>
      <c r="E2500" s="21">
        <f t="shared" si="268"/>
        <v>7.2073233161367156E-3</v>
      </c>
      <c r="F2500" s="5">
        <v>41330</v>
      </c>
      <c r="G2500" s="5">
        <v>43374</v>
      </c>
      <c r="H2500" s="16">
        <f t="shared" si="271"/>
        <v>2044</v>
      </c>
      <c r="I2500" s="5">
        <v>43374</v>
      </c>
      <c r="J2500" s="5">
        <v>43098</v>
      </c>
      <c r="K2500" s="16">
        <f t="shared" si="272"/>
        <v>1768</v>
      </c>
      <c r="L2500" s="13">
        <v>28000</v>
      </c>
      <c r="M2500" s="15">
        <f t="shared" si="270"/>
        <v>521.53653136903506</v>
      </c>
      <c r="N2500" s="13">
        <v>28000</v>
      </c>
      <c r="O2500" s="13">
        <v>0</v>
      </c>
      <c r="P2500" s="11">
        <f t="shared" si="269"/>
        <v>1</v>
      </c>
    </row>
    <row r="2501" spans="1:16" ht="18.75" customHeight="1" thickBot="1" x14ac:dyDescent="0.3">
      <c r="A2501" s="3" t="s">
        <v>11</v>
      </c>
      <c r="B2501" s="4">
        <v>841792</v>
      </c>
      <c r="C2501" s="3" t="s">
        <v>9</v>
      </c>
      <c r="D2501" s="18">
        <v>0.09</v>
      </c>
      <c r="E2501" s="21">
        <f t="shared" si="268"/>
        <v>7.2073233161367156E-3</v>
      </c>
      <c r="F2501" s="5">
        <v>41331</v>
      </c>
      <c r="G2501" s="5">
        <v>41634</v>
      </c>
      <c r="H2501" s="16">
        <f t="shared" si="271"/>
        <v>303</v>
      </c>
      <c r="I2501" s="5">
        <v>41634</v>
      </c>
      <c r="J2501" s="5">
        <v>41453</v>
      </c>
      <c r="K2501" s="16">
        <f t="shared" si="272"/>
        <v>122</v>
      </c>
      <c r="L2501" s="13">
        <v>10000</v>
      </c>
      <c r="M2501" s="15">
        <f t="shared" si="270"/>
        <v>1030.134939586517</v>
      </c>
      <c r="N2501" s="13">
        <v>10000</v>
      </c>
      <c r="O2501" s="13">
        <v>0</v>
      </c>
      <c r="P2501" s="11">
        <f t="shared" si="269"/>
        <v>0</v>
      </c>
    </row>
    <row r="2502" spans="1:16" ht="18.75" customHeight="1" thickBot="1" x14ac:dyDescent="0.3">
      <c r="A2502" s="3" t="s">
        <v>11</v>
      </c>
      <c r="B2502" s="4">
        <v>415353</v>
      </c>
      <c r="C2502" s="3" t="s">
        <v>9</v>
      </c>
      <c r="D2502" s="18">
        <v>0.1</v>
      </c>
      <c r="E2502" s="21">
        <f t="shared" si="268"/>
        <v>7.9741404289037643E-3</v>
      </c>
      <c r="F2502" s="5">
        <v>41332</v>
      </c>
      <c r="G2502" s="5">
        <v>42427</v>
      </c>
      <c r="H2502" s="16">
        <f t="shared" si="271"/>
        <v>1095</v>
      </c>
      <c r="I2502" s="5">
        <v>42427</v>
      </c>
      <c r="J2502" s="5">
        <v>41541</v>
      </c>
      <c r="K2502" s="16">
        <f t="shared" si="272"/>
        <v>209</v>
      </c>
      <c r="L2502" s="13">
        <v>4549.99</v>
      </c>
      <c r="M2502" s="15">
        <f t="shared" si="270"/>
        <v>144.17004823502864</v>
      </c>
      <c r="N2502" s="13">
        <v>4549.99</v>
      </c>
      <c r="O2502" s="13">
        <v>0</v>
      </c>
      <c r="P2502" s="11">
        <f t="shared" si="269"/>
        <v>1</v>
      </c>
    </row>
    <row r="2503" spans="1:16" ht="18.75" customHeight="1" thickBot="1" x14ac:dyDescent="0.3">
      <c r="A2503" s="3" t="s">
        <v>11</v>
      </c>
      <c r="B2503" s="4">
        <v>951131</v>
      </c>
      <c r="C2503" s="3" t="s">
        <v>9</v>
      </c>
      <c r="D2503" s="18">
        <v>0.1</v>
      </c>
      <c r="E2503" s="21">
        <f t="shared" si="268"/>
        <v>7.9741404289037643E-3</v>
      </c>
      <c r="F2503" s="5">
        <v>41333</v>
      </c>
      <c r="G2503" s="5">
        <v>43583</v>
      </c>
      <c r="H2503" s="16">
        <f t="shared" si="271"/>
        <v>2250</v>
      </c>
      <c r="I2503" s="5">
        <v>43583</v>
      </c>
      <c r="J2503" s="5">
        <v>42040</v>
      </c>
      <c r="K2503" s="16">
        <f t="shared" si="272"/>
        <v>707</v>
      </c>
      <c r="L2503" s="13">
        <v>12820.77</v>
      </c>
      <c r="M2503" s="15">
        <f t="shared" si="270"/>
        <v>227.78680951610451</v>
      </c>
      <c r="N2503" s="13">
        <v>12820.77</v>
      </c>
      <c r="O2503" s="13">
        <v>0</v>
      </c>
      <c r="P2503" s="11">
        <f t="shared" si="269"/>
        <v>1</v>
      </c>
    </row>
    <row r="2504" spans="1:16" ht="18.75" customHeight="1" thickBot="1" x14ac:dyDescent="0.3">
      <c r="A2504" s="3" t="s">
        <v>11</v>
      </c>
      <c r="B2504" s="4">
        <v>230016</v>
      </c>
      <c r="C2504" s="3" t="s">
        <v>9</v>
      </c>
      <c r="D2504" s="18">
        <v>0.1</v>
      </c>
      <c r="E2504" s="21">
        <f t="shared" si="268"/>
        <v>7.9741404289037643E-3</v>
      </c>
      <c r="F2504" s="5">
        <v>41338</v>
      </c>
      <c r="G2504" s="5">
        <v>43529</v>
      </c>
      <c r="H2504" s="16">
        <f t="shared" si="271"/>
        <v>2191</v>
      </c>
      <c r="I2504" s="5">
        <v>43529</v>
      </c>
      <c r="J2504" s="5">
        <v>43628</v>
      </c>
      <c r="K2504" s="16">
        <f t="shared" si="272"/>
        <v>2290</v>
      </c>
      <c r="L2504" s="13">
        <v>3980.3</v>
      </c>
      <c r="M2504" s="15">
        <f t="shared" si="270"/>
        <v>72.112233618948437</v>
      </c>
      <c r="N2504" s="13">
        <v>3980.3</v>
      </c>
      <c r="O2504" s="13">
        <v>0</v>
      </c>
      <c r="P2504" s="11">
        <f t="shared" si="269"/>
        <v>1</v>
      </c>
    </row>
    <row r="2505" spans="1:16" ht="18.75" customHeight="1" thickBot="1" x14ac:dyDescent="0.3">
      <c r="A2505" s="3" t="s">
        <v>11</v>
      </c>
      <c r="B2505" s="4">
        <v>374001</v>
      </c>
      <c r="C2505" s="3" t="s">
        <v>9</v>
      </c>
      <c r="D2505" s="18">
        <v>0.1</v>
      </c>
      <c r="E2505" s="21">
        <f t="shared" si="268"/>
        <v>7.9741404289037643E-3</v>
      </c>
      <c r="F2505" s="5">
        <v>41347</v>
      </c>
      <c r="G2505" s="5">
        <v>43605</v>
      </c>
      <c r="H2505" s="16">
        <f t="shared" si="271"/>
        <v>2258</v>
      </c>
      <c r="I2505" s="5">
        <v>43605</v>
      </c>
      <c r="J2505" s="5">
        <v>42107</v>
      </c>
      <c r="K2505" s="16">
        <f t="shared" si="272"/>
        <v>760</v>
      </c>
      <c r="L2505" s="13">
        <v>2017.94</v>
      </c>
      <c r="M2505" s="15">
        <f t="shared" si="270"/>
        <v>35.759854043476295</v>
      </c>
      <c r="N2505" s="13">
        <v>2017.94</v>
      </c>
      <c r="O2505" s="13">
        <v>0</v>
      </c>
      <c r="P2505" s="11">
        <f t="shared" si="269"/>
        <v>1</v>
      </c>
    </row>
    <row r="2506" spans="1:16" ht="18.75" customHeight="1" thickBot="1" x14ac:dyDescent="0.3">
      <c r="A2506" s="3" t="s">
        <v>11</v>
      </c>
      <c r="B2506" s="4">
        <v>791667</v>
      </c>
      <c r="C2506" s="3" t="s">
        <v>9</v>
      </c>
      <c r="D2506" s="18">
        <v>0.1</v>
      </c>
      <c r="E2506" s="21">
        <f t="shared" si="268"/>
        <v>7.9741404289037643E-3</v>
      </c>
      <c r="F2506" s="5">
        <v>41348</v>
      </c>
      <c r="G2506" s="5">
        <v>43289</v>
      </c>
      <c r="H2506" s="16">
        <f t="shared" si="271"/>
        <v>1941</v>
      </c>
      <c r="I2506" s="5">
        <v>43289</v>
      </c>
      <c r="J2506" s="5">
        <v>42956</v>
      </c>
      <c r="K2506" s="16">
        <f t="shared" si="272"/>
        <v>1608</v>
      </c>
      <c r="L2506" s="13">
        <v>1579.11</v>
      </c>
      <c r="M2506" s="15">
        <f t="shared" si="270"/>
        <v>31.33672632628133</v>
      </c>
      <c r="N2506" s="13">
        <v>1579.11</v>
      </c>
      <c r="O2506" s="13">
        <v>27.15</v>
      </c>
      <c r="P2506" s="11">
        <f t="shared" si="269"/>
        <v>1</v>
      </c>
    </row>
    <row r="2507" spans="1:16" ht="18.75" customHeight="1" thickBot="1" x14ac:dyDescent="0.3">
      <c r="A2507" s="3" t="s">
        <v>11</v>
      </c>
      <c r="B2507" s="4">
        <v>670087</v>
      </c>
      <c r="C2507" s="3" t="s">
        <v>9</v>
      </c>
      <c r="D2507" s="18">
        <v>0.1</v>
      </c>
      <c r="E2507" s="21">
        <f t="shared" si="268"/>
        <v>7.9741404289037643E-3</v>
      </c>
      <c r="F2507" s="5">
        <v>41351</v>
      </c>
      <c r="G2507" s="5">
        <v>43664</v>
      </c>
      <c r="H2507" s="16">
        <f t="shared" si="271"/>
        <v>2313</v>
      </c>
      <c r="I2507" s="5">
        <v>43664</v>
      </c>
      <c r="J2507" s="5">
        <v>42619</v>
      </c>
      <c r="K2507" s="16">
        <f t="shared" si="272"/>
        <v>1268</v>
      </c>
      <c r="L2507" s="13">
        <v>1330.75</v>
      </c>
      <c r="M2507" s="15">
        <f t="shared" si="270"/>
        <v>23.172733315319661</v>
      </c>
      <c r="N2507" s="13">
        <v>1330.75</v>
      </c>
      <c r="O2507" s="13">
        <v>0</v>
      </c>
      <c r="P2507" s="11">
        <f t="shared" si="269"/>
        <v>1</v>
      </c>
    </row>
    <row r="2508" spans="1:16" ht="18.75" hidden="1" customHeight="1" thickBot="1" x14ac:dyDescent="0.3">
      <c r="A2508" s="3" t="s">
        <v>11</v>
      </c>
      <c r="B2508" s="4">
        <v>570129</v>
      </c>
      <c r="C2508" s="3" t="s">
        <v>22</v>
      </c>
      <c r="D2508" s="7">
        <v>0.1515</v>
      </c>
      <c r="E2508" s="7">
        <f t="shared" ref="E2508:E2562" si="273">D2508/12</f>
        <v>1.2624999999999999E-2</v>
      </c>
      <c r="F2508" s="5">
        <v>44258</v>
      </c>
      <c r="G2508" s="5">
        <v>2958465</v>
      </c>
      <c r="H2508" s="8">
        <f t="shared" si="271"/>
        <v>2914207</v>
      </c>
      <c r="I2508" s="5">
        <v>2958465</v>
      </c>
      <c r="J2508" s="5">
        <v>44259</v>
      </c>
      <c r="K2508" s="8">
        <f t="shared" si="272"/>
        <v>1</v>
      </c>
      <c r="L2508" s="6">
        <v>1853.95</v>
      </c>
      <c r="M2508" s="9">
        <f t="shared" si="270"/>
        <v>23.406118749999997</v>
      </c>
      <c r="N2508" s="6">
        <v>1853.95</v>
      </c>
      <c r="O2508" s="6">
        <v>57.37</v>
      </c>
    </row>
    <row r="2509" spans="1:16" ht="18.75" hidden="1" customHeight="1" thickBot="1" x14ac:dyDescent="0.3">
      <c r="A2509" s="3" t="s">
        <v>11</v>
      </c>
      <c r="B2509" s="4">
        <v>763896</v>
      </c>
      <c r="C2509" s="3" t="s">
        <v>22</v>
      </c>
      <c r="D2509" s="7">
        <v>0.08</v>
      </c>
      <c r="E2509" s="7">
        <f t="shared" si="273"/>
        <v>6.6666666666666671E-3</v>
      </c>
      <c r="F2509" s="5">
        <v>43542</v>
      </c>
      <c r="G2509" s="5">
        <v>2958465</v>
      </c>
      <c r="H2509" s="8">
        <f t="shared" si="271"/>
        <v>2914923</v>
      </c>
      <c r="I2509" s="5">
        <v>2958465</v>
      </c>
      <c r="J2509" s="5">
        <v>43544</v>
      </c>
      <c r="K2509" s="8">
        <f t="shared" si="272"/>
        <v>2</v>
      </c>
      <c r="L2509" s="6">
        <v>2483.1</v>
      </c>
      <c r="M2509" s="9">
        <f t="shared" si="270"/>
        <v>16.554000000000002</v>
      </c>
      <c r="N2509" s="6">
        <v>2483.1</v>
      </c>
      <c r="O2509" s="6">
        <v>2483.1</v>
      </c>
    </row>
    <row r="2510" spans="1:16" ht="18.75" hidden="1" customHeight="1" thickBot="1" x14ac:dyDescent="0.3">
      <c r="A2510" s="3" t="s">
        <v>11</v>
      </c>
      <c r="B2510" s="4">
        <v>232141</v>
      </c>
      <c r="C2510" s="3" t="s">
        <v>22</v>
      </c>
      <c r="D2510" s="7">
        <v>9.9999999999999995E-7</v>
      </c>
      <c r="E2510" s="7">
        <f t="shared" si="273"/>
        <v>8.3333333333333325E-8</v>
      </c>
      <c r="F2510" s="5">
        <v>40168</v>
      </c>
      <c r="G2510" s="5">
        <v>2958465</v>
      </c>
      <c r="H2510" s="8">
        <f t="shared" si="271"/>
        <v>2918297</v>
      </c>
      <c r="I2510" s="5">
        <v>2958465</v>
      </c>
      <c r="J2510" s="5">
        <v>40248</v>
      </c>
      <c r="K2510" s="8">
        <f t="shared" si="272"/>
        <v>80</v>
      </c>
      <c r="L2510" s="6">
        <v>4502.8500000000004</v>
      </c>
      <c r="M2510" s="9">
        <f t="shared" si="270"/>
        <v>4.6477028420004007E-2</v>
      </c>
      <c r="N2510" s="6">
        <v>4502.8500000000004</v>
      </c>
      <c r="O2510" s="6">
        <v>360.89</v>
      </c>
    </row>
    <row r="2511" spans="1:16" ht="18.75" hidden="1" customHeight="1" thickBot="1" x14ac:dyDescent="0.3">
      <c r="A2511" s="3" t="s">
        <v>11</v>
      </c>
      <c r="B2511" s="4">
        <v>520157</v>
      </c>
      <c r="C2511" s="3" t="s">
        <v>22</v>
      </c>
      <c r="D2511" s="7">
        <v>0.08</v>
      </c>
      <c r="E2511" s="7">
        <f t="shared" si="273"/>
        <v>6.6666666666666671E-3</v>
      </c>
      <c r="F2511" s="5">
        <v>45754</v>
      </c>
      <c r="G2511" s="5">
        <v>2958465</v>
      </c>
      <c r="H2511" s="8">
        <f t="shared" si="271"/>
        <v>2912711</v>
      </c>
      <c r="I2511" s="5">
        <v>2958465</v>
      </c>
      <c r="J2511" s="5">
        <v>45755</v>
      </c>
      <c r="K2511" s="8">
        <f t="shared" si="272"/>
        <v>1</v>
      </c>
      <c r="L2511" s="6">
        <v>5149.07</v>
      </c>
      <c r="M2511" s="9">
        <f t="shared" si="270"/>
        <v>34.327133333333336</v>
      </c>
      <c r="N2511" s="6">
        <v>5149.07</v>
      </c>
      <c r="O2511" s="6">
        <v>5149.07</v>
      </c>
    </row>
    <row r="2512" spans="1:16" ht="18.75" hidden="1" customHeight="1" thickBot="1" x14ac:dyDescent="0.3">
      <c r="A2512" s="3" t="s">
        <v>11</v>
      </c>
      <c r="B2512" s="4">
        <v>52409</v>
      </c>
      <c r="C2512" s="3" t="s">
        <v>22</v>
      </c>
      <c r="D2512" s="7">
        <v>0.08</v>
      </c>
      <c r="E2512" s="7">
        <f t="shared" si="273"/>
        <v>6.6666666666666671E-3</v>
      </c>
      <c r="F2512" s="5">
        <v>42242</v>
      </c>
      <c r="G2512" s="5">
        <v>2958465</v>
      </c>
      <c r="H2512" s="8">
        <f t="shared" si="271"/>
        <v>2916223</v>
      </c>
      <c r="I2512" s="5">
        <v>2958465</v>
      </c>
      <c r="J2512" s="5">
        <v>42244</v>
      </c>
      <c r="K2512" s="8">
        <f t="shared" si="272"/>
        <v>2</v>
      </c>
      <c r="L2512" s="6">
        <v>4241.46</v>
      </c>
      <c r="M2512" s="9">
        <f t="shared" si="270"/>
        <v>28.276400000000002</v>
      </c>
      <c r="N2512" s="6">
        <v>4241.46</v>
      </c>
      <c r="O2512" s="6">
        <v>0</v>
      </c>
    </row>
    <row r="2513" spans="1:15" ht="18.75" hidden="1" customHeight="1" thickBot="1" x14ac:dyDescent="0.3">
      <c r="A2513" s="3" t="s">
        <v>11</v>
      </c>
      <c r="B2513" s="4">
        <v>611771</v>
      </c>
      <c r="C2513" s="3" t="s">
        <v>22</v>
      </c>
      <c r="D2513" s="7">
        <v>7.2499999999999995E-2</v>
      </c>
      <c r="E2513" s="7">
        <f t="shared" si="273"/>
        <v>6.0416666666666665E-3</v>
      </c>
      <c r="F2513" s="5">
        <v>45754</v>
      </c>
      <c r="G2513" s="5">
        <v>2958465</v>
      </c>
      <c r="H2513" s="8">
        <f t="shared" si="271"/>
        <v>2912711</v>
      </c>
      <c r="I2513" s="5">
        <v>2958465</v>
      </c>
      <c r="J2513" s="5">
        <v>45755</v>
      </c>
      <c r="K2513" s="8">
        <f t="shared" si="272"/>
        <v>1</v>
      </c>
      <c r="L2513" s="6">
        <v>10966.92</v>
      </c>
      <c r="M2513" s="9">
        <f t="shared" si="270"/>
        <v>66.258475000000004</v>
      </c>
      <c r="N2513" s="6">
        <v>10966.92</v>
      </c>
      <c r="O2513" s="6">
        <v>0</v>
      </c>
    </row>
    <row r="2514" spans="1:15" ht="18.75" hidden="1" customHeight="1" thickBot="1" x14ac:dyDescent="0.3">
      <c r="A2514" s="3" t="s">
        <v>11</v>
      </c>
      <c r="B2514" s="4">
        <v>812536</v>
      </c>
      <c r="C2514" s="3" t="s">
        <v>22</v>
      </c>
      <c r="D2514" s="7">
        <v>0.08</v>
      </c>
      <c r="E2514" s="7">
        <f t="shared" si="273"/>
        <v>6.6666666666666671E-3</v>
      </c>
      <c r="F2514" s="5">
        <v>40455</v>
      </c>
      <c r="G2514" s="5">
        <v>2958465</v>
      </c>
      <c r="H2514" s="8">
        <f t="shared" si="271"/>
        <v>2918010</v>
      </c>
      <c r="I2514" s="5">
        <v>2958465</v>
      </c>
      <c r="J2514" s="5">
        <v>40469</v>
      </c>
      <c r="K2514" s="8">
        <f t="shared" si="272"/>
        <v>14</v>
      </c>
      <c r="L2514" s="6">
        <v>5835.14</v>
      </c>
      <c r="M2514" s="9">
        <f t="shared" si="270"/>
        <v>38.900933333333334</v>
      </c>
      <c r="N2514" s="6">
        <v>5835.14</v>
      </c>
      <c r="O2514" s="6">
        <v>0</v>
      </c>
    </row>
    <row r="2515" spans="1:15" ht="18.75" hidden="1" customHeight="1" thickBot="1" x14ac:dyDescent="0.3">
      <c r="A2515" s="3" t="s">
        <v>11</v>
      </c>
      <c r="B2515" s="4">
        <v>844406</v>
      </c>
      <c r="C2515" s="3" t="s">
        <v>22</v>
      </c>
      <c r="D2515" s="7">
        <v>0.08</v>
      </c>
      <c r="E2515" s="7">
        <f t="shared" si="273"/>
        <v>6.6666666666666671E-3</v>
      </c>
      <c r="F2515" s="5">
        <v>44070</v>
      </c>
      <c r="G2515" s="5">
        <v>2958465</v>
      </c>
      <c r="H2515" s="8">
        <f t="shared" si="271"/>
        <v>2914395</v>
      </c>
      <c r="I2515" s="5">
        <v>2958465</v>
      </c>
      <c r="J2515" s="5">
        <v>44074</v>
      </c>
      <c r="K2515" s="8">
        <f t="shared" si="272"/>
        <v>4</v>
      </c>
      <c r="L2515" s="6">
        <v>33796.99</v>
      </c>
      <c r="M2515" s="9">
        <f t="shared" si="270"/>
        <v>225.31326666666666</v>
      </c>
      <c r="N2515" s="6">
        <v>33796.99</v>
      </c>
      <c r="O2515" s="6">
        <v>33796.99</v>
      </c>
    </row>
    <row r="2516" spans="1:15" ht="18.75" hidden="1" customHeight="1" thickBot="1" x14ac:dyDescent="0.3">
      <c r="A2516" s="3" t="s">
        <v>11</v>
      </c>
      <c r="B2516" s="4">
        <v>428714</v>
      </c>
      <c r="C2516" s="3" t="s">
        <v>22</v>
      </c>
      <c r="D2516" s="7">
        <v>6.7500000000000004E-2</v>
      </c>
      <c r="E2516" s="7">
        <f t="shared" si="273"/>
        <v>5.6250000000000007E-3</v>
      </c>
      <c r="F2516" s="5">
        <v>45587</v>
      </c>
      <c r="G2516" s="5">
        <v>2958465</v>
      </c>
      <c r="H2516" s="8">
        <f t="shared" si="271"/>
        <v>2912878</v>
      </c>
      <c r="I2516" s="5">
        <v>2958465</v>
      </c>
      <c r="J2516" s="5">
        <v>45588</v>
      </c>
      <c r="K2516" s="8">
        <f t="shared" si="272"/>
        <v>1</v>
      </c>
      <c r="L2516" s="6">
        <v>187.45</v>
      </c>
      <c r="M2516" s="9">
        <f t="shared" si="270"/>
        <v>1.05440625</v>
      </c>
      <c r="N2516" s="6">
        <v>187.45</v>
      </c>
      <c r="O2516" s="6">
        <v>0</v>
      </c>
    </row>
    <row r="2517" spans="1:15" ht="18.75" hidden="1" customHeight="1" thickBot="1" x14ac:dyDescent="0.3">
      <c r="A2517" s="3" t="s">
        <v>11</v>
      </c>
      <c r="B2517" s="4">
        <v>339072</v>
      </c>
      <c r="C2517" s="3" t="s">
        <v>22</v>
      </c>
      <c r="D2517" s="7">
        <v>0.08</v>
      </c>
      <c r="E2517" s="7">
        <f t="shared" si="273"/>
        <v>6.6666666666666671E-3</v>
      </c>
      <c r="F2517" s="5">
        <v>40534</v>
      </c>
      <c r="G2517" s="5">
        <v>2958465</v>
      </c>
      <c r="H2517" s="8">
        <f t="shared" si="271"/>
        <v>2917931</v>
      </c>
      <c r="I2517" s="5">
        <v>2958465</v>
      </c>
      <c r="J2517" s="5">
        <v>40540</v>
      </c>
      <c r="K2517" s="8">
        <f t="shared" si="272"/>
        <v>6</v>
      </c>
      <c r="L2517" s="6">
        <v>6514.16</v>
      </c>
      <c r="M2517" s="9">
        <f t="shared" si="270"/>
        <v>43.427733333333336</v>
      </c>
      <c r="N2517" s="6">
        <v>6514.16</v>
      </c>
      <c r="O2517" s="6">
        <v>0</v>
      </c>
    </row>
    <row r="2518" spans="1:15" ht="18.75" hidden="1" customHeight="1" thickBot="1" x14ac:dyDescent="0.3">
      <c r="A2518" s="3" t="s">
        <v>11</v>
      </c>
      <c r="B2518" s="4">
        <v>875255</v>
      </c>
      <c r="C2518" s="3" t="s">
        <v>22</v>
      </c>
      <c r="D2518" s="7">
        <v>0</v>
      </c>
      <c r="E2518" s="7">
        <f t="shared" si="273"/>
        <v>0</v>
      </c>
      <c r="F2518" s="5">
        <v>42048</v>
      </c>
      <c r="G2518" s="5">
        <v>2958465</v>
      </c>
      <c r="H2518" s="8">
        <f t="shared" si="271"/>
        <v>2916417</v>
      </c>
      <c r="I2518" s="5">
        <v>2958465</v>
      </c>
      <c r="J2518" s="5">
        <v>42058</v>
      </c>
      <c r="K2518" s="8">
        <f t="shared" si="272"/>
        <v>10</v>
      </c>
      <c r="L2518" s="6">
        <v>6362.16</v>
      </c>
      <c r="M2518" s="9">
        <f t="shared" si="270"/>
        <v>6.5444962088754804E-2</v>
      </c>
      <c r="N2518" s="6">
        <v>6362.16</v>
      </c>
      <c r="O2518" s="6">
        <v>0</v>
      </c>
    </row>
    <row r="2519" spans="1:15" ht="18.75" hidden="1" customHeight="1" thickBot="1" x14ac:dyDescent="0.3">
      <c r="A2519" s="3" t="s">
        <v>11</v>
      </c>
      <c r="B2519" s="4">
        <v>198521</v>
      </c>
      <c r="C2519" s="3" t="s">
        <v>15</v>
      </c>
      <c r="D2519" s="7">
        <v>0.16900000000000001</v>
      </c>
      <c r="E2519" s="7">
        <f t="shared" si="273"/>
        <v>1.4083333333333335E-2</v>
      </c>
      <c r="F2519" s="5">
        <v>44504</v>
      </c>
      <c r="G2519" s="5">
        <v>2958465</v>
      </c>
      <c r="H2519" s="8">
        <f t="shared" si="271"/>
        <v>2913961</v>
      </c>
      <c r="I2519" s="5">
        <v>2958465</v>
      </c>
      <c r="J2519" s="5">
        <v>44505</v>
      </c>
      <c r="K2519" s="8">
        <f t="shared" si="272"/>
        <v>1</v>
      </c>
      <c r="L2519" s="6">
        <v>1492.02</v>
      </c>
      <c r="M2519" s="9">
        <f t="shared" si="270"/>
        <v>21.012615</v>
      </c>
      <c r="N2519" s="6">
        <v>1492.02</v>
      </c>
      <c r="O2519" s="6">
        <v>1492.02</v>
      </c>
    </row>
    <row r="2520" spans="1:15" ht="18.75" hidden="1" customHeight="1" thickBot="1" x14ac:dyDescent="0.3">
      <c r="A2520" s="3" t="s">
        <v>11</v>
      </c>
      <c r="B2520" s="4">
        <v>810394</v>
      </c>
      <c r="C2520" s="3" t="s">
        <v>22</v>
      </c>
      <c r="D2520" s="7">
        <v>0.08</v>
      </c>
      <c r="E2520" s="7">
        <f t="shared" si="273"/>
        <v>6.6666666666666671E-3</v>
      </c>
      <c r="F2520" s="5">
        <v>40893</v>
      </c>
      <c r="G2520" s="5">
        <v>2958465</v>
      </c>
      <c r="H2520" s="8">
        <f t="shared" si="271"/>
        <v>2917572</v>
      </c>
      <c r="I2520" s="5">
        <v>2958465</v>
      </c>
      <c r="J2520" s="5">
        <v>40911</v>
      </c>
      <c r="K2520" s="8">
        <f t="shared" si="272"/>
        <v>18</v>
      </c>
      <c r="L2520" s="6">
        <v>5335.19</v>
      </c>
      <c r="M2520" s="9">
        <f t="shared" si="270"/>
        <v>35.567933333333336</v>
      </c>
      <c r="N2520" s="6">
        <v>5335.19</v>
      </c>
      <c r="O2520" s="6">
        <v>0</v>
      </c>
    </row>
    <row r="2521" spans="1:15" ht="18.75" hidden="1" customHeight="1" thickBot="1" x14ac:dyDescent="0.3">
      <c r="A2521" s="3" t="s">
        <v>11</v>
      </c>
      <c r="B2521" s="4">
        <v>67952</v>
      </c>
      <c r="C2521" s="3" t="s">
        <v>22</v>
      </c>
      <c r="D2521" s="7">
        <v>0.08</v>
      </c>
      <c r="E2521" s="7">
        <f t="shared" si="273"/>
        <v>6.6666666666666671E-3</v>
      </c>
      <c r="F2521" s="5">
        <v>40455</v>
      </c>
      <c r="G2521" s="5">
        <v>2958465</v>
      </c>
      <c r="H2521" s="8">
        <f t="shared" si="271"/>
        <v>2918010</v>
      </c>
      <c r="I2521" s="5">
        <v>2958465</v>
      </c>
      <c r="J2521" s="5">
        <v>40469</v>
      </c>
      <c r="K2521" s="8">
        <f t="shared" si="272"/>
        <v>14</v>
      </c>
      <c r="L2521" s="6">
        <v>5480.62</v>
      </c>
      <c r="M2521" s="9">
        <f t="shared" si="270"/>
        <v>36.537466666666667</v>
      </c>
      <c r="N2521" s="6">
        <v>5480.62</v>
      </c>
      <c r="O2521" s="6">
        <v>200</v>
      </c>
    </row>
    <row r="2522" spans="1:15" ht="18.75" hidden="1" customHeight="1" thickBot="1" x14ac:dyDescent="0.3">
      <c r="A2522" s="3" t="s">
        <v>11</v>
      </c>
      <c r="B2522" s="4">
        <v>563268</v>
      </c>
      <c r="C2522" s="3" t="s">
        <v>22</v>
      </c>
      <c r="D2522" s="7">
        <v>0.08</v>
      </c>
      <c r="E2522" s="7">
        <f t="shared" si="273"/>
        <v>6.6666666666666671E-3</v>
      </c>
      <c r="F2522" s="5">
        <v>40526</v>
      </c>
      <c r="G2522" s="5">
        <v>2958465</v>
      </c>
      <c r="H2522" s="8">
        <f t="shared" si="271"/>
        <v>2917939</v>
      </c>
      <c r="I2522" s="5">
        <v>2958465</v>
      </c>
      <c r="J2522" s="5">
        <v>40533</v>
      </c>
      <c r="K2522" s="8">
        <f t="shared" si="272"/>
        <v>7</v>
      </c>
      <c r="L2522" s="6">
        <v>3902.73</v>
      </c>
      <c r="M2522" s="9">
        <f t="shared" si="270"/>
        <v>26.0182</v>
      </c>
      <c r="N2522" s="6">
        <v>3902.73</v>
      </c>
      <c r="O2522" s="6">
        <v>0</v>
      </c>
    </row>
    <row r="2523" spans="1:15" ht="18.75" hidden="1" customHeight="1" thickBot="1" x14ac:dyDescent="0.3">
      <c r="A2523" s="3" t="s">
        <v>11</v>
      </c>
      <c r="B2523" s="4">
        <v>114416</v>
      </c>
      <c r="C2523" s="3" t="s">
        <v>22</v>
      </c>
      <c r="D2523" s="7">
        <v>0.08</v>
      </c>
      <c r="E2523" s="7">
        <f t="shared" si="273"/>
        <v>6.6666666666666671E-3</v>
      </c>
      <c r="F2523" s="5">
        <v>40534</v>
      </c>
      <c r="G2523" s="5">
        <v>2958465</v>
      </c>
      <c r="H2523" s="8">
        <f t="shared" si="271"/>
        <v>2917931</v>
      </c>
      <c r="I2523" s="5">
        <v>2958465</v>
      </c>
      <c r="J2523" s="5">
        <v>40540</v>
      </c>
      <c r="K2523" s="8">
        <f t="shared" si="272"/>
        <v>6</v>
      </c>
      <c r="L2523" s="6">
        <v>2757.53</v>
      </c>
      <c r="M2523" s="9">
        <f t="shared" si="270"/>
        <v>18.383533333333336</v>
      </c>
      <c r="N2523" s="6">
        <v>2757.53</v>
      </c>
      <c r="O2523" s="6">
        <v>40</v>
      </c>
    </row>
    <row r="2524" spans="1:15" ht="18.75" hidden="1" customHeight="1" thickBot="1" x14ac:dyDescent="0.3">
      <c r="A2524" s="3" t="s">
        <v>11</v>
      </c>
      <c r="B2524" s="4">
        <v>314629</v>
      </c>
      <c r="C2524" s="3" t="s">
        <v>22</v>
      </c>
      <c r="D2524" s="7">
        <v>0.08</v>
      </c>
      <c r="E2524" s="7">
        <f t="shared" si="273"/>
        <v>6.6666666666666671E-3</v>
      </c>
      <c r="F2524" s="5">
        <v>41037</v>
      </c>
      <c r="G2524" s="5">
        <v>2958465</v>
      </c>
      <c r="H2524" s="8">
        <f t="shared" si="271"/>
        <v>2917428</v>
      </c>
      <c r="I2524" s="5">
        <v>2958465</v>
      </c>
      <c r="J2524" s="5">
        <v>41061</v>
      </c>
      <c r="K2524" s="8">
        <f t="shared" si="272"/>
        <v>24</v>
      </c>
      <c r="L2524" s="6">
        <v>3824.42</v>
      </c>
      <c r="M2524" s="9">
        <f t="shared" si="270"/>
        <v>25.496133333333336</v>
      </c>
      <c r="N2524" s="6">
        <v>3824.42</v>
      </c>
      <c r="O2524" s="6">
        <v>0</v>
      </c>
    </row>
    <row r="2525" spans="1:15" ht="18.75" hidden="1" customHeight="1" thickBot="1" x14ac:dyDescent="0.3">
      <c r="A2525" s="3" t="s">
        <v>11</v>
      </c>
      <c r="B2525" s="4">
        <v>468236</v>
      </c>
      <c r="C2525" s="3" t="s">
        <v>22</v>
      </c>
      <c r="D2525" s="7">
        <v>0.08</v>
      </c>
      <c r="E2525" s="7">
        <f t="shared" si="273"/>
        <v>6.6666666666666671E-3</v>
      </c>
      <c r="F2525" s="5">
        <v>41425</v>
      </c>
      <c r="G2525" s="5">
        <v>2958465</v>
      </c>
      <c r="H2525" s="8">
        <f t="shared" si="271"/>
        <v>2917040</v>
      </c>
      <c r="I2525" s="5">
        <v>2958465</v>
      </c>
      <c r="J2525" s="5">
        <v>41439</v>
      </c>
      <c r="K2525" s="8">
        <f t="shared" si="272"/>
        <v>14</v>
      </c>
      <c r="L2525" s="6">
        <v>2255.19</v>
      </c>
      <c r="M2525" s="9">
        <f t="shared" si="270"/>
        <v>15.034600000000001</v>
      </c>
      <c r="N2525" s="6">
        <v>2255.19</v>
      </c>
      <c r="O2525" s="6">
        <v>1425.04</v>
      </c>
    </row>
    <row r="2526" spans="1:15" ht="18.75" hidden="1" customHeight="1" thickBot="1" x14ac:dyDescent="0.3">
      <c r="A2526" s="3" t="s">
        <v>11</v>
      </c>
      <c r="B2526" s="4">
        <v>22800</v>
      </c>
      <c r="C2526" s="3" t="s">
        <v>22</v>
      </c>
      <c r="D2526" s="7">
        <v>0.08</v>
      </c>
      <c r="E2526" s="7">
        <f t="shared" si="273"/>
        <v>6.6666666666666671E-3</v>
      </c>
      <c r="F2526" s="5">
        <v>43738</v>
      </c>
      <c r="G2526" s="5">
        <v>2958465</v>
      </c>
      <c r="H2526" s="8">
        <f t="shared" si="271"/>
        <v>2914727</v>
      </c>
      <c r="I2526" s="5">
        <v>2958465</v>
      </c>
      <c r="J2526" s="5">
        <v>43738</v>
      </c>
      <c r="K2526" s="8">
        <f t="shared" si="272"/>
        <v>0</v>
      </c>
      <c r="L2526" s="6">
        <v>3689.14</v>
      </c>
      <c r="M2526" s="9">
        <f t="shared" si="270"/>
        <v>24.594266666666666</v>
      </c>
      <c r="N2526" s="6">
        <v>3689.14</v>
      </c>
      <c r="O2526" s="6">
        <v>3689.14</v>
      </c>
    </row>
    <row r="2527" spans="1:15" ht="18.75" hidden="1" customHeight="1" thickBot="1" x14ac:dyDescent="0.3">
      <c r="A2527" s="3" t="s">
        <v>11</v>
      </c>
      <c r="B2527" s="4">
        <v>854368</v>
      </c>
      <c r="C2527" s="3" t="s">
        <v>22</v>
      </c>
      <c r="D2527" s="7">
        <v>7.2499999999999995E-2</v>
      </c>
      <c r="E2527" s="7">
        <f t="shared" si="273"/>
        <v>6.0416666666666665E-3</v>
      </c>
      <c r="F2527" s="5">
        <v>45789</v>
      </c>
      <c r="G2527" s="5">
        <v>2958465</v>
      </c>
      <c r="H2527" s="8">
        <f t="shared" si="271"/>
        <v>2912676</v>
      </c>
      <c r="I2527" s="5">
        <v>2958465</v>
      </c>
      <c r="J2527" s="5">
        <v>45790</v>
      </c>
      <c r="K2527" s="8">
        <f t="shared" si="272"/>
        <v>1</v>
      </c>
      <c r="L2527" s="6">
        <v>316.83</v>
      </c>
      <c r="M2527" s="9">
        <f t="shared" si="270"/>
        <v>1.9141812499999999</v>
      </c>
      <c r="N2527" s="6">
        <v>316.83</v>
      </c>
      <c r="O2527" s="6">
        <v>0</v>
      </c>
    </row>
    <row r="2528" spans="1:15" ht="18.75" hidden="1" customHeight="1" thickBot="1" x14ac:dyDescent="0.3">
      <c r="A2528" s="3" t="s">
        <v>11</v>
      </c>
      <c r="B2528" s="4">
        <v>991877</v>
      </c>
      <c r="C2528" s="3" t="s">
        <v>22</v>
      </c>
      <c r="D2528" s="7">
        <v>0.08</v>
      </c>
      <c r="E2528" s="7">
        <f t="shared" si="273"/>
        <v>6.6666666666666671E-3</v>
      </c>
      <c r="F2528" s="5">
        <v>45944</v>
      </c>
      <c r="G2528" s="5">
        <v>2958465</v>
      </c>
      <c r="H2528" s="8">
        <f t="shared" si="271"/>
        <v>2912521</v>
      </c>
      <c r="I2528" s="5">
        <v>2958465</v>
      </c>
      <c r="J2528" s="5">
        <v>45946</v>
      </c>
      <c r="K2528" s="8">
        <f t="shared" si="272"/>
        <v>2</v>
      </c>
      <c r="L2528" s="6">
        <v>2139.7199999999998</v>
      </c>
      <c r="M2528" s="9">
        <f t="shared" si="270"/>
        <v>14.264799999999999</v>
      </c>
      <c r="N2528" s="6">
        <v>2139.7199999999998</v>
      </c>
      <c r="O2528" s="6">
        <v>0</v>
      </c>
    </row>
    <row r="2529" spans="1:15" ht="18.75" hidden="1" customHeight="1" thickBot="1" x14ac:dyDescent="0.3">
      <c r="A2529" s="3" t="s">
        <v>11</v>
      </c>
      <c r="B2529" s="4">
        <v>524917</v>
      </c>
      <c r="C2529" s="3" t="s">
        <v>22</v>
      </c>
      <c r="D2529" s="7">
        <v>7.7499999999999999E-2</v>
      </c>
      <c r="E2529" s="7">
        <f t="shared" si="273"/>
        <v>6.4583333333333333E-3</v>
      </c>
      <c r="F2529" s="5">
        <v>45635</v>
      </c>
      <c r="G2529" s="5">
        <v>2958465</v>
      </c>
      <c r="H2529" s="8">
        <f t="shared" si="271"/>
        <v>2912830</v>
      </c>
      <c r="I2529" s="5">
        <v>2958465</v>
      </c>
      <c r="J2529" s="5">
        <v>45637</v>
      </c>
      <c r="K2529" s="8">
        <f t="shared" si="272"/>
        <v>2</v>
      </c>
      <c r="L2529" s="6">
        <v>1109.95</v>
      </c>
      <c r="M2529" s="9">
        <f t="shared" si="270"/>
        <v>7.1684270833333334</v>
      </c>
      <c r="N2529" s="6">
        <v>1109.95</v>
      </c>
      <c r="O2529" s="6">
        <v>1109.95</v>
      </c>
    </row>
    <row r="2530" spans="1:15" ht="18.75" hidden="1" customHeight="1" thickBot="1" x14ac:dyDescent="0.3">
      <c r="A2530" s="3" t="s">
        <v>11</v>
      </c>
      <c r="B2530" s="4">
        <v>964161</v>
      </c>
      <c r="C2530" s="3" t="s">
        <v>22</v>
      </c>
      <c r="D2530" s="7">
        <v>0.08</v>
      </c>
      <c r="E2530" s="7">
        <f t="shared" si="273"/>
        <v>6.6666666666666671E-3</v>
      </c>
      <c r="F2530" s="5">
        <v>46063</v>
      </c>
      <c r="G2530" s="5">
        <v>2958465</v>
      </c>
      <c r="H2530" s="8">
        <f t="shared" si="271"/>
        <v>2912402</v>
      </c>
      <c r="I2530" s="5">
        <v>2958465</v>
      </c>
      <c r="J2530" s="5">
        <v>46064</v>
      </c>
      <c r="K2530" s="8">
        <f t="shared" si="272"/>
        <v>1</v>
      </c>
      <c r="L2530" s="6">
        <v>8657.98</v>
      </c>
      <c r="M2530" s="9">
        <f t="shared" si="270"/>
        <v>57.719866666666668</v>
      </c>
      <c r="N2530" s="6">
        <v>8657.98</v>
      </c>
      <c r="O2530" s="6">
        <v>0</v>
      </c>
    </row>
    <row r="2531" spans="1:15" ht="18.75" hidden="1" customHeight="1" thickBot="1" x14ac:dyDescent="0.3">
      <c r="A2531" s="3" t="s">
        <v>11</v>
      </c>
      <c r="B2531" s="4">
        <v>452568</v>
      </c>
      <c r="C2531" s="3" t="s">
        <v>22</v>
      </c>
      <c r="D2531" s="7">
        <v>0.08</v>
      </c>
      <c r="E2531" s="7">
        <f t="shared" si="273"/>
        <v>6.6666666666666671E-3</v>
      </c>
      <c r="F2531" s="5">
        <v>46063</v>
      </c>
      <c r="G2531" s="5">
        <v>2958465</v>
      </c>
      <c r="H2531" s="8">
        <f t="shared" si="271"/>
        <v>2912402</v>
      </c>
      <c r="I2531" s="5">
        <v>2958465</v>
      </c>
      <c r="J2531" s="5">
        <v>46064</v>
      </c>
      <c r="K2531" s="8">
        <f t="shared" si="272"/>
        <v>1</v>
      </c>
      <c r="L2531" s="6">
        <v>23935.360000000001</v>
      </c>
      <c r="M2531" s="9">
        <f t="shared" si="270"/>
        <v>159.56906666666669</v>
      </c>
      <c r="N2531" s="6">
        <v>23935.360000000001</v>
      </c>
      <c r="O2531" s="6">
        <v>0</v>
      </c>
    </row>
    <row r="2532" spans="1:15" ht="18.75" hidden="1" customHeight="1" thickBot="1" x14ac:dyDescent="0.3">
      <c r="A2532" s="3" t="s">
        <v>11</v>
      </c>
      <c r="B2532" s="4">
        <v>378826</v>
      </c>
      <c r="C2532" s="3" t="s">
        <v>22</v>
      </c>
      <c r="D2532" s="7">
        <v>0.08</v>
      </c>
      <c r="E2532" s="7">
        <f t="shared" si="273"/>
        <v>6.6666666666666671E-3</v>
      </c>
      <c r="F2532" s="5">
        <v>40171</v>
      </c>
      <c r="G2532" s="5">
        <v>2958465</v>
      </c>
      <c r="H2532" s="8">
        <f t="shared" si="271"/>
        <v>2918294</v>
      </c>
      <c r="I2532" s="5">
        <v>2958465</v>
      </c>
      <c r="J2532" s="5">
        <v>40226</v>
      </c>
      <c r="K2532" s="8">
        <f t="shared" si="272"/>
        <v>55</v>
      </c>
      <c r="L2532" s="6">
        <v>2483.34</v>
      </c>
      <c r="M2532" s="9">
        <f t="shared" si="270"/>
        <v>16.555600000000002</v>
      </c>
      <c r="N2532" s="6">
        <v>2483.34</v>
      </c>
      <c r="O2532" s="6">
        <v>0</v>
      </c>
    </row>
    <row r="2533" spans="1:15" ht="18.75" hidden="1" customHeight="1" thickBot="1" x14ac:dyDescent="0.3">
      <c r="A2533" s="3" t="s">
        <v>11</v>
      </c>
      <c r="B2533" s="4">
        <v>249036</v>
      </c>
      <c r="C2533" s="3" t="s">
        <v>22</v>
      </c>
      <c r="D2533" s="7">
        <v>0</v>
      </c>
      <c r="E2533" s="7">
        <f t="shared" si="273"/>
        <v>0</v>
      </c>
      <c r="F2533" s="5">
        <v>41037</v>
      </c>
      <c r="G2533" s="5">
        <v>2958465</v>
      </c>
      <c r="H2533" s="8">
        <f t="shared" si="271"/>
        <v>2917428</v>
      </c>
      <c r="I2533" s="5">
        <v>2958465</v>
      </c>
      <c r="J2533" s="5">
        <v>41061</v>
      </c>
      <c r="K2533" s="8">
        <f t="shared" si="272"/>
        <v>24</v>
      </c>
      <c r="L2533" s="6">
        <v>752.69</v>
      </c>
      <c r="M2533" s="9">
        <f t="shared" si="270"/>
        <v>7.7399339418145023E-3</v>
      </c>
      <c r="N2533" s="6">
        <v>722.69</v>
      </c>
      <c r="O2533" s="6">
        <v>722.69</v>
      </c>
    </row>
    <row r="2534" spans="1:15" ht="18.75" hidden="1" customHeight="1" thickBot="1" x14ac:dyDescent="0.3">
      <c r="A2534" s="3" t="s">
        <v>11</v>
      </c>
      <c r="B2534" s="4">
        <v>692660</v>
      </c>
      <c r="C2534" s="3" t="s">
        <v>22</v>
      </c>
      <c r="D2534" s="7">
        <v>0.08</v>
      </c>
      <c r="E2534" s="7">
        <f t="shared" si="273"/>
        <v>6.6666666666666671E-3</v>
      </c>
      <c r="F2534" s="5">
        <v>41759</v>
      </c>
      <c r="G2534" s="5">
        <v>2958465</v>
      </c>
      <c r="H2534" s="8">
        <f t="shared" si="271"/>
        <v>2916706</v>
      </c>
      <c r="I2534" s="5">
        <v>2958465</v>
      </c>
      <c r="J2534" s="5">
        <v>41809</v>
      </c>
      <c r="K2534" s="8">
        <f t="shared" si="272"/>
        <v>50</v>
      </c>
      <c r="L2534" s="6">
        <v>3782.92</v>
      </c>
      <c r="M2534" s="9">
        <f t="shared" si="270"/>
        <v>25.219466666666669</v>
      </c>
      <c r="N2534" s="6">
        <v>3782.92</v>
      </c>
      <c r="O2534" s="6">
        <v>1000</v>
      </c>
    </row>
    <row r="2535" spans="1:15" ht="18.75" hidden="1" customHeight="1" thickBot="1" x14ac:dyDescent="0.3">
      <c r="A2535" s="3" t="s">
        <v>11</v>
      </c>
      <c r="B2535" s="4">
        <v>515715</v>
      </c>
      <c r="C2535" s="3" t="s">
        <v>22</v>
      </c>
      <c r="D2535" s="7">
        <v>8.7499999999999994E-2</v>
      </c>
      <c r="E2535" s="7">
        <f t="shared" si="273"/>
        <v>7.2916666666666659E-3</v>
      </c>
      <c r="F2535" s="5">
        <v>44935</v>
      </c>
      <c r="G2535" s="5">
        <v>2958465</v>
      </c>
      <c r="H2535" s="8">
        <f t="shared" si="271"/>
        <v>2913530</v>
      </c>
      <c r="I2535" s="5">
        <v>2958465</v>
      </c>
      <c r="J2535" s="5">
        <v>44936</v>
      </c>
      <c r="K2535" s="8">
        <f t="shared" si="272"/>
        <v>1</v>
      </c>
      <c r="L2535" s="6">
        <v>2234.71</v>
      </c>
      <c r="M2535" s="9">
        <f t="shared" si="270"/>
        <v>16.294760416666666</v>
      </c>
      <c r="N2535" s="6">
        <v>2234.71</v>
      </c>
      <c r="O2535" s="6">
        <v>2234.71</v>
      </c>
    </row>
    <row r="2536" spans="1:15" ht="18.75" hidden="1" customHeight="1" thickBot="1" x14ac:dyDescent="0.3">
      <c r="A2536" s="3" t="s">
        <v>11</v>
      </c>
      <c r="B2536" s="4">
        <v>791015</v>
      </c>
      <c r="C2536" s="3" t="s">
        <v>22</v>
      </c>
      <c r="D2536" s="7">
        <v>0.08</v>
      </c>
      <c r="E2536" s="7">
        <f t="shared" si="273"/>
        <v>6.6666666666666671E-3</v>
      </c>
      <c r="F2536" s="5">
        <v>40422</v>
      </c>
      <c r="G2536" s="5">
        <v>2958465</v>
      </c>
      <c r="H2536" s="8">
        <f t="shared" si="271"/>
        <v>2918043</v>
      </c>
      <c r="I2536" s="5">
        <v>2958465</v>
      </c>
      <c r="J2536" s="5">
        <v>40443</v>
      </c>
      <c r="K2536" s="8">
        <f t="shared" si="272"/>
        <v>21</v>
      </c>
      <c r="L2536" s="6">
        <v>6556.73</v>
      </c>
      <c r="M2536" s="9">
        <f t="shared" si="270"/>
        <v>43.711533333333335</v>
      </c>
      <c r="N2536" s="6">
        <v>6556.73</v>
      </c>
      <c r="O2536" s="6">
        <v>462.29</v>
      </c>
    </row>
    <row r="2537" spans="1:15" ht="18.75" hidden="1" customHeight="1" thickBot="1" x14ac:dyDescent="0.3">
      <c r="A2537" s="3" t="s">
        <v>11</v>
      </c>
      <c r="B2537" s="4">
        <v>744273</v>
      </c>
      <c r="C2537" s="3" t="s">
        <v>22</v>
      </c>
      <c r="D2537" s="7">
        <v>0.08</v>
      </c>
      <c r="E2537" s="7">
        <f t="shared" si="273"/>
        <v>6.6666666666666671E-3</v>
      </c>
      <c r="F2537" s="5">
        <v>40354</v>
      </c>
      <c r="G2537" s="5">
        <v>2958465</v>
      </c>
      <c r="H2537" s="8">
        <f t="shared" si="271"/>
        <v>2918111</v>
      </c>
      <c r="I2537" s="5">
        <v>2958465</v>
      </c>
      <c r="J2537" s="5">
        <v>40358</v>
      </c>
      <c r="K2537" s="8">
        <f t="shared" si="272"/>
        <v>4</v>
      </c>
      <c r="L2537" s="6">
        <v>1508.16</v>
      </c>
      <c r="M2537" s="9">
        <f t="shared" si="270"/>
        <v>10.054400000000001</v>
      </c>
      <c r="N2537" s="6">
        <v>1508.16</v>
      </c>
      <c r="O2537" s="6">
        <v>1491.24</v>
      </c>
    </row>
    <row r="2538" spans="1:15" ht="18.75" hidden="1" customHeight="1" thickBot="1" x14ac:dyDescent="0.3">
      <c r="A2538" s="3" t="s">
        <v>11</v>
      </c>
      <c r="B2538" s="4">
        <v>573295</v>
      </c>
      <c r="C2538" s="3" t="s">
        <v>22</v>
      </c>
      <c r="D2538" s="7">
        <v>0</v>
      </c>
      <c r="E2538" s="7">
        <f t="shared" si="273"/>
        <v>0</v>
      </c>
      <c r="F2538" s="5">
        <v>41390</v>
      </c>
      <c r="G2538" s="5">
        <v>2958465</v>
      </c>
      <c r="H2538" s="8">
        <f t="shared" si="271"/>
        <v>2917075</v>
      </c>
      <c r="I2538" s="5">
        <v>2958465</v>
      </c>
      <c r="J2538" s="5">
        <v>41400</v>
      </c>
      <c r="K2538" s="8">
        <f t="shared" si="272"/>
        <v>10</v>
      </c>
      <c r="L2538" s="6">
        <v>6671.06</v>
      </c>
      <c r="M2538" s="9">
        <f t="shared" si="270"/>
        <v>6.8607012161154585E-2</v>
      </c>
      <c r="N2538" s="6">
        <v>6621.06</v>
      </c>
      <c r="O2538" s="6">
        <v>6621.06</v>
      </c>
    </row>
    <row r="2539" spans="1:15" ht="18.75" hidden="1" customHeight="1" thickBot="1" x14ac:dyDescent="0.3">
      <c r="A2539" s="3" t="s">
        <v>11</v>
      </c>
      <c r="B2539" s="4">
        <v>974319</v>
      </c>
      <c r="C2539" s="3" t="s">
        <v>15</v>
      </c>
      <c r="D2539" s="7">
        <v>0.1515</v>
      </c>
      <c r="E2539" s="7">
        <f t="shared" si="273"/>
        <v>1.2624999999999999E-2</v>
      </c>
      <c r="F2539" s="5">
        <v>44455</v>
      </c>
      <c r="G2539" s="5">
        <v>2958465</v>
      </c>
      <c r="H2539" s="8">
        <f t="shared" si="271"/>
        <v>2914010</v>
      </c>
      <c r="I2539" s="5">
        <v>2958465</v>
      </c>
      <c r="J2539" s="5">
        <v>44456</v>
      </c>
      <c r="K2539" s="8">
        <f t="shared" si="272"/>
        <v>1</v>
      </c>
      <c r="L2539" s="6">
        <v>1253.44</v>
      </c>
      <c r="M2539" s="9">
        <f t="shared" si="270"/>
        <v>15.824679999999999</v>
      </c>
      <c r="N2539" s="6">
        <v>1253.44</v>
      </c>
      <c r="O2539" s="6">
        <v>0</v>
      </c>
    </row>
    <row r="2540" spans="1:15" ht="18.75" hidden="1" customHeight="1" thickBot="1" x14ac:dyDescent="0.3">
      <c r="A2540" s="3" t="s">
        <v>11</v>
      </c>
      <c r="B2540" s="4">
        <v>58422</v>
      </c>
      <c r="C2540" s="3" t="s">
        <v>22</v>
      </c>
      <c r="D2540" s="7">
        <v>7.7499999999999999E-2</v>
      </c>
      <c r="E2540" s="7">
        <f t="shared" si="273"/>
        <v>6.4583333333333333E-3</v>
      </c>
      <c r="F2540" s="5">
        <v>45971</v>
      </c>
      <c r="G2540" s="5">
        <v>2958465</v>
      </c>
      <c r="H2540" s="8">
        <f t="shared" si="271"/>
        <v>2912494</v>
      </c>
      <c r="I2540" s="5">
        <v>2958465</v>
      </c>
      <c r="J2540" s="5">
        <v>45973</v>
      </c>
      <c r="K2540" s="8">
        <f t="shared" si="272"/>
        <v>2</v>
      </c>
      <c r="L2540" s="6">
        <v>935.98</v>
      </c>
      <c r="M2540" s="9">
        <f t="shared" si="270"/>
        <v>6.0448708333333334</v>
      </c>
      <c r="N2540" s="6">
        <v>935.98</v>
      </c>
      <c r="O2540" s="6">
        <v>935.98</v>
      </c>
    </row>
    <row r="2541" spans="1:15" ht="18.75" hidden="1" customHeight="1" thickBot="1" x14ac:dyDescent="0.3">
      <c r="A2541" s="3" t="s">
        <v>11</v>
      </c>
      <c r="B2541" s="4">
        <v>806085</v>
      </c>
      <c r="C2541" s="3" t="s">
        <v>22</v>
      </c>
      <c r="D2541" s="7">
        <v>0.08</v>
      </c>
      <c r="E2541" s="7">
        <f t="shared" si="273"/>
        <v>6.6666666666666671E-3</v>
      </c>
      <c r="F2541" s="5">
        <v>41725</v>
      </c>
      <c r="G2541" s="5">
        <v>2958465</v>
      </c>
      <c r="H2541" s="8">
        <f t="shared" si="271"/>
        <v>2916740</v>
      </c>
      <c r="I2541" s="5">
        <v>2958465</v>
      </c>
      <c r="J2541" s="5">
        <v>41729</v>
      </c>
      <c r="K2541" s="8">
        <f t="shared" si="272"/>
        <v>4</v>
      </c>
      <c r="L2541" s="6">
        <v>1056.8800000000001</v>
      </c>
      <c r="M2541" s="9">
        <f t="shared" si="270"/>
        <v>7.0458666666666678</v>
      </c>
      <c r="N2541" s="6">
        <v>1056.8800000000001</v>
      </c>
      <c r="O2541" s="6">
        <v>1056.8800000000001</v>
      </c>
    </row>
    <row r="2542" spans="1:15" ht="18.75" hidden="1" customHeight="1" thickBot="1" x14ac:dyDescent="0.3">
      <c r="A2542" s="3" t="s">
        <v>11</v>
      </c>
      <c r="B2542" s="4">
        <v>498322</v>
      </c>
      <c r="C2542" s="3" t="s">
        <v>22</v>
      </c>
      <c r="D2542" s="7">
        <v>0.08</v>
      </c>
      <c r="E2542" s="7">
        <f t="shared" si="273"/>
        <v>6.6666666666666671E-3</v>
      </c>
      <c r="F2542" s="5">
        <v>43738</v>
      </c>
      <c r="G2542" s="5">
        <v>2958465</v>
      </c>
      <c r="H2542" s="8">
        <f t="shared" si="271"/>
        <v>2914727</v>
      </c>
      <c r="I2542" s="5">
        <v>2958465</v>
      </c>
      <c r="J2542" s="5">
        <v>43738</v>
      </c>
      <c r="K2542" s="8">
        <f t="shared" si="272"/>
        <v>0</v>
      </c>
      <c r="L2542" s="6">
        <v>845.96</v>
      </c>
      <c r="M2542" s="9">
        <f t="shared" si="270"/>
        <v>5.6397333333333339</v>
      </c>
      <c r="N2542" s="6">
        <v>845.96</v>
      </c>
      <c r="O2542" s="6">
        <v>177.94</v>
      </c>
    </row>
    <row r="2543" spans="1:15" ht="18.75" hidden="1" customHeight="1" thickBot="1" x14ac:dyDescent="0.3">
      <c r="A2543" s="3" t="s">
        <v>11</v>
      </c>
      <c r="B2543" s="4">
        <v>113391</v>
      </c>
      <c r="C2543" s="3" t="s">
        <v>22</v>
      </c>
      <c r="D2543" s="7">
        <v>9.9999999999999995E-7</v>
      </c>
      <c r="E2543" s="7">
        <f t="shared" si="273"/>
        <v>8.3333333333333325E-8</v>
      </c>
      <c r="F2543" s="5">
        <v>40164</v>
      </c>
      <c r="G2543" s="5">
        <v>2958465</v>
      </c>
      <c r="H2543" s="8">
        <f t="shared" si="271"/>
        <v>2918301</v>
      </c>
      <c r="I2543" s="5">
        <v>2958465</v>
      </c>
      <c r="J2543" s="5">
        <v>40261</v>
      </c>
      <c r="K2543" s="8">
        <f t="shared" si="272"/>
        <v>97</v>
      </c>
      <c r="L2543" s="6">
        <v>2050.37</v>
      </c>
      <c r="M2543" s="9">
        <f t="shared" si="270"/>
        <v>2.1163257641934746E-2</v>
      </c>
      <c r="N2543" s="6">
        <v>2050.37</v>
      </c>
      <c r="O2543" s="6">
        <v>0</v>
      </c>
    </row>
    <row r="2544" spans="1:15" ht="18.75" hidden="1" customHeight="1" thickBot="1" x14ac:dyDescent="0.3">
      <c r="A2544" s="3" t="s">
        <v>11</v>
      </c>
      <c r="B2544" s="4">
        <v>560745</v>
      </c>
      <c r="C2544" s="3" t="s">
        <v>22</v>
      </c>
      <c r="D2544" s="7">
        <v>0.08</v>
      </c>
      <c r="E2544" s="7">
        <f t="shared" si="273"/>
        <v>6.6666666666666671E-3</v>
      </c>
      <c r="F2544" s="5">
        <v>43089</v>
      </c>
      <c r="G2544" s="5">
        <v>2958465</v>
      </c>
      <c r="H2544" s="8">
        <f t="shared" si="271"/>
        <v>2915376</v>
      </c>
      <c r="I2544" s="5">
        <v>2958465</v>
      </c>
      <c r="J2544" s="5">
        <v>43091</v>
      </c>
      <c r="K2544" s="8">
        <f t="shared" si="272"/>
        <v>2</v>
      </c>
      <c r="L2544" s="6">
        <v>517.09</v>
      </c>
      <c r="M2544" s="9">
        <f t="shared" si="270"/>
        <v>3.4472666666666671</v>
      </c>
      <c r="N2544" s="6">
        <v>517.09</v>
      </c>
      <c r="O2544" s="6">
        <v>0</v>
      </c>
    </row>
    <row r="2545" spans="1:15" ht="18.75" hidden="1" customHeight="1" thickBot="1" x14ac:dyDescent="0.3">
      <c r="A2545" s="3" t="s">
        <v>11</v>
      </c>
      <c r="B2545" s="4">
        <v>109643</v>
      </c>
      <c r="C2545" s="3" t="s">
        <v>22</v>
      </c>
      <c r="D2545" s="7">
        <v>0.08</v>
      </c>
      <c r="E2545" s="7">
        <f t="shared" si="273"/>
        <v>6.6666666666666671E-3</v>
      </c>
      <c r="F2545" s="5">
        <v>41816</v>
      </c>
      <c r="G2545" s="5">
        <v>2958465</v>
      </c>
      <c r="H2545" s="8">
        <f t="shared" si="271"/>
        <v>2916649</v>
      </c>
      <c r="I2545" s="5">
        <v>2958465</v>
      </c>
      <c r="J2545" s="5">
        <v>41820</v>
      </c>
      <c r="K2545" s="8">
        <f t="shared" si="272"/>
        <v>4</v>
      </c>
      <c r="L2545" s="6">
        <v>7194.86</v>
      </c>
      <c r="M2545" s="9">
        <f t="shared" si="270"/>
        <v>47.965733333333333</v>
      </c>
      <c r="N2545" s="6">
        <v>7194.86</v>
      </c>
      <c r="O2545" s="6">
        <v>5605.39</v>
      </c>
    </row>
    <row r="2546" spans="1:15" ht="18.75" hidden="1" customHeight="1" thickBot="1" x14ac:dyDescent="0.3">
      <c r="A2546" s="3" t="s">
        <v>11</v>
      </c>
      <c r="B2546" s="4">
        <v>665941</v>
      </c>
      <c r="C2546" s="3" t="s">
        <v>22</v>
      </c>
      <c r="D2546" s="7">
        <v>0.08</v>
      </c>
      <c r="E2546" s="7">
        <f t="shared" si="273"/>
        <v>6.6666666666666671E-3</v>
      </c>
      <c r="F2546" s="5">
        <v>40893</v>
      </c>
      <c r="G2546" s="5">
        <v>2958465</v>
      </c>
      <c r="H2546" s="8">
        <f t="shared" si="271"/>
        <v>2917572</v>
      </c>
      <c r="I2546" s="5">
        <v>2958465</v>
      </c>
      <c r="J2546" s="5">
        <v>40900</v>
      </c>
      <c r="K2546" s="8">
        <f t="shared" si="272"/>
        <v>7</v>
      </c>
      <c r="L2546" s="6">
        <v>3091.63</v>
      </c>
      <c r="M2546" s="9">
        <f t="shared" si="270"/>
        <v>20.61086666666667</v>
      </c>
      <c r="N2546" s="6">
        <v>3091.63</v>
      </c>
      <c r="O2546" s="6">
        <v>0</v>
      </c>
    </row>
    <row r="2547" spans="1:15" ht="18.75" hidden="1" customHeight="1" thickBot="1" x14ac:dyDescent="0.3">
      <c r="A2547" s="3" t="s">
        <v>11</v>
      </c>
      <c r="B2547" s="4">
        <v>733742</v>
      </c>
      <c r="C2547" s="3" t="s">
        <v>22</v>
      </c>
      <c r="D2547" s="7">
        <v>0.08</v>
      </c>
      <c r="E2547" s="7">
        <f t="shared" si="273"/>
        <v>6.6666666666666671E-3</v>
      </c>
      <c r="F2547" s="5">
        <v>41247</v>
      </c>
      <c r="G2547" s="5">
        <v>2958465</v>
      </c>
      <c r="H2547" s="8">
        <f t="shared" si="271"/>
        <v>2917218</v>
      </c>
      <c r="I2547" s="5">
        <v>2958465</v>
      </c>
      <c r="J2547" s="5">
        <v>41270</v>
      </c>
      <c r="K2547" s="8">
        <f t="shared" si="272"/>
        <v>23</v>
      </c>
      <c r="L2547" s="6">
        <v>1130.54</v>
      </c>
      <c r="M2547" s="9">
        <f t="shared" si="270"/>
        <v>7.5369333333333337</v>
      </c>
      <c r="N2547" s="6">
        <v>1091.54</v>
      </c>
      <c r="O2547" s="6">
        <v>869.34</v>
      </c>
    </row>
    <row r="2548" spans="1:15" ht="18.75" hidden="1" customHeight="1" thickBot="1" x14ac:dyDescent="0.3">
      <c r="A2548" s="3" t="s">
        <v>11</v>
      </c>
      <c r="B2548" s="4">
        <v>220836</v>
      </c>
      <c r="C2548" s="3" t="s">
        <v>22</v>
      </c>
      <c r="D2548" s="7">
        <v>0.08</v>
      </c>
      <c r="E2548" s="7">
        <f t="shared" si="273"/>
        <v>6.6666666666666671E-3</v>
      </c>
      <c r="F2548" s="5">
        <v>40253</v>
      </c>
      <c r="G2548" s="5">
        <v>2958465</v>
      </c>
      <c r="H2548" s="8">
        <f t="shared" si="271"/>
        <v>2918212</v>
      </c>
      <c r="I2548" s="5">
        <v>2958465</v>
      </c>
      <c r="J2548" s="5">
        <v>40259</v>
      </c>
      <c r="K2548" s="8">
        <f t="shared" si="272"/>
        <v>6</v>
      </c>
      <c r="L2548" s="6">
        <v>2042.9</v>
      </c>
      <c r="M2548" s="9">
        <f t="shared" si="270"/>
        <v>13.619333333333335</v>
      </c>
      <c r="N2548" s="6">
        <v>2042.9</v>
      </c>
      <c r="O2548" s="6">
        <v>50</v>
      </c>
    </row>
    <row r="2549" spans="1:15" ht="18.75" hidden="1" customHeight="1" thickBot="1" x14ac:dyDescent="0.3">
      <c r="A2549" s="3" t="s">
        <v>11</v>
      </c>
      <c r="B2549" s="4">
        <v>266054</v>
      </c>
      <c r="C2549" s="3" t="s">
        <v>22</v>
      </c>
      <c r="D2549" s="7">
        <v>0.08</v>
      </c>
      <c r="E2549" s="7">
        <f t="shared" si="273"/>
        <v>6.6666666666666671E-3</v>
      </c>
      <c r="F2549" s="5">
        <v>40501</v>
      </c>
      <c r="G2549" s="5">
        <v>2958465</v>
      </c>
      <c r="H2549" s="8">
        <f t="shared" si="271"/>
        <v>2917964</v>
      </c>
      <c r="I2549" s="5">
        <v>2958465</v>
      </c>
      <c r="J2549" s="5">
        <v>40533</v>
      </c>
      <c r="K2549" s="8">
        <f t="shared" si="272"/>
        <v>32</v>
      </c>
      <c r="L2549" s="6">
        <v>1705.82</v>
      </c>
      <c r="M2549" s="9">
        <f t="shared" si="270"/>
        <v>11.372133333333334</v>
      </c>
      <c r="N2549" s="6">
        <v>1705.81</v>
      </c>
      <c r="O2549" s="6">
        <v>875</v>
      </c>
    </row>
    <row r="2550" spans="1:15" ht="18.75" hidden="1" customHeight="1" thickBot="1" x14ac:dyDescent="0.3">
      <c r="A2550" s="3" t="s">
        <v>11</v>
      </c>
      <c r="B2550" s="4">
        <v>42818</v>
      </c>
      <c r="C2550" s="3" t="s">
        <v>22</v>
      </c>
      <c r="D2550" s="7">
        <v>0.08</v>
      </c>
      <c r="E2550" s="7">
        <f t="shared" si="273"/>
        <v>6.6666666666666671E-3</v>
      </c>
      <c r="F2550" s="5">
        <v>43955</v>
      </c>
      <c r="G2550" s="5">
        <v>2958465</v>
      </c>
      <c r="H2550" s="8">
        <f t="shared" si="271"/>
        <v>2914510</v>
      </c>
      <c r="I2550" s="5">
        <v>2958465</v>
      </c>
      <c r="J2550" s="5">
        <v>43977</v>
      </c>
      <c r="K2550" s="8">
        <f t="shared" si="272"/>
        <v>22</v>
      </c>
      <c r="L2550" s="6">
        <v>1152.6600000000001</v>
      </c>
      <c r="M2550" s="9">
        <f t="shared" si="270"/>
        <v>7.684400000000001</v>
      </c>
      <c r="N2550" s="6">
        <v>1152.6600000000001</v>
      </c>
      <c r="O2550" s="6">
        <v>0</v>
      </c>
    </row>
    <row r="2551" spans="1:15" ht="18.75" hidden="1" customHeight="1" thickBot="1" x14ac:dyDescent="0.3">
      <c r="A2551" s="3" t="s">
        <v>11</v>
      </c>
      <c r="B2551" s="4">
        <v>496361</v>
      </c>
      <c r="C2551" s="3" t="s">
        <v>22</v>
      </c>
      <c r="D2551" s="7">
        <v>0.08</v>
      </c>
      <c r="E2551" s="7">
        <f t="shared" si="273"/>
        <v>6.6666666666666671E-3</v>
      </c>
      <c r="F2551" s="5">
        <v>41815</v>
      </c>
      <c r="G2551" s="5">
        <v>2958465</v>
      </c>
      <c r="H2551" s="8">
        <f t="shared" si="271"/>
        <v>2916650</v>
      </c>
      <c r="I2551" s="5">
        <v>2958465</v>
      </c>
      <c r="J2551" s="5">
        <v>41817</v>
      </c>
      <c r="K2551" s="8">
        <f t="shared" si="272"/>
        <v>2</v>
      </c>
      <c r="L2551" s="6">
        <v>1593.49</v>
      </c>
      <c r="M2551" s="9">
        <f t="shared" si="270"/>
        <v>10.623266666666668</v>
      </c>
      <c r="N2551" s="6">
        <v>1593.49</v>
      </c>
      <c r="O2551" s="6">
        <v>95</v>
      </c>
    </row>
    <row r="2552" spans="1:15" ht="18.75" hidden="1" customHeight="1" thickBot="1" x14ac:dyDescent="0.3">
      <c r="A2552" s="3" t="s">
        <v>11</v>
      </c>
      <c r="B2552" s="4">
        <v>241283</v>
      </c>
      <c r="C2552" s="3" t="s">
        <v>22</v>
      </c>
      <c r="D2552" s="7">
        <v>0.08</v>
      </c>
      <c r="E2552" s="7">
        <f t="shared" si="273"/>
        <v>6.6666666666666671E-3</v>
      </c>
      <c r="F2552" s="5">
        <v>40252</v>
      </c>
      <c r="G2552" s="5">
        <v>2958465</v>
      </c>
      <c r="H2552" s="8">
        <f t="shared" si="271"/>
        <v>2918213</v>
      </c>
      <c r="I2552" s="5">
        <v>2958465</v>
      </c>
      <c r="J2552" s="5">
        <v>40259</v>
      </c>
      <c r="K2552" s="8">
        <f t="shared" si="272"/>
        <v>7</v>
      </c>
      <c r="L2552" s="6">
        <v>1572.21</v>
      </c>
      <c r="M2552" s="9">
        <f t="shared" si="270"/>
        <v>10.481400000000001</v>
      </c>
      <c r="N2552" s="6">
        <v>1572.21</v>
      </c>
      <c r="O2552" s="6">
        <v>0</v>
      </c>
    </row>
    <row r="2553" spans="1:15" ht="18.75" hidden="1" customHeight="1" thickBot="1" x14ac:dyDescent="0.3">
      <c r="A2553" s="3" t="s">
        <v>11</v>
      </c>
      <c r="B2553" s="4">
        <v>903789</v>
      </c>
      <c r="C2553" s="3" t="s">
        <v>22</v>
      </c>
      <c r="D2553" s="7">
        <v>0.08</v>
      </c>
      <c r="E2553" s="7">
        <f t="shared" si="273"/>
        <v>6.6666666666666671E-3</v>
      </c>
      <c r="F2553" s="5">
        <v>40259</v>
      </c>
      <c r="G2553" s="5">
        <v>2958465</v>
      </c>
      <c r="H2553" s="8">
        <f t="shared" si="271"/>
        <v>2918206</v>
      </c>
      <c r="I2553" s="5">
        <v>2958465</v>
      </c>
      <c r="J2553" s="5">
        <v>40262</v>
      </c>
      <c r="K2553" s="8">
        <f t="shared" si="272"/>
        <v>3</v>
      </c>
      <c r="L2553" s="6">
        <v>393.23</v>
      </c>
      <c r="M2553" s="9">
        <f t="shared" si="270"/>
        <v>2.6215333333333337</v>
      </c>
      <c r="N2553" s="6">
        <v>393.23</v>
      </c>
      <c r="O2553" s="6">
        <v>0</v>
      </c>
    </row>
    <row r="2554" spans="1:15" ht="18.75" hidden="1" customHeight="1" thickBot="1" x14ac:dyDescent="0.3">
      <c r="A2554" s="3" t="s">
        <v>11</v>
      </c>
      <c r="B2554" s="4">
        <v>616315</v>
      </c>
      <c r="C2554" s="3" t="s">
        <v>15</v>
      </c>
      <c r="D2554" s="7">
        <v>0.1515</v>
      </c>
      <c r="E2554" s="7">
        <f t="shared" si="273"/>
        <v>1.2624999999999999E-2</v>
      </c>
      <c r="F2554" s="5">
        <v>44413</v>
      </c>
      <c r="G2554" s="5">
        <v>2958465</v>
      </c>
      <c r="H2554" s="8">
        <f t="shared" si="271"/>
        <v>2914052</v>
      </c>
      <c r="I2554" s="5">
        <v>2958465</v>
      </c>
      <c r="J2554" s="5">
        <v>44414</v>
      </c>
      <c r="K2554" s="8">
        <f t="shared" si="272"/>
        <v>1</v>
      </c>
      <c r="L2554" s="6">
        <v>1572.61</v>
      </c>
      <c r="M2554" s="9">
        <f t="shared" si="270"/>
        <v>19.854201249999996</v>
      </c>
      <c r="N2554" s="6">
        <v>1572.61</v>
      </c>
      <c r="O2554" s="6">
        <v>0</v>
      </c>
    </row>
    <row r="2555" spans="1:15" ht="18.75" hidden="1" customHeight="1" thickBot="1" x14ac:dyDescent="0.3">
      <c r="A2555" s="3" t="s">
        <v>11</v>
      </c>
      <c r="B2555" s="4">
        <v>438030</v>
      </c>
      <c r="C2555" s="3" t="s">
        <v>22</v>
      </c>
      <c r="D2555" s="7">
        <v>0.08</v>
      </c>
      <c r="E2555" s="7">
        <f t="shared" si="273"/>
        <v>6.6666666666666671E-3</v>
      </c>
      <c r="F2555" s="5">
        <v>40248</v>
      </c>
      <c r="G2555" s="5">
        <v>2958465</v>
      </c>
      <c r="H2555" s="8">
        <f t="shared" si="271"/>
        <v>2918217</v>
      </c>
      <c r="I2555" s="5">
        <v>2958465</v>
      </c>
      <c r="J2555" s="5">
        <v>40259</v>
      </c>
      <c r="K2555" s="8">
        <f t="shared" si="272"/>
        <v>11</v>
      </c>
      <c r="L2555" s="6">
        <v>5898.29</v>
      </c>
      <c r="M2555" s="9">
        <f t="shared" si="270"/>
        <v>39.321933333333334</v>
      </c>
      <c r="N2555" s="6">
        <v>5898.29</v>
      </c>
      <c r="O2555" s="6">
        <v>300</v>
      </c>
    </row>
    <row r="2556" spans="1:15" ht="18.75" hidden="1" customHeight="1" thickBot="1" x14ac:dyDescent="0.3">
      <c r="A2556" s="3" t="s">
        <v>11</v>
      </c>
      <c r="B2556" s="4">
        <v>847671</v>
      </c>
      <c r="C2556" s="3" t="s">
        <v>22</v>
      </c>
      <c r="D2556" s="7">
        <v>0.08</v>
      </c>
      <c r="E2556" s="7">
        <f t="shared" si="273"/>
        <v>6.6666666666666671E-3</v>
      </c>
      <c r="F2556" s="5">
        <v>40353</v>
      </c>
      <c r="G2556" s="5">
        <v>2958465</v>
      </c>
      <c r="H2556" s="8">
        <f t="shared" si="271"/>
        <v>2918112</v>
      </c>
      <c r="I2556" s="5">
        <v>2958465</v>
      </c>
      <c r="J2556" s="5">
        <v>40358</v>
      </c>
      <c r="K2556" s="8">
        <f t="shared" si="272"/>
        <v>5</v>
      </c>
      <c r="L2556" s="6">
        <v>859.98</v>
      </c>
      <c r="M2556" s="9">
        <f t="shared" si="270"/>
        <v>5.7332000000000001</v>
      </c>
      <c r="N2556" s="6">
        <v>859.98</v>
      </c>
      <c r="O2556" s="6">
        <v>0</v>
      </c>
    </row>
    <row r="2557" spans="1:15" ht="18.75" hidden="1" customHeight="1" thickBot="1" x14ac:dyDescent="0.3">
      <c r="A2557" s="3" t="s">
        <v>11</v>
      </c>
      <c r="B2557" s="4">
        <v>288097</v>
      </c>
      <c r="C2557" s="3" t="s">
        <v>22</v>
      </c>
      <c r="D2557" s="7">
        <v>7.2499999999999995E-2</v>
      </c>
      <c r="E2557" s="7">
        <f t="shared" si="273"/>
        <v>6.0416666666666665E-3</v>
      </c>
      <c r="F2557" s="5">
        <v>45723</v>
      </c>
      <c r="G2557" s="5">
        <v>2958465</v>
      </c>
      <c r="H2557" s="8">
        <f t="shared" si="271"/>
        <v>2912742</v>
      </c>
      <c r="I2557" s="5">
        <v>2958465</v>
      </c>
      <c r="J2557" s="5">
        <v>45726</v>
      </c>
      <c r="K2557" s="8">
        <f t="shared" si="272"/>
        <v>3</v>
      </c>
      <c r="L2557" s="6">
        <v>1526.57</v>
      </c>
      <c r="M2557" s="9">
        <f t="shared" si="270"/>
        <v>9.2230270833333332</v>
      </c>
      <c r="N2557" s="6">
        <v>1526.57</v>
      </c>
      <c r="O2557" s="6">
        <v>0</v>
      </c>
    </row>
    <row r="2558" spans="1:15" ht="18.75" hidden="1" customHeight="1" thickBot="1" x14ac:dyDescent="0.3">
      <c r="A2558" s="3" t="s">
        <v>11</v>
      </c>
      <c r="B2558" s="4">
        <v>682660</v>
      </c>
      <c r="C2558" s="3" t="s">
        <v>22</v>
      </c>
      <c r="D2558" s="7">
        <v>1.0000000000000001E-5</v>
      </c>
      <c r="E2558" s="7">
        <f t="shared" si="273"/>
        <v>8.3333333333333344E-7</v>
      </c>
      <c r="F2558" s="5">
        <v>42849</v>
      </c>
      <c r="G2558" s="5">
        <v>2958465</v>
      </c>
      <c r="H2558" s="8">
        <f t="shared" si="271"/>
        <v>2915616</v>
      </c>
      <c r="I2558" s="5">
        <v>2958465</v>
      </c>
      <c r="J2558" s="5">
        <v>42856</v>
      </c>
      <c r="K2558" s="8">
        <f t="shared" si="272"/>
        <v>7</v>
      </c>
      <c r="L2558" s="6">
        <v>1061.73</v>
      </c>
      <c r="M2558" s="9">
        <f t="shared" si="270"/>
        <v>1.1372949618362493E-2</v>
      </c>
      <c r="N2558" s="6">
        <v>1061.73</v>
      </c>
      <c r="O2558" s="6">
        <v>0</v>
      </c>
    </row>
    <row r="2559" spans="1:15" ht="18.75" hidden="1" customHeight="1" thickBot="1" x14ac:dyDescent="0.3">
      <c r="A2559" s="3" t="s">
        <v>11</v>
      </c>
      <c r="B2559" s="4">
        <v>752018</v>
      </c>
      <c r="C2559" s="3" t="s">
        <v>22</v>
      </c>
      <c r="D2559" s="7">
        <v>0.08</v>
      </c>
      <c r="E2559" s="7">
        <f t="shared" si="273"/>
        <v>6.6666666666666671E-3</v>
      </c>
      <c r="F2559" s="5">
        <v>40627</v>
      </c>
      <c r="G2559" s="5">
        <v>2958465</v>
      </c>
      <c r="H2559" s="8">
        <f t="shared" si="271"/>
        <v>2917838</v>
      </c>
      <c r="I2559" s="5">
        <v>2958465</v>
      </c>
      <c r="J2559" s="5">
        <v>40630</v>
      </c>
      <c r="K2559" s="8">
        <f t="shared" si="272"/>
        <v>3</v>
      </c>
      <c r="L2559" s="6">
        <v>390.65</v>
      </c>
      <c r="M2559" s="9">
        <f t="shared" si="270"/>
        <v>2.6043333333333334</v>
      </c>
      <c r="N2559" s="6">
        <v>390.65</v>
      </c>
      <c r="O2559" s="6">
        <v>40</v>
      </c>
    </row>
    <row r="2560" spans="1:15" ht="18.75" hidden="1" customHeight="1" thickBot="1" x14ac:dyDescent="0.3">
      <c r="A2560" s="3" t="s">
        <v>11</v>
      </c>
      <c r="B2560" s="4">
        <v>115098</v>
      </c>
      <c r="C2560" s="3" t="s">
        <v>22</v>
      </c>
      <c r="D2560" s="7">
        <v>0.08</v>
      </c>
      <c r="E2560" s="7">
        <f t="shared" si="273"/>
        <v>6.6666666666666671E-3</v>
      </c>
      <c r="F2560" s="5">
        <v>40455</v>
      </c>
      <c r="G2560" s="5">
        <v>2958465</v>
      </c>
      <c r="H2560" s="8">
        <f t="shared" si="271"/>
        <v>2918010</v>
      </c>
      <c r="I2560" s="5">
        <v>2958465</v>
      </c>
      <c r="J2560" s="5">
        <v>40469</v>
      </c>
      <c r="K2560" s="8">
        <f t="shared" si="272"/>
        <v>14</v>
      </c>
      <c r="L2560" s="6">
        <v>3840.27</v>
      </c>
      <c r="M2560" s="9">
        <f t="shared" si="270"/>
        <v>25.601800000000001</v>
      </c>
      <c r="N2560" s="6">
        <v>3840.27</v>
      </c>
      <c r="O2560" s="6">
        <v>710.4</v>
      </c>
    </row>
    <row r="2561" spans="1:15" ht="18.75" hidden="1" customHeight="1" thickBot="1" x14ac:dyDescent="0.3">
      <c r="A2561" s="3" t="s">
        <v>11</v>
      </c>
      <c r="B2561" s="4">
        <v>271291</v>
      </c>
      <c r="C2561" s="3" t="s">
        <v>22</v>
      </c>
      <c r="D2561" s="7">
        <v>0.08</v>
      </c>
      <c r="E2561" s="7">
        <f t="shared" si="273"/>
        <v>6.6666666666666671E-3</v>
      </c>
      <c r="F2561" s="5">
        <v>40532</v>
      </c>
      <c r="G2561" s="5">
        <v>2958465</v>
      </c>
      <c r="H2561" s="8">
        <f t="shared" si="271"/>
        <v>2917933</v>
      </c>
      <c r="I2561" s="5">
        <v>2958465</v>
      </c>
      <c r="J2561" s="5">
        <v>40540</v>
      </c>
      <c r="K2561" s="8">
        <f t="shared" si="272"/>
        <v>8</v>
      </c>
      <c r="L2561" s="6">
        <v>727.34</v>
      </c>
      <c r="M2561" s="9">
        <f t="shared" si="270"/>
        <v>4.848933333333334</v>
      </c>
      <c r="N2561" s="6">
        <v>3027.35</v>
      </c>
      <c r="O2561" s="6">
        <v>0</v>
      </c>
    </row>
    <row r="2562" spans="1:15" ht="18.75" hidden="1" customHeight="1" thickBot="1" x14ac:dyDescent="0.3">
      <c r="A2562" s="3" t="s">
        <v>11</v>
      </c>
      <c r="B2562" s="4">
        <v>421640</v>
      </c>
      <c r="C2562" s="3" t="s">
        <v>22</v>
      </c>
      <c r="D2562" s="7">
        <v>0.08</v>
      </c>
      <c r="E2562" s="7">
        <f t="shared" si="273"/>
        <v>6.6666666666666671E-3</v>
      </c>
      <c r="F2562" s="5">
        <v>43335</v>
      </c>
      <c r="G2562" s="5">
        <v>2958465</v>
      </c>
      <c r="H2562" s="8">
        <f t="shared" si="271"/>
        <v>2915130</v>
      </c>
      <c r="I2562" s="5">
        <v>2958465</v>
      </c>
      <c r="J2562" s="5">
        <v>43348</v>
      </c>
      <c r="K2562" s="8">
        <f t="shared" si="272"/>
        <v>13</v>
      </c>
      <c r="L2562" s="6">
        <v>1518.53</v>
      </c>
      <c r="M2562" s="9">
        <f t="shared" ref="M2562:M2625" si="274">-PMT(E2562,(H2562/30),L2562)</f>
        <v>10.123533333333334</v>
      </c>
      <c r="N2562" s="6">
        <v>1518.53</v>
      </c>
      <c r="O2562" s="6">
        <v>410.84</v>
      </c>
    </row>
    <row r="2563" spans="1:15" ht="18.75" hidden="1" customHeight="1" thickBot="1" x14ac:dyDescent="0.3">
      <c r="A2563" s="3" t="s">
        <v>11</v>
      </c>
      <c r="B2563" s="4">
        <v>267104</v>
      </c>
      <c r="C2563" s="3" t="s">
        <v>22</v>
      </c>
      <c r="D2563" s="7">
        <v>0.08</v>
      </c>
      <c r="E2563" s="7">
        <f t="shared" ref="E2563:E2626" si="275">D2563/12</f>
        <v>6.6666666666666671E-3</v>
      </c>
      <c r="F2563" s="5">
        <v>40459</v>
      </c>
      <c r="G2563" s="5">
        <v>2958465</v>
      </c>
      <c r="H2563" s="8">
        <f t="shared" ref="H2563:H2626" si="276">G2563-F2563</f>
        <v>2918006</v>
      </c>
      <c r="I2563" s="5">
        <v>2958465</v>
      </c>
      <c r="J2563" s="5">
        <v>40469</v>
      </c>
      <c r="K2563" s="8">
        <f t="shared" ref="K2563:K2626" si="277">J2563-F2563</f>
        <v>10</v>
      </c>
      <c r="L2563" s="6">
        <v>866.19</v>
      </c>
      <c r="M2563" s="9">
        <f t="shared" si="274"/>
        <v>5.7746000000000004</v>
      </c>
      <c r="N2563" s="6">
        <v>866.19</v>
      </c>
      <c r="O2563" s="6">
        <v>0</v>
      </c>
    </row>
    <row r="2564" spans="1:15" ht="18.75" hidden="1" customHeight="1" thickBot="1" x14ac:dyDescent="0.3">
      <c r="A2564" s="3" t="s">
        <v>11</v>
      </c>
      <c r="B2564" s="4">
        <v>337571</v>
      </c>
      <c r="C2564" s="3" t="s">
        <v>22</v>
      </c>
      <c r="D2564" s="7">
        <v>0.08</v>
      </c>
      <c r="E2564" s="7">
        <f t="shared" si="275"/>
        <v>6.6666666666666671E-3</v>
      </c>
      <c r="F2564" s="5">
        <v>40528</v>
      </c>
      <c r="G2564" s="5">
        <v>2958465</v>
      </c>
      <c r="H2564" s="8">
        <f t="shared" si="276"/>
        <v>2917937</v>
      </c>
      <c r="I2564" s="5">
        <v>2958465</v>
      </c>
      <c r="J2564" s="5">
        <v>40533</v>
      </c>
      <c r="K2564" s="8">
        <f t="shared" si="277"/>
        <v>5</v>
      </c>
      <c r="L2564" s="6">
        <v>589.33000000000004</v>
      </c>
      <c r="M2564" s="9">
        <f t="shared" si="274"/>
        <v>3.9288666666666674</v>
      </c>
      <c r="N2564" s="6">
        <v>589.33000000000004</v>
      </c>
      <c r="O2564" s="6">
        <v>100</v>
      </c>
    </row>
    <row r="2565" spans="1:15" ht="18.75" hidden="1" customHeight="1" thickBot="1" x14ac:dyDescent="0.3">
      <c r="A2565" s="3" t="s">
        <v>11</v>
      </c>
      <c r="B2565" s="4">
        <v>388095</v>
      </c>
      <c r="C2565" s="3" t="s">
        <v>22</v>
      </c>
      <c r="D2565" s="7">
        <v>0.08</v>
      </c>
      <c r="E2565" s="7">
        <f t="shared" si="275"/>
        <v>6.6666666666666671E-3</v>
      </c>
      <c r="F2565" s="5">
        <v>39507</v>
      </c>
      <c r="G2565" s="5">
        <v>2958465</v>
      </c>
      <c r="H2565" s="8">
        <f t="shared" si="276"/>
        <v>2918958</v>
      </c>
      <c r="I2565" s="5">
        <v>2958465</v>
      </c>
      <c r="J2565" s="5">
        <v>40345</v>
      </c>
      <c r="K2565" s="8">
        <f t="shared" si="277"/>
        <v>838</v>
      </c>
      <c r="L2565" s="6">
        <v>748.18</v>
      </c>
      <c r="M2565" s="9">
        <f t="shared" si="274"/>
        <v>4.9878666666666662</v>
      </c>
      <c r="N2565" s="6">
        <v>748.18</v>
      </c>
      <c r="O2565" s="6">
        <v>0</v>
      </c>
    </row>
    <row r="2566" spans="1:15" ht="18.75" hidden="1" customHeight="1" thickBot="1" x14ac:dyDescent="0.3">
      <c r="A2566" s="3" t="s">
        <v>11</v>
      </c>
      <c r="B2566" s="4">
        <v>797425</v>
      </c>
      <c r="C2566" s="3" t="s">
        <v>22</v>
      </c>
      <c r="D2566" s="7">
        <v>0.08</v>
      </c>
      <c r="E2566" s="7">
        <f t="shared" si="275"/>
        <v>6.6666666666666671E-3</v>
      </c>
      <c r="F2566" s="5">
        <v>43369</v>
      </c>
      <c r="G2566" s="5">
        <v>2958465</v>
      </c>
      <c r="H2566" s="8">
        <f t="shared" si="276"/>
        <v>2915096</v>
      </c>
      <c r="I2566" s="5">
        <v>2958465</v>
      </c>
      <c r="J2566" s="5">
        <v>43371</v>
      </c>
      <c r="K2566" s="8">
        <f t="shared" si="277"/>
        <v>2</v>
      </c>
      <c r="L2566" s="6">
        <v>3529.86</v>
      </c>
      <c r="M2566" s="9">
        <f t="shared" si="274"/>
        <v>23.532400000000003</v>
      </c>
      <c r="N2566" s="6">
        <v>3529.86</v>
      </c>
      <c r="O2566" s="6">
        <v>3529.86</v>
      </c>
    </row>
    <row r="2567" spans="1:15" ht="18.75" hidden="1" customHeight="1" thickBot="1" x14ac:dyDescent="0.3">
      <c r="A2567" s="3" t="s">
        <v>11</v>
      </c>
      <c r="B2567" s="4">
        <v>240043</v>
      </c>
      <c r="C2567" s="3" t="s">
        <v>22</v>
      </c>
      <c r="D2567" s="7">
        <v>0.08</v>
      </c>
      <c r="E2567" s="7">
        <f t="shared" si="275"/>
        <v>6.6666666666666671E-3</v>
      </c>
      <c r="F2567" s="5">
        <v>40528</v>
      </c>
      <c r="G2567" s="5">
        <v>2958465</v>
      </c>
      <c r="H2567" s="8">
        <f t="shared" si="276"/>
        <v>2917937</v>
      </c>
      <c r="I2567" s="5">
        <v>2958465</v>
      </c>
      <c r="J2567" s="5">
        <v>40533</v>
      </c>
      <c r="K2567" s="8">
        <f t="shared" si="277"/>
        <v>5</v>
      </c>
      <c r="L2567" s="6">
        <v>2583.15</v>
      </c>
      <c r="M2567" s="9">
        <f t="shared" si="274"/>
        <v>17.221</v>
      </c>
      <c r="N2567" s="6">
        <v>2583.15</v>
      </c>
      <c r="O2567" s="6">
        <v>0</v>
      </c>
    </row>
    <row r="2568" spans="1:15" ht="18.75" hidden="1" customHeight="1" thickBot="1" x14ac:dyDescent="0.3">
      <c r="A2568" s="3" t="s">
        <v>11</v>
      </c>
      <c r="B2568" s="4">
        <v>147212</v>
      </c>
      <c r="C2568" s="3" t="s">
        <v>22</v>
      </c>
      <c r="D2568" s="7">
        <v>0.08</v>
      </c>
      <c r="E2568" s="7">
        <f t="shared" si="275"/>
        <v>6.6666666666666671E-3</v>
      </c>
      <c r="F2568" s="5">
        <v>40455</v>
      </c>
      <c r="G2568" s="5">
        <v>2958465</v>
      </c>
      <c r="H2568" s="8">
        <f t="shared" si="276"/>
        <v>2918010</v>
      </c>
      <c r="I2568" s="5">
        <v>2958465</v>
      </c>
      <c r="J2568" s="5">
        <v>40469</v>
      </c>
      <c r="K2568" s="8">
        <f t="shared" si="277"/>
        <v>14</v>
      </c>
      <c r="L2568" s="6">
        <v>1081.56</v>
      </c>
      <c r="M2568" s="9">
        <f t="shared" si="274"/>
        <v>7.2103999999999999</v>
      </c>
      <c r="N2568" s="6">
        <v>1081.56</v>
      </c>
      <c r="O2568" s="6">
        <v>420</v>
      </c>
    </row>
    <row r="2569" spans="1:15" ht="18.75" hidden="1" customHeight="1" thickBot="1" x14ac:dyDescent="0.3">
      <c r="A2569" s="3" t="s">
        <v>11</v>
      </c>
      <c r="B2569" s="4">
        <v>841085</v>
      </c>
      <c r="C2569" s="3" t="s">
        <v>22</v>
      </c>
      <c r="D2569" s="7">
        <v>0.08</v>
      </c>
      <c r="E2569" s="7">
        <f t="shared" si="275"/>
        <v>6.6666666666666671E-3</v>
      </c>
      <c r="F2569" s="5">
        <v>40389</v>
      </c>
      <c r="G2569" s="5">
        <v>2958465</v>
      </c>
      <c r="H2569" s="8">
        <f t="shared" si="276"/>
        <v>2918076</v>
      </c>
      <c r="I2569" s="5">
        <v>2958465</v>
      </c>
      <c r="J2569" s="5">
        <v>40421</v>
      </c>
      <c r="K2569" s="8">
        <f t="shared" si="277"/>
        <v>32</v>
      </c>
      <c r="L2569" s="6">
        <v>1482.61</v>
      </c>
      <c r="M2569" s="9">
        <f t="shared" si="274"/>
        <v>9.8840666666666674</v>
      </c>
      <c r="N2569" s="6">
        <v>1482.61</v>
      </c>
      <c r="O2569" s="6">
        <v>0</v>
      </c>
    </row>
    <row r="2570" spans="1:15" ht="18.75" hidden="1" customHeight="1" thickBot="1" x14ac:dyDescent="0.3">
      <c r="A2570" s="3" t="s">
        <v>11</v>
      </c>
      <c r="B2570" s="4">
        <v>191615</v>
      </c>
      <c r="C2570" s="3" t="s">
        <v>22</v>
      </c>
      <c r="D2570" s="7">
        <v>0.08</v>
      </c>
      <c r="E2570" s="7">
        <f t="shared" si="275"/>
        <v>6.6666666666666671E-3</v>
      </c>
      <c r="F2570" s="5">
        <v>43917</v>
      </c>
      <c r="G2570" s="5">
        <v>2958465</v>
      </c>
      <c r="H2570" s="8">
        <f t="shared" si="276"/>
        <v>2914548</v>
      </c>
      <c r="I2570" s="5">
        <v>2958465</v>
      </c>
      <c r="J2570" s="5">
        <v>43920</v>
      </c>
      <c r="K2570" s="8">
        <f t="shared" si="277"/>
        <v>3</v>
      </c>
      <c r="L2570" s="6">
        <v>517.66999999999996</v>
      </c>
      <c r="M2570" s="9">
        <f t="shared" si="274"/>
        <v>3.4511333333333334</v>
      </c>
      <c r="N2570" s="6">
        <v>517.66999999999996</v>
      </c>
      <c r="O2570" s="6">
        <v>0</v>
      </c>
    </row>
    <row r="2571" spans="1:15" ht="18.75" hidden="1" customHeight="1" thickBot="1" x14ac:dyDescent="0.3">
      <c r="A2571" s="3" t="s">
        <v>11</v>
      </c>
      <c r="B2571" s="4">
        <v>700822</v>
      </c>
      <c r="C2571" s="3" t="s">
        <v>22</v>
      </c>
      <c r="D2571" s="7">
        <v>0.08</v>
      </c>
      <c r="E2571" s="7">
        <f t="shared" si="275"/>
        <v>6.6666666666666671E-3</v>
      </c>
      <c r="F2571" s="5">
        <v>41425</v>
      </c>
      <c r="G2571" s="5">
        <v>2958465</v>
      </c>
      <c r="H2571" s="8">
        <f t="shared" si="276"/>
        <v>2917040</v>
      </c>
      <c r="I2571" s="5">
        <v>2958465</v>
      </c>
      <c r="J2571" s="5">
        <v>41439</v>
      </c>
      <c r="K2571" s="8">
        <f t="shared" si="277"/>
        <v>14</v>
      </c>
      <c r="L2571" s="6">
        <v>1574.02</v>
      </c>
      <c r="M2571" s="9">
        <f t="shared" si="274"/>
        <v>10.493466666666666</v>
      </c>
      <c r="N2571" s="6">
        <v>1574.02</v>
      </c>
      <c r="O2571" s="6">
        <v>1080.94</v>
      </c>
    </row>
    <row r="2572" spans="1:15" ht="18.75" hidden="1" customHeight="1" thickBot="1" x14ac:dyDescent="0.3">
      <c r="A2572" s="3" t="s">
        <v>11</v>
      </c>
      <c r="B2572" s="4">
        <v>834899</v>
      </c>
      <c r="C2572" s="3" t="s">
        <v>22</v>
      </c>
      <c r="D2572" s="7">
        <v>0.08</v>
      </c>
      <c r="E2572" s="7">
        <f t="shared" si="275"/>
        <v>6.6666666666666671E-3</v>
      </c>
      <c r="F2572" s="5">
        <v>42242</v>
      </c>
      <c r="G2572" s="5">
        <v>2958465</v>
      </c>
      <c r="H2572" s="8">
        <f t="shared" si="276"/>
        <v>2916223</v>
      </c>
      <c r="I2572" s="5">
        <v>2958465</v>
      </c>
      <c r="J2572" s="5">
        <v>42247</v>
      </c>
      <c r="K2572" s="8">
        <f t="shared" si="277"/>
        <v>5</v>
      </c>
      <c r="L2572" s="6">
        <v>669.53</v>
      </c>
      <c r="M2572" s="9">
        <f t="shared" si="274"/>
        <v>4.4635333333333334</v>
      </c>
      <c r="N2572" s="6">
        <v>669.53</v>
      </c>
      <c r="O2572" s="6">
        <v>270.43</v>
      </c>
    </row>
    <row r="2573" spans="1:15" ht="18.75" hidden="1" customHeight="1" thickBot="1" x14ac:dyDescent="0.3">
      <c r="A2573" s="3" t="s">
        <v>11</v>
      </c>
      <c r="B2573" s="4">
        <v>986295</v>
      </c>
      <c r="C2573" s="3" t="s">
        <v>22</v>
      </c>
      <c r="D2573" s="7">
        <v>0.08</v>
      </c>
      <c r="E2573" s="7">
        <f t="shared" si="275"/>
        <v>6.6666666666666671E-3</v>
      </c>
      <c r="F2573" s="5">
        <v>40765</v>
      </c>
      <c r="G2573" s="5">
        <v>2958465</v>
      </c>
      <c r="H2573" s="8">
        <f t="shared" si="276"/>
        <v>2917700</v>
      </c>
      <c r="I2573" s="5">
        <v>2958465</v>
      </c>
      <c r="J2573" s="5">
        <v>40812</v>
      </c>
      <c r="K2573" s="8">
        <f t="shared" si="277"/>
        <v>47</v>
      </c>
      <c r="L2573" s="6">
        <v>2342.54</v>
      </c>
      <c r="M2573" s="9">
        <f t="shared" si="274"/>
        <v>15.616933333333334</v>
      </c>
      <c r="N2573" s="6">
        <v>2342.54</v>
      </c>
      <c r="O2573" s="6">
        <v>577.37</v>
      </c>
    </row>
    <row r="2574" spans="1:15" ht="18.75" hidden="1" customHeight="1" thickBot="1" x14ac:dyDescent="0.3">
      <c r="A2574" s="3" t="s">
        <v>11</v>
      </c>
      <c r="B2574" s="4">
        <v>362396</v>
      </c>
      <c r="C2574" s="3" t="s">
        <v>22</v>
      </c>
      <c r="D2574" s="7">
        <v>7.0000000000000007E-2</v>
      </c>
      <c r="E2574" s="7">
        <f t="shared" si="275"/>
        <v>5.8333333333333336E-3</v>
      </c>
      <c r="F2574" s="5">
        <v>45635</v>
      </c>
      <c r="G2574" s="5">
        <v>2958465</v>
      </c>
      <c r="H2574" s="8">
        <f t="shared" si="276"/>
        <v>2912830</v>
      </c>
      <c r="I2574" s="5">
        <v>2958465</v>
      </c>
      <c r="J2574" s="5">
        <v>45637</v>
      </c>
      <c r="K2574" s="8">
        <f t="shared" si="277"/>
        <v>2</v>
      </c>
      <c r="L2574" s="6">
        <v>2136.19</v>
      </c>
      <c r="M2574" s="9">
        <f t="shared" si="274"/>
        <v>12.461108333333334</v>
      </c>
      <c r="N2574" s="6">
        <v>2136.19</v>
      </c>
      <c r="O2574" s="6">
        <v>95.36</v>
      </c>
    </row>
    <row r="2575" spans="1:15" ht="18.75" hidden="1" customHeight="1" thickBot="1" x14ac:dyDescent="0.3">
      <c r="A2575" s="3" t="s">
        <v>11</v>
      </c>
      <c r="B2575" s="4">
        <v>674800</v>
      </c>
      <c r="C2575" s="3" t="s">
        <v>22</v>
      </c>
      <c r="D2575" s="7">
        <v>0.08</v>
      </c>
      <c r="E2575" s="7">
        <f t="shared" si="275"/>
        <v>6.6666666666666671E-3</v>
      </c>
      <c r="F2575" s="5">
        <v>43255</v>
      </c>
      <c r="G2575" s="5">
        <v>2958465</v>
      </c>
      <c r="H2575" s="8">
        <f t="shared" si="276"/>
        <v>2915210</v>
      </c>
      <c r="I2575" s="5">
        <v>2958465</v>
      </c>
      <c r="J2575" s="5">
        <v>43256</v>
      </c>
      <c r="K2575" s="8">
        <f t="shared" si="277"/>
        <v>1</v>
      </c>
      <c r="L2575" s="6">
        <v>169.12</v>
      </c>
      <c r="M2575" s="9">
        <f t="shared" si="274"/>
        <v>1.1274666666666668</v>
      </c>
      <c r="N2575" s="6">
        <v>169.12</v>
      </c>
      <c r="O2575" s="6">
        <v>0</v>
      </c>
    </row>
    <row r="2576" spans="1:15" ht="18.75" hidden="1" customHeight="1" thickBot="1" x14ac:dyDescent="0.3">
      <c r="A2576" s="3" t="s">
        <v>11</v>
      </c>
      <c r="B2576" s="4">
        <v>75640</v>
      </c>
      <c r="C2576" s="3" t="s">
        <v>22</v>
      </c>
      <c r="D2576" s="7">
        <v>0.08</v>
      </c>
      <c r="E2576" s="7">
        <f t="shared" si="275"/>
        <v>6.6666666666666671E-3</v>
      </c>
      <c r="F2576" s="5">
        <v>41815</v>
      </c>
      <c r="G2576" s="5">
        <v>2958465</v>
      </c>
      <c r="H2576" s="8">
        <f t="shared" si="276"/>
        <v>2916650</v>
      </c>
      <c r="I2576" s="5">
        <v>2958465</v>
      </c>
      <c r="J2576" s="5">
        <v>41817</v>
      </c>
      <c r="K2576" s="8">
        <f t="shared" si="277"/>
        <v>2</v>
      </c>
      <c r="L2576" s="6">
        <v>1122.92</v>
      </c>
      <c r="M2576" s="9">
        <f t="shared" si="274"/>
        <v>7.486133333333334</v>
      </c>
      <c r="N2576" s="6">
        <v>1122.92</v>
      </c>
      <c r="O2576" s="6">
        <v>59.76</v>
      </c>
    </row>
    <row r="2577" spans="1:15" ht="18.75" hidden="1" customHeight="1" thickBot="1" x14ac:dyDescent="0.3">
      <c r="A2577" s="3" t="s">
        <v>11</v>
      </c>
      <c r="B2577" s="4">
        <v>544710</v>
      </c>
      <c r="C2577" s="3" t="s">
        <v>22</v>
      </c>
      <c r="D2577" s="7">
        <v>0.08</v>
      </c>
      <c r="E2577" s="7">
        <f t="shared" si="275"/>
        <v>6.6666666666666671E-3</v>
      </c>
      <c r="F2577" s="5">
        <v>40455</v>
      </c>
      <c r="G2577" s="5">
        <v>2958465</v>
      </c>
      <c r="H2577" s="8">
        <f t="shared" si="276"/>
        <v>2918010</v>
      </c>
      <c r="I2577" s="5">
        <v>2958465</v>
      </c>
      <c r="J2577" s="5">
        <v>40469</v>
      </c>
      <c r="K2577" s="8">
        <f t="shared" si="277"/>
        <v>14</v>
      </c>
      <c r="L2577" s="6">
        <v>901.14</v>
      </c>
      <c r="M2577" s="9">
        <f t="shared" si="274"/>
        <v>6.0076000000000001</v>
      </c>
      <c r="N2577" s="6">
        <v>901.14</v>
      </c>
      <c r="O2577" s="6">
        <v>0</v>
      </c>
    </row>
    <row r="2578" spans="1:15" ht="18.75" hidden="1" customHeight="1" thickBot="1" x14ac:dyDescent="0.3">
      <c r="A2578" s="3" t="s">
        <v>11</v>
      </c>
      <c r="B2578" s="4">
        <v>140</v>
      </c>
      <c r="C2578" s="3" t="s">
        <v>22</v>
      </c>
      <c r="D2578" s="7">
        <v>0.08</v>
      </c>
      <c r="E2578" s="7">
        <f t="shared" si="275"/>
        <v>6.6666666666666671E-3</v>
      </c>
      <c r="F2578" s="5">
        <v>43490</v>
      </c>
      <c r="G2578" s="5">
        <v>2958465</v>
      </c>
      <c r="H2578" s="8">
        <f t="shared" si="276"/>
        <v>2914975</v>
      </c>
      <c r="I2578" s="5">
        <v>2958465</v>
      </c>
      <c r="J2578" s="5">
        <v>43495</v>
      </c>
      <c r="K2578" s="8">
        <f t="shared" si="277"/>
        <v>5</v>
      </c>
      <c r="L2578" s="6">
        <v>168.59</v>
      </c>
      <c r="M2578" s="9">
        <f t="shared" si="274"/>
        <v>1.1239333333333335</v>
      </c>
      <c r="N2578" s="6">
        <v>168.59</v>
      </c>
      <c r="O2578" s="6">
        <v>0</v>
      </c>
    </row>
    <row r="2579" spans="1:15" ht="18.75" hidden="1" customHeight="1" thickBot="1" x14ac:dyDescent="0.3">
      <c r="A2579" s="3" t="s">
        <v>11</v>
      </c>
      <c r="B2579" s="4">
        <v>162980</v>
      </c>
      <c r="C2579" s="3" t="s">
        <v>22</v>
      </c>
      <c r="D2579" s="7">
        <v>0.08</v>
      </c>
      <c r="E2579" s="7">
        <f t="shared" si="275"/>
        <v>6.6666666666666671E-3</v>
      </c>
      <c r="F2579" s="5">
        <v>40389</v>
      </c>
      <c r="G2579" s="5">
        <v>2958465</v>
      </c>
      <c r="H2579" s="8">
        <f t="shared" si="276"/>
        <v>2918076</v>
      </c>
      <c r="I2579" s="5">
        <v>2958465</v>
      </c>
      <c r="J2579" s="5">
        <v>40421</v>
      </c>
      <c r="K2579" s="8">
        <f t="shared" si="277"/>
        <v>32</v>
      </c>
      <c r="L2579" s="6">
        <v>1331.5</v>
      </c>
      <c r="M2579" s="9">
        <f t="shared" si="274"/>
        <v>8.8766666666666669</v>
      </c>
      <c r="N2579" s="6">
        <v>1331.5</v>
      </c>
      <c r="O2579" s="6">
        <v>0</v>
      </c>
    </row>
    <row r="2580" spans="1:15" ht="18.75" hidden="1" customHeight="1" thickBot="1" x14ac:dyDescent="0.3">
      <c r="A2580" s="3" t="s">
        <v>11</v>
      </c>
      <c r="B2580" s="4">
        <v>736797</v>
      </c>
      <c r="C2580" s="3" t="s">
        <v>22</v>
      </c>
      <c r="D2580" s="7">
        <v>0.08</v>
      </c>
      <c r="E2580" s="7">
        <f t="shared" si="275"/>
        <v>6.6666666666666671E-3</v>
      </c>
      <c r="F2580" s="5">
        <v>40150</v>
      </c>
      <c r="G2580" s="5">
        <v>2958465</v>
      </c>
      <c r="H2580" s="8">
        <f t="shared" si="276"/>
        <v>2918315</v>
      </c>
      <c r="I2580" s="5">
        <v>2958465</v>
      </c>
      <c r="J2580" s="5">
        <v>40246</v>
      </c>
      <c r="K2580" s="8">
        <f t="shared" si="277"/>
        <v>96</v>
      </c>
      <c r="L2580" s="6">
        <v>1946.92</v>
      </c>
      <c r="M2580" s="9">
        <f t="shared" si="274"/>
        <v>12.979466666666667</v>
      </c>
      <c r="N2580" s="6">
        <v>1946.92</v>
      </c>
      <c r="O2580" s="6">
        <v>0</v>
      </c>
    </row>
    <row r="2581" spans="1:15" ht="18.75" hidden="1" customHeight="1" thickBot="1" x14ac:dyDescent="0.3">
      <c r="A2581" s="3" t="s">
        <v>11</v>
      </c>
      <c r="B2581" s="4">
        <v>447741</v>
      </c>
      <c r="C2581" s="3" t="s">
        <v>22</v>
      </c>
      <c r="D2581" s="7">
        <v>0.08</v>
      </c>
      <c r="E2581" s="7">
        <f t="shared" si="275"/>
        <v>6.6666666666666671E-3</v>
      </c>
      <c r="F2581" s="5">
        <v>40168</v>
      </c>
      <c r="G2581" s="5">
        <v>2958465</v>
      </c>
      <c r="H2581" s="8">
        <f t="shared" si="276"/>
        <v>2918297</v>
      </c>
      <c r="I2581" s="5">
        <v>2958465</v>
      </c>
      <c r="J2581" s="5">
        <v>40219</v>
      </c>
      <c r="K2581" s="8">
        <f t="shared" si="277"/>
        <v>51</v>
      </c>
      <c r="L2581" s="6">
        <v>882.04</v>
      </c>
      <c r="M2581" s="9">
        <f t="shared" si="274"/>
        <v>5.8802666666666665</v>
      </c>
      <c r="N2581" s="6">
        <v>882.04</v>
      </c>
      <c r="O2581" s="6">
        <v>986.14</v>
      </c>
    </row>
    <row r="2582" spans="1:15" ht="18.75" hidden="1" customHeight="1" thickBot="1" x14ac:dyDescent="0.3">
      <c r="A2582" s="3" t="s">
        <v>11</v>
      </c>
      <c r="B2582" s="4">
        <v>802766</v>
      </c>
      <c r="C2582" s="3" t="s">
        <v>22</v>
      </c>
      <c r="D2582" s="7">
        <v>0.08</v>
      </c>
      <c r="E2582" s="7">
        <f t="shared" si="275"/>
        <v>6.6666666666666671E-3</v>
      </c>
      <c r="F2582" s="5">
        <v>41759</v>
      </c>
      <c r="G2582" s="5">
        <v>2958465</v>
      </c>
      <c r="H2582" s="8">
        <f t="shared" si="276"/>
        <v>2916706</v>
      </c>
      <c r="I2582" s="5">
        <v>2958465</v>
      </c>
      <c r="J2582" s="5">
        <v>41809</v>
      </c>
      <c r="K2582" s="8">
        <f t="shared" si="277"/>
        <v>50</v>
      </c>
      <c r="L2582" s="6">
        <v>1749.79</v>
      </c>
      <c r="M2582" s="9">
        <f t="shared" si="274"/>
        <v>11.665266666666668</v>
      </c>
      <c r="N2582" s="6">
        <v>1734.76</v>
      </c>
      <c r="O2582" s="6">
        <v>15</v>
      </c>
    </row>
    <row r="2583" spans="1:15" ht="18.75" hidden="1" customHeight="1" thickBot="1" x14ac:dyDescent="0.3">
      <c r="A2583" s="3" t="s">
        <v>11</v>
      </c>
      <c r="B2583" s="4">
        <v>17605</v>
      </c>
      <c r="C2583" s="3" t="s">
        <v>22</v>
      </c>
      <c r="D2583" s="7">
        <v>0.08</v>
      </c>
      <c r="E2583" s="7">
        <f t="shared" si="275"/>
        <v>6.6666666666666671E-3</v>
      </c>
      <c r="F2583" s="5">
        <v>42159</v>
      </c>
      <c r="G2583" s="5">
        <v>2958465</v>
      </c>
      <c r="H2583" s="8">
        <f t="shared" si="276"/>
        <v>2916306</v>
      </c>
      <c r="I2583" s="5">
        <v>2958465</v>
      </c>
      <c r="J2583" s="5">
        <v>42180</v>
      </c>
      <c r="K2583" s="8">
        <f t="shared" si="277"/>
        <v>21</v>
      </c>
      <c r="L2583" s="6">
        <v>4670.08</v>
      </c>
      <c r="M2583" s="9">
        <f t="shared" si="274"/>
        <v>31.13386666666667</v>
      </c>
      <c r="N2583" s="6">
        <v>4670.08</v>
      </c>
      <c r="O2583" s="6">
        <v>145.76</v>
      </c>
    </row>
    <row r="2584" spans="1:15" ht="18.75" hidden="1" customHeight="1" thickBot="1" x14ac:dyDescent="0.3">
      <c r="A2584" s="3" t="s">
        <v>11</v>
      </c>
      <c r="B2584" s="4">
        <v>74114</v>
      </c>
      <c r="C2584" s="3" t="s">
        <v>22</v>
      </c>
      <c r="D2584" s="7">
        <v>0.08</v>
      </c>
      <c r="E2584" s="7">
        <f t="shared" si="275"/>
        <v>6.6666666666666671E-3</v>
      </c>
      <c r="F2584" s="5">
        <v>40697</v>
      </c>
      <c r="G2584" s="5">
        <v>2958465</v>
      </c>
      <c r="H2584" s="8">
        <f t="shared" si="276"/>
        <v>2917768</v>
      </c>
      <c r="I2584" s="5">
        <v>2958465</v>
      </c>
      <c r="J2584" s="5">
        <v>40724</v>
      </c>
      <c r="K2584" s="8">
        <f t="shared" si="277"/>
        <v>27</v>
      </c>
      <c r="L2584" s="6">
        <v>318.66000000000003</v>
      </c>
      <c r="M2584" s="9">
        <f t="shared" si="274"/>
        <v>2.1244000000000005</v>
      </c>
      <c r="N2584" s="6">
        <v>246.01</v>
      </c>
      <c r="O2584" s="6">
        <v>136.01</v>
      </c>
    </row>
    <row r="2585" spans="1:15" ht="18.75" hidden="1" customHeight="1" thickBot="1" x14ac:dyDescent="0.3">
      <c r="A2585" s="3" t="s">
        <v>11</v>
      </c>
      <c r="B2585" s="4">
        <v>144741</v>
      </c>
      <c r="C2585" s="3" t="s">
        <v>22</v>
      </c>
      <c r="D2585" s="7">
        <v>6.7500000000000004E-2</v>
      </c>
      <c r="E2585" s="7">
        <f t="shared" si="275"/>
        <v>5.6250000000000007E-3</v>
      </c>
      <c r="F2585" s="5">
        <v>45264</v>
      </c>
      <c r="G2585" s="5">
        <v>2958465</v>
      </c>
      <c r="H2585" s="8">
        <f t="shared" si="276"/>
        <v>2913201</v>
      </c>
      <c r="I2585" s="5">
        <v>2958465</v>
      </c>
      <c r="J2585" s="5">
        <v>45266</v>
      </c>
      <c r="K2585" s="8">
        <f t="shared" si="277"/>
        <v>2</v>
      </c>
      <c r="L2585" s="6">
        <v>406.77</v>
      </c>
      <c r="M2585" s="9">
        <f t="shared" si="274"/>
        <v>2.2880812500000003</v>
      </c>
      <c r="N2585" s="6">
        <v>406.77</v>
      </c>
      <c r="O2585" s="6">
        <v>0</v>
      </c>
    </row>
    <row r="2586" spans="1:15" ht="18.75" hidden="1" customHeight="1" thickBot="1" x14ac:dyDescent="0.3">
      <c r="A2586" s="3" t="s">
        <v>11</v>
      </c>
      <c r="B2586" s="4">
        <v>688318</v>
      </c>
      <c r="C2586" s="3" t="s">
        <v>22</v>
      </c>
      <c r="D2586" s="7">
        <v>0.08</v>
      </c>
      <c r="E2586" s="7">
        <f t="shared" si="275"/>
        <v>6.6666666666666671E-3</v>
      </c>
      <c r="F2586" s="5">
        <v>40389</v>
      </c>
      <c r="G2586" s="5">
        <v>2958465</v>
      </c>
      <c r="H2586" s="8">
        <f t="shared" si="276"/>
        <v>2918076</v>
      </c>
      <c r="I2586" s="5">
        <v>2958465</v>
      </c>
      <c r="J2586" s="5">
        <v>40406</v>
      </c>
      <c r="K2586" s="8">
        <f t="shared" si="277"/>
        <v>17</v>
      </c>
      <c r="L2586" s="6">
        <v>2283.06</v>
      </c>
      <c r="M2586" s="9">
        <f t="shared" si="274"/>
        <v>15.220400000000001</v>
      </c>
      <c r="N2586" s="6">
        <v>2283.06</v>
      </c>
      <c r="O2586" s="6">
        <v>0</v>
      </c>
    </row>
    <row r="2587" spans="1:15" ht="18.75" hidden="1" customHeight="1" thickBot="1" x14ac:dyDescent="0.3">
      <c r="A2587" s="3" t="s">
        <v>11</v>
      </c>
      <c r="B2587" s="4">
        <v>572379</v>
      </c>
      <c r="C2587" s="3" t="s">
        <v>22</v>
      </c>
      <c r="D2587" s="7">
        <v>0.08</v>
      </c>
      <c r="E2587" s="7">
        <f t="shared" si="275"/>
        <v>6.6666666666666671E-3</v>
      </c>
      <c r="F2587" s="5">
        <v>40800</v>
      </c>
      <c r="G2587" s="5">
        <v>2958465</v>
      </c>
      <c r="H2587" s="8">
        <f t="shared" si="276"/>
        <v>2917665</v>
      </c>
      <c r="I2587" s="5">
        <v>2958465</v>
      </c>
      <c r="J2587" s="5">
        <v>40812</v>
      </c>
      <c r="K2587" s="8">
        <f t="shared" si="277"/>
        <v>12</v>
      </c>
      <c r="L2587" s="6">
        <v>4338.7700000000004</v>
      </c>
      <c r="M2587" s="9">
        <f t="shared" si="274"/>
        <v>28.925133333333338</v>
      </c>
      <c r="N2587" s="6">
        <v>4188.7700000000004</v>
      </c>
      <c r="O2587" s="6">
        <v>4438.1099999999997</v>
      </c>
    </row>
    <row r="2588" spans="1:15" ht="18.75" hidden="1" customHeight="1" thickBot="1" x14ac:dyDescent="0.3">
      <c r="A2588" s="3" t="s">
        <v>11</v>
      </c>
      <c r="B2588" s="4">
        <v>55746</v>
      </c>
      <c r="C2588" s="3" t="s">
        <v>22</v>
      </c>
      <c r="D2588" s="7">
        <v>0.08</v>
      </c>
      <c r="E2588" s="7">
        <f t="shared" si="275"/>
        <v>6.6666666666666671E-3</v>
      </c>
      <c r="F2588" s="5">
        <v>43955</v>
      </c>
      <c r="G2588" s="5">
        <v>2958465</v>
      </c>
      <c r="H2588" s="8">
        <f t="shared" si="276"/>
        <v>2914510</v>
      </c>
      <c r="I2588" s="5">
        <v>2958465</v>
      </c>
      <c r="J2588" s="5">
        <v>43977</v>
      </c>
      <c r="K2588" s="8">
        <f t="shared" si="277"/>
        <v>22</v>
      </c>
      <c r="L2588" s="6">
        <v>185.56</v>
      </c>
      <c r="M2588" s="9">
        <f t="shared" si="274"/>
        <v>1.2370666666666668</v>
      </c>
      <c r="N2588" s="6">
        <v>185.56</v>
      </c>
      <c r="O2588" s="6">
        <v>0</v>
      </c>
    </row>
    <row r="2589" spans="1:15" ht="18.75" hidden="1" customHeight="1" thickBot="1" x14ac:dyDescent="0.3">
      <c r="A2589" s="3" t="s">
        <v>11</v>
      </c>
      <c r="B2589" s="4">
        <v>760109</v>
      </c>
      <c r="C2589" s="3" t="s">
        <v>22</v>
      </c>
      <c r="D2589" s="7">
        <v>9.9999999999999995E-7</v>
      </c>
      <c r="E2589" s="7">
        <f t="shared" si="275"/>
        <v>8.3333333333333325E-8</v>
      </c>
      <c r="F2589" s="5">
        <v>43402</v>
      </c>
      <c r="G2589" s="5">
        <v>2958465</v>
      </c>
      <c r="H2589" s="8">
        <f t="shared" si="276"/>
        <v>2915063</v>
      </c>
      <c r="I2589" s="5">
        <v>2958465</v>
      </c>
      <c r="J2589" s="5">
        <v>43403</v>
      </c>
      <c r="K2589" s="8">
        <f t="shared" si="277"/>
        <v>1</v>
      </c>
      <c r="L2589" s="6">
        <v>505.74</v>
      </c>
      <c r="M2589" s="9">
        <f t="shared" si="274"/>
        <v>5.2258600235566737E-3</v>
      </c>
      <c r="N2589" s="6">
        <v>505.74</v>
      </c>
      <c r="O2589" s="6">
        <v>0</v>
      </c>
    </row>
    <row r="2590" spans="1:15" ht="18.75" hidden="1" customHeight="1" thickBot="1" x14ac:dyDescent="0.3">
      <c r="A2590" s="3" t="s">
        <v>11</v>
      </c>
      <c r="B2590" s="4">
        <v>421063</v>
      </c>
      <c r="C2590" s="3" t="s">
        <v>22</v>
      </c>
      <c r="D2590" s="7">
        <v>6.7500000000000004E-2</v>
      </c>
      <c r="E2590" s="7">
        <f t="shared" si="275"/>
        <v>5.6250000000000007E-3</v>
      </c>
      <c r="F2590" s="5">
        <v>45331</v>
      </c>
      <c r="G2590" s="5">
        <v>2958465</v>
      </c>
      <c r="H2590" s="8">
        <f t="shared" si="276"/>
        <v>2913134</v>
      </c>
      <c r="I2590" s="5">
        <v>2958465</v>
      </c>
      <c r="J2590" s="5">
        <v>45334</v>
      </c>
      <c r="K2590" s="8">
        <f t="shared" si="277"/>
        <v>3</v>
      </c>
      <c r="L2590" s="6">
        <v>2512.62</v>
      </c>
      <c r="M2590" s="9">
        <f t="shared" si="274"/>
        <v>14.133487500000001</v>
      </c>
      <c r="N2590" s="6">
        <v>2512.62</v>
      </c>
      <c r="O2590" s="6">
        <v>0</v>
      </c>
    </row>
    <row r="2591" spans="1:15" ht="18.75" hidden="1" customHeight="1" thickBot="1" x14ac:dyDescent="0.3">
      <c r="A2591" s="3" t="s">
        <v>11</v>
      </c>
      <c r="B2591" s="4">
        <v>906337</v>
      </c>
      <c r="C2591" s="3" t="s">
        <v>22</v>
      </c>
      <c r="D2591" s="7">
        <v>7.2499999999999995E-2</v>
      </c>
      <c r="E2591" s="7">
        <f t="shared" si="275"/>
        <v>6.0416666666666665E-3</v>
      </c>
      <c r="F2591" s="5">
        <v>45699</v>
      </c>
      <c r="G2591" s="5">
        <v>2958465</v>
      </c>
      <c r="H2591" s="8">
        <f t="shared" si="276"/>
        <v>2912766</v>
      </c>
      <c r="I2591" s="5">
        <v>2958465</v>
      </c>
      <c r="J2591" s="5">
        <v>45700</v>
      </c>
      <c r="K2591" s="8">
        <f t="shared" si="277"/>
        <v>1</v>
      </c>
      <c r="L2591" s="6">
        <v>1385.68</v>
      </c>
      <c r="M2591" s="9">
        <f t="shared" si="274"/>
        <v>8.3718166666666676</v>
      </c>
      <c r="N2591" s="6">
        <v>1385.68</v>
      </c>
      <c r="O2591" s="6">
        <v>821.27</v>
      </c>
    </row>
    <row r="2592" spans="1:15" ht="18.75" hidden="1" customHeight="1" thickBot="1" x14ac:dyDescent="0.3">
      <c r="A2592" s="3" t="s">
        <v>11</v>
      </c>
      <c r="B2592" s="4">
        <v>942884</v>
      </c>
      <c r="C2592" s="3" t="s">
        <v>22</v>
      </c>
      <c r="D2592" s="7">
        <v>0.08</v>
      </c>
      <c r="E2592" s="7">
        <f t="shared" si="275"/>
        <v>6.6666666666666671E-3</v>
      </c>
      <c r="F2592" s="5">
        <v>40893</v>
      </c>
      <c r="G2592" s="5">
        <v>2958465</v>
      </c>
      <c r="H2592" s="8">
        <f t="shared" si="276"/>
        <v>2917572</v>
      </c>
      <c r="I2592" s="5">
        <v>2958465</v>
      </c>
      <c r="J2592" s="5">
        <v>40900</v>
      </c>
      <c r="K2592" s="8">
        <f t="shared" si="277"/>
        <v>7</v>
      </c>
      <c r="L2592" s="6">
        <v>11037.88</v>
      </c>
      <c r="M2592" s="9">
        <f t="shared" si="274"/>
        <v>73.585866666666661</v>
      </c>
      <c r="N2592" s="6">
        <v>11037.88</v>
      </c>
      <c r="O2592" s="6">
        <v>0</v>
      </c>
    </row>
    <row r="2593" spans="1:15" ht="18.75" hidden="1" customHeight="1" thickBot="1" x14ac:dyDescent="0.3">
      <c r="A2593" s="3" t="s">
        <v>11</v>
      </c>
      <c r="B2593" s="4">
        <v>234183</v>
      </c>
      <c r="C2593" s="3" t="s">
        <v>22</v>
      </c>
      <c r="D2593" s="7">
        <v>0.08</v>
      </c>
      <c r="E2593" s="7">
        <f t="shared" si="275"/>
        <v>6.6666666666666671E-3</v>
      </c>
      <c r="F2593" s="5">
        <v>41152</v>
      </c>
      <c r="G2593" s="5">
        <v>2958465</v>
      </c>
      <c r="H2593" s="8">
        <f t="shared" si="276"/>
        <v>2917313</v>
      </c>
      <c r="I2593" s="5">
        <v>2958465</v>
      </c>
      <c r="J2593" s="5">
        <v>41157</v>
      </c>
      <c r="K2593" s="8">
        <f t="shared" si="277"/>
        <v>5</v>
      </c>
      <c r="L2593" s="6">
        <v>491.82</v>
      </c>
      <c r="M2593" s="9">
        <f t="shared" si="274"/>
        <v>3.2788000000000004</v>
      </c>
      <c r="N2593" s="6">
        <v>491.82</v>
      </c>
      <c r="O2593" s="6">
        <v>145.61000000000001</v>
      </c>
    </row>
    <row r="2594" spans="1:15" ht="18.75" hidden="1" customHeight="1" thickBot="1" x14ac:dyDescent="0.3">
      <c r="A2594" s="3" t="s">
        <v>11</v>
      </c>
      <c r="B2594" s="4">
        <v>810696</v>
      </c>
      <c r="C2594" s="3" t="s">
        <v>22</v>
      </c>
      <c r="D2594" s="7">
        <v>0.08</v>
      </c>
      <c r="E2594" s="7">
        <f t="shared" si="275"/>
        <v>6.6666666666666671E-3</v>
      </c>
      <c r="F2594" s="5">
        <v>40248</v>
      </c>
      <c r="G2594" s="5">
        <v>2958465</v>
      </c>
      <c r="H2594" s="8">
        <f t="shared" si="276"/>
        <v>2918217</v>
      </c>
      <c r="I2594" s="5">
        <v>2958465</v>
      </c>
      <c r="J2594" s="5">
        <v>40274</v>
      </c>
      <c r="K2594" s="8">
        <f t="shared" si="277"/>
        <v>26</v>
      </c>
      <c r="L2594" s="6">
        <v>1540.02</v>
      </c>
      <c r="M2594" s="9">
        <f t="shared" si="274"/>
        <v>10.2668</v>
      </c>
      <c r="N2594" s="6">
        <v>1540.02</v>
      </c>
      <c r="O2594" s="6">
        <v>15</v>
      </c>
    </row>
    <row r="2595" spans="1:15" ht="18.75" hidden="1" customHeight="1" thickBot="1" x14ac:dyDescent="0.3">
      <c r="A2595" s="3" t="s">
        <v>11</v>
      </c>
      <c r="B2595" s="4">
        <v>725930</v>
      </c>
      <c r="C2595" s="3" t="s">
        <v>22</v>
      </c>
      <c r="D2595" s="7">
        <v>0.08</v>
      </c>
      <c r="E2595" s="7">
        <f t="shared" si="275"/>
        <v>6.6666666666666671E-3</v>
      </c>
      <c r="F2595" s="5">
        <v>40162</v>
      </c>
      <c r="G2595" s="5">
        <v>2958465</v>
      </c>
      <c r="H2595" s="8">
        <f t="shared" si="276"/>
        <v>2918303</v>
      </c>
      <c r="I2595" s="5">
        <v>2958465</v>
      </c>
      <c r="J2595" s="5">
        <v>40274</v>
      </c>
      <c r="K2595" s="8">
        <f t="shared" si="277"/>
        <v>112</v>
      </c>
      <c r="L2595" s="6">
        <v>285.55</v>
      </c>
      <c r="M2595" s="9">
        <f t="shared" si="274"/>
        <v>1.9036666666666668</v>
      </c>
      <c r="N2595" s="6">
        <v>285.55</v>
      </c>
      <c r="O2595" s="6">
        <v>50</v>
      </c>
    </row>
    <row r="2596" spans="1:15" ht="18.75" hidden="1" customHeight="1" thickBot="1" x14ac:dyDescent="0.3">
      <c r="A2596" s="3" t="s">
        <v>11</v>
      </c>
      <c r="B2596" s="4">
        <v>481381</v>
      </c>
      <c r="C2596" s="3" t="s">
        <v>22</v>
      </c>
      <c r="D2596" s="7">
        <v>0.08</v>
      </c>
      <c r="E2596" s="7">
        <f t="shared" si="275"/>
        <v>6.6666666666666671E-3</v>
      </c>
      <c r="F2596" s="5">
        <v>40164</v>
      </c>
      <c r="G2596" s="5">
        <v>2958465</v>
      </c>
      <c r="H2596" s="8">
        <f t="shared" si="276"/>
        <v>2918301</v>
      </c>
      <c r="I2596" s="5">
        <v>2958465</v>
      </c>
      <c r="J2596" s="5">
        <v>40277</v>
      </c>
      <c r="K2596" s="8">
        <f t="shared" si="277"/>
        <v>113</v>
      </c>
      <c r="L2596" s="6">
        <v>1337.53</v>
      </c>
      <c r="M2596" s="9">
        <f t="shared" si="274"/>
        <v>8.9168666666666674</v>
      </c>
      <c r="N2596" s="6">
        <v>1337.53</v>
      </c>
      <c r="O2596" s="6">
        <v>0</v>
      </c>
    </row>
    <row r="2597" spans="1:15" ht="18.75" hidden="1" customHeight="1" thickBot="1" x14ac:dyDescent="0.3">
      <c r="A2597" s="3" t="s">
        <v>11</v>
      </c>
      <c r="B2597" s="4">
        <v>8850</v>
      </c>
      <c r="C2597" s="3" t="s">
        <v>22</v>
      </c>
      <c r="D2597" s="7">
        <v>0.08</v>
      </c>
      <c r="E2597" s="7">
        <f t="shared" si="275"/>
        <v>6.6666666666666671E-3</v>
      </c>
      <c r="F2597" s="5">
        <v>40332</v>
      </c>
      <c r="G2597" s="5">
        <v>2958465</v>
      </c>
      <c r="H2597" s="8">
        <f t="shared" si="276"/>
        <v>2918133</v>
      </c>
      <c r="I2597" s="5">
        <v>2958465</v>
      </c>
      <c r="J2597" s="5">
        <v>40336</v>
      </c>
      <c r="K2597" s="8">
        <f t="shared" si="277"/>
        <v>4</v>
      </c>
      <c r="L2597" s="6">
        <v>978.83</v>
      </c>
      <c r="M2597" s="9">
        <f t="shared" si="274"/>
        <v>6.5255333333333336</v>
      </c>
      <c r="N2597" s="6">
        <v>978.83</v>
      </c>
      <c r="O2597" s="6">
        <v>0</v>
      </c>
    </row>
    <row r="2598" spans="1:15" ht="18.75" hidden="1" customHeight="1" thickBot="1" x14ac:dyDescent="0.3">
      <c r="A2598" s="3" t="s">
        <v>11</v>
      </c>
      <c r="B2598" s="4">
        <v>557947</v>
      </c>
      <c r="C2598" s="3" t="s">
        <v>22</v>
      </c>
      <c r="D2598" s="7">
        <v>0.08</v>
      </c>
      <c r="E2598" s="7">
        <f t="shared" si="275"/>
        <v>6.6666666666666671E-3</v>
      </c>
      <c r="F2598" s="5">
        <v>41425</v>
      </c>
      <c r="G2598" s="5">
        <v>2958465</v>
      </c>
      <c r="H2598" s="8">
        <f t="shared" si="276"/>
        <v>2917040</v>
      </c>
      <c r="I2598" s="5">
        <v>2958465</v>
      </c>
      <c r="J2598" s="5">
        <v>41429</v>
      </c>
      <c r="K2598" s="8">
        <f t="shared" si="277"/>
        <v>4</v>
      </c>
      <c r="L2598" s="6">
        <v>1178.99</v>
      </c>
      <c r="M2598" s="9">
        <f t="shared" si="274"/>
        <v>7.8599333333333341</v>
      </c>
      <c r="N2598" s="6">
        <v>1178.99</v>
      </c>
      <c r="O2598" s="6">
        <v>0</v>
      </c>
    </row>
    <row r="2599" spans="1:15" ht="18.75" hidden="1" customHeight="1" thickBot="1" x14ac:dyDescent="0.3">
      <c r="A2599" s="3" t="s">
        <v>11</v>
      </c>
      <c r="B2599" s="4">
        <v>503098</v>
      </c>
      <c r="C2599" s="3" t="s">
        <v>22</v>
      </c>
      <c r="D2599" s="7">
        <v>0.08</v>
      </c>
      <c r="E2599" s="7">
        <f t="shared" si="275"/>
        <v>6.6666666666666671E-3</v>
      </c>
      <c r="F2599" s="5">
        <v>40382</v>
      </c>
      <c r="G2599" s="5">
        <v>2958465</v>
      </c>
      <c r="H2599" s="8">
        <f t="shared" si="276"/>
        <v>2918083</v>
      </c>
      <c r="I2599" s="5">
        <v>2958465</v>
      </c>
      <c r="J2599" s="5">
        <v>40420</v>
      </c>
      <c r="K2599" s="8">
        <f t="shared" si="277"/>
        <v>38</v>
      </c>
      <c r="L2599" s="6">
        <v>517.04</v>
      </c>
      <c r="M2599" s="9">
        <f t="shared" si="274"/>
        <v>3.4469333333333334</v>
      </c>
      <c r="N2599" s="6">
        <v>180</v>
      </c>
      <c r="O2599" s="6">
        <v>0</v>
      </c>
    </row>
    <row r="2600" spans="1:15" ht="18.75" hidden="1" customHeight="1" thickBot="1" x14ac:dyDescent="0.3">
      <c r="A2600" s="3" t="s">
        <v>11</v>
      </c>
      <c r="B2600" s="4">
        <v>226158</v>
      </c>
      <c r="C2600" s="3" t="s">
        <v>22</v>
      </c>
      <c r="D2600" s="7">
        <v>0.08</v>
      </c>
      <c r="E2600" s="7">
        <f t="shared" si="275"/>
        <v>6.6666666666666671E-3</v>
      </c>
      <c r="F2600" s="5">
        <v>39791</v>
      </c>
      <c r="G2600" s="5">
        <v>2958465</v>
      </c>
      <c r="H2600" s="8">
        <f t="shared" si="276"/>
        <v>2918674</v>
      </c>
      <c r="I2600" s="5">
        <v>2958465</v>
      </c>
      <c r="J2600" s="5">
        <v>40345</v>
      </c>
      <c r="K2600" s="8">
        <f t="shared" si="277"/>
        <v>554</v>
      </c>
      <c r="L2600" s="6">
        <v>1051.54</v>
      </c>
      <c r="M2600" s="9">
        <f t="shared" si="274"/>
        <v>7.0102666666666673</v>
      </c>
      <c r="N2600" s="6">
        <v>1051.54</v>
      </c>
      <c r="O2600" s="6">
        <v>200</v>
      </c>
    </row>
    <row r="2601" spans="1:15" ht="18.75" hidden="1" customHeight="1" thickBot="1" x14ac:dyDescent="0.3">
      <c r="A2601" s="3" t="s">
        <v>11</v>
      </c>
      <c r="B2601" s="4">
        <v>714023</v>
      </c>
      <c r="C2601" s="3" t="s">
        <v>22</v>
      </c>
      <c r="D2601" s="7">
        <v>0.08</v>
      </c>
      <c r="E2601" s="7">
        <f t="shared" si="275"/>
        <v>6.6666666666666671E-3</v>
      </c>
      <c r="F2601" s="5">
        <v>40164</v>
      </c>
      <c r="G2601" s="5">
        <v>2958465</v>
      </c>
      <c r="H2601" s="8">
        <f t="shared" si="276"/>
        <v>2918301</v>
      </c>
      <c r="I2601" s="5">
        <v>2958465</v>
      </c>
      <c r="J2601" s="5">
        <v>40226</v>
      </c>
      <c r="K2601" s="8">
        <f t="shared" si="277"/>
        <v>62</v>
      </c>
      <c r="L2601" s="6">
        <v>2156.58</v>
      </c>
      <c r="M2601" s="9">
        <f t="shared" si="274"/>
        <v>14.3772</v>
      </c>
      <c r="N2601" s="6">
        <v>2156.58</v>
      </c>
      <c r="O2601" s="6">
        <v>0</v>
      </c>
    </row>
    <row r="2602" spans="1:15" ht="18.75" hidden="1" customHeight="1" thickBot="1" x14ac:dyDescent="0.3">
      <c r="A2602" s="3" t="s">
        <v>11</v>
      </c>
      <c r="B2602" s="4">
        <v>118683</v>
      </c>
      <c r="C2602" s="3" t="s">
        <v>22</v>
      </c>
      <c r="D2602" s="7">
        <v>0.08</v>
      </c>
      <c r="E2602" s="7">
        <f t="shared" si="275"/>
        <v>6.6666666666666671E-3</v>
      </c>
      <c r="F2602" s="5">
        <v>43335</v>
      </c>
      <c r="G2602" s="5">
        <v>2958465</v>
      </c>
      <c r="H2602" s="8">
        <f t="shared" si="276"/>
        <v>2915130</v>
      </c>
      <c r="I2602" s="5">
        <v>2958465</v>
      </c>
      <c r="J2602" s="5">
        <v>43348</v>
      </c>
      <c r="K2602" s="8">
        <f t="shared" si="277"/>
        <v>13</v>
      </c>
      <c r="L2602" s="6">
        <v>486.17</v>
      </c>
      <c r="M2602" s="9">
        <f t="shared" si="274"/>
        <v>3.2411333333333339</v>
      </c>
      <c r="N2602" s="6">
        <v>486.17</v>
      </c>
      <c r="O2602" s="6">
        <v>83.29</v>
      </c>
    </row>
    <row r="2603" spans="1:15" ht="18.75" hidden="1" customHeight="1" thickBot="1" x14ac:dyDescent="0.3">
      <c r="A2603" s="3" t="s">
        <v>11</v>
      </c>
      <c r="B2603" s="4">
        <v>450229</v>
      </c>
      <c r="C2603" s="3" t="s">
        <v>22</v>
      </c>
      <c r="D2603" s="7">
        <v>0.08</v>
      </c>
      <c r="E2603" s="7">
        <f t="shared" si="275"/>
        <v>6.6666666666666671E-3</v>
      </c>
      <c r="F2603" s="5">
        <v>40332</v>
      </c>
      <c r="G2603" s="5">
        <v>2958465</v>
      </c>
      <c r="H2603" s="8">
        <f t="shared" si="276"/>
        <v>2918133</v>
      </c>
      <c r="I2603" s="5">
        <v>2958465</v>
      </c>
      <c r="J2603" s="5">
        <v>40336</v>
      </c>
      <c r="K2603" s="8">
        <f t="shared" si="277"/>
        <v>4</v>
      </c>
      <c r="L2603" s="6">
        <v>813.15</v>
      </c>
      <c r="M2603" s="9">
        <f t="shared" si="274"/>
        <v>5.4210000000000003</v>
      </c>
      <c r="N2603" s="6">
        <v>813.15</v>
      </c>
      <c r="O2603" s="6">
        <v>0</v>
      </c>
    </row>
    <row r="2604" spans="1:15" ht="18.75" hidden="1" customHeight="1" thickBot="1" x14ac:dyDescent="0.3">
      <c r="A2604" s="3" t="s">
        <v>11</v>
      </c>
      <c r="B2604" s="4">
        <v>305164</v>
      </c>
      <c r="C2604" s="3" t="s">
        <v>22</v>
      </c>
      <c r="D2604" s="7">
        <v>0.08</v>
      </c>
      <c r="E2604" s="7">
        <f t="shared" si="275"/>
        <v>6.6666666666666671E-3</v>
      </c>
      <c r="F2604" s="5">
        <v>40353</v>
      </c>
      <c r="G2604" s="5">
        <v>2958465</v>
      </c>
      <c r="H2604" s="8">
        <f t="shared" si="276"/>
        <v>2918112</v>
      </c>
      <c r="I2604" s="5">
        <v>2958465</v>
      </c>
      <c r="J2604" s="5">
        <v>40358</v>
      </c>
      <c r="K2604" s="8">
        <f t="shared" si="277"/>
        <v>5</v>
      </c>
      <c r="L2604" s="6">
        <v>2162.54</v>
      </c>
      <c r="M2604" s="9">
        <f t="shared" si="274"/>
        <v>14.416933333333334</v>
      </c>
      <c r="N2604" s="6">
        <v>2162.54</v>
      </c>
      <c r="O2604" s="6">
        <v>0</v>
      </c>
    </row>
    <row r="2605" spans="1:15" ht="18.75" hidden="1" customHeight="1" thickBot="1" x14ac:dyDescent="0.3">
      <c r="A2605" s="3" t="s">
        <v>11</v>
      </c>
      <c r="B2605" s="4">
        <v>23251</v>
      </c>
      <c r="C2605" s="3" t="s">
        <v>22</v>
      </c>
      <c r="D2605" s="7">
        <v>0.08</v>
      </c>
      <c r="E2605" s="7">
        <f t="shared" si="275"/>
        <v>6.6666666666666671E-3</v>
      </c>
      <c r="F2605" s="5">
        <v>40332</v>
      </c>
      <c r="G2605" s="5">
        <v>2958465</v>
      </c>
      <c r="H2605" s="8">
        <f t="shared" si="276"/>
        <v>2918133</v>
      </c>
      <c r="I2605" s="5">
        <v>2958465</v>
      </c>
      <c r="J2605" s="5">
        <v>40338</v>
      </c>
      <c r="K2605" s="8">
        <f t="shared" si="277"/>
        <v>6</v>
      </c>
      <c r="L2605" s="6">
        <v>6709.6</v>
      </c>
      <c r="M2605" s="9">
        <f t="shared" si="274"/>
        <v>44.730666666666671</v>
      </c>
      <c r="N2605" s="6">
        <v>6709.6</v>
      </c>
      <c r="O2605" s="6">
        <v>0</v>
      </c>
    </row>
    <row r="2606" spans="1:15" ht="18.75" hidden="1" customHeight="1" thickBot="1" x14ac:dyDescent="0.3">
      <c r="A2606" s="3" t="s">
        <v>11</v>
      </c>
      <c r="B2606" s="4">
        <v>430982</v>
      </c>
      <c r="C2606" s="3" t="s">
        <v>22</v>
      </c>
      <c r="D2606" s="7">
        <v>0.08</v>
      </c>
      <c r="E2606" s="7">
        <f t="shared" si="275"/>
        <v>6.6666666666666671E-3</v>
      </c>
      <c r="F2606" s="5">
        <v>40389</v>
      </c>
      <c r="G2606" s="5">
        <v>2958465</v>
      </c>
      <c r="H2606" s="8">
        <f t="shared" si="276"/>
        <v>2918076</v>
      </c>
      <c r="I2606" s="5">
        <v>2958465</v>
      </c>
      <c r="J2606" s="5">
        <v>40421</v>
      </c>
      <c r="K2606" s="8">
        <f t="shared" si="277"/>
        <v>32</v>
      </c>
      <c r="L2606" s="6">
        <v>377.57</v>
      </c>
      <c r="M2606" s="9">
        <f t="shared" si="274"/>
        <v>2.5171333333333337</v>
      </c>
      <c r="N2606" s="6">
        <v>377.57</v>
      </c>
      <c r="O2606" s="6">
        <v>0</v>
      </c>
    </row>
    <row r="2607" spans="1:15" ht="18.75" hidden="1" customHeight="1" thickBot="1" x14ac:dyDescent="0.3">
      <c r="A2607" s="3" t="s">
        <v>11</v>
      </c>
      <c r="B2607" s="4">
        <v>31462</v>
      </c>
      <c r="C2607" s="3" t="s">
        <v>22</v>
      </c>
      <c r="D2607" s="7">
        <v>0.08</v>
      </c>
      <c r="E2607" s="7">
        <f t="shared" si="275"/>
        <v>6.6666666666666671E-3</v>
      </c>
      <c r="F2607" s="5">
        <v>40165</v>
      </c>
      <c r="G2607" s="5">
        <v>2958465</v>
      </c>
      <c r="H2607" s="8">
        <f t="shared" si="276"/>
        <v>2918300</v>
      </c>
      <c r="I2607" s="5">
        <v>2958465</v>
      </c>
      <c r="J2607" s="5">
        <v>40261</v>
      </c>
      <c r="K2607" s="8">
        <f t="shared" si="277"/>
        <v>96</v>
      </c>
      <c r="L2607" s="6">
        <v>299.92</v>
      </c>
      <c r="M2607" s="9">
        <f t="shared" si="274"/>
        <v>1.9994666666666669</v>
      </c>
      <c r="N2607" s="6">
        <v>299.92</v>
      </c>
      <c r="O2607" s="6">
        <v>0</v>
      </c>
    </row>
    <row r="2608" spans="1:15" ht="18.75" hidden="1" customHeight="1" thickBot="1" x14ac:dyDescent="0.3">
      <c r="A2608" s="3" t="s">
        <v>11</v>
      </c>
      <c r="B2608" s="4">
        <v>705985</v>
      </c>
      <c r="C2608" s="3" t="s">
        <v>22</v>
      </c>
      <c r="D2608" s="7">
        <v>0.08</v>
      </c>
      <c r="E2608" s="7">
        <f t="shared" si="275"/>
        <v>6.6666666666666671E-3</v>
      </c>
      <c r="F2608" s="5">
        <v>40893</v>
      </c>
      <c r="G2608" s="5">
        <v>2958465</v>
      </c>
      <c r="H2608" s="8">
        <f t="shared" si="276"/>
        <v>2917572</v>
      </c>
      <c r="I2608" s="5">
        <v>2958465</v>
      </c>
      <c r="J2608" s="5">
        <v>40911</v>
      </c>
      <c r="K2608" s="8">
        <f t="shared" si="277"/>
        <v>18</v>
      </c>
      <c r="L2608" s="6">
        <v>1738.74</v>
      </c>
      <c r="M2608" s="9">
        <f t="shared" si="274"/>
        <v>11.591600000000001</v>
      </c>
      <c r="N2608" s="6">
        <v>1738.74</v>
      </c>
      <c r="O2608" s="6">
        <v>253.05</v>
      </c>
    </row>
    <row r="2609" spans="1:15" ht="18.75" hidden="1" customHeight="1" thickBot="1" x14ac:dyDescent="0.3">
      <c r="A2609" s="3" t="s">
        <v>11</v>
      </c>
      <c r="B2609" s="4">
        <v>449611</v>
      </c>
      <c r="C2609" s="3" t="s">
        <v>22</v>
      </c>
      <c r="D2609" s="7">
        <v>0.08</v>
      </c>
      <c r="E2609" s="7">
        <f t="shared" si="275"/>
        <v>6.6666666666666671E-3</v>
      </c>
      <c r="F2609" s="5">
        <v>42452</v>
      </c>
      <c r="G2609" s="5">
        <v>2958465</v>
      </c>
      <c r="H2609" s="8">
        <f t="shared" si="276"/>
        <v>2916013</v>
      </c>
      <c r="I2609" s="5">
        <v>2958465</v>
      </c>
      <c r="J2609" s="5">
        <v>42457</v>
      </c>
      <c r="K2609" s="8">
        <f t="shared" si="277"/>
        <v>5</v>
      </c>
      <c r="L2609" s="6">
        <v>1102.3800000000001</v>
      </c>
      <c r="M2609" s="9">
        <f t="shared" si="274"/>
        <v>7.3492000000000015</v>
      </c>
      <c r="N2609" s="6">
        <v>1102.3800000000001</v>
      </c>
      <c r="O2609" s="6">
        <v>1102.3800000000001</v>
      </c>
    </row>
    <row r="2610" spans="1:15" ht="18.75" hidden="1" customHeight="1" thickBot="1" x14ac:dyDescent="0.3">
      <c r="A2610" s="3" t="s">
        <v>11</v>
      </c>
      <c r="B2610" s="4">
        <v>312409</v>
      </c>
      <c r="C2610" s="3" t="s">
        <v>22</v>
      </c>
      <c r="D2610" s="7">
        <v>0.08</v>
      </c>
      <c r="E2610" s="7">
        <f t="shared" si="275"/>
        <v>6.6666666666666671E-3</v>
      </c>
      <c r="F2610" s="5">
        <v>40688</v>
      </c>
      <c r="G2610" s="5">
        <v>2958465</v>
      </c>
      <c r="H2610" s="8">
        <f t="shared" si="276"/>
        <v>2917777</v>
      </c>
      <c r="I2610" s="5">
        <v>2958465</v>
      </c>
      <c r="J2610" s="5">
        <v>40724</v>
      </c>
      <c r="K2610" s="8">
        <f t="shared" si="277"/>
        <v>36</v>
      </c>
      <c r="L2610" s="6">
        <v>643.64</v>
      </c>
      <c r="M2610" s="9">
        <f t="shared" si="274"/>
        <v>4.2909333333333333</v>
      </c>
      <c r="N2610" s="6">
        <v>643.64</v>
      </c>
      <c r="O2610" s="6">
        <v>45</v>
      </c>
    </row>
    <row r="2611" spans="1:15" ht="18.75" hidden="1" customHeight="1" thickBot="1" x14ac:dyDescent="0.3">
      <c r="A2611" s="3" t="s">
        <v>11</v>
      </c>
      <c r="B2611" s="4">
        <v>704516</v>
      </c>
      <c r="C2611" s="3" t="s">
        <v>22</v>
      </c>
      <c r="D2611" s="7">
        <v>7.2499999999999995E-2</v>
      </c>
      <c r="E2611" s="7">
        <f t="shared" si="275"/>
        <v>6.0416666666666665E-3</v>
      </c>
      <c r="F2611" s="5">
        <v>45699</v>
      </c>
      <c r="G2611" s="5">
        <v>2958465</v>
      </c>
      <c r="H2611" s="8">
        <f t="shared" si="276"/>
        <v>2912766</v>
      </c>
      <c r="I2611" s="5">
        <v>2958465</v>
      </c>
      <c r="J2611" s="5">
        <v>45700</v>
      </c>
      <c r="K2611" s="8">
        <f t="shared" si="277"/>
        <v>1</v>
      </c>
      <c r="L2611" s="6">
        <v>264.91000000000003</v>
      </c>
      <c r="M2611" s="9">
        <f t="shared" si="274"/>
        <v>1.6004979166666669</v>
      </c>
      <c r="N2611" s="6">
        <v>264.91000000000003</v>
      </c>
      <c r="O2611" s="6">
        <v>0</v>
      </c>
    </row>
    <row r="2612" spans="1:15" ht="18.75" hidden="1" customHeight="1" thickBot="1" x14ac:dyDescent="0.3">
      <c r="A2612" s="3" t="s">
        <v>11</v>
      </c>
      <c r="B2612" s="4">
        <v>113281</v>
      </c>
      <c r="C2612" s="3" t="s">
        <v>15</v>
      </c>
      <c r="D2612" s="7">
        <v>0.1515</v>
      </c>
      <c r="E2612" s="7">
        <f t="shared" si="275"/>
        <v>1.2624999999999999E-2</v>
      </c>
      <c r="F2612" s="5">
        <v>44193</v>
      </c>
      <c r="G2612" s="5">
        <v>2958465</v>
      </c>
      <c r="H2612" s="8">
        <f t="shared" si="276"/>
        <v>2914272</v>
      </c>
      <c r="I2612" s="5">
        <v>2958465</v>
      </c>
      <c r="J2612" s="5">
        <v>44195</v>
      </c>
      <c r="K2612" s="8">
        <f t="shared" si="277"/>
        <v>2</v>
      </c>
      <c r="L2612" s="6">
        <v>1590.61</v>
      </c>
      <c r="M2612" s="9">
        <f t="shared" si="274"/>
        <v>20.081451249999997</v>
      </c>
      <c r="N2612" s="6">
        <v>1590.61</v>
      </c>
      <c r="O2612" s="6">
        <v>1590.61</v>
      </c>
    </row>
    <row r="2613" spans="1:15" ht="18.75" hidden="1" customHeight="1" thickBot="1" x14ac:dyDescent="0.3">
      <c r="A2613" s="3" t="s">
        <v>11</v>
      </c>
      <c r="B2613" s="4">
        <v>451082</v>
      </c>
      <c r="C2613" s="3" t="s">
        <v>22</v>
      </c>
      <c r="D2613" s="7">
        <v>0.08</v>
      </c>
      <c r="E2613" s="7">
        <f t="shared" si="275"/>
        <v>6.6666666666666671E-3</v>
      </c>
      <c r="F2613" s="5">
        <v>40533</v>
      </c>
      <c r="G2613" s="5">
        <v>2958465</v>
      </c>
      <c r="H2613" s="8">
        <f t="shared" si="276"/>
        <v>2917932</v>
      </c>
      <c r="I2613" s="5">
        <v>2958465</v>
      </c>
      <c r="J2613" s="5">
        <v>40540</v>
      </c>
      <c r="K2613" s="8">
        <f t="shared" si="277"/>
        <v>7</v>
      </c>
      <c r="L2613" s="6">
        <v>1080.21</v>
      </c>
      <c r="M2613" s="9">
        <f t="shared" si="274"/>
        <v>7.2014000000000005</v>
      </c>
      <c r="N2613" s="6">
        <v>1080.21</v>
      </c>
      <c r="O2613" s="6">
        <v>0</v>
      </c>
    </row>
    <row r="2614" spans="1:15" ht="18.75" hidden="1" customHeight="1" thickBot="1" x14ac:dyDescent="0.3">
      <c r="A2614" s="3" t="s">
        <v>11</v>
      </c>
      <c r="B2614" s="4">
        <v>941432</v>
      </c>
      <c r="C2614" s="3" t="s">
        <v>22</v>
      </c>
      <c r="D2614" s="7">
        <v>0.08</v>
      </c>
      <c r="E2614" s="7">
        <f t="shared" si="275"/>
        <v>6.6666666666666671E-3</v>
      </c>
      <c r="F2614" s="5">
        <v>40268</v>
      </c>
      <c r="G2614" s="5">
        <v>2958465</v>
      </c>
      <c r="H2614" s="8">
        <f t="shared" si="276"/>
        <v>2918197</v>
      </c>
      <c r="I2614" s="5">
        <v>2958465</v>
      </c>
      <c r="J2614" s="5">
        <v>40277</v>
      </c>
      <c r="K2614" s="8">
        <f t="shared" si="277"/>
        <v>9</v>
      </c>
      <c r="L2614" s="6">
        <v>1861.8</v>
      </c>
      <c r="M2614" s="9">
        <f t="shared" si="274"/>
        <v>12.412000000000001</v>
      </c>
      <c r="N2614" s="6">
        <v>1861.8</v>
      </c>
      <c r="O2614" s="6">
        <v>0</v>
      </c>
    </row>
    <row r="2615" spans="1:15" ht="18.75" hidden="1" customHeight="1" thickBot="1" x14ac:dyDescent="0.3">
      <c r="A2615" s="3" t="s">
        <v>11</v>
      </c>
      <c r="B2615" s="4">
        <v>435806</v>
      </c>
      <c r="C2615" s="3" t="s">
        <v>22</v>
      </c>
      <c r="D2615" s="7">
        <v>0.08</v>
      </c>
      <c r="E2615" s="7">
        <f t="shared" si="275"/>
        <v>6.6666666666666671E-3</v>
      </c>
      <c r="F2615" s="5">
        <v>43087</v>
      </c>
      <c r="G2615" s="5">
        <v>2958465</v>
      </c>
      <c r="H2615" s="8">
        <f t="shared" si="276"/>
        <v>2915378</v>
      </c>
      <c r="I2615" s="5">
        <v>2958465</v>
      </c>
      <c r="J2615" s="5">
        <v>43089</v>
      </c>
      <c r="K2615" s="8">
        <f t="shared" si="277"/>
        <v>2</v>
      </c>
      <c r="L2615" s="6">
        <v>2216.5500000000002</v>
      </c>
      <c r="M2615" s="9">
        <f t="shared" si="274"/>
        <v>14.777000000000003</v>
      </c>
      <c r="N2615" s="6">
        <v>2216.5500000000002</v>
      </c>
      <c r="O2615" s="6">
        <v>0</v>
      </c>
    </row>
    <row r="2616" spans="1:15" ht="18.75" hidden="1" customHeight="1" thickBot="1" x14ac:dyDescent="0.3">
      <c r="A2616" s="3" t="s">
        <v>11</v>
      </c>
      <c r="B2616" s="4">
        <v>357282</v>
      </c>
      <c r="C2616" s="3" t="s">
        <v>22</v>
      </c>
      <c r="D2616" s="7">
        <v>0.08</v>
      </c>
      <c r="E2616" s="7">
        <f t="shared" si="275"/>
        <v>6.6666666666666671E-3</v>
      </c>
      <c r="F2616" s="5">
        <v>40351</v>
      </c>
      <c r="G2616" s="5">
        <v>2958465</v>
      </c>
      <c r="H2616" s="8">
        <f t="shared" si="276"/>
        <v>2918114</v>
      </c>
      <c r="I2616" s="5">
        <v>2958465</v>
      </c>
      <c r="J2616" s="5">
        <v>40358</v>
      </c>
      <c r="K2616" s="8">
        <f t="shared" si="277"/>
        <v>7</v>
      </c>
      <c r="L2616" s="6">
        <v>6734.07</v>
      </c>
      <c r="M2616" s="9">
        <f t="shared" si="274"/>
        <v>44.893799999999999</v>
      </c>
      <c r="N2616" s="6">
        <v>6731.07</v>
      </c>
      <c r="O2616" s="6">
        <v>25</v>
      </c>
    </row>
    <row r="2617" spans="1:15" ht="18.75" hidden="1" customHeight="1" thickBot="1" x14ac:dyDescent="0.3">
      <c r="A2617" s="3" t="s">
        <v>11</v>
      </c>
      <c r="B2617" s="4">
        <v>25048</v>
      </c>
      <c r="C2617" s="3" t="s">
        <v>22</v>
      </c>
      <c r="D2617" s="7">
        <v>0.08</v>
      </c>
      <c r="E2617" s="7">
        <f t="shared" si="275"/>
        <v>6.6666666666666671E-3</v>
      </c>
      <c r="F2617" s="5">
        <v>40666</v>
      </c>
      <c r="G2617" s="5">
        <v>2958465</v>
      </c>
      <c r="H2617" s="8">
        <f t="shared" si="276"/>
        <v>2917799</v>
      </c>
      <c r="I2617" s="5">
        <v>2958465</v>
      </c>
      <c r="J2617" s="5">
        <v>40672</v>
      </c>
      <c r="K2617" s="8">
        <f t="shared" si="277"/>
        <v>6</v>
      </c>
      <c r="L2617" s="6">
        <v>3850.04</v>
      </c>
      <c r="M2617" s="9">
        <f t="shared" si="274"/>
        <v>25.666933333333336</v>
      </c>
      <c r="N2617" s="6">
        <v>3850.04</v>
      </c>
      <c r="O2617" s="6">
        <v>55</v>
      </c>
    </row>
    <row r="2618" spans="1:15" ht="18.75" hidden="1" customHeight="1" thickBot="1" x14ac:dyDescent="0.3">
      <c r="A2618" s="3" t="s">
        <v>11</v>
      </c>
      <c r="B2618" s="4">
        <v>304648</v>
      </c>
      <c r="C2618" s="3" t="s">
        <v>22</v>
      </c>
      <c r="D2618" s="7">
        <v>0.08</v>
      </c>
      <c r="E2618" s="7">
        <f t="shared" si="275"/>
        <v>6.6666666666666671E-3</v>
      </c>
      <c r="F2618" s="5">
        <v>40837</v>
      </c>
      <c r="G2618" s="5">
        <v>2958465</v>
      </c>
      <c r="H2618" s="8">
        <f t="shared" si="276"/>
        <v>2917628</v>
      </c>
      <c r="I2618" s="5">
        <v>2958465</v>
      </c>
      <c r="J2618" s="5">
        <v>40843</v>
      </c>
      <c r="K2618" s="8">
        <f t="shared" si="277"/>
        <v>6</v>
      </c>
      <c r="L2618" s="6">
        <v>620.91</v>
      </c>
      <c r="M2618" s="9">
        <f t="shared" si="274"/>
        <v>4.1394000000000002</v>
      </c>
      <c r="N2618" s="6">
        <v>755.91</v>
      </c>
      <c r="O2618" s="6">
        <v>612.38</v>
      </c>
    </row>
    <row r="2619" spans="1:15" ht="18.75" hidden="1" customHeight="1" thickBot="1" x14ac:dyDescent="0.3">
      <c r="A2619" s="3" t="s">
        <v>11</v>
      </c>
      <c r="B2619" s="4">
        <v>158509</v>
      </c>
      <c r="C2619" s="3" t="s">
        <v>22</v>
      </c>
      <c r="D2619" s="7">
        <v>0.08</v>
      </c>
      <c r="E2619" s="7">
        <f t="shared" si="275"/>
        <v>6.6666666666666671E-3</v>
      </c>
      <c r="F2619" s="5">
        <v>40627</v>
      </c>
      <c r="G2619" s="5">
        <v>2958465</v>
      </c>
      <c r="H2619" s="8">
        <f t="shared" si="276"/>
        <v>2917838</v>
      </c>
      <c r="I2619" s="5">
        <v>2958465</v>
      </c>
      <c r="J2619" s="5">
        <v>40630</v>
      </c>
      <c r="K2619" s="8">
        <f t="shared" si="277"/>
        <v>3</v>
      </c>
      <c r="L2619" s="6">
        <v>679.23</v>
      </c>
      <c r="M2619" s="9">
        <f t="shared" si="274"/>
        <v>4.5282</v>
      </c>
      <c r="N2619" s="6">
        <v>679.23</v>
      </c>
      <c r="O2619" s="6">
        <v>0</v>
      </c>
    </row>
    <row r="2620" spans="1:15" ht="18.75" hidden="1" customHeight="1" thickBot="1" x14ac:dyDescent="0.3">
      <c r="A2620" s="3" t="s">
        <v>11</v>
      </c>
      <c r="B2620" s="4">
        <v>584426</v>
      </c>
      <c r="C2620" s="3" t="s">
        <v>22</v>
      </c>
      <c r="D2620" s="7">
        <v>0.08</v>
      </c>
      <c r="E2620" s="7">
        <f t="shared" si="275"/>
        <v>6.6666666666666671E-3</v>
      </c>
      <c r="F2620" s="5">
        <v>43255</v>
      </c>
      <c r="G2620" s="5">
        <v>2958465</v>
      </c>
      <c r="H2620" s="8">
        <f t="shared" si="276"/>
        <v>2915210</v>
      </c>
      <c r="I2620" s="5">
        <v>2958465</v>
      </c>
      <c r="J2620" s="5">
        <v>43256</v>
      </c>
      <c r="K2620" s="8">
        <f t="shared" si="277"/>
        <v>1</v>
      </c>
      <c r="L2620" s="6">
        <v>1712.54</v>
      </c>
      <c r="M2620" s="9">
        <f t="shared" si="274"/>
        <v>11.416933333333334</v>
      </c>
      <c r="N2620" s="6">
        <v>1712.54</v>
      </c>
      <c r="O2620" s="6">
        <v>0</v>
      </c>
    </row>
    <row r="2621" spans="1:15" ht="18.75" hidden="1" customHeight="1" thickBot="1" x14ac:dyDescent="0.3">
      <c r="A2621" s="3" t="s">
        <v>11</v>
      </c>
      <c r="B2621" s="4">
        <v>761056</v>
      </c>
      <c r="C2621" s="3" t="s">
        <v>22</v>
      </c>
      <c r="D2621" s="7">
        <v>0.08</v>
      </c>
      <c r="E2621" s="7">
        <f t="shared" si="275"/>
        <v>6.6666666666666671E-3</v>
      </c>
      <c r="F2621" s="5">
        <v>42048</v>
      </c>
      <c r="G2621" s="5">
        <v>2958465</v>
      </c>
      <c r="H2621" s="8">
        <f t="shared" si="276"/>
        <v>2916417</v>
      </c>
      <c r="I2621" s="5">
        <v>2958465</v>
      </c>
      <c r="J2621" s="5">
        <v>42062</v>
      </c>
      <c r="K2621" s="8">
        <f t="shared" si="277"/>
        <v>14</v>
      </c>
      <c r="L2621" s="6">
        <v>347.81</v>
      </c>
      <c r="M2621" s="9">
        <f t="shared" si="274"/>
        <v>2.3187333333333333</v>
      </c>
      <c r="N2621" s="6">
        <v>357.81</v>
      </c>
      <c r="O2621" s="6">
        <v>0</v>
      </c>
    </row>
    <row r="2622" spans="1:15" ht="18.75" hidden="1" customHeight="1" thickBot="1" x14ac:dyDescent="0.3">
      <c r="A2622" s="3" t="s">
        <v>11</v>
      </c>
      <c r="B2622" s="4">
        <v>441044</v>
      </c>
      <c r="C2622" s="3" t="s">
        <v>22</v>
      </c>
      <c r="D2622" s="7">
        <v>0.08</v>
      </c>
      <c r="E2622" s="7">
        <f t="shared" si="275"/>
        <v>6.6666666666666671E-3</v>
      </c>
      <c r="F2622" s="5">
        <v>40389</v>
      </c>
      <c r="G2622" s="5">
        <v>2958465</v>
      </c>
      <c r="H2622" s="8">
        <f t="shared" si="276"/>
        <v>2918076</v>
      </c>
      <c r="I2622" s="5">
        <v>2958465</v>
      </c>
      <c r="J2622" s="5">
        <v>40421</v>
      </c>
      <c r="K2622" s="8">
        <f t="shared" si="277"/>
        <v>32</v>
      </c>
      <c r="L2622" s="6">
        <v>471.61</v>
      </c>
      <c r="M2622" s="9">
        <f t="shared" si="274"/>
        <v>3.1440666666666668</v>
      </c>
      <c r="N2622" s="6">
        <v>471.61</v>
      </c>
      <c r="O2622" s="6">
        <v>0</v>
      </c>
    </row>
    <row r="2623" spans="1:15" ht="18.75" hidden="1" customHeight="1" thickBot="1" x14ac:dyDescent="0.3">
      <c r="A2623" s="3" t="s">
        <v>11</v>
      </c>
      <c r="B2623" s="4">
        <v>848767</v>
      </c>
      <c r="C2623" s="3" t="s">
        <v>22</v>
      </c>
      <c r="D2623" s="7">
        <v>0.08</v>
      </c>
      <c r="E2623" s="7">
        <f t="shared" si="275"/>
        <v>6.6666666666666671E-3</v>
      </c>
      <c r="F2623" s="5">
        <v>40627</v>
      </c>
      <c r="G2623" s="5">
        <v>2958465</v>
      </c>
      <c r="H2623" s="8">
        <f t="shared" si="276"/>
        <v>2917838</v>
      </c>
      <c r="I2623" s="5">
        <v>2958465</v>
      </c>
      <c r="J2623" s="5">
        <v>40630</v>
      </c>
      <c r="K2623" s="8">
        <f t="shared" si="277"/>
        <v>3</v>
      </c>
      <c r="L2623" s="6">
        <v>714.06</v>
      </c>
      <c r="M2623" s="9">
        <f t="shared" si="274"/>
        <v>4.7603999999999997</v>
      </c>
      <c r="N2623" s="6">
        <v>714.06</v>
      </c>
      <c r="O2623" s="6">
        <v>0</v>
      </c>
    </row>
    <row r="2624" spans="1:15" ht="18.75" hidden="1" customHeight="1" thickBot="1" x14ac:dyDescent="0.3">
      <c r="A2624" s="3" t="s">
        <v>11</v>
      </c>
      <c r="B2624" s="4">
        <v>958640</v>
      </c>
      <c r="C2624" s="3" t="s">
        <v>22</v>
      </c>
      <c r="D2624" s="7">
        <v>0.08</v>
      </c>
      <c r="E2624" s="7">
        <f t="shared" si="275"/>
        <v>6.6666666666666671E-3</v>
      </c>
      <c r="F2624" s="5">
        <v>43335</v>
      </c>
      <c r="G2624" s="5">
        <v>43335</v>
      </c>
      <c r="H2624" s="8">
        <f t="shared" si="276"/>
        <v>0</v>
      </c>
      <c r="I2624" s="5">
        <v>43335</v>
      </c>
      <c r="J2624" s="5">
        <v>43348</v>
      </c>
      <c r="K2624" s="8">
        <f t="shared" si="277"/>
        <v>13</v>
      </c>
      <c r="L2624" s="6">
        <v>355.42</v>
      </c>
      <c r="M2624" s="9" t="e">
        <f t="shared" si="274"/>
        <v>#NUM!</v>
      </c>
      <c r="N2624" s="6">
        <v>355.42</v>
      </c>
      <c r="O2624" s="6">
        <v>56.54</v>
      </c>
    </row>
    <row r="2625" spans="1:15" ht="18.75" hidden="1" customHeight="1" thickBot="1" x14ac:dyDescent="0.3">
      <c r="A2625" s="3" t="s">
        <v>11</v>
      </c>
      <c r="B2625" s="4">
        <v>899490</v>
      </c>
      <c r="C2625" s="3" t="s">
        <v>22</v>
      </c>
      <c r="D2625" s="7">
        <v>0.08</v>
      </c>
      <c r="E2625" s="7">
        <f t="shared" si="275"/>
        <v>6.6666666666666671E-3</v>
      </c>
      <c r="F2625" s="5">
        <v>40665</v>
      </c>
      <c r="G2625" s="5">
        <v>2958465</v>
      </c>
      <c r="H2625" s="8">
        <f t="shared" si="276"/>
        <v>2917800</v>
      </c>
      <c r="I2625" s="5">
        <v>2958465</v>
      </c>
      <c r="J2625" s="5">
        <v>40672</v>
      </c>
      <c r="K2625" s="8">
        <f t="shared" si="277"/>
        <v>7</v>
      </c>
      <c r="L2625" s="6">
        <v>6014.38</v>
      </c>
      <c r="M2625" s="9">
        <f t="shared" si="274"/>
        <v>40.095866666666673</v>
      </c>
      <c r="N2625" s="6">
        <v>6014.38</v>
      </c>
      <c r="O2625" s="6">
        <v>0</v>
      </c>
    </row>
    <row r="2626" spans="1:15" ht="18.75" hidden="1" customHeight="1" thickBot="1" x14ac:dyDescent="0.3">
      <c r="A2626" s="3" t="s">
        <v>11</v>
      </c>
      <c r="B2626" s="4">
        <v>562636</v>
      </c>
      <c r="C2626" s="3" t="s">
        <v>22</v>
      </c>
      <c r="D2626" s="7">
        <v>0.08</v>
      </c>
      <c r="E2626" s="7">
        <f t="shared" si="275"/>
        <v>6.6666666666666671E-3</v>
      </c>
      <c r="F2626" s="5">
        <v>41060</v>
      </c>
      <c r="G2626" s="5">
        <v>2958465</v>
      </c>
      <c r="H2626" s="8">
        <f t="shared" si="276"/>
        <v>2917405</v>
      </c>
      <c r="I2626" s="5">
        <v>2958465</v>
      </c>
      <c r="J2626" s="5">
        <v>41066</v>
      </c>
      <c r="K2626" s="8">
        <f t="shared" si="277"/>
        <v>6</v>
      </c>
      <c r="L2626" s="6">
        <v>2738.56</v>
      </c>
      <c r="M2626" s="9">
        <f t="shared" ref="M2626:M2689" si="278">-PMT(E2626,(H2626/30),L2626)</f>
        <v>18.257066666666667</v>
      </c>
      <c r="N2626" s="6">
        <v>2738.56</v>
      </c>
      <c r="O2626" s="6">
        <v>2134.64</v>
      </c>
    </row>
    <row r="2627" spans="1:15" ht="18.75" hidden="1" customHeight="1" thickBot="1" x14ac:dyDescent="0.3">
      <c r="A2627" s="3" t="s">
        <v>11</v>
      </c>
      <c r="B2627" s="4">
        <v>17004</v>
      </c>
      <c r="C2627" s="3" t="s">
        <v>22</v>
      </c>
      <c r="D2627" s="7">
        <v>6.7500000000000004E-2</v>
      </c>
      <c r="E2627" s="7">
        <f t="shared" ref="E2627:E2690" si="279">D2627/12</f>
        <v>5.6250000000000007E-3</v>
      </c>
      <c r="F2627" s="5">
        <v>45331</v>
      </c>
      <c r="G2627" s="5">
        <v>2958465</v>
      </c>
      <c r="H2627" s="8">
        <f t="shared" ref="H2627:H2690" si="280">G2627-F2627</f>
        <v>2913134</v>
      </c>
      <c r="I2627" s="5">
        <v>2958465</v>
      </c>
      <c r="J2627" s="5">
        <v>45334</v>
      </c>
      <c r="K2627" s="8">
        <f t="shared" ref="K2627:K2690" si="281">J2627-F2627</f>
        <v>3</v>
      </c>
      <c r="L2627" s="6">
        <v>3253.5</v>
      </c>
      <c r="M2627" s="9">
        <f t="shared" si="278"/>
        <v>18.300937500000003</v>
      </c>
      <c r="N2627" s="6">
        <v>3253.5</v>
      </c>
      <c r="O2627" s="6">
        <v>2210.69</v>
      </c>
    </row>
    <row r="2628" spans="1:15" ht="18.75" hidden="1" customHeight="1" thickBot="1" x14ac:dyDescent="0.3">
      <c r="A2628" s="3" t="s">
        <v>11</v>
      </c>
      <c r="B2628" s="4">
        <v>546636</v>
      </c>
      <c r="C2628" s="3" t="s">
        <v>22</v>
      </c>
      <c r="D2628" s="7">
        <v>0.08</v>
      </c>
      <c r="E2628" s="7">
        <f t="shared" si="279"/>
        <v>6.6666666666666671E-3</v>
      </c>
      <c r="F2628" s="5">
        <v>40534</v>
      </c>
      <c r="G2628" s="5">
        <v>2958465</v>
      </c>
      <c r="H2628" s="8">
        <f t="shared" si="280"/>
        <v>2917931</v>
      </c>
      <c r="I2628" s="5">
        <v>2958465</v>
      </c>
      <c r="J2628" s="5">
        <v>40540</v>
      </c>
      <c r="K2628" s="8">
        <f t="shared" si="281"/>
        <v>6</v>
      </c>
      <c r="L2628" s="6">
        <v>747.46</v>
      </c>
      <c r="M2628" s="9">
        <f t="shared" si="278"/>
        <v>4.9830666666666676</v>
      </c>
      <c r="N2628" s="6">
        <v>747.46</v>
      </c>
      <c r="O2628" s="6">
        <v>0</v>
      </c>
    </row>
    <row r="2629" spans="1:15" ht="18.75" hidden="1" customHeight="1" thickBot="1" x14ac:dyDescent="0.3">
      <c r="A2629" s="3" t="s">
        <v>11</v>
      </c>
      <c r="B2629" s="4">
        <v>887708</v>
      </c>
      <c r="C2629" s="3" t="s">
        <v>22</v>
      </c>
      <c r="D2629" s="7">
        <v>0.08</v>
      </c>
      <c r="E2629" s="7">
        <f t="shared" si="279"/>
        <v>6.6666666666666671E-3</v>
      </c>
      <c r="F2629" s="5">
        <v>43335</v>
      </c>
      <c r="G2629" s="5">
        <v>2958465</v>
      </c>
      <c r="H2629" s="8">
        <f t="shared" si="280"/>
        <v>2915130</v>
      </c>
      <c r="I2629" s="5">
        <v>2958465</v>
      </c>
      <c r="J2629" s="5">
        <v>43341</v>
      </c>
      <c r="K2629" s="8">
        <f t="shared" si="281"/>
        <v>6</v>
      </c>
      <c r="L2629" s="6">
        <v>989.87</v>
      </c>
      <c r="M2629" s="9">
        <f t="shared" si="278"/>
        <v>6.5991333333333335</v>
      </c>
      <c r="N2629" s="6">
        <v>989.87</v>
      </c>
      <c r="O2629" s="6">
        <v>454.59</v>
      </c>
    </row>
    <row r="2630" spans="1:15" ht="18.75" hidden="1" customHeight="1" thickBot="1" x14ac:dyDescent="0.3">
      <c r="A2630" s="3" t="s">
        <v>11</v>
      </c>
      <c r="B2630" s="4">
        <v>54344</v>
      </c>
      <c r="C2630" s="3" t="s">
        <v>15</v>
      </c>
      <c r="D2630" s="7">
        <v>0.1515</v>
      </c>
      <c r="E2630" s="7">
        <f t="shared" si="279"/>
        <v>1.2624999999999999E-2</v>
      </c>
      <c r="F2630" s="5">
        <v>44154</v>
      </c>
      <c r="G2630" s="5">
        <v>2958465</v>
      </c>
      <c r="H2630" s="8">
        <f t="shared" si="280"/>
        <v>2914311</v>
      </c>
      <c r="I2630" s="5">
        <v>2958465</v>
      </c>
      <c r="J2630" s="5">
        <v>44155</v>
      </c>
      <c r="K2630" s="8">
        <f t="shared" si="281"/>
        <v>1</v>
      </c>
      <c r="L2630" s="6">
        <v>357.38</v>
      </c>
      <c r="M2630" s="9">
        <f t="shared" si="278"/>
        <v>4.5119224999999998</v>
      </c>
      <c r="N2630" s="6">
        <v>357.38</v>
      </c>
      <c r="O2630" s="6">
        <v>0</v>
      </c>
    </row>
    <row r="2631" spans="1:15" ht="18.75" hidden="1" customHeight="1" thickBot="1" x14ac:dyDescent="0.3">
      <c r="A2631" s="3" t="s">
        <v>11</v>
      </c>
      <c r="B2631" s="4">
        <v>260337</v>
      </c>
      <c r="C2631" s="3" t="s">
        <v>15</v>
      </c>
      <c r="D2631" s="7">
        <v>0.1515</v>
      </c>
      <c r="E2631" s="7">
        <f t="shared" si="279"/>
        <v>1.2624999999999999E-2</v>
      </c>
      <c r="F2631" s="5">
        <v>44186</v>
      </c>
      <c r="G2631" s="5">
        <v>2958465</v>
      </c>
      <c r="H2631" s="8">
        <f t="shared" si="280"/>
        <v>2914279</v>
      </c>
      <c r="I2631" s="5">
        <v>2958465</v>
      </c>
      <c r="J2631" s="5">
        <v>44187</v>
      </c>
      <c r="K2631" s="8">
        <f t="shared" si="281"/>
        <v>1</v>
      </c>
      <c r="L2631" s="6">
        <v>2847.42</v>
      </c>
      <c r="M2631" s="9">
        <f t="shared" si="278"/>
        <v>35.948677499999995</v>
      </c>
      <c r="N2631" s="6">
        <v>2847.42</v>
      </c>
      <c r="O2631" s="6">
        <v>0</v>
      </c>
    </row>
    <row r="2632" spans="1:15" ht="18.75" hidden="1" customHeight="1" thickBot="1" x14ac:dyDescent="0.3">
      <c r="A2632" s="3" t="s">
        <v>11</v>
      </c>
      <c r="B2632" s="4">
        <v>909180</v>
      </c>
      <c r="C2632" s="3" t="s">
        <v>22</v>
      </c>
      <c r="D2632" s="7">
        <v>0.08</v>
      </c>
      <c r="E2632" s="7">
        <f t="shared" si="279"/>
        <v>6.6666666666666671E-3</v>
      </c>
      <c r="F2632" s="5">
        <v>40259</v>
      </c>
      <c r="G2632" s="5">
        <v>2958465</v>
      </c>
      <c r="H2632" s="8">
        <f t="shared" si="280"/>
        <v>2918206</v>
      </c>
      <c r="I2632" s="5">
        <v>2958465</v>
      </c>
      <c r="J2632" s="5">
        <v>40261</v>
      </c>
      <c r="K2632" s="8">
        <f t="shared" si="281"/>
        <v>2</v>
      </c>
      <c r="L2632" s="6">
        <v>668.83</v>
      </c>
      <c r="M2632" s="9">
        <f t="shared" si="278"/>
        <v>4.4588666666666672</v>
      </c>
      <c r="N2632" s="6">
        <v>541.70000000000005</v>
      </c>
      <c r="O2632" s="6">
        <v>200</v>
      </c>
    </row>
    <row r="2633" spans="1:15" ht="18.75" hidden="1" customHeight="1" thickBot="1" x14ac:dyDescent="0.3">
      <c r="A2633" s="3" t="s">
        <v>11</v>
      </c>
      <c r="B2633" s="4">
        <v>673574</v>
      </c>
      <c r="C2633" s="3" t="s">
        <v>22</v>
      </c>
      <c r="D2633" s="7">
        <v>0.08</v>
      </c>
      <c r="E2633" s="7">
        <f t="shared" si="279"/>
        <v>6.6666666666666671E-3</v>
      </c>
      <c r="F2633" s="5">
        <v>40893</v>
      </c>
      <c r="G2633" s="5">
        <v>2958465</v>
      </c>
      <c r="H2633" s="8">
        <f t="shared" si="280"/>
        <v>2917572</v>
      </c>
      <c r="I2633" s="5">
        <v>2958465</v>
      </c>
      <c r="J2633" s="5">
        <v>40911</v>
      </c>
      <c r="K2633" s="8">
        <f t="shared" si="281"/>
        <v>18</v>
      </c>
      <c r="L2633" s="6">
        <v>679.4</v>
      </c>
      <c r="M2633" s="9">
        <f t="shared" si="278"/>
        <v>4.5293333333333337</v>
      </c>
      <c r="N2633" s="6">
        <v>679.4</v>
      </c>
      <c r="O2633" s="6">
        <v>679.4</v>
      </c>
    </row>
    <row r="2634" spans="1:15" ht="18.75" hidden="1" customHeight="1" thickBot="1" x14ac:dyDescent="0.3">
      <c r="A2634" s="3" t="s">
        <v>11</v>
      </c>
      <c r="B2634" s="4">
        <v>866413</v>
      </c>
      <c r="C2634" s="3" t="s">
        <v>22</v>
      </c>
      <c r="D2634" s="7">
        <v>0.08</v>
      </c>
      <c r="E2634" s="7">
        <f t="shared" si="279"/>
        <v>6.6666666666666671E-3</v>
      </c>
      <c r="F2634" s="5">
        <v>43619</v>
      </c>
      <c r="G2634" s="5">
        <v>2958465</v>
      </c>
      <c r="H2634" s="8">
        <f t="shared" si="280"/>
        <v>2914846</v>
      </c>
      <c r="I2634" s="5">
        <v>2958465</v>
      </c>
      <c r="J2634" s="5">
        <v>43623</v>
      </c>
      <c r="K2634" s="8">
        <f t="shared" si="281"/>
        <v>4</v>
      </c>
      <c r="L2634" s="6">
        <v>60</v>
      </c>
      <c r="M2634" s="9">
        <f t="shared" si="278"/>
        <v>0.4</v>
      </c>
      <c r="N2634" s="6">
        <v>60</v>
      </c>
      <c r="O2634" s="6">
        <v>0</v>
      </c>
    </row>
    <row r="2635" spans="1:15" ht="18.75" hidden="1" customHeight="1" thickBot="1" x14ac:dyDescent="0.3">
      <c r="A2635" s="3" t="s">
        <v>11</v>
      </c>
      <c r="B2635" s="4">
        <v>751711</v>
      </c>
      <c r="C2635" s="3" t="s">
        <v>22</v>
      </c>
      <c r="D2635" s="7">
        <v>0.08</v>
      </c>
      <c r="E2635" s="7">
        <f t="shared" si="279"/>
        <v>6.6666666666666671E-3</v>
      </c>
      <c r="F2635" s="5">
        <v>40252</v>
      </c>
      <c r="G2635" s="5">
        <v>2958465</v>
      </c>
      <c r="H2635" s="8">
        <f t="shared" si="280"/>
        <v>2918213</v>
      </c>
      <c r="I2635" s="5">
        <v>2958465</v>
      </c>
      <c r="J2635" s="5">
        <v>40274</v>
      </c>
      <c r="K2635" s="8">
        <f t="shared" si="281"/>
        <v>22</v>
      </c>
      <c r="L2635" s="6">
        <v>280.70999999999998</v>
      </c>
      <c r="M2635" s="9">
        <f t="shared" si="278"/>
        <v>1.8714</v>
      </c>
      <c r="N2635" s="6">
        <v>280.70999999999998</v>
      </c>
      <c r="O2635" s="6">
        <v>0</v>
      </c>
    </row>
    <row r="2636" spans="1:15" ht="18.75" hidden="1" customHeight="1" thickBot="1" x14ac:dyDescent="0.3">
      <c r="A2636" s="3" t="s">
        <v>11</v>
      </c>
      <c r="B2636" s="4">
        <v>561492</v>
      </c>
      <c r="C2636" s="3" t="s">
        <v>22</v>
      </c>
      <c r="D2636" s="7">
        <v>0.08</v>
      </c>
      <c r="E2636" s="7">
        <f t="shared" si="279"/>
        <v>6.6666666666666671E-3</v>
      </c>
      <c r="F2636" s="5">
        <v>43738</v>
      </c>
      <c r="G2636" s="5">
        <v>2958465</v>
      </c>
      <c r="H2636" s="8">
        <f t="shared" si="280"/>
        <v>2914727</v>
      </c>
      <c r="I2636" s="5">
        <v>2958465</v>
      </c>
      <c r="J2636" s="5">
        <v>43738</v>
      </c>
      <c r="K2636" s="8">
        <f t="shared" si="281"/>
        <v>0</v>
      </c>
      <c r="L2636" s="6">
        <v>1588.63</v>
      </c>
      <c r="M2636" s="9">
        <f t="shared" si="278"/>
        <v>10.590866666666669</v>
      </c>
      <c r="N2636" s="6">
        <v>1588.63</v>
      </c>
      <c r="O2636" s="6">
        <v>0</v>
      </c>
    </row>
    <row r="2637" spans="1:15" ht="18.75" hidden="1" customHeight="1" thickBot="1" x14ac:dyDescent="0.3">
      <c r="A2637" s="3" t="s">
        <v>11</v>
      </c>
      <c r="B2637" s="4">
        <v>305025</v>
      </c>
      <c r="C2637" s="3" t="s">
        <v>22</v>
      </c>
      <c r="D2637" s="7">
        <v>0.08</v>
      </c>
      <c r="E2637" s="7">
        <f t="shared" si="279"/>
        <v>6.6666666666666671E-3</v>
      </c>
      <c r="F2637" s="5">
        <v>40253</v>
      </c>
      <c r="G2637" s="5">
        <v>2958465</v>
      </c>
      <c r="H2637" s="8">
        <f t="shared" si="280"/>
        <v>2918212</v>
      </c>
      <c r="I2637" s="5">
        <v>2958465</v>
      </c>
      <c r="J2637" s="5">
        <v>40273</v>
      </c>
      <c r="K2637" s="8">
        <f t="shared" si="281"/>
        <v>20</v>
      </c>
      <c r="L2637" s="6">
        <v>624.86</v>
      </c>
      <c r="M2637" s="9">
        <f t="shared" si="278"/>
        <v>4.1657333333333337</v>
      </c>
      <c r="N2637" s="6">
        <v>624.86</v>
      </c>
      <c r="O2637" s="6">
        <v>75</v>
      </c>
    </row>
    <row r="2638" spans="1:15" ht="18.75" hidden="1" customHeight="1" thickBot="1" x14ac:dyDescent="0.3">
      <c r="A2638" s="3" t="s">
        <v>11</v>
      </c>
      <c r="B2638" s="4">
        <v>112014</v>
      </c>
      <c r="C2638" s="3" t="s">
        <v>22</v>
      </c>
      <c r="D2638" s="7">
        <v>0.08</v>
      </c>
      <c r="E2638" s="7">
        <f t="shared" si="279"/>
        <v>6.6666666666666671E-3</v>
      </c>
      <c r="F2638" s="5">
        <v>40449</v>
      </c>
      <c r="G2638" s="5">
        <v>2958465</v>
      </c>
      <c r="H2638" s="8">
        <f t="shared" si="280"/>
        <v>2918016</v>
      </c>
      <c r="I2638" s="5">
        <v>2958465</v>
      </c>
      <c r="J2638" s="5">
        <v>40469</v>
      </c>
      <c r="K2638" s="8">
        <f t="shared" si="281"/>
        <v>20</v>
      </c>
      <c r="L2638" s="6">
        <v>1136.1199999999999</v>
      </c>
      <c r="M2638" s="9">
        <f t="shared" si="278"/>
        <v>7.5741333333333332</v>
      </c>
      <c r="N2638" s="6">
        <v>1136.1199999999999</v>
      </c>
      <c r="O2638" s="6">
        <v>0</v>
      </c>
    </row>
    <row r="2639" spans="1:15" ht="18.75" hidden="1" customHeight="1" thickBot="1" x14ac:dyDescent="0.3">
      <c r="A2639" s="3" t="s">
        <v>11</v>
      </c>
      <c r="B2639" s="4">
        <v>101636</v>
      </c>
      <c r="C2639" s="3" t="s">
        <v>22</v>
      </c>
      <c r="D2639" s="7">
        <v>0.08</v>
      </c>
      <c r="E2639" s="7">
        <f t="shared" si="279"/>
        <v>6.6666666666666671E-3</v>
      </c>
      <c r="F2639" s="5">
        <v>40627</v>
      </c>
      <c r="G2639" s="5">
        <v>2958465</v>
      </c>
      <c r="H2639" s="8">
        <f t="shared" si="280"/>
        <v>2917838</v>
      </c>
      <c r="I2639" s="5">
        <v>2958465</v>
      </c>
      <c r="J2639" s="5">
        <v>40630</v>
      </c>
      <c r="K2639" s="8">
        <f t="shared" si="281"/>
        <v>3</v>
      </c>
      <c r="L2639" s="6">
        <v>366.93</v>
      </c>
      <c r="M2639" s="9">
        <f t="shared" si="278"/>
        <v>2.4462000000000002</v>
      </c>
      <c r="N2639" s="6">
        <v>366.93</v>
      </c>
      <c r="O2639" s="6">
        <v>0</v>
      </c>
    </row>
    <row r="2640" spans="1:15" ht="18.75" hidden="1" customHeight="1" thickBot="1" x14ac:dyDescent="0.3">
      <c r="A2640" s="3" t="s">
        <v>11</v>
      </c>
      <c r="B2640" s="4">
        <v>747056</v>
      </c>
      <c r="C2640" s="3" t="s">
        <v>15</v>
      </c>
      <c r="D2640" s="7">
        <v>0.1515</v>
      </c>
      <c r="E2640" s="7">
        <f t="shared" si="279"/>
        <v>1.2624999999999999E-2</v>
      </c>
      <c r="F2640" s="5">
        <v>44253</v>
      </c>
      <c r="G2640" s="5">
        <v>2958465</v>
      </c>
      <c r="H2640" s="8">
        <f t="shared" si="280"/>
        <v>2914212</v>
      </c>
      <c r="I2640" s="5">
        <v>2958465</v>
      </c>
      <c r="J2640" s="5">
        <v>44257</v>
      </c>
      <c r="K2640" s="8">
        <f t="shared" si="281"/>
        <v>4</v>
      </c>
      <c r="L2640" s="6">
        <v>1697.09</v>
      </c>
      <c r="M2640" s="9">
        <f t="shared" si="278"/>
        <v>21.425761249999997</v>
      </c>
      <c r="N2640" s="6">
        <v>1697.09</v>
      </c>
      <c r="O2640" s="6">
        <v>0</v>
      </c>
    </row>
    <row r="2641" spans="1:15" ht="18.75" hidden="1" customHeight="1" thickBot="1" x14ac:dyDescent="0.3">
      <c r="A2641" s="3" t="s">
        <v>11</v>
      </c>
      <c r="B2641" s="4">
        <v>650052</v>
      </c>
      <c r="C2641" s="3" t="s">
        <v>15</v>
      </c>
      <c r="D2641" s="7">
        <v>0.1515</v>
      </c>
      <c r="E2641" s="7">
        <f t="shared" si="279"/>
        <v>1.2624999999999999E-2</v>
      </c>
      <c r="F2641" s="5">
        <v>44375</v>
      </c>
      <c r="G2641" s="5">
        <v>2958465</v>
      </c>
      <c r="H2641" s="8">
        <f t="shared" si="280"/>
        <v>2914090</v>
      </c>
      <c r="I2641" s="5">
        <v>2958465</v>
      </c>
      <c r="J2641" s="5">
        <v>44376</v>
      </c>
      <c r="K2641" s="8">
        <f t="shared" si="281"/>
        <v>1</v>
      </c>
      <c r="L2641" s="6">
        <v>1589.87</v>
      </c>
      <c r="M2641" s="9">
        <f t="shared" si="278"/>
        <v>20.072108749999998</v>
      </c>
      <c r="N2641" s="6">
        <v>1589.87</v>
      </c>
      <c r="O2641" s="6">
        <v>0</v>
      </c>
    </row>
    <row r="2642" spans="1:15" ht="18.75" hidden="1" customHeight="1" thickBot="1" x14ac:dyDescent="0.3">
      <c r="A2642" s="3" t="s">
        <v>11</v>
      </c>
      <c r="B2642" s="4">
        <v>345756</v>
      </c>
      <c r="C2642" s="3" t="s">
        <v>22</v>
      </c>
      <c r="D2642" s="7">
        <v>0.08</v>
      </c>
      <c r="E2642" s="7">
        <f t="shared" si="279"/>
        <v>6.6666666666666671E-3</v>
      </c>
      <c r="F2642" s="5">
        <v>42048</v>
      </c>
      <c r="G2642" s="5">
        <v>2958465</v>
      </c>
      <c r="H2642" s="8">
        <f t="shared" si="280"/>
        <v>2916417</v>
      </c>
      <c r="I2642" s="5">
        <v>2958465</v>
      </c>
      <c r="J2642" s="5">
        <v>42058</v>
      </c>
      <c r="K2642" s="8">
        <f t="shared" si="281"/>
        <v>10</v>
      </c>
      <c r="L2642" s="6">
        <v>484.06</v>
      </c>
      <c r="M2642" s="9">
        <f t="shared" si="278"/>
        <v>3.227066666666667</v>
      </c>
      <c r="N2642" s="6">
        <v>484.06</v>
      </c>
      <c r="O2642" s="6">
        <v>0</v>
      </c>
    </row>
    <row r="2643" spans="1:15" ht="18.75" hidden="1" customHeight="1" thickBot="1" x14ac:dyDescent="0.3">
      <c r="A2643" s="3" t="s">
        <v>11</v>
      </c>
      <c r="B2643" s="4">
        <v>245332</v>
      </c>
      <c r="C2643" s="3" t="s">
        <v>22</v>
      </c>
      <c r="D2643" s="7">
        <v>0.08</v>
      </c>
      <c r="E2643" s="7">
        <f t="shared" si="279"/>
        <v>6.6666666666666671E-3</v>
      </c>
      <c r="F2643" s="5">
        <v>41522</v>
      </c>
      <c r="G2643" s="5">
        <v>2958465</v>
      </c>
      <c r="H2643" s="8">
        <f t="shared" si="280"/>
        <v>2916943</v>
      </c>
      <c r="I2643" s="5">
        <v>2958465</v>
      </c>
      <c r="J2643" s="5">
        <v>41527</v>
      </c>
      <c r="K2643" s="8">
        <f t="shared" si="281"/>
        <v>5</v>
      </c>
      <c r="L2643" s="6">
        <v>5939.61</v>
      </c>
      <c r="M2643" s="9">
        <f t="shared" si="278"/>
        <v>39.5974</v>
      </c>
      <c r="N2643" s="6">
        <v>5939.61</v>
      </c>
      <c r="O2643" s="6">
        <v>0</v>
      </c>
    </row>
    <row r="2644" spans="1:15" ht="18.75" hidden="1" customHeight="1" thickBot="1" x14ac:dyDescent="0.3">
      <c r="A2644" s="3" t="s">
        <v>11</v>
      </c>
      <c r="B2644" s="4">
        <v>289795</v>
      </c>
      <c r="C2644" s="3" t="s">
        <v>22</v>
      </c>
      <c r="D2644" s="7">
        <v>0.08</v>
      </c>
      <c r="E2644" s="7">
        <f t="shared" si="279"/>
        <v>6.6666666666666671E-3</v>
      </c>
      <c r="F2644" s="5">
        <v>42452</v>
      </c>
      <c r="G2644" s="5">
        <v>2958465</v>
      </c>
      <c r="H2644" s="8">
        <f t="shared" si="280"/>
        <v>2916013</v>
      </c>
      <c r="I2644" s="5">
        <v>2958465</v>
      </c>
      <c r="J2644" s="5">
        <v>42457</v>
      </c>
      <c r="K2644" s="8">
        <f t="shared" si="281"/>
        <v>5</v>
      </c>
      <c r="L2644" s="6">
        <v>6509.48</v>
      </c>
      <c r="M2644" s="9">
        <f t="shared" si="278"/>
        <v>43.396533333333331</v>
      </c>
      <c r="N2644" s="6">
        <v>6509.48</v>
      </c>
      <c r="O2644" s="6">
        <v>3741.62</v>
      </c>
    </row>
    <row r="2645" spans="1:15" ht="18.75" hidden="1" customHeight="1" thickBot="1" x14ac:dyDescent="0.3">
      <c r="A2645" s="3" t="s">
        <v>11</v>
      </c>
      <c r="B2645" s="4">
        <v>922448</v>
      </c>
      <c r="C2645" s="3" t="s">
        <v>22</v>
      </c>
      <c r="D2645" s="7">
        <v>7.2499999999999995E-2</v>
      </c>
      <c r="E2645" s="7">
        <f t="shared" si="279"/>
        <v>6.0416666666666665E-3</v>
      </c>
      <c r="F2645" s="5">
        <v>45673</v>
      </c>
      <c r="G2645" s="5">
        <v>2958465</v>
      </c>
      <c r="H2645" s="8">
        <f t="shared" si="280"/>
        <v>2912792</v>
      </c>
      <c r="I2645" s="5">
        <v>2958465</v>
      </c>
      <c r="J2645" s="5">
        <v>45674</v>
      </c>
      <c r="K2645" s="8">
        <f t="shared" si="281"/>
        <v>1</v>
      </c>
      <c r="L2645" s="6">
        <v>3835.38</v>
      </c>
      <c r="M2645" s="9">
        <f t="shared" si="278"/>
        <v>23.1720875</v>
      </c>
      <c r="N2645" s="6">
        <v>3835.38</v>
      </c>
      <c r="O2645" s="6">
        <v>0</v>
      </c>
    </row>
    <row r="2646" spans="1:15" ht="18.75" hidden="1" customHeight="1" thickBot="1" x14ac:dyDescent="0.3">
      <c r="A2646" s="3" t="s">
        <v>11</v>
      </c>
      <c r="B2646" s="4">
        <v>951164</v>
      </c>
      <c r="C2646" s="3" t="s">
        <v>22</v>
      </c>
      <c r="D2646" s="7">
        <v>0.08</v>
      </c>
      <c r="E2646" s="7">
        <f t="shared" si="279"/>
        <v>6.6666666666666671E-3</v>
      </c>
      <c r="F2646" s="5">
        <v>41621</v>
      </c>
      <c r="G2646" s="5">
        <v>2958465</v>
      </c>
      <c r="H2646" s="8">
        <f t="shared" si="280"/>
        <v>2916844</v>
      </c>
      <c r="I2646" s="5">
        <v>2958465</v>
      </c>
      <c r="J2646" s="5">
        <v>41625</v>
      </c>
      <c r="K2646" s="8">
        <f t="shared" si="281"/>
        <v>4</v>
      </c>
      <c r="L2646" s="6">
        <v>6145.02</v>
      </c>
      <c r="M2646" s="9">
        <f t="shared" si="278"/>
        <v>40.966800000000006</v>
      </c>
      <c r="N2646" s="6">
        <v>6145.02</v>
      </c>
      <c r="O2646" s="6">
        <v>6145.02</v>
      </c>
    </row>
    <row r="2647" spans="1:15" ht="18.75" hidden="1" customHeight="1" thickBot="1" x14ac:dyDescent="0.3">
      <c r="A2647" s="3" t="s">
        <v>11</v>
      </c>
      <c r="B2647" s="4">
        <v>676595</v>
      </c>
      <c r="C2647" s="3" t="s">
        <v>15</v>
      </c>
      <c r="D2647" s="7">
        <v>0.11650000000000001</v>
      </c>
      <c r="E2647" s="7">
        <f t="shared" si="279"/>
        <v>9.7083333333333344E-3</v>
      </c>
      <c r="F2647" s="5">
        <v>44273</v>
      </c>
      <c r="G2647" s="5">
        <v>2958465</v>
      </c>
      <c r="H2647" s="8">
        <f t="shared" si="280"/>
        <v>2914192</v>
      </c>
      <c r="I2647" s="5">
        <v>2958465</v>
      </c>
      <c r="J2647" s="5">
        <v>44274</v>
      </c>
      <c r="K2647" s="8">
        <f t="shared" si="281"/>
        <v>1</v>
      </c>
      <c r="L2647" s="6">
        <v>670.62</v>
      </c>
      <c r="M2647" s="9">
        <f t="shared" si="278"/>
        <v>6.510602500000001</v>
      </c>
      <c r="N2647" s="6">
        <v>670.62</v>
      </c>
      <c r="O2647" s="6">
        <v>670.62</v>
      </c>
    </row>
    <row r="2648" spans="1:15" ht="18.75" hidden="1" customHeight="1" thickBot="1" x14ac:dyDescent="0.3">
      <c r="A2648" s="3" t="s">
        <v>11</v>
      </c>
      <c r="B2648" s="4">
        <v>710697</v>
      </c>
      <c r="C2648" s="3" t="s">
        <v>15</v>
      </c>
      <c r="D2648" s="7">
        <v>0.1515</v>
      </c>
      <c r="E2648" s="7">
        <f t="shared" si="279"/>
        <v>1.2624999999999999E-2</v>
      </c>
      <c r="F2648" s="5">
        <v>44406</v>
      </c>
      <c r="G2648" s="5">
        <v>2958465</v>
      </c>
      <c r="H2648" s="8">
        <f t="shared" si="280"/>
        <v>2914059</v>
      </c>
      <c r="I2648" s="5">
        <v>2958465</v>
      </c>
      <c r="J2648" s="5">
        <v>44407</v>
      </c>
      <c r="K2648" s="8">
        <f t="shared" si="281"/>
        <v>1</v>
      </c>
      <c r="L2648" s="6">
        <v>1769.6</v>
      </c>
      <c r="M2648" s="9">
        <f t="shared" si="278"/>
        <v>22.341199999999997</v>
      </c>
      <c r="N2648" s="6">
        <v>1769.6</v>
      </c>
      <c r="O2648" s="6">
        <v>793.46</v>
      </c>
    </row>
    <row r="2649" spans="1:15" ht="18.75" hidden="1" customHeight="1" thickBot="1" x14ac:dyDescent="0.3">
      <c r="A2649" s="3" t="s">
        <v>11</v>
      </c>
      <c r="B2649" s="4">
        <v>297598</v>
      </c>
      <c r="C2649" s="3" t="s">
        <v>22</v>
      </c>
      <c r="D2649" s="7">
        <v>9.9999999999999995E-7</v>
      </c>
      <c r="E2649" s="7">
        <f t="shared" si="279"/>
        <v>8.3333333333333325E-8</v>
      </c>
      <c r="F2649" s="5">
        <v>42922</v>
      </c>
      <c r="G2649" s="5">
        <v>2958465</v>
      </c>
      <c r="H2649" s="8">
        <f t="shared" si="280"/>
        <v>2915543</v>
      </c>
      <c r="I2649" s="5">
        <v>2958465</v>
      </c>
      <c r="J2649" s="5">
        <v>42949</v>
      </c>
      <c r="K2649" s="8">
        <f t="shared" si="281"/>
        <v>27</v>
      </c>
      <c r="L2649" s="6">
        <v>5046.9399999999996</v>
      </c>
      <c r="M2649" s="9">
        <f t="shared" si="278"/>
        <v>5.2141964972035958E-2</v>
      </c>
      <c r="N2649" s="6">
        <v>5046.9399999999996</v>
      </c>
      <c r="O2649" s="6">
        <v>674.64</v>
      </c>
    </row>
    <row r="2650" spans="1:15" ht="18.75" hidden="1" customHeight="1" thickBot="1" x14ac:dyDescent="0.3">
      <c r="A2650" s="3" t="s">
        <v>11</v>
      </c>
      <c r="B2650" s="4">
        <v>413657</v>
      </c>
      <c r="C2650" s="3" t="s">
        <v>15</v>
      </c>
      <c r="D2650" s="7">
        <v>0.1515</v>
      </c>
      <c r="E2650" s="7">
        <f t="shared" si="279"/>
        <v>1.2624999999999999E-2</v>
      </c>
      <c r="F2650" s="5">
        <v>44244</v>
      </c>
      <c r="G2650" s="5">
        <v>2958465</v>
      </c>
      <c r="H2650" s="8">
        <f t="shared" si="280"/>
        <v>2914221</v>
      </c>
      <c r="I2650" s="5">
        <v>2958465</v>
      </c>
      <c r="J2650" s="5">
        <v>44245</v>
      </c>
      <c r="K2650" s="8">
        <f t="shared" si="281"/>
        <v>1</v>
      </c>
      <c r="L2650" s="6">
        <v>95</v>
      </c>
      <c r="M2650" s="9">
        <f t="shared" si="278"/>
        <v>1.1993749999999999</v>
      </c>
      <c r="N2650" s="6">
        <v>95</v>
      </c>
      <c r="O2650" s="6">
        <v>0</v>
      </c>
    </row>
    <row r="2651" spans="1:15" ht="18.75" hidden="1" customHeight="1" thickBot="1" x14ac:dyDescent="0.3">
      <c r="A2651" s="3" t="s">
        <v>11</v>
      </c>
      <c r="B2651" s="4">
        <v>775823</v>
      </c>
      <c r="C2651" s="3" t="s">
        <v>22</v>
      </c>
      <c r="D2651" s="7">
        <v>9.9999999999999995E-8</v>
      </c>
      <c r="E2651" s="7">
        <f t="shared" si="279"/>
        <v>8.3333333333333335E-9</v>
      </c>
      <c r="F2651" s="5">
        <v>43255</v>
      </c>
      <c r="G2651" s="5">
        <v>2958465</v>
      </c>
      <c r="H2651" s="8">
        <f t="shared" si="280"/>
        <v>2915210</v>
      </c>
      <c r="I2651" s="5">
        <v>2958465</v>
      </c>
      <c r="J2651" s="5">
        <v>43256</v>
      </c>
      <c r="K2651" s="8">
        <f t="shared" si="281"/>
        <v>1</v>
      </c>
      <c r="L2651" s="6">
        <v>10667.13</v>
      </c>
      <c r="M2651" s="9">
        <f t="shared" si="278"/>
        <v>0.10981832846948779</v>
      </c>
      <c r="N2651" s="6">
        <v>10667.13</v>
      </c>
      <c r="O2651" s="6">
        <v>0</v>
      </c>
    </row>
    <row r="2652" spans="1:15" ht="18.75" hidden="1" customHeight="1" thickBot="1" x14ac:dyDescent="0.3">
      <c r="A2652" s="3" t="s">
        <v>11</v>
      </c>
      <c r="B2652" s="4">
        <v>198184</v>
      </c>
      <c r="C2652" s="3" t="s">
        <v>15</v>
      </c>
      <c r="D2652" s="7">
        <v>0.11650000000000001</v>
      </c>
      <c r="E2652" s="7">
        <f t="shared" si="279"/>
        <v>9.7083333333333344E-3</v>
      </c>
      <c r="F2652" s="5">
        <v>44193</v>
      </c>
      <c r="G2652" s="5">
        <v>2958465</v>
      </c>
      <c r="H2652" s="8">
        <f t="shared" si="280"/>
        <v>2914272</v>
      </c>
      <c r="I2652" s="5">
        <v>2958465</v>
      </c>
      <c r="J2652" s="5">
        <v>44195</v>
      </c>
      <c r="K2652" s="8">
        <f t="shared" si="281"/>
        <v>2</v>
      </c>
      <c r="L2652" s="6">
        <v>747.26</v>
      </c>
      <c r="M2652" s="9">
        <f t="shared" si="278"/>
        <v>7.2546491666666677</v>
      </c>
      <c r="N2652" s="6">
        <v>747.26</v>
      </c>
      <c r="O2652" s="6">
        <v>747.26</v>
      </c>
    </row>
    <row r="2653" spans="1:15" ht="18.75" hidden="1" customHeight="1" thickBot="1" x14ac:dyDescent="0.3">
      <c r="A2653" s="3" t="s">
        <v>11</v>
      </c>
      <c r="B2653" s="4">
        <v>479705</v>
      </c>
      <c r="C2653" s="3" t="s">
        <v>15</v>
      </c>
      <c r="D2653" s="7">
        <v>0.1515</v>
      </c>
      <c r="E2653" s="7">
        <f t="shared" si="279"/>
        <v>1.2624999999999999E-2</v>
      </c>
      <c r="F2653" s="5">
        <v>44273</v>
      </c>
      <c r="G2653" s="5">
        <v>2958465</v>
      </c>
      <c r="H2653" s="8">
        <f t="shared" si="280"/>
        <v>2914192</v>
      </c>
      <c r="I2653" s="5">
        <v>2958465</v>
      </c>
      <c r="J2653" s="5">
        <v>44274</v>
      </c>
      <c r="K2653" s="8">
        <f t="shared" si="281"/>
        <v>1</v>
      </c>
      <c r="L2653" s="6">
        <v>1703.05</v>
      </c>
      <c r="M2653" s="9">
        <f t="shared" si="278"/>
        <v>21.501006249999996</v>
      </c>
      <c r="N2653" s="6">
        <v>1703.05</v>
      </c>
      <c r="O2653" s="6">
        <v>0</v>
      </c>
    </row>
    <row r="2654" spans="1:15" ht="18.75" hidden="1" customHeight="1" thickBot="1" x14ac:dyDescent="0.3">
      <c r="A2654" s="3" t="s">
        <v>11</v>
      </c>
      <c r="B2654" s="4">
        <v>485352</v>
      </c>
      <c r="C2654" s="3" t="s">
        <v>22</v>
      </c>
      <c r="D2654" s="7">
        <v>0.08</v>
      </c>
      <c r="E2654" s="7">
        <f t="shared" si="279"/>
        <v>6.6666666666666671E-3</v>
      </c>
      <c r="F2654" s="5">
        <v>43829</v>
      </c>
      <c r="G2654" s="5">
        <v>2958465</v>
      </c>
      <c r="H2654" s="8">
        <f t="shared" si="280"/>
        <v>2914636</v>
      </c>
      <c r="I2654" s="5">
        <v>2958465</v>
      </c>
      <c r="J2654" s="5">
        <v>43867</v>
      </c>
      <c r="K2654" s="8">
        <f t="shared" si="281"/>
        <v>38</v>
      </c>
      <c r="L2654" s="6">
        <v>2824.44</v>
      </c>
      <c r="M2654" s="9">
        <f t="shared" si="278"/>
        <v>18.829600000000003</v>
      </c>
      <c r="N2654" s="6">
        <v>2824.44</v>
      </c>
      <c r="O2654" s="6">
        <v>2824.44</v>
      </c>
    </row>
    <row r="2655" spans="1:15" ht="18.75" hidden="1" customHeight="1" thickBot="1" x14ac:dyDescent="0.3">
      <c r="A2655" s="3" t="s">
        <v>11</v>
      </c>
      <c r="B2655" s="4">
        <v>870455</v>
      </c>
      <c r="C2655" s="3" t="s">
        <v>22</v>
      </c>
      <c r="D2655" s="7">
        <v>0.08</v>
      </c>
      <c r="E2655" s="7">
        <f t="shared" si="279"/>
        <v>6.6666666666666671E-3</v>
      </c>
      <c r="F2655" s="5">
        <v>43608</v>
      </c>
      <c r="G2655" s="5">
        <v>2958465</v>
      </c>
      <c r="H2655" s="8">
        <f t="shared" si="280"/>
        <v>2914857</v>
      </c>
      <c r="I2655" s="5">
        <v>2958465</v>
      </c>
      <c r="J2655" s="5">
        <v>43609</v>
      </c>
      <c r="K2655" s="8">
        <f t="shared" si="281"/>
        <v>1</v>
      </c>
      <c r="L2655" s="6">
        <v>2057.37</v>
      </c>
      <c r="M2655" s="9">
        <f t="shared" si="278"/>
        <v>13.7158</v>
      </c>
      <c r="N2655" s="6">
        <v>2057.37</v>
      </c>
      <c r="O2655" s="6">
        <v>2057.37</v>
      </c>
    </row>
    <row r="2656" spans="1:15" ht="18.75" hidden="1" customHeight="1" thickBot="1" x14ac:dyDescent="0.3">
      <c r="A2656" s="3" t="s">
        <v>11</v>
      </c>
      <c r="B2656" s="4">
        <v>646581</v>
      </c>
      <c r="C2656" s="3" t="s">
        <v>15</v>
      </c>
      <c r="D2656" s="7">
        <v>0.1515</v>
      </c>
      <c r="E2656" s="7">
        <f t="shared" si="279"/>
        <v>1.2624999999999999E-2</v>
      </c>
      <c r="F2656" s="5">
        <v>44272</v>
      </c>
      <c r="G2656" s="5">
        <v>2958465</v>
      </c>
      <c r="H2656" s="8">
        <f t="shared" si="280"/>
        <v>2914193</v>
      </c>
      <c r="I2656" s="5">
        <v>2958465</v>
      </c>
      <c r="J2656" s="5">
        <v>44273</v>
      </c>
      <c r="K2656" s="8">
        <f t="shared" si="281"/>
        <v>1</v>
      </c>
      <c r="L2656" s="6">
        <v>861.7</v>
      </c>
      <c r="M2656" s="9">
        <f t="shared" si="278"/>
        <v>10.8789625</v>
      </c>
      <c r="N2656" s="6">
        <v>861.7</v>
      </c>
      <c r="O2656" s="6">
        <v>0</v>
      </c>
    </row>
    <row r="2657" spans="1:15" ht="18.75" hidden="1" customHeight="1" thickBot="1" x14ac:dyDescent="0.3">
      <c r="A2657" s="3" t="s">
        <v>11</v>
      </c>
      <c r="B2657" s="4">
        <v>391496</v>
      </c>
      <c r="C2657" s="3" t="s">
        <v>15</v>
      </c>
      <c r="D2657" s="7">
        <v>0.1515</v>
      </c>
      <c r="E2657" s="7">
        <f t="shared" si="279"/>
        <v>1.2624999999999999E-2</v>
      </c>
      <c r="F2657" s="5">
        <v>44529</v>
      </c>
      <c r="G2657" s="5">
        <v>2958465</v>
      </c>
      <c r="H2657" s="8">
        <f t="shared" si="280"/>
        <v>2913936</v>
      </c>
      <c r="I2657" s="5">
        <v>2958465</v>
      </c>
      <c r="J2657" s="5">
        <v>44530</v>
      </c>
      <c r="K2657" s="8">
        <f t="shared" si="281"/>
        <v>1</v>
      </c>
      <c r="L2657" s="6">
        <v>382.41</v>
      </c>
      <c r="M2657" s="9">
        <f t="shared" si="278"/>
        <v>4.82792625</v>
      </c>
      <c r="N2657" s="6">
        <v>382.41</v>
      </c>
      <c r="O2657" s="6">
        <v>0</v>
      </c>
    </row>
    <row r="2658" spans="1:15" ht="18.75" hidden="1" customHeight="1" thickBot="1" x14ac:dyDescent="0.3">
      <c r="A2658" s="3" t="s">
        <v>11</v>
      </c>
      <c r="B2658" s="4">
        <v>890198</v>
      </c>
      <c r="C2658" s="3" t="s">
        <v>22</v>
      </c>
      <c r="D2658" s="7">
        <v>0.08</v>
      </c>
      <c r="E2658" s="7">
        <f t="shared" si="279"/>
        <v>6.6666666666666671E-3</v>
      </c>
      <c r="F2658" s="5">
        <v>43542</v>
      </c>
      <c r="G2658" s="5">
        <v>2958465</v>
      </c>
      <c r="H2658" s="8">
        <f t="shared" si="280"/>
        <v>2914923</v>
      </c>
      <c r="I2658" s="5">
        <v>2958465</v>
      </c>
      <c r="J2658" s="5">
        <v>43544</v>
      </c>
      <c r="K2658" s="8">
        <f t="shared" si="281"/>
        <v>2</v>
      </c>
      <c r="L2658" s="6">
        <v>3939.5</v>
      </c>
      <c r="M2658" s="9">
        <f t="shared" si="278"/>
        <v>26.263333333333335</v>
      </c>
      <c r="N2658" s="6">
        <v>3939.5</v>
      </c>
      <c r="O2658" s="6">
        <v>8.83</v>
      </c>
    </row>
    <row r="2659" spans="1:15" ht="18.75" hidden="1" customHeight="1" thickBot="1" x14ac:dyDescent="0.3">
      <c r="A2659" s="3" t="s">
        <v>11</v>
      </c>
      <c r="B2659" s="4">
        <v>852283</v>
      </c>
      <c r="C2659" s="3" t="s">
        <v>15</v>
      </c>
      <c r="D2659" s="7">
        <v>0.1515</v>
      </c>
      <c r="E2659" s="7">
        <f t="shared" si="279"/>
        <v>1.2624999999999999E-2</v>
      </c>
      <c r="F2659" s="5">
        <v>44144</v>
      </c>
      <c r="G2659" s="5">
        <v>2958465</v>
      </c>
      <c r="H2659" s="8">
        <f t="shared" si="280"/>
        <v>2914321</v>
      </c>
      <c r="I2659" s="5">
        <v>2958465</v>
      </c>
      <c r="J2659" s="5">
        <v>44145</v>
      </c>
      <c r="K2659" s="8">
        <f t="shared" si="281"/>
        <v>1</v>
      </c>
      <c r="L2659" s="6">
        <v>5363.99</v>
      </c>
      <c r="M2659" s="9">
        <f t="shared" si="278"/>
        <v>67.720373749999993</v>
      </c>
      <c r="N2659" s="6">
        <v>5363.99</v>
      </c>
      <c r="O2659" s="6">
        <v>0</v>
      </c>
    </row>
    <row r="2660" spans="1:15" ht="18.75" hidden="1" customHeight="1" thickBot="1" x14ac:dyDescent="0.3">
      <c r="A2660" s="3" t="s">
        <v>11</v>
      </c>
      <c r="B2660" s="4">
        <v>28247</v>
      </c>
      <c r="C2660" s="3" t="s">
        <v>22</v>
      </c>
      <c r="D2660" s="7">
        <v>8.5000000000000006E-2</v>
      </c>
      <c r="E2660" s="7">
        <f t="shared" si="279"/>
        <v>7.0833333333333338E-3</v>
      </c>
      <c r="F2660" s="5">
        <v>45243</v>
      </c>
      <c r="G2660" s="5">
        <v>2958465</v>
      </c>
      <c r="H2660" s="8">
        <f t="shared" si="280"/>
        <v>2913222</v>
      </c>
      <c r="I2660" s="5">
        <v>2958465</v>
      </c>
      <c r="J2660" s="5">
        <v>45244</v>
      </c>
      <c r="K2660" s="8">
        <f t="shared" si="281"/>
        <v>1</v>
      </c>
      <c r="L2660" s="6">
        <v>3349.16</v>
      </c>
      <c r="M2660" s="9">
        <f t="shared" si="278"/>
        <v>23.723216666666666</v>
      </c>
      <c r="N2660" s="6">
        <v>3349.16</v>
      </c>
      <c r="O2660" s="6">
        <v>3349.16</v>
      </c>
    </row>
    <row r="2661" spans="1:15" ht="18.75" hidden="1" customHeight="1" thickBot="1" x14ac:dyDescent="0.3">
      <c r="A2661" s="3" t="s">
        <v>11</v>
      </c>
      <c r="B2661" s="4">
        <v>945140</v>
      </c>
      <c r="C2661" s="3" t="s">
        <v>15</v>
      </c>
      <c r="D2661" s="7">
        <v>0.115</v>
      </c>
      <c r="E2661" s="7">
        <f t="shared" si="279"/>
        <v>9.5833333333333343E-3</v>
      </c>
      <c r="F2661" s="5">
        <v>44610</v>
      </c>
      <c r="G2661" s="5">
        <v>2958465</v>
      </c>
      <c r="H2661" s="8">
        <f t="shared" si="280"/>
        <v>2913855</v>
      </c>
      <c r="I2661" s="5">
        <v>2958465</v>
      </c>
      <c r="J2661" s="5">
        <v>44614</v>
      </c>
      <c r="K2661" s="8">
        <f t="shared" si="281"/>
        <v>4</v>
      </c>
      <c r="L2661" s="6">
        <v>3569.62</v>
      </c>
      <c r="M2661" s="9">
        <f t="shared" si="278"/>
        <v>34.208858333333339</v>
      </c>
      <c r="N2661" s="6">
        <v>3569.62</v>
      </c>
      <c r="O2661" s="6">
        <v>0</v>
      </c>
    </row>
    <row r="2662" spans="1:15" ht="18.75" hidden="1" customHeight="1" thickBot="1" x14ac:dyDescent="0.3">
      <c r="A2662" s="3" t="s">
        <v>11</v>
      </c>
      <c r="B2662" s="4">
        <v>317550</v>
      </c>
      <c r="C2662" s="3" t="s">
        <v>22</v>
      </c>
      <c r="D2662" s="7">
        <v>0.08</v>
      </c>
      <c r="E2662" s="7">
        <f t="shared" si="279"/>
        <v>6.6666666666666671E-3</v>
      </c>
      <c r="F2662" s="5">
        <v>43873</v>
      </c>
      <c r="G2662" s="5">
        <v>2958465</v>
      </c>
      <c r="H2662" s="8">
        <f t="shared" si="280"/>
        <v>2914592</v>
      </c>
      <c r="I2662" s="5">
        <v>2958465</v>
      </c>
      <c r="J2662" s="5">
        <v>43887</v>
      </c>
      <c r="K2662" s="8">
        <f t="shared" si="281"/>
        <v>14</v>
      </c>
      <c r="L2662" s="6">
        <v>2121.52</v>
      </c>
      <c r="M2662" s="9">
        <f t="shared" si="278"/>
        <v>14.143466666666667</v>
      </c>
      <c r="N2662" s="6">
        <v>2121.52</v>
      </c>
      <c r="O2662" s="6">
        <v>0</v>
      </c>
    </row>
    <row r="2663" spans="1:15" ht="18.75" hidden="1" customHeight="1" thickBot="1" x14ac:dyDescent="0.3">
      <c r="A2663" s="3" t="s">
        <v>11</v>
      </c>
      <c r="B2663" s="4">
        <v>385804</v>
      </c>
      <c r="C2663" s="3" t="s">
        <v>22</v>
      </c>
      <c r="D2663" s="7">
        <v>0.08</v>
      </c>
      <c r="E2663" s="7">
        <f t="shared" si="279"/>
        <v>6.6666666666666671E-3</v>
      </c>
      <c r="F2663" s="5">
        <v>43873</v>
      </c>
      <c r="G2663" s="5">
        <v>2958465</v>
      </c>
      <c r="H2663" s="8">
        <f t="shared" si="280"/>
        <v>2914592</v>
      </c>
      <c r="I2663" s="5">
        <v>2958465</v>
      </c>
      <c r="J2663" s="5">
        <v>43887</v>
      </c>
      <c r="K2663" s="8">
        <f t="shared" si="281"/>
        <v>14</v>
      </c>
      <c r="L2663" s="6">
        <v>1762.58</v>
      </c>
      <c r="M2663" s="9">
        <f t="shared" si="278"/>
        <v>11.750533333333333</v>
      </c>
      <c r="N2663" s="6">
        <v>1762.58</v>
      </c>
      <c r="O2663" s="6">
        <v>1762.58</v>
      </c>
    </row>
    <row r="2664" spans="1:15" ht="18.75" hidden="1" customHeight="1" thickBot="1" x14ac:dyDescent="0.3">
      <c r="A2664" s="3" t="s">
        <v>11</v>
      </c>
      <c r="B2664" s="4">
        <v>914438</v>
      </c>
      <c r="C2664" s="3" t="s">
        <v>22</v>
      </c>
      <c r="D2664" s="7">
        <v>0.08</v>
      </c>
      <c r="E2664" s="7">
        <f t="shared" si="279"/>
        <v>6.6666666666666671E-3</v>
      </c>
      <c r="F2664" s="5">
        <v>43738</v>
      </c>
      <c r="G2664" s="5">
        <v>2958465</v>
      </c>
      <c r="H2664" s="8">
        <f t="shared" si="280"/>
        <v>2914727</v>
      </c>
      <c r="I2664" s="5">
        <v>2958465</v>
      </c>
      <c r="J2664" s="5">
        <v>43738</v>
      </c>
      <c r="K2664" s="8">
        <f t="shared" si="281"/>
        <v>0</v>
      </c>
      <c r="L2664" s="6">
        <v>2339.44</v>
      </c>
      <c r="M2664" s="9">
        <f t="shared" si="278"/>
        <v>15.596266666666668</v>
      </c>
      <c r="N2664" s="6">
        <v>2339.44</v>
      </c>
      <c r="O2664" s="6">
        <v>0</v>
      </c>
    </row>
    <row r="2665" spans="1:15" ht="18.75" hidden="1" customHeight="1" thickBot="1" x14ac:dyDescent="0.3">
      <c r="A2665" s="3" t="s">
        <v>11</v>
      </c>
      <c r="B2665" s="4">
        <v>581147</v>
      </c>
      <c r="C2665" s="3" t="s">
        <v>22</v>
      </c>
      <c r="D2665" s="7">
        <v>6.7500000000000004E-2</v>
      </c>
      <c r="E2665" s="7">
        <f t="shared" si="279"/>
        <v>5.6250000000000007E-3</v>
      </c>
      <c r="F2665" s="5">
        <v>45440</v>
      </c>
      <c r="G2665" s="5">
        <v>2958465</v>
      </c>
      <c r="H2665" s="8">
        <f t="shared" si="280"/>
        <v>2913025</v>
      </c>
      <c r="I2665" s="5">
        <v>2958465</v>
      </c>
      <c r="J2665" s="5">
        <v>45441</v>
      </c>
      <c r="K2665" s="8">
        <f t="shared" si="281"/>
        <v>1</v>
      </c>
      <c r="L2665" s="6">
        <v>2135.61</v>
      </c>
      <c r="M2665" s="9">
        <f t="shared" si="278"/>
        <v>12.012806250000002</v>
      </c>
      <c r="N2665" s="6">
        <v>2135.61</v>
      </c>
      <c r="O2665" s="6">
        <v>1598.89</v>
      </c>
    </row>
    <row r="2666" spans="1:15" ht="18.75" hidden="1" customHeight="1" thickBot="1" x14ac:dyDescent="0.3">
      <c r="A2666" s="3" t="s">
        <v>11</v>
      </c>
      <c r="B2666" s="4">
        <v>642044</v>
      </c>
      <c r="C2666" s="3" t="s">
        <v>22</v>
      </c>
      <c r="D2666" s="7">
        <v>0.08</v>
      </c>
      <c r="E2666" s="7">
        <f t="shared" si="279"/>
        <v>6.6666666666666671E-3</v>
      </c>
      <c r="F2666" s="5">
        <v>44050</v>
      </c>
      <c r="G2666" s="5">
        <v>2958465</v>
      </c>
      <c r="H2666" s="8">
        <f t="shared" si="280"/>
        <v>2914415</v>
      </c>
      <c r="I2666" s="5">
        <v>2958465</v>
      </c>
      <c r="J2666" s="5">
        <v>44053</v>
      </c>
      <c r="K2666" s="8">
        <f t="shared" si="281"/>
        <v>3</v>
      </c>
      <c r="L2666" s="6">
        <v>427.29</v>
      </c>
      <c r="M2666" s="9">
        <f t="shared" si="278"/>
        <v>2.8486000000000002</v>
      </c>
      <c r="N2666" s="6">
        <v>427.29</v>
      </c>
      <c r="O2666" s="6">
        <v>390.78</v>
      </c>
    </row>
    <row r="2667" spans="1:15" ht="18.75" hidden="1" customHeight="1" thickBot="1" x14ac:dyDescent="0.3">
      <c r="A2667" s="3" t="s">
        <v>11</v>
      </c>
      <c r="B2667" s="4">
        <v>989312</v>
      </c>
      <c r="C2667" s="3" t="s">
        <v>22</v>
      </c>
      <c r="D2667" s="7">
        <v>9.9999999999999995E-8</v>
      </c>
      <c r="E2667" s="7">
        <f t="shared" si="279"/>
        <v>8.3333333333333335E-9</v>
      </c>
      <c r="F2667" s="5">
        <v>43738</v>
      </c>
      <c r="G2667" s="5">
        <v>2958465</v>
      </c>
      <c r="H2667" s="8">
        <f t="shared" si="280"/>
        <v>2914727</v>
      </c>
      <c r="I2667" s="5">
        <v>2958465</v>
      </c>
      <c r="J2667" s="5">
        <v>43738</v>
      </c>
      <c r="K2667" s="8">
        <f t="shared" si="281"/>
        <v>0</v>
      </c>
      <c r="L2667" s="6">
        <v>3066.71</v>
      </c>
      <c r="M2667" s="9">
        <f t="shared" si="278"/>
        <v>3.1577073828621967E-2</v>
      </c>
      <c r="N2667" s="6">
        <v>3066.71</v>
      </c>
      <c r="O2667" s="6">
        <v>0</v>
      </c>
    </row>
    <row r="2668" spans="1:15" ht="18.75" hidden="1" customHeight="1" thickBot="1" x14ac:dyDescent="0.3">
      <c r="A2668" s="3" t="s">
        <v>11</v>
      </c>
      <c r="B2668" s="4">
        <v>384561</v>
      </c>
      <c r="C2668" s="3" t="s">
        <v>15</v>
      </c>
      <c r="D2668" s="7">
        <v>0.08</v>
      </c>
      <c r="E2668" s="7">
        <f t="shared" si="279"/>
        <v>6.6666666666666671E-3</v>
      </c>
      <c r="F2668" s="5">
        <v>44413</v>
      </c>
      <c r="G2668" s="5">
        <v>2958465</v>
      </c>
      <c r="H2668" s="8">
        <f t="shared" si="280"/>
        <v>2914052</v>
      </c>
      <c r="I2668" s="5">
        <v>2958465</v>
      </c>
      <c r="J2668" s="5">
        <v>44414</v>
      </c>
      <c r="K2668" s="8">
        <f t="shared" si="281"/>
        <v>1</v>
      </c>
      <c r="L2668" s="6">
        <v>75.5</v>
      </c>
      <c r="M2668" s="9">
        <f t="shared" si="278"/>
        <v>0.50333333333333341</v>
      </c>
      <c r="N2668" s="6">
        <v>75.5</v>
      </c>
      <c r="O2668" s="6">
        <v>75.5</v>
      </c>
    </row>
    <row r="2669" spans="1:15" ht="18.75" hidden="1" customHeight="1" thickBot="1" x14ac:dyDescent="0.3">
      <c r="A2669" s="3" t="s">
        <v>11</v>
      </c>
      <c r="B2669" s="4">
        <v>254327</v>
      </c>
      <c r="C2669" s="3" t="s">
        <v>22</v>
      </c>
      <c r="D2669" s="7">
        <v>0.08</v>
      </c>
      <c r="E2669" s="7">
        <f t="shared" si="279"/>
        <v>6.6666666666666671E-3</v>
      </c>
      <c r="F2669" s="5">
        <v>46006</v>
      </c>
      <c r="G2669" s="5">
        <v>2958465</v>
      </c>
      <c r="H2669" s="8">
        <f t="shared" si="280"/>
        <v>2912459</v>
      </c>
      <c r="I2669" s="5">
        <v>2958465</v>
      </c>
      <c r="J2669" s="5">
        <v>46007</v>
      </c>
      <c r="K2669" s="8">
        <f t="shared" si="281"/>
        <v>1</v>
      </c>
      <c r="L2669" s="6">
        <v>4674.4799999999996</v>
      </c>
      <c r="M2669" s="9">
        <f t="shared" si="278"/>
        <v>31.1632</v>
      </c>
      <c r="N2669" s="6">
        <v>4674.4799999999996</v>
      </c>
      <c r="O2669" s="6">
        <v>0</v>
      </c>
    </row>
    <row r="2670" spans="1:15" ht="18.75" hidden="1" customHeight="1" thickBot="1" x14ac:dyDescent="0.3">
      <c r="A2670" s="3" t="s">
        <v>11</v>
      </c>
      <c r="B2670" s="4">
        <v>773483</v>
      </c>
      <c r="C2670" s="3" t="s">
        <v>22</v>
      </c>
      <c r="D2670" s="7">
        <v>7.4999999999999997E-2</v>
      </c>
      <c r="E2670" s="7">
        <f t="shared" si="279"/>
        <v>6.2499999999999995E-3</v>
      </c>
      <c r="F2670" s="5">
        <v>45180</v>
      </c>
      <c r="G2670" s="5">
        <v>2958465</v>
      </c>
      <c r="H2670" s="8">
        <f t="shared" si="280"/>
        <v>2913285</v>
      </c>
      <c r="I2670" s="5">
        <v>2958465</v>
      </c>
      <c r="J2670" s="5">
        <v>45181</v>
      </c>
      <c r="K2670" s="8">
        <f t="shared" si="281"/>
        <v>1</v>
      </c>
      <c r="L2670" s="6">
        <v>5031.08</v>
      </c>
      <c r="M2670" s="9">
        <f t="shared" si="278"/>
        <v>31.444249999999997</v>
      </c>
      <c r="N2670" s="6">
        <v>5031.08</v>
      </c>
      <c r="O2670" s="6">
        <v>5031.08</v>
      </c>
    </row>
    <row r="2671" spans="1:15" ht="18.75" hidden="1" customHeight="1" thickBot="1" x14ac:dyDescent="0.3">
      <c r="A2671" s="3" t="s">
        <v>11</v>
      </c>
      <c r="B2671" s="4">
        <v>168038</v>
      </c>
      <c r="C2671" s="3" t="s">
        <v>22</v>
      </c>
      <c r="D2671" s="7">
        <v>6.7500000000000004E-2</v>
      </c>
      <c r="E2671" s="7">
        <f t="shared" si="279"/>
        <v>5.6250000000000007E-3</v>
      </c>
      <c r="F2671" s="5">
        <v>45180</v>
      </c>
      <c r="G2671" s="5">
        <v>2958465</v>
      </c>
      <c r="H2671" s="8">
        <f t="shared" si="280"/>
        <v>2913285</v>
      </c>
      <c r="I2671" s="5">
        <v>2958465</v>
      </c>
      <c r="J2671" s="5">
        <v>45181</v>
      </c>
      <c r="K2671" s="8">
        <f t="shared" si="281"/>
        <v>1</v>
      </c>
      <c r="L2671" s="6">
        <v>3465.36</v>
      </c>
      <c r="M2671" s="9">
        <f t="shared" si="278"/>
        <v>19.492650000000005</v>
      </c>
      <c r="N2671" s="6">
        <v>3465.36</v>
      </c>
      <c r="O2671" s="6">
        <v>32.17</v>
      </c>
    </row>
    <row r="2672" spans="1:15" ht="18.75" hidden="1" customHeight="1" thickBot="1" x14ac:dyDescent="0.3">
      <c r="A2672" s="3" t="s">
        <v>11</v>
      </c>
      <c r="B2672" s="4">
        <v>479464</v>
      </c>
      <c r="C2672" s="3" t="s">
        <v>22</v>
      </c>
      <c r="D2672" s="7">
        <v>7.0000000000000007E-2</v>
      </c>
      <c r="E2672" s="7">
        <f t="shared" si="279"/>
        <v>5.8333333333333336E-3</v>
      </c>
      <c r="F2672" s="5">
        <v>45617</v>
      </c>
      <c r="G2672" s="5">
        <v>2958465</v>
      </c>
      <c r="H2672" s="8">
        <f t="shared" si="280"/>
        <v>2912848</v>
      </c>
      <c r="I2672" s="5">
        <v>2958465</v>
      </c>
      <c r="J2672" s="5">
        <v>45618</v>
      </c>
      <c r="K2672" s="8">
        <f t="shared" si="281"/>
        <v>1</v>
      </c>
      <c r="L2672" s="6">
        <v>5514.96</v>
      </c>
      <c r="M2672" s="9">
        <f t="shared" si="278"/>
        <v>32.1706</v>
      </c>
      <c r="N2672" s="6">
        <v>5514.96</v>
      </c>
      <c r="O2672" s="6">
        <v>591.61</v>
      </c>
    </row>
    <row r="2673" spans="1:15" ht="18.75" hidden="1" customHeight="1" thickBot="1" x14ac:dyDescent="0.3">
      <c r="A2673" s="3" t="s">
        <v>11</v>
      </c>
      <c r="B2673" s="4">
        <v>946609</v>
      </c>
      <c r="C2673" s="3" t="s">
        <v>22</v>
      </c>
      <c r="D2673" s="7">
        <v>7.2499999999999995E-2</v>
      </c>
      <c r="E2673" s="7">
        <f t="shared" si="279"/>
        <v>6.0416666666666665E-3</v>
      </c>
      <c r="F2673" s="5">
        <v>45819</v>
      </c>
      <c r="G2673" s="5">
        <v>2958465</v>
      </c>
      <c r="H2673" s="8">
        <f t="shared" si="280"/>
        <v>2912646</v>
      </c>
      <c r="I2673" s="5">
        <v>2958465</v>
      </c>
      <c r="J2673" s="5">
        <v>45820</v>
      </c>
      <c r="K2673" s="8">
        <f t="shared" si="281"/>
        <v>1</v>
      </c>
      <c r="L2673" s="6">
        <v>5526.92</v>
      </c>
      <c r="M2673" s="9">
        <f t="shared" si="278"/>
        <v>33.39180833333333</v>
      </c>
      <c r="N2673" s="6">
        <v>5526.92</v>
      </c>
      <c r="O2673" s="6">
        <v>706.83</v>
      </c>
    </row>
    <row r="2674" spans="1:15" ht="18.75" hidden="1" customHeight="1" thickBot="1" x14ac:dyDescent="0.3">
      <c r="A2674" s="3" t="s">
        <v>11</v>
      </c>
      <c r="B2674" s="4">
        <v>525126</v>
      </c>
      <c r="C2674" s="3" t="s">
        <v>15</v>
      </c>
      <c r="D2674" s="7">
        <v>0.1515</v>
      </c>
      <c r="E2674" s="7">
        <f t="shared" si="279"/>
        <v>1.2624999999999999E-2</v>
      </c>
      <c r="F2674" s="5">
        <v>44193</v>
      </c>
      <c r="G2674" s="5">
        <v>2958465</v>
      </c>
      <c r="H2674" s="8">
        <f t="shared" si="280"/>
        <v>2914272</v>
      </c>
      <c r="I2674" s="5">
        <v>2958465</v>
      </c>
      <c r="J2674" s="5">
        <v>44195</v>
      </c>
      <c r="K2674" s="8">
        <f t="shared" si="281"/>
        <v>2</v>
      </c>
      <c r="L2674" s="6">
        <v>4490.1099999999997</v>
      </c>
      <c r="M2674" s="9">
        <f t="shared" si="278"/>
        <v>56.687638749999991</v>
      </c>
      <c r="N2674" s="6">
        <v>4490.1099999999997</v>
      </c>
      <c r="O2674" s="6">
        <v>4490.1099999999997</v>
      </c>
    </row>
    <row r="2675" spans="1:15" ht="18.75" hidden="1" customHeight="1" thickBot="1" x14ac:dyDescent="0.3">
      <c r="A2675" s="3" t="s">
        <v>11</v>
      </c>
      <c r="B2675" s="4">
        <v>407599</v>
      </c>
      <c r="C2675" s="3" t="s">
        <v>15</v>
      </c>
      <c r="D2675" s="7">
        <v>0.1515</v>
      </c>
      <c r="E2675" s="7">
        <f t="shared" si="279"/>
        <v>1.2624999999999999E-2</v>
      </c>
      <c r="F2675" s="5">
        <v>44154</v>
      </c>
      <c r="G2675" s="5">
        <v>2958465</v>
      </c>
      <c r="H2675" s="8">
        <f t="shared" si="280"/>
        <v>2914311</v>
      </c>
      <c r="I2675" s="5">
        <v>2958465</v>
      </c>
      <c r="J2675" s="5">
        <v>44155</v>
      </c>
      <c r="K2675" s="8">
        <f t="shared" si="281"/>
        <v>1</v>
      </c>
      <c r="L2675" s="6">
        <v>244.09</v>
      </c>
      <c r="M2675" s="9">
        <f t="shared" si="278"/>
        <v>3.0816362499999999</v>
      </c>
      <c r="N2675" s="6">
        <v>244.09</v>
      </c>
      <c r="O2675" s="6">
        <v>0</v>
      </c>
    </row>
    <row r="2676" spans="1:15" ht="18.75" hidden="1" customHeight="1" thickBot="1" x14ac:dyDescent="0.3">
      <c r="A2676" s="3" t="s">
        <v>11</v>
      </c>
      <c r="B2676" s="4">
        <v>607280</v>
      </c>
      <c r="C2676" s="3" t="s">
        <v>22</v>
      </c>
      <c r="D2676" s="7">
        <v>8.5000000000000006E-2</v>
      </c>
      <c r="E2676" s="7">
        <f t="shared" si="279"/>
        <v>7.0833333333333338E-3</v>
      </c>
      <c r="F2676" s="5">
        <v>44839</v>
      </c>
      <c r="G2676" s="5">
        <v>2958465</v>
      </c>
      <c r="H2676" s="8">
        <f t="shared" si="280"/>
        <v>2913626</v>
      </c>
      <c r="I2676" s="5">
        <v>2958465</v>
      </c>
      <c r="J2676" s="5">
        <v>44840</v>
      </c>
      <c r="K2676" s="8">
        <f t="shared" si="281"/>
        <v>1</v>
      </c>
      <c r="L2676" s="6">
        <v>219.33</v>
      </c>
      <c r="M2676" s="9">
        <f t="shared" si="278"/>
        <v>1.5535875000000001</v>
      </c>
      <c r="N2676" s="6">
        <v>219.33</v>
      </c>
      <c r="O2676" s="6">
        <v>50</v>
      </c>
    </row>
    <row r="2677" spans="1:15" ht="18.75" hidden="1" customHeight="1" thickBot="1" x14ac:dyDescent="0.3">
      <c r="A2677" s="3" t="s">
        <v>11</v>
      </c>
      <c r="B2677" s="4">
        <v>122117</v>
      </c>
      <c r="C2677" s="3" t="s">
        <v>22</v>
      </c>
      <c r="D2677" s="7">
        <v>7.2499999999999995E-2</v>
      </c>
      <c r="E2677" s="7">
        <f t="shared" si="279"/>
        <v>6.0416666666666665E-3</v>
      </c>
      <c r="F2677" s="5">
        <v>45765</v>
      </c>
      <c r="G2677" s="5">
        <v>2958465</v>
      </c>
      <c r="H2677" s="8">
        <f t="shared" si="280"/>
        <v>2912700</v>
      </c>
      <c r="I2677" s="5">
        <v>2958465</v>
      </c>
      <c r="J2677" s="5">
        <v>45768</v>
      </c>
      <c r="K2677" s="8">
        <f t="shared" si="281"/>
        <v>3</v>
      </c>
      <c r="L2677" s="6">
        <v>2130.04</v>
      </c>
      <c r="M2677" s="9">
        <f t="shared" si="278"/>
        <v>12.868991666666666</v>
      </c>
      <c r="N2677" s="6">
        <v>2130.04</v>
      </c>
      <c r="O2677" s="6">
        <v>107.03</v>
      </c>
    </row>
    <row r="2678" spans="1:15" ht="18.75" hidden="1" customHeight="1" thickBot="1" x14ac:dyDescent="0.3">
      <c r="A2678" s="3" t="s">
        <v>11</v>
      </c>
      <c r="B2678" s="4">
        <v>836697</v>
      </c>
      <c r="C2678" s="3" t="s">
        <v>22</v>
      </c>
      <c r="D2678" s="7">
        <v>7.0000000000000007E-2</v>
      </c>
      <c r="E2678" s="7">
        <f t="shared" si="279"/>
        <v>5.8333333333333336E-3</v>
      </c>
      <c r="F2678" s="5">
        <v>45642</v>
      </c>
      <c r="G2678" s="5">
        <v>2958465</v>
      </c>
      <c r="H2678" s="8">
        <f t="shared" si="280"/>
        <v>2912823</v>
      </c>
      <c r="I2678" s="5">
        <v>2958465</v>
      </c>
      <c r="J2678" s="5">
        <v>45643</v>
      </c>
      <c r="K2678" s="8">
        <f t="shared" si="281"/>
        <v>1</v>
      </c>
      <c r="L2678" s="6">
        <v>3679.3</v>
      </c>
      <c r="M2678" s="9">
        <f t="shared" si="278"/>
        <v>21.462583333333335</v>
      </c>
      <c r="N2678" s="6">
        <v>3679.3</v>
      </c>
      <c r="O2678" s="6">
        <v>0</v>
      </c>
    </row>
    <row r="2679" spans="1:15" ht="18.75" hidden="1" customHeight="1" thickBot="1" x14ac:dyDescent="0.3">
      <c r="A2679" s="3" t="s">
        <v>11</v>
      </c>
      <c r="B2679" s="4">
        <v>66106</v>
      </c>
      <c r="C2679" s="3" t="s">
        <v>15</v>
      </c>
      <c r="D2679" s="7">
        <v>0.1515</v>
      </c>
      <c r="E2679" s="7">
        <f t="shared" si="279"/>
        <v>1.2624999999999999E-2</v>
      </c>
      <c r="F2679" s="5">
        <v>44375</v>
      </c>
      <c r="G2679" s="5">
        <v>2958465</v>
      </c>
      <c r="H2679" s="8">
        <f t="shared" si="280"/>
        <v>2914090</v>
      </c>
      <c r="I2679" s="5">
        <v>2958465</v>
      </c>
      <c r="J2679" s="5">
        <v>44376</v>
      </c>
      <c r="K2679" s="8">
        <f t="shared" si="281"/>
        <v>1</v>
      </c>
      <c r="L2679" s="6">
        <v>177.2</v>
      </c>
      <c r="M2679" s="9">
        <f t="shared" si="278"/>
        <v>2.2371499999999997</v>
      </c>
      <c r="N2679" s="6">
        <v>177.2</v>
      </c>
      <c r="O2679" s="6">
        <v>0</v>
      </c>
    </row>
    <row r="2680" spans="1:15" ht="18.75" hidden="1" customHeight="1" thickBot="1" x14ac:dyDescent="0.3">
      <c r="A2680" s="3" t="s">
        <v>11</v>
      </c>
      <c r="B2680" s="4">
        <v>183142</v>
      </c>
      <c r="C2680" s="3" t="s">
        <v>22</v>
      </c>
      <c r="D2680" s="7">
        <v>0.16900000000000001</v>
      </c>
      <c r="E2680" s="7">
        <f t="shared" si="279"/>
        <v>1.4083333333333335E-2</v>
      </c>
      <c r="F2680" s="5">
        <v>44504</v>
      </c>
      <c r="G2680" s="5">
        <v>2958465</v>
      </c>
      <c r="H2680" s="8">
        <f t="shared" si="280"/>
        <v>2913961</v>
      </c>
      <c r="I2680" s="5">
        <v>2958465</v>
      </c>
      <c r="J2680" s="5">
        <v>44505</v>
      </c>
      <c r="K2680" s="8">
        <f t="shared" si="281"/>
        <v>1</v>
      </c>
      <c r="L2680" s="6">
        <v>3314.82</v>
      </c>
      <c r="M2680" s="9">
        <f t="shared" si="278"/>
        <v>46.683715000000007</v>
      </c>
      <c r="N2680" s="6">
        <v>3314.82</v>
      </c>
      <c r="O2680" s="6">
        <v>3314.82</v>
      </c>
    </row>
    <row r="2681" spans="1:15" ht="18.75" hidden="1" customHeight="1" thickBot="1" x14ac:dyDescent="0.3">
      <c r="A2681" s="3" t="s">
        <v>11</v>
      </c>
      <c r="B2681" s="4">
        <v>508873</v>
      </c>
      <c r="C2681" s="3" t="s">
        <v>22</v>
      </c>
      <c r="D2681" s="7">
        <v>6.7500000000000004E-2</v>
      </c>
      <c r="E2681" s="7">
        <f t="shared" si="279"/>
        <v>5.6250000000000007E-3</v>
      </c>
      <c r="F2681" s="5">
        <v>45453</v>
      </c>
      <c r="G2681" s="5">
        <v>2958465</v>
      </c>
      <c r="H2681" s="8">
        <f t="shared" si="280"/>
        <v>2913012</v>
      </c>
      <c r="I2681" s="5">
        <v>2958465</v>
      </c>
      <c r="J2681" s="5">
        <v>45454</v>
      </c>
      <c r="K2681" s="8">
        <f t="shared" si="281"/>
        <v>1</v>
      </c>
      <c r="L2681" s="6">
        <v>4605.93</v>
      </c>
      <c r="M2681" s="9">
        <f t="shared" si="278"/>
        <v>25.908356250000004</v>
      </c>
      <c r="N2681" s="6">
        <v>4605.93</v>
      </c>
      <c r="O2681" s="6">
        <v>4605.93</v>
      </c>
    </row>
    <row r="2682" spans="1:15" ht="18.75" hidden="1" customHeight="1" thickBot="1" x14ac:dyDescent="0.3">
      <c r="A2682" s="3" t="s">
        <v>11</v>
      </c>
      <c r="B2682" s="4">
        <v>72465</v>
      </c>
      <c r="C2682" s="3" t="s">
        <v>15</v>
      </c>
      <c r="D2682" s="7">
        <v>0.1515</v>
      </c>
      <c r="E2682" s="7">
        <f t="shared" si="279"/>
        <v>1.2624999999999999E-2</v>
      </c>
      <c r="F2682" s="5">
        <v>44432</v>
      </c>
      <c r="G2682" s="5">
        <v>2958465</v>
      </c>
      <c r="H2682" s="8">
        <f t="shared" si="280"/>
        <v>2914033</v>
      </c>
      <c r="I2682" s="5">
        <v>2958465</v>
      </c>
      <c r="J2682" s="5">
        <v>44433</v>
      </c>
      <c r="K2682" s="8">
        <f t="shared" si="281"/>
        <v>1</v>
      </c>
      <c r="L2682" s="6">
        <v>3702.2</v>
      </c>
      <c r="M2682" s="9">
        <f t="shared" si="278"/>
        <v>46.740274999999997</v>
      </c>
      <c r="N2682" s="6">
        <v>3702.2</v>
      </c>
      <c r="O2682" s="6">
        <v>262.79000000000002</v>
      </c>
    </row>
    <row r="2683" spans="1:15" ht="18.75" hidden="1" customHeight="1" thickBot="1" x14ac:dyDescent="0.3">
      <c r="A2683" s="3" t="s">
        <v>11</v>
      </c>
      <c r="B2683" s="4">
        <v>556834</v>
      </c>
      <c r="C2683" s="3" t="s">
        <v>22</v>
      </c>
      <c r="D2683" s="7">
        <v>7.7499999999999999E-2</v>
      </c>
      <c r="E2683" s="7">
        <f t="shared" si="279"/>
        <v>6.4583333333333333E-3</v>
      </c>
      <c r="F2683" s="5">
        <v>44907</v>
      </c>
      <c r="G2683" s="5">
        <v>2958465</v>
      </c>
      <c r="H2683" s="8">
        <f t="shared" si="280"/>
        <v>2913558</v>
      </c>
      <c r="I2683" s="5">
        <v>2958465</v>
      </c>
      <c r="J2683" s="5">
        <v>44908</v>
      </c>
      <c r="K2683" s="8">
        <f t="shared" si="281"/>
        <v>1</v>
      </c>
      <c r="L2683" s="6">
        <v>5126.5200000000004</v>
      </c>
      <c r="M2683" s="9">
        <f t="shared" si="278"/>
        <v>33.108775000000001</v>
      </c>
      <c r="N2683" s="6">
        <v>5126.5200000000004</v>
      </c>
      <c r="O2683" s="6">
        <v>0</v>
      </c>
    </row>
    <row r="2684" spans="1:15" ht="18.75" hidden="1" customHeight="1" thickBot="1" x14ac:dyDescent="0.3">
      <c r="A2684" s="3" t="s">
        <v>11</v>
      </c>
      <c r="B2684" s="4">
        <v>912239</v>
      </c>
      <c r="C2684" s="3" t="s">
        <v>22</v>
      </c>
      <c r="D2684" s="7">
        <v>7.7499999999999999E-2</v>
      </c>
      <c r="E2684" s="7">
        <f t="shared" si="279"/>
        <v>6.4583333333333333E-3</v>
      </c>
      <c r="F2684" s="5">
        <v>44907</v>
      </c>
      <c r="G2684" s="5">
        <v>2958465</v>
      </c>
      <c r="H2684" s="8">
        <f t="shared" si="280"/>
        <v>2913558</v>
      </c>
      <c r="I2684" s="5">
        <v>2958465</v>
      </c>
      <c r="J2684" s="5">
        <v>44908</v>
      </c>
      <c r="K2684" s="8">
        <f t="shared" si="281"/>
        <v>1</v>
      </c>
      <c r="L2684" s="6">
        <v>2189.0100000000002</v>
      </c>
      <c r="M2684" s="9">
        <f t="shared" si="278"/>
        <v>14.137356250000002</v>
      </c>
      <c r="N2684" s="6">
        <v>2189.0100000000002</v>
      </c>
      <c r="O2684" s="6">
        <v>0</v>
      </c>
    </row>
    <row r="2685" spans="1:15" ht="18.75" hidden="1" customHeight="1" thickBot="1" x14ac:dyDescent="0.3">
      <c r="A2685" s="3" t="s">
        <v>11</v>
      </c>
      <c r="B2685" s="4">
        <v>811680</v>
      </c>
      <c r="C2685" s="3" t="s">
        <v>15</v>
      </c>
      <c r="D2685" s="7">
        <v>0.1515</v>
      </c>
      <c r="E2685" s="7">
        <f t="shared" si="279"/>
        <v>1.2624999999999999E-2</v>
      </c>
      <c r="F2685" s="5">
        <v>44455</v>
      </c>
      <c r="G2685" s="5">
        <v>2958465</v>
      </c>
      <c r="H2685" s="8">
        <f t="shared" si="280"/>
        <v>2914010</v>
      </c>
      <c r="I2685" s="5">
        <v>2958465</v>
      </c>
      <c r="J2685" s="5">
        <v>44456</v>
      </c>
      <c r="K2685" s="8">
        <f t="shared" si="281"/>
        <v>1</v>
      </c>
      <c r="L2685" s="6">
        <v>7033.95</v>
      </c>
      <c r="M2685" s="9">
        <f t="shared" si="278"/>
        <v>88.803618749999998</v>
      </c>
      <c r="N2685" s="6">
        <v>7033.95</v>
      </c>
      <c r="O2685" s="6">
        <v>0</v>
      </c>
    </row>
    <row r="2686" spans="1:15" ht="18.75" hidden="1" customHeight="1" thickBot="1" x14ac:dyDescent="0.3">
      <c r="A2686" s="3" t="s">
        <v>11</v>
      </c>
      <c r="B2686" s="4">
        <v>586448</v>
      </c>
      <c r="C2686" s="3" t="s">
        <v>22</v>
      </c>
      <c r="D2686" s="7">
        <v>6.7500000000000004E-2</v>
      </c>
      <c r="E2686" s="7">
        <f t="shared" si="279"/>
        <v>5.6250000000000007E-3</v>
      </c>
      <c r="F2686" s="5">
        <v>45098</v>
      </c>
      <c r="G2686" s="5">
        <v>2958465</v>
      </c>
      <c r="H2686" s="8">
        <f t="shared" si="280"/>
        <v>2913367</v>
      </c>
      <c r="I2686" s="5">
        <v>2958465</v>
      </c>
      <c r="J2686" s="5">
        <v>45099</v>
      </c>
      <c r="K2686" s="8">
        <f t="shared" si="281"/>
        <v>1</v>
      </c>
      <c r="L2686" s="6">
        <v>9682.8799999999992</v>
      </c>
      <c r="M2686" s="9">
        <f t="shared" si="278"/>
        <v>54.466200000000001</v>
      </c>
      <c r="N2686" s="6">
        <v>9682.8799999999992</v>
      </c>
      <c r="O2686" s="6">
        <v>0</v>
      </c>
    </row>
    <row r="2687" spans="1:15" ht="18.75" hidden="1" customHeight="1" thickBot="1" x14ac:dyDescent="0.3">
      <c r="A2687" s="3" t="s">
        <v>11</v>
      </c>
      <c r="B2687" s="4">
        <v>964598</v>
      </c>
      <c r="C2687" s="3" t="s">
        <v>22</v>
      </c>
      <c r="D2687" s="7">
        <v>7.2499999999999995E-2</v>
      </c>
      <c r="E2687" s="7">
        <f t="shared" si="279"/>
        <v>6.0416666666666665E-3</v>
      </c>
      <c r="F2687" s="5">
        <v>45699</v>
      </c>
      <c r="G2687" s="5">
        <v>2958465</v>
      </c>
      <c r="H2687" s="8">
        <f t="shared" si="280"/>
        <v>2912766</v>
      </c>
      <c r="I2687" s="5">
        <v>2958465</v>
      </c>
      <c r="J2687" s="5">
        <v>45700</v>
      </c>
      <c r="K2687" s="8">
        <f t="shared" si="281"/>
        <v>1</v>
      </c>
      <c r="L2687" s="6">
        <v>8050.44</v>
      </c>
      <c r="M2687" s="9">
        <f t="shared" si="278"/>
        <v>48.638074999999994</v>
      </c>
      <c r="N2687" s="6">
        <v>8050.44</v>
      </c>
      <c r="O2687" s="6">
        <v>0</v>
      </c>
    </row>
    <row r="2688" spans="1:15" ht="18.75" hidden="1" customHeight="1" thickBot="1" x14ac:dyDescent="0.3">
      <c r="A2688" s="3" t="s">
        <v>11</v>
      </c>
      <c r="B2688" s="4">
        <v>532222</v>
      </c>
      <c r="C2688" s="3" t="s">
        <v>15</v>
      </c>
      <c r="D2688" s="7">
        <v>0.1</v>
      </c>
      <c r="E2688" s="7">
        <f t="shared" si="279"/>
        <v>8.3333333333333332E-3</v>
      </c>
      <c r="F2688" s="5">
        <v>44753</v>
      </c>
      <c r="G2688" s="5">
        <v>2958465</v>
      </c>
      <c r="H2688" s="8">
        <f t="shared" si="280"/>
        <v>2913712</v>
      </c>
      <c r="I2688" s="5">
        <v>2958465</v>
      </c>
      <c r="J2688" s="5">
        <v>44754</v>
      </c>
      <c r="K2688" s="8">
        <f t="shared" si="281"/>
        <v>1</v>
      </c>
      <c r="L2688" s="6">
        <v>1195.77</v>
      </c>
      <c r="M2688" s="9">
        <f t="shared" si="278"/>
        <v>9.9647500000000004</v>
      </c>
      <c r="N2688" s="6">
        <v>1195.77</v>
      </c>
      <c r="O2688" s="6">
        <v>0</v>
      </c>
    </row>
    <row r="2689" spans="1:15" ht="18.75" hidden="1" customHeight="1" thickBot="1" x14ac:dyDescent="0.3">
      <c r="A2689" s="3" t="s">
        <v>11</v>
      </c>
      <c r="B2689" s="4">
        <v>349349</v>
      </c>
      <c r="C2689" s="3" t="s">
        <v>22</v>
      </c>
      <c r="D2689" s="7">
        <v>9.2499999999999999E-2</v>
      </c>
      <c r="E2689" s="7">
        <f t="shared" si="279"/>
        <v>7.7083333333333335E-3</v>
      </c>
      <c r="F2689" s="5">
        <v>44811</v>
      </c>
      <c r="G2689" s="5">
        <v>2958465</v>
      </c>
      <c r="H2689" s="8">
        <f t="shared" si="280"/>
        <v>2913654</v>
      </c>
      <c r="I2689" s="5">
        <v>2958465</v>
      </c>
      <c r="J2689" s="5">
        <v>44812</v>
      </c>
      <c r="K2689" s="8">
        <f t="shared" si="281"/>
        <v>1</v>
      </c>
      <c r="L2689" s="6">
        <v>1139.25</v>
      </c>
      <c r="M2689" s="9">
        <f t="shared" si="278"/>
        <v>8.7817187499999996</v>
      </c>
      <c r="N2689" s="6">
        <v>1139.25</v>
      </c>
      <c r="O2689" s="6">
        <v>1139.25</v>
      </c>
    </row>
    <row r="2690" spans="1:15" ht="18.75" hidden="1" customHeight="1" thickBot="1" x14ac:dyDescent="0.3">
      <c r="A2690" s="3" t="s">
        <v>11</v>
      </c>
      <c r="B2690" s="4">
        <v>887964</v>
      </c>
      <c r="C2690" s="3" t="s">
        <v>22</v>
      </c>
      <c r="D2690" s="7">
        <v>7.2499999999999995E-2</v>
      </c>
      <c r="E2690" s="7">
        <f t="shared" si="279"/>
        <v>6.0416666666666665E-3</v>
      </c>
      <c r="F2690" s="5">
        <v>45719</v>
      </c>
      <c r="G2690" s="5">
        <v>2958465</v>
      </c>
      <c r="H2690" s="8">
        <f t="shared" si="280"/>
        <v>2912746</v>
      </c>
      <c r="I2690" s="5">
        <v>2958465</v>
      </c>
      <c r="J2690" s="5">
        <v>45721</v>
      </c>
      <c r="K2690" s="8">
        <f t="shared" si="281"/>
        <v>2</v>
      </c>
      <c r="L2690" s="6">
        <v>5696.45</v>
      </c>
      <c r="M2690" s="9">
        <f t="shared" ref="M2690:M2753" si="282">-PMT(E2690,(H2690/30),L2690)</f>
        <v>34.416052083333334</v>
      </c>
      <c r="N2690" s="6">
        <v>5696.45</v>
      </c>
      <c r="O2690" s="6">
        <v>75</v>
      </c>
    </row>
    <row r="2691" spans="1:15" ht="18.75" hidden="1" customHeight="1" thickBot="1" x14ac:dyDescent="0.3">
      <c r="A2691" s="3" t="s">
        <v>11</v>
      </c>
      <c r="B2691" s="4">
        <v>500717</v>
      </c>
      <c r="C2691" s="3" t="s">
        <v>22</v>
      </c>
      <c r="D2691" s="7">
        <v>7.0000000000000007E-2</v>
      </c>
      <c r="E2691" s="7">
        <f t="shared" ref="E2691:E2754" si="283">D2691/12</f>
        <v>5.8333333333333336E-3</v>
      </c>
      <c r="F2691" s="5">
        <v>45642</v>
      </c>
      <c r="G2691" s="5">
        <v>2958465</v>
      </c>
      <c r="H2691" s="8">
        <f t="shared" ref="H2691:H2754" si="284">G2691-F2691</f>
        <v>2912823</v>
      </c>
      <c r="I2691" s="5">
        <v>2958465</v>
      </c>
      <c r="J2691" s="5">
        <v>45643</v>
      </c>
      <c r="K2691" s="8">
        <f t="shared" ref="K2691:K2754" si="285">J2691-F2691</f>
        <v>1</v>
      </c>
      <c r="L2691" s="6">
        <v>2328.5500000000002</v>
      </c>
      <c r="M2691" s="9">
        <f t="shared" si="282"/>
        <v>13.583208333333335</v>
      </c>
      <c r="N2691" s="6">
        <v>2328.5500000000002</v>
      </c>
      <c r="O2691" s="6">
        <v>131.22999999999999</v>
      </c>
    </row>
    <row r="2692" spans="1:15" ht="18.75" hidden="1" customHeight="1" thickBot="1" x14ac:dyDescent="0.3">
      <c r="A2692" s="3" t="s">
        <v>11</v>
      </c>
      <c r="B2692" s="4">
        <v>619864</v>
      </c>
      <c r="C2692" s="3" t="s">
        <v>22</v>
      </c>
      <c r="D2692" s="7">
        <v>7.4999999999999997E-2</v>
      </c>
      <c r="E2692" s="7">
        <f t="shared" si="283"/>
        <v>6.2499999999999995E-3</v>
      </c>
      <c r="F2692" s="5">
        <v>45058</v>
      </c>
      <c r="G2692" s="5">
        <v>2958465</v>
      </c>
      <c r="H2692" s="8">
        <f t="shared" si="284"/>
        <v>2913407</v>
      </c>
      <c r="I2692" s="5">
        <v>2958465</v>
      </c>
      <c r="J2692" s="5">
        <v>45061</v>
      </c>
      <c r="K2692" s="8">
        <f t="shared" si="285"/>
        <v>3</v>
      </c>
      <c r="L2692" s="6">
        <v>1143.5</v>
      </c>
      <c r="M2692" s="9">
        <f t="shared" si="282"/>
        <v>7.1468749999999996</v>
      </c>
      <c r="N2692" s="6">
        <v>1143.5</v>
      </c>
      <c r="O2692" s="6">
        <v>1143.5</v>
      </c>
    </row>
    <row r="2693" spans="1:15" ht="18.75" hidden="1" customHeight="1" thickBot="1" x14ac:dyDescent="0.3">
      <c r="A2693" s="3" t="s">
        <v>11</v>
      </c>
      <c r="B2693" s="4">
        <v>786529</v>
      </c>
      <c r="C2693" s="3" t="s">
        <v>22</v>
      </c>
      <c r="D2693" s="7">
        <v>7.4999999999999997E-2</v>
      </c>
      <c r="E2693" s="7">
        <f t="shared" si="283"/>
        <v>6.2499999999999995E-3</v>
      </c>
      <c r="F2693" s="5">
        <v>45265</v>
      </c>
      <c r="G2693" s="5">
        <v>2958465</v>
      </c>
      <c r="H2693" s="8">
        <f t="shared" si="284"/>
        <v>2913200</v>
      </c>
      <c r="I2693" s="5">
        <v>2958465</v>
      </c>
      <c r="J2693" s="5">
        <v>45266</v>
      </c>
      <c r="K2693" s="8">
        <f t="shared" si="285"/>
        <v>1</v>
      </c>
      <c r="L2693" s="6">
        <v>593.47</v>
      </c>
      <c r="M2693" s="9">
        <f t="shared" si="282"/>
        <v>3.7091875000000001</v>
      </c>
      <c r="N2693" s="6">
        <v>593.47</v>
      </c>
      <c r="O2693" s="6">
        <v>593.47</v>
      </c>
    </row>
    <row r="2694" spans="1:15" ht="18.75" hidden="1" customHeight="1" thickBot="1" x14ac:dyDescent="0.3">
      <c r="A2694" s="3" t="s">
        <v>11</v>
      </c>
      <c r="B2694" s="4">
        <v>247661</v>
      </c>
      <c r="C2694" s="3" t="s">
        <v>22</v>
      </c>
      <c r="D2694" s="7">
        <v>6.7500000000000004E-2</v>
      </c>
      <c r="E2694" s="7">
        <f t="shared" si="283"/>
        <v>5.6250000000000007E-3</v>
      </c>
      <c r="F2694" s="5">
        <v>45098</v>
      </c>
      <c r="G2694" s="5">
        <v>2958465</v>
      </c>
      <c r="H2694" s="8">
        <f t="shared" si="284"/>
        <v>2913367</v>
      </c>
      <c r="I2694" s="5">
        <v>2958465</v>
      </c>
      <c r="J2694" s="5">
        <v>45099</v>
      </c>
      <c r="K2694" s="8">
        <f t="shared" si="285"/>
        <v>1</v>
      </c>
      <c r="L2694" s="6">
        <v>8109.9</v>
      </c>
      <c r="M2694" s="9">
        <f t="shared" si="282"/>
        <v>45.618187500000005</v>
      </c>
      <c r="N2694" s="6">
        <v>8109.9</v>
      </c>
      <c r="O2694" s="6">
        <v>6801.11</v>
      </c>
    </row>
    <row r="2695" spans="1:15" ht="18.75" hidden="1" customHeight="1" thickBot="1" x14ac:dyDescent="0.3">
      <c r="A2695" s="3" t="s">
        <v>11</v>
      </c>
      <c r="B2695" s="4">
        <v>334272</v>
      </c>
      <c r="C2695" s="3" t="s">
        <v>22</v>
      </c>
      <c r="D2695" s="7">
        <v>6.7500000000000004E-2</v>
      </c>
      <c r="E2695" s="7">
        <f t="shared" si="283"/>
        <v>5.6250000000000007E-3</v>
      </c>
      <c r="F2695" s="5">
        <v>45331</v>
      </c>
      <c r="G2695" s="5">
        <v>2958465</v>
      </c>
      <c r="H2695" s="8">
        <f t="shared" si="284"/>
        <v>2913134</v>
      </c>
      <c r="I2695" s="5">
        <v>2958465</v>
      </c>
      <c r="J2695" s="5">
        <v>45334</v>
      </c>
      <c r="K2695" s="8">
        <f t="shared" si="285"/>
        <v>3</v>
      </c>
      <c r="L2695" s="6">
        <v>640.16999999999996</v>
      </c>
      <c r="M2695" s="9">
        <f t="shared" si="282"/>
        <v>3.6009562500000003</v>
      </c>
      <c r="N2695" s="6">
        <v>640.16999999999996</v>
      </c>
      <c r="O2695" s="6">
        <v>0</v>
      </c>
    </row>
    <row r="2696" spans="1:15" ht="18.75" hidden="1" customHeight="1" thickBot="1" x14ac:dyDescent="0.3">
      <c r="A2696" s="3" t="s">
        <v>11</v>
      </c>
      <c r="B2696" s="4">
        <v>761426</v>
      </c>
      <c r="C2696" s="3" t="s">
        <v>22</v>
      </c>
      <c r="D2696" s="7">
        <v>7.2499999999999995E-2</v>
      </c>
      <c r="E2696" s="7">
        <f t="shared" si="283"/>
        <v>6.0416666666666665E-3</v>
      </c>
      <c r="F2696" s="5">
        <v>45887</v>
      </c>
      <c r="G2696" s="5">
        <v>2958465</v>
      </c>
      <c r="H2696" s="8">
        <f t="shared" si="284"/>
        <v>2912578</v>
      </c>
      <c r="I2696" s="5">
        <v>2958465</v>
      </c>
      <c r="J2696" s="5">
        <v>45889</v>
      </c>
      <c r="K2696" s="8">
        <f t="shared" si="285"/>
        <v>2</v>
      </c>
      <c r="L2696" s="6">
        <v>643.35</v>
      </c>
      <c r="M2696" s="9">
        <f t="shared" si="282"/>
        <v>3.88690625</v>
      </c>
      <c r="N2696" s="6">
        <v>643.35</v>
      </c>
      <c r="O2696" s="6">
        <v>5</v>
      </c>
    </row>
    <row r="2697" spans="1:15" ht="18.75" hidden="1" customHeight="1" thickBot="1" x14ac:dyDescent="0.3">
      <c r="A2697" s="3" t="s">
        <v>11</v>
      </c>
      <c r="B2697" s="4">
        <v>96850</v>
      </c>
      <c r="C2697" s="3" t="s">
        <v>22</v>
      </c>
      <c r="D2697" s="7">
        <v>7.2499999999999995E-2</v>
      </c>
      <c r="E2697" s="7">
        <f t="shared" si="283"/>
        <v>6.0416666666666665E-3</v>
      </c>
      <c r="F2697" s="5">
        <v>44935</v>
      </c>
      <c r="G2697" s="5">
        <v>2958465</v>
      </c>
      <c r="H2697" s="8">
        <f t="shared" si="284"/>
        <v>2913530</v>
      </c>
      <c r="I2697" s="5">
        <v>2958465</v>
      </c>
      <c r="J2697" s="5">
        <v>44936</v>
      </c>
      <c r="K2697" s="8">
        <f t="shared" si="285"/>
        <v>1</v>
      </c>
      <c r="L2697" s="6">
        <v>3272.4</v>
      </c>
      <c r="M2697" s="9">
        <f t="shared" si="282"/>
        <v>19.77075</v>
      </c>
      <c r="N2697" s="6">
        <v>3272.4</v>
      </c>
      <c r="O2697" s="6">
        <v>1740.56</v>
      </c>
    </row>
    <row r="2698" spans="1:15" ht="18.75" hidden="1" customHeight="1" thickBot="1" x14ac:dyDescent="0.3">
      <c r="A2698" s="3" t="s">
        <v>11</v>
      </c>
      <c r="B2698" s="4">
        <v>906101</v>
      </c>
      <c r="C2698" s="3" t="s">
        <v>22</v>
      </c>
      <c r="D2698" s="7">
        <v>7.0000000000000007E-2</v>
      </c>
      <c r="E2698" s="7">
        <f t="shared" si="283"/>
        <v>5.8333333333333336E-3</v>
      </c>
      <c r="F2698" s="5">
        <v>45609</v>
      </c>
      <c r="G2698" s="5">
        <v>2958465</v>
      </c>
      <c r="H2698" s="8">
        <f t="shared" si="284"/>
        <v>2912856</v>
      </c>
      <c r="I2698" s="5">
        <v>2958465</v>
      </c>
      <c r="J2698" s="5">
        <v>45610</v>
      </c>
      <c r="K2698" s="8">
        <f t="shared" si="285"/>
        <v>1</v>
      </c>
      <c r="L2698" s="6">
        <v>4612.63</v>
      </c>
      <c r="M2698" s="9">
        <f t="shared" si="282"/>
        <v>26.907008333333334</v>
      </c>
      <c r="N2698" s="6">
        <v>4612.63</v>
      </c>
      <c r="O2698" s="6">
        <v>2271.42</v>
      </c>
    </row>
    <row r="2699" spans="1:15" ht="18.75" hidden="1" customHeight="1" thickBot="1" x14ac:dyDescent="0.3">
      <c r="A2699" s="3" t="s">
        <v>11</v>
      </c>
      <c r="B2699" s="4">
        <v>82457</v>
      </c>
      <c r="C2699" s="3" t="s">
        <v>22</v>
      </c>
      <c r="D2699" s="7">
        <v>7.0000000000000007E-2</v>
      </c>
      <c r="E2699" s="7">
        <f t="shared" si="283"/>
        <v>5.8333333333333336E-3</v>
      </c>
      <c r="F2699" s="5">
        <v>44973</v>
      </c>
      <c r="G2699" s="5">
        <v>2958465</v>
      </c>
      <c r="H2699" s="8">
        <f t="shared" si="284"/>
        <v>2913492</v>
      </c>
      <c r="I2699" s="5">
        <v>2958465</v>
      </c>
      <c r="J2699" s="5">
        <v>44978</v>
      </c>
      <c r="K2699" s="8">
        <f t="shared" si="285"/>
        <v>5</v>
      </c>
      <c r="L2699" s="6">
        <v>645.72</v>
      </c>
      <c r="M2699" s="9">
        <f t="shared" si="282"/>
        <v>3.7667000000000002</v>
      </c>
      <c r="N2699" s="6">
        <v>645.72</v>
      </c>
      <c r="O2699" s="6">
        <v>0</v>
      </c>
    </row>
    <row r="2700" spans="1:15" ht="18.75" hidden="1" customHeight="1" thickBot="1" x14ac:dyDescent="0.3">
      <c r="A2700" s="3" t="s">
        <v>11</v>
      </c>
      <c r="B2700" s="4">
        <v>803962</v>
      </c>
      <c r="C2700" s="3" t="s">
        <v>22</v>
      </c>
      <c r="D2700" s="7">
        <v>6.7500000000000004E-2</v>
      </c>
      <c r="E2700" s="7">
        <f t="shared" si="283"/>
        <v>5.6250000000000007E-3</v>
      </c>
      <c r="F2700" s="5">
        <v>45180</v>
      </c>
      <c r="G2700" s="5">
        <v>2958465</v>
      </c>
      <c r="H2700" s="8">
        <f t="shared" si="284"/>
        <v>2913285</v>
      </c>
      <c r="I2700" s="5">
        <v>2958465</v>
      </c>
      <c r="J2700" s="5">
        <v>45181</v>
      </c>
      <c r="K2700" s="8">
        <f t="shared" si="285"/>
        <v>1</v>
      </c>
      <c r="L2700" s="6">
        <v>647</v>
      </c>
      <c r="M2700" s="9">
        <f t="shared" si="282"/>
        <v>3.6393750000000002</v>
      </c>
      <c r="N2700" s="6">
        <v>647</v>
      </c>
      <c r="O2700" s="6">
        <v>0</v>
      </c>
    </row>
    <row r="2701" spans="1:15" ht="18.75" hidden="1" customHeight="1" thickBot="1" x14ac:dyDescent="0.3">
      <c r="A2701" s="3" t="s">
        <v>11</v>
      </c>
      <c r="B2701" s="4">
        <v>258292</v>
      </c>
      <c r="C2701" s="3" t="s">
        <v>22</v>
      </c>
      <c r="D2701" s="7">
        <v>6.7500000000000004E-2</v>
      </c>
      <c r="E2701" s="7">
        <f t="shared" si="283"/>
        <v>5.6250000000000007E-3</v>
      </c>
      <c r="F2701" s="5">
        <v>45117</v>
      </c>
      <c r="G2701" s="5">
        <v>2958465</v>
      </c>
      <c r="H2701" s="8">
        <f t="shared" si="284"/>
        <v>2913348</v>
      </c>
      <c r="I2701" s="5">
        <v>2958465</v>
      </c>
      <c r="J2701" s="5">
        <v>45118</v>
      </c>
      <c r="K2701" s="8">
        <f t="shared" si="285"/>
        <v>1</v>
      </c>
      <c r="L2701" s="6">
        <v>2711.11</v>
      </c>
      <c r="M2701" s="9">
        <f t="shared" si="282"/>
        <v>15.249993750000003</v>
      </c>
      <c r="N2701" s="6">
        <v>2711.11</v>
      </c>
      <c r="O2701" s="6">
        <v>0</v>
      </c>
    </row>
    <row r="2702" spans="1:15" ht="18.75" hidden="1" customHeight="1" thickBot="1" x14ac:dyDescent="0.3">
      <c r="A2702" s="3" t="s">
        <v>11</v>
      </c>
      <c r="B2702" s="4">
        <v>847695</v>
      </c>
      <c r="C2702" s="3" t="s">
        <v>22</v>
      </c>
      <c r="D2702" s="7">
        <v>7.2499999999999995E-2</v>
      </c>
      <c r="E2702" s="7">
        <f t="shared" si="283"/>
        <v>6.0416666666666665E-3</v>
      </c>
      <c r="F2702" s="5">
        <v>45699</v>
      </c>
      <c r="G2702" s="5">
        <v>2958465</v>
      </c>
      <c r="H2702" s="8">
        <f t="shared" si="284"/>
        <v>2912766</v>
      </c>
      <c r="I2702" s="5">
        <v>2958465</v>
      </c>
      <c r="J2702" s="5">
        <v>45700</v>
      </c>
      <c r="K2702" s="8">
        <f t="shared" si="285"/>
        <v>1</v>
      </c>
      <c r="L2702" s="6">
        <v>10298.52</v>
      </c>
      <c r="M2702" s="9">
        <f t="shared" si="282"/>
        <v>62.220224999999999</v>
      </c>
      <c r="N2702" s="6">
        <v>10298.52</v>
      </c>
      <c r="O2702" s="6">
        <v>10298.52</v>
      </c>
    </row>
    <row r="2703" spans="1:15" ht="18.75" hidden="1" customHeight="1" thickBot="1" x14ac:dyDescent="0.3">
      <c r="A2703" s="3" t="s">
        <v>11</v>
      </c>
      <c r="B2703" s="4">
        <v>807851</v>
      </c>
      <c r="C2703" s="3" t="s">
        <v>22</v>
      </c>
      <c r="D2703" s="7">
        <v>6.7500000000000004E-2</v>
      </c>
      <c r="E2703" s="7">
        <f t="shared" si="283"/>
        <v>5.6250000000000007E-3</v>
      </c>
      <c r="F2703" s="5">
        <v>45026</v>
      </c>
      <c r="G2703" s="5">
        <v>2958465</v>
      </c>
      <c r="H2703" s="8">
        <f t="shared" si="284"/>
        <v>2913439</v>
      </c>
      <c r="I2703" s="5">
        <v>2958465</v>
      </c>
      <c r="J2703" s="5">
        <v>45027</v>
      </c>
      <c r="K2703" s="8">
        <f t="shared" si="285"/>
        <v>1</v>
      </c>
      <c r="L2703" s="6">
        <v>610.20000000000005</v>
      </c>
      <c r="M2703" s="9">
        <f t="shared" si="282"/>
        <v>3.4323750000000008</v>
      </c>
      <c r="N2703" s="6">
        <v>610.20000000000005</v>
      </c>
      <c r="O2703" s="6">
        <v>0</v>
      </c>
    </row>
    <row r="2704" spans="1:15" ht="18.75" hidden="1" customHeight="1" thickBot="1" x14ac:dyDescent="0.3">
      <c r="A2704" s="3" t="s">
        <v>11</v>
      </c>
      <c r="B2704" s="4">
        <v>757302</v>
      </c>
      <c r="C2704" s="3" t="s">
        <v>22</v>
      </c>
      <c r="D2704" s="7">
        <v>6.7500000000000004E-2</v>
      </c>
      <c r="E2704" s="7">
        <f t="shared" si="283"/>
        <v>5.6250000000000007E-3</v>
      </c>
      <c r="F2704" s="5">
        <v>45541</v>
      </c>
      <c r="G2704" s="5">
        <v>2958465</v>
      </c>
      <c r="H2704" s="8">
        <f t="shared" si="284"/>
        <v>2912924</v>
      </c>
      <c r="I2704" s="5">
        <v>2958465</v>
      </c>
      <c r="J2704" s="5">
        <v>45544</v>
      </c>
      <c r="K2704" s="8">
        <f t="shared" si="285"/>
        <v>3</v>
      </c>
      <c r="L2704" s="6">
        <v>1504.64</v>
      </c>
      <c r="M2704" s="9">
        <f t="shared" si="282"/>
        <v>8.4636000000000013</v>
      </c>
      <c r="N2704" s="6">
        <v>1504.64</v>
      </c>
      <c r="O2704" s="6">
        <v>0</v>
      </c>
    </row>
    <row r="2705" spans="1:15" ht="18.75" hidden="1" customHeight="1" thickBot="1" x14ac:dyDescent="0.3">
      <c r="A2705" s="3" t="s">
        <v>11</v>
      </c>
      <c r="B2705" s="4">
        <v>292680</v>
      </c>
      <c r="C2705" s="3" t="s">
        <v>22</v>
      </c>
      <c r="D2705" s="7">
        <v>6.7500000000000004E-2</v>
      </c>
      <c r="E2705" s="7">
        <f t="shared" si="283"/>
        <v>5.6250000000000007E-3</v>
      </c>
      <c r="F2705" s="5">
        <v>45308</v>
      </c>
      <c r="G2705" s="5">
        <v>2958465</v>
      </c>
      <c r="H2705" s="8">
        <f t="shared" si="284"/>
        <v>2913157</v>
      </c>
      <c r="I2705" s="5">
        <v>2958465</v>
      </c>
      <c r="J2705" s="5">
        <v>45310</v>
      </c>
      <c r="K2705" s="8">
        <f t="shared" si="285"/>
        <v>2</v>
      </c>
      <c r="L2705" s="6">
        <v>574.9</v>
      </c>
      <c r="M2705" s="9">
        <f t="shared" si="282"/>
        <v>3.2338125000000004</v>
      </c>
      <c r="N2705" s="6">
        <v>574.9</v>
      </c>
      <c r="O2705" s="6">
        <v>0</v>
      </c>
    </row>
    <row r="2706" spans="1:15" ht="18.75" hidden="1" customHeight="1" thickBot="1" x14ac:dyDescent="0.3">
      <c r="A2706" s="3" t="s">
        <v>11</v>
      </c>
      <c r="B2706" s="4">
        <v>812187</v>
      </c>
      <c r="C2706" s="3" t="s">
        <v>22</v>
      </c>
      <c r="D2706" s="7">
        <v>7.0000000000000007E-2</v>
      </c>
      <c r="E2706" s="7">
        <f t="shared" si="283"/>
        <v>5.8333333333333336E-3</v>
      </c>
      <c r="F2706" s="5">
        <v>45617</v>
      </c>
      <c r="G2706" s="5">
        <v>2958465</v>
      </c>
      <c r="H2706" s="8">
        <f t="shared" si="284"/>
        <v>2912848</v>
      </c>
      <c r="I2706" s="5">
        <v>2958465</v>
      </c>
      <c r="J2706" s="5">
        <v>45618</v>
      </c>
      <c r="K2706" s="8">
        <f t="shared" si="285"/>
        <v>1</v>
      </c>
      <c r="L2706" s="6">
        <v>717.41</v>
      </c>
      <c r="M2706" s="9">
        <f t="shared" si="282"/>
        <v>4.1848916666666662</v>
      </c>
      <c r="N2706" s="6">
        <v>717.41</v>
      </c>
      <c r="O2706" s="6">
        <v>0</v>
      </c>
    </row>
    <row r="2707" spans="1:15" ht="18.75" hidden="1" customHeight="1" thickBot="1" x14ac:dyDescent="0.3">
      <c r="A2707" s="3" t="s">
        <v>11</v>
      </c>
      <c r="B2707" s="4">
        <v>358408</v>
      </c>
      <c r="C2707" s="3" t="s">
        <v>22</v>
      </c>
      <c r="D2707" s="7">
        <v>6.7500000000000004E-2</v>
      </c>
      <c r="E2707" s="7">
        <f t="shared" si="283"/>
        <v>5.6250000000000007E-3</v>
      </c>
      <c r="F2707" s="5">
        <v>45243</v>
      </c>
      <c r="G2707" s="5">
        <v>2958465</v>
      </c>
      <c r="H2707" s="8">
        <f t="shared" si="284"/>
        <v>2913222</v>
      </c>
      <c r="I2707" s="5">
        <v>2958465</v>
      </c>
      <c r="J2707" s="5">
        <v>45244</v>
      </c>
      <c r="K2707" s="8">
        <f t="shared" si="285"/>
        <v>1</v>
      </c>
      <c r="L2707" s="6">
        <v>2723.48</v>
      </c>
      <c r="M2707" s="9">
        <f t="shared" si="282"/>
        <v>15.319575000000002</v>
      </c>
      <c r="N2707" s="6">
        <v>2723.48</v>
      </c>
      <c r="O2707" s="6">
        <v>0</v>
      </c>
    </row>
    <row r="2708" spans="1:15" ht="18.75" hidden="1" customHeight="1" thickBot="1" x14ac:dyDescent="0.3">
      <c r="A2708" s="3" t="s">
        <v>11</v>
      </c>
      <c r="B2708" s="4">
        <v>301306</v>
      </c>
      <c r="C2708" s="3" t="s">
        <v>22</v>
      </c>
      <c r="D2708" s="7">
        <v>6.7500000000000004E-2</v>
      </c>
      <c r="E2708" s="7">
        <f t="shared" si="283"/>
        <v>5.6250000000000007E-3</v>
      </c>
      <c r="F2708" s="5">
        <v>45425</v>
      </c>
      <c r="G2708" s="5">
        <v>2958465</v>
      </c>
      <c r="H2708" s="8">
        <f t="shared" si="284"/>
        <v>2913040</v>
      </c>
      <c r="I2708" s="5">
        <v>2958465</v>
      </c>
      <c r="J2708" s="5">
        <v>45426</v>
      </c>
      <c r="K2708" s="8">
        <f t="shared" si="285"/>
        <v>1</v>
      </c>
      <c r="L2708" s="6">
        <v>1975.79</v>
      </c>
      <c r="M2708" s="9">
        <f t="shared" si="282"/>
        <v>11.113818750000002</v>
      </c>
      <c r="N2708" s="6">
        <v>1975.79</v>
      </c>
      <c r="O2708" s="6">
        <v>0</v>
      </c>
    </row>
    <row r="2709" spans="1:15" ht="18.75" hidden="1" customHeight="1" thickBot="1" x14ac:dyDescent="0.3">
      <c r="A2709" s="3" t="s">
        <v>11</v>
      </c>
      <c r="B2709" s="4">
        <v>812800</v>
      </c>
      <c r="C2709" s="3" t="s">
        <v>22</v>
      </c>
      <c r="D2709" s="7">
        <v>6.7500000000000004E-2</v>
      </c>
      <c r="E2709" s="7">
        <f t="shared" si="283"/>
        <v>5.6250000000000007E-3</v>
      </c>
      <c r="F2709" s="5">
        <v>45308</v>
      </c>
      <c r="G2709" s="5">
        <v>2958465</v>
      </c>
      <c r="H2709" s="8">
        <f t="shared" si="284"/>
        <v>2913157</v>
      </c>
      <c r="I2709" s="5">
        <v>2958465</v>
      </c>
      <c r="J2709" s="5">
        <v>45310</v>
      </c>
      <c r="K2709" s="8">
        <f t="shared" si="285"/>
        <v>2</v>
      </c>
      <c r="L2709" s="6">
        <v>1217</v>
      </c>
      <c r="M2709" s="9">
        <f t="shared" si="282"/>
        <v>6.845625000000001</v>
      </c>
      <c r="N2709" s="6">
        <v>1217</v>
      </c>
      <c r="O2709" s="6">
        <v>0</v>
      </c>
    </row>
    <row r="2710" spans="1:15" ht="18.75" hidden="1" customHeight="1" thickBot="1" x14ac:dyDescent="0.3">
      <c r="A2710" s="3" t="s">
        <v>11</v>
      </c>
      <c r="B2710" s="4">
        <v>381773</v>
      </c>
      <c r="C2710" s="3" t="s">
        <v>22</v>
      </c>
      <c r="D2710" s="7">
        <v>6.7500000000000004E-2</v>
      </c>
      <c r="E2710" s="7">
        <f t="shared" si="283"/>
        <v>5.6250000000000007E-3</v>
      </c>
      <c r="F2710" s="5">
        <v>45265</v>
      </c>
      <c r="G2710" s="5">
        <v>2958465</v>
      </c>
      <c r="H2710" s="8">
        <f t="shared" si="284"/>
        <v>2913200</v>
      </c>
      <c r="I2710" s="5">
        <v>2958465</v>
      </c>
      <c r="J2710" s="5">
        <v>45266</v>
      </c>
      <c r="K2710" s="8">
        <f t="shared" si="285"/>
        <v>1</v>
      </c>
      <c r="L2710" s="6">
        <v>614.78</v>
      </c>
      <c r="M2710" s="9">
        <f t="shared" si="282"/>
        <v>3.4581375000000003</v>
      </c>
      <c r="N2710" s="6">
        <v>614.78</v>
      </c>
      <c r="O2710" s="6">
        <v>0</v>
      </c>
    </row>
    <row r="2711" spans="1:15" ht="18.75" hidden="1" customHeight="1" thickBot="1" x14ac:dyDescent="0.3">
      <c r="A2711" s="3" t="s">
        <v>11</v>
      </c>
      <c r="B2711" s="4">
        <v>746241</v>
      </c>
      <c r="C2711" s="3" t="s">
        <v>22</v>
      </c>
      <c r="D2711" s="7">
        <v>6.7500000000000004E-2</v>
      </c>
      <c r="E2711" s="7">
        <f t="shared" si="283"/>
        <v>5.6250000000000007E-3</v>
      </c>
      <c r="F2711" s="5">
        <v>45454</v>
      </c>
      <c r="G2711" s="5">
        <v>2958465</v>
      </c>
      <c r="H2711" s="8">
        <f t="shared" si="284"/>
        <v>2913011</v>
      </c>
      <c r="I2711" s="5">
        <v>2958465</v>
      </c>
      <c r="J2711" s="5">
        <v>45455</v>
      </c>
      <c r="K2711" s="8">
        <f t="shared" si="285"/>
        <v>1</v>
      </c>
      <c r="L2711" s="6">
        <v>769.48</v>
      </c>
      <c r="M2711" s="9">
        <f t="shared" si="282"/>
        <v>4.3283250000000004</v>
      </c>
      <c r="N2711" s="6">
        <v>769.48</v>
      </c>
      <c r="O2711" s="6">
        <v>0</v>
      </c>
    </row>
    <row r="2712" spans="1:15" ht="18.75" hidden="1" customHeight="1" thickBot="1" x14ac:dyDescent="0.3">
      <c r="A2712" s="3" t="s">
        <v>11</v>
      </c>
      <c r="B2712" s="4">
        <v>527312</v>
      </c>
      <c r="C2712" s="3" t="s">
        <v>22</v>
      </c>
      <c r="D2712" s="7">
        <v>6.7500000000000004E-2</v>
      </c>
      <c r="E2712" s="7">
        <f t="shared" si="283"/>
        <v>5.6250000000000007E-3</v>
      </c>
      <c r="F2712" s="5">
        <v>45156</v>
      </c>
      <c r="G2712" s="5">
        <v>2958465</v>
      </c>
      <c r="H2712" s="8">
        <f t="shared" si="284"/>
        <v>2913309</v>
      </c>
      <c r="I2712" s="5">
        <v>2958465</v>
      </c>
      <c r="J2712" s="5">
        <v>45159</v>
      </c>
      <c r="K2712" s="8">
        <f t="shared" si="285"/>
        <v>3</v>
      </c>
      <c r="L2712" s="6">
        <v>996.31</v>
      </c>
      <c r="M2712" s="9">
        <f t="shared" si="282"/>
        <v>5.6042437500000002</v>
      </c>
      <c r="N2712" s="6">
        <v>996.31</v>
      </c>
      <c r="O2712" s="6">
        <v>0</v>
      </c>
    </row>
    <row r="2713" spans="1:15" ht="18.75" hidden="1" customHeight="1" thickBot="1" x14ac:dyDescent="0.3">
      <c r="A2713" s="3" t="s">
        <v>11</v>
      </c>
      <c r="B2713" s="4">
        <v>514156</v>
      </c>
      <c r="C2713" s="3" t="s">
        <v>22</v>
      </c>
      <c r="D2713" s="7">
        <v>6.7500000000000004E-2</v>
      </c>
      <c r="E2713" s="7">
        <f t="shared" si="283"/>
        <v>5.6250000000000007E-3</v>
      </c>
      <c r="F2713" s="5">
        <v>45258</v>
      </c>
      <c r="G2713" s="5">
        <v>2958465</v>
      </c>
      <c r="H2713" s="8">
        <f t="shared" si="284"/>
        <v>2913207</v>
      </c>
      <c r="I2713" s="5">
        <v>2958465</v>
      </c>
      <c r="J2713" s="5">
        <v>45259</v>
      </c>
      <c r="K2713" s="8">
        <f t="shared" si="285"/>
        <v>1</v>
      </c>
      <c r="L2713" s="6">
        <v>631.9</v>
      </c>
      <c r="M2713" s="9">
        <f t="shared" si="282"/>
        <v>3.5544375000000001</v>
      </c>
      <c r="N2713" s="6">
        <v>631.9</v>
      </c>
      <c r="O2713" s="6">
        <v>0</v>
      </c>
    </row>
    <row r="2714" spans="1:15" ht="18.75" hidden="1" customHeight="1" thickBot="1" x14ac:dyDescent="0.3">
      <c r="A2714" s="3" t="s">
        <v>11</v>
      </c>
      <c r="B2714" s="4">
        <v>25953</v>
      </c>
      <c r="C2714" s="3" t="s">
        <v>22</v>
      </c>
      <c r="D2714" s="7">
        <v>7.7499999999999999E-2</v>
      </c>
      <c r="E2714" s="7">
        <f t="shared" si="283"/>
        <v>6.4583333333333333E-3</v>
      </c>
      <c r="F2714" s="5">
        <v>45971</v>
      </c>
      <c r="G2714" s="5">
        <v>2958465</v>
      </c>
      <c r="H2714" s="8">
        <f t="shared" si="284"/>
        <v>2912494</v>
      </c>
      <c r="I2714" s="5">
        <v>2958465</v>
      </c>
      <c r="J2714" s="5">
        <v>45973</v>
      </c>
      <c r="K2714" s="8">
        <f t="shared" si="285"/>
        <v>2</v>
      </c>
      <c r="L2714" s="6">
        <v>6611.56</v>
      </c>
      <c r="M2714" s="9">
        <f t="shared" si="282"/>
        <v>42.699658333333339</v>
      </c>
      <c r="N2714" s="6">
        <v>6611.56</v>
      </c>
      <c r="O2714" s="6">
        <v>0</v>
      </c>
    </row>
    <row r="2715" spans="1:15" ht="18.75" hidden="1" customHeight="1" thickBot="1" x14ac:dyDescent="0.3">
      <c r="A2715" s="3" t="s">
        <v>11</v>
      </c>
      <c r="B2715" s="4">
        <v>383771</v>
      </c>
      <c r="C2715" s="3" t="s">
        <v>22</v>
      </c>
      <c r="D2715" s="7">
        <v>6.7500000000000004E-2</v>
      </c>
      <c r="E2715" s="7">
        <f t="shared" si="283"/>
        <v>5.6250000000000007E-3</v>
      </c>
      <c r="F2715" s="5">
        <v>45393</v>
      </c>
      <c r="G2715" s="5">
        <v>2958465</v>
      </c>
      <c r="H2715" s="8">
        <f t="shared" si="284"/>
        <v>2913072</v>
      </c>
      <c r="I2715" s="5">
        <v>2958465</v>
      </c>
      <c r="J2715" s="5">
        <v>45394</v>
      </c>
      <c r="K2715" s="8">
        <f t="shared" si="285"/>
        <v>1</v>
      </c>
      <c r="L2715" s="6">
        <v>1338.06</v>
      </c>
      <c r="M2715" s="9">
        <f t="shared" si="282"/>
        <v>7.5265875000000007</v>
      </c>
      <c r="N2715" s="6">
        <v>1338.06</v>
      </c>
      <c r="O2715" s="6">
        <v>648.32000000000005</v>
      </c>
    </row>
    <row r="2716" spans="1:15" ht="18.75" hidden="1" customHeight="1" thickBot="1" x14ac:dyDescent="0.3">
      <c r="A2716" s="3" t="s">
        <v>11</v>
      </c>
      <c r="B2716" s="4">
        <v>973962</v>
      </c>
      <c r="C2716" s="3" t="s">
        <v>22</v>
      </c>
      <c r="D2716" s="7">
        <v>6.7500000000000004E-2</v>
      </c>
      <c r="E2716" s="7">
        <f t="shared" si="283"/>
        <v>5.6250000000000007E-3</v>
      </c>
      <c r="F2716" s="5">
        <v>45481</v>
      </c>
      <c r="G2716" s="5">
        <v>2958465</v>
      </c>
      <c r="H2716" s="8">
        <f t="shared" si="284"/>
        <v>2912984</v>
      </c>
      <c r="I2716" s="5">
        <v>2958465</v>
      </c>
      <c r="J2716" s="5">
        <v>45483</v>
      </c>
      <c r="K2716" s="8">
        <f t="shared" si="285"/>
        <v>2</v>
      </c>
      <c r="L2716" s="6">
        <v>623.79</v>
      </c>
      <c r="M2716" s="9">
        <f t="shared" si="282"/>
        <v>3.5088187500000001</v>
      </c>
      <c r="N2716" s="6">
        <v>623.79</v>
      </c>
      <c r="O2716" s="6">
        <v>0</v>
      </c>
    </row>
    <row r="2717" spans="1:15" ht="18.75" hidden="1" customHeight="1" thickBot="1" x14ac:dyDescent="0.3">
      <c r="A2717" s="3" t="s">
        <v>11</v>
      </c>
      <c r="B2717" s="4">
        <v>497848</v>
      </c>
      <c r="C2717" s="3" t="s">
        <v>22</v>
      </c>
      <c r="D2717" s="7">
        <v>7.0000000000000007E-2</v>
      </c>
      <c r="E2717" s="7">
        <f t="shared" si="283"/>
        <v>5.8333333333333336E-3</v>
      </c>
      <c r="F2717" s="5">
        <v>45642</v>
      </c>
      <c r="G2717" s="5">
        <v>2958465</v>
      </c>
      <c r="H2717" s="8">
        <f t="shared" si="284"/>
        <v>2912823</v>
      </c>
      <c r="I2717" s="5">
        <v>2958465</v>
      </c>
      <c r="J2717" s="5">
        <v>45643</v>
      </c>
      <c r="K2717" s="8">
        <f t="shared" si="285"/>
        <v>1</v>
      </c>
      <c r="L2717" s="6">
        <v>677.47</v>
      </c>
      <c r="M2717" s="9">
        <f t="shared" si="282"/>
        <v>3.9519083333333338</v>
      </c>
      <c r="N2717" s="6">
        <v>677.47</v>
      </c>
      <c r="O2717" s="6">
        <v>0</v>
      </c>
    </row>
    <row r="2718" spans="1:15" ht="18.75" hidden="1" customHeight="1" thickBot="1" x14ac:dyDescent="0.3">
      <c r="A2718" s="3" t="s">
        <v>11</v>
      </c>
      <c r="B2718" s="4">
        <v>255881</v>
      </c>
      <c r="C2718" s="3" t="s">
        <v>22</v>
      </c>
      <c r="D2718" s="7">
        <v>7.2499999999999995E-2</v>
      </c>
      <c r="E2718" s="7">
        <f t="shared" si="283"/>
        <v>6.0416666666666665E-3</v>
      </c>
      <c r="F2718" s="5">
        <v>45887</v>
      </c>
      <c r="G2718" s="5">
        <v>2958465</v>
      </c>
      <c r="H2718" s="8">
        <f t="shared" si="284"/>
        <v>2912578</v>
      </c>
      <c r="I2718" s="5">
        <v>2958465</v>
      </c>
      <c r="J2718" s="5">
        <v>45889</v>
      </c>
      <c r="K2718" s="8">
        <f t="shared" si="285"/>
        <v>2</v>
      </c>
      <c r="L2718" s="6">
        <v>636.12</v>
      </c>
      <c r="M2718" s="9">
        <f t="shared" si="282"/>
        <v>3.8432249999999999</v>
      </c>
      <c r="N2718" s="6">
        <v>636.12</v>
      </c>
      <c r="O2718" s="6">
        <v>249.54</v>
      </c>
    </row>
    <row r="2719" spans="1:15" ht="18.75" hidden="1" customHeight="1" thickBot="1" x14ac:dyDescent="0.3">
      <c r="A2719" s="3" t="s">
        <v>11</v>
      </c>
      <c r="B2719" s="4">
        <v>638953</v>
      </c>
      <c r="C2719" s="3" t="s">
        <v>22</v>
      </c>
      <c r="D2719" s="7">
        <v>7.7499999999999999E-2</v>
      </c>
      <c r="E2719" s="7">
        <f t="shared" si="283"/>
        <v>6.4583333333333333E-3</v>
      </c>
      <c r="F2719" s="5">
        <v>45971</v>
      </c>
      <c r="G2719" s="5">
        <v>2958465</v>
      </c>
      <c r="H2719" s="8">
        <f t="shared" si="284"/>
        <v>2912494</v>
      </c>
      <c r="I2719" s="5">
        <v>2958465</v>
      </c>
      <c r="J2719" s="5">
        <v>45973</v>
      </c>
      <c r="K2719" s="8">
        <f t="shared" si="285"/>
        <v>2</v>
      </c>
      <c r="L2719" s="6">
        <v>4240.74</v>
      </c>
      <c r="M2719" s="9">
        <f t="shared" si="282"/>
        <v>27.388112499999998</v>
      </c>
      <c r="N2719" s="6">
        <v>4240.74</v>
      </c>
      <c r="O2719" s="6">
        <v>260.22000000000003</v>
      </c>
    </row>
    <row r="2720" spans="1:15" ht="18.75" hidden="1" customHeight="1" thickBot="1" x14ac:dyDescent="0.3">
      <c r="A2720" s="3" t="s">
        <v>11</v>
      </c>
      <c r="B2720" s="4">
        <v>214725</v>
      </c>
      <c r="C2720" s="3" t="s">
        <v>22</v>
      </c>
      <c r="D2720" s="7">
        <v>7.4999999999999997E-2</v>
      </c>
      <c r="E2720" s="7">
        <f t="shared" si="283"/>
        <v>6.2499999999999995E-3</v>
      </c>
      <c r="F2720" s="5">
        <v>45947</v>
      </c>
      <c r="G2720" s="5">
        <v>2958465</v>
      </c>
      <c r="H2720" s="8">
        <f t="shared" si="284"/>
        <v>2912518</v>
      </c>
      <c r="I2720" s="5">
        <v>2958465</v>
      </c>
      <c r="J2720" s="5">
        <v>45950</v>
      </c>
      <c r="K2720" s="8">
        <f t="shared" si="285"/>
        <v>3</v>
      </c>
      <c r="L2720" s="6">
        <v>1221.8800000000001</v>
      </c>
      <c r="M2720" s="9">
        <f t="shared" si="282"/>
        <v>7.6367500000000001</v>
      </c>
      <c r="N2720" s="6">
        <v>1221.8800000000001</v>
      </c>
      <c r="O2720" s="6">
        <v>175.06</v>
      </c>
    </row>
    <row r="2721" spans="1:15" ht="18.75" hidden="1" customHeight="1" thickBot="1" x14ac:dyDescent="0.3">
      <c r="A2721" s="3" t="s">
        <v>11</v>
      </c>
      <c r="B2721" s="4">
        <v>832078</v>
      </c>
      <c r="C2721" s="3" t="s">
        <v>22</v>
      </c>
      <c r="D2721" s="7">
        <v>6.7500000000000004E-2</v>
      </c>
      <c r="E2721" s="7">
        <f t="shared" si="283"/>
        <v>5.6250000000000007E-3</v>
      </c>
      <c r="F2721" s="5">
        <v>45481</v>
      </c>
      <c r="G2721" s="5">
        <v>2958465</v>
      </c>
      <c r="H2721" s="8">
        <f t="shared" si="284"/>
        <v>2912984</v>
      </c>
      <c r="I2721" s="5">
        <v>2958465</v>
      </c>
      <c r="J2721" s="5">
        <v>45483</v>
      </c>
      <c r="K2721" s="8">
        <f t="shared" si="285"/>
        <v>2</v>
      </c>
      <c r="L2721" s="6">
        <v>672.38</v>
      </c>
      <c r="M2721" s="9">
        <f t="shared" si="282"/>
        <v>3.7821375000000006</v>
      </c>
      <c r="N2721" s="6">
        <v>672.38</v>
      </c>
      <c r="O2721" s="6">
        <v>0</v>
      </c>
    </row>
    <row r="2722" spans="1:15" ht="18.75" hidden="1" customHeight="1" thickBot="1" x14ac:dyDescent="0.3">
      <c r="A2722" s="3" t="s">
        <v>11</v>
      </c>
      <c r="B2722" s="4">
        <v>882052</v>
      </c>
      <c r="C2722" s="3" t="s">
        <v>22</v>
      </c>
      <c r="D2722" s="7">
        <v>6.7500000000000004E-2</v>
      </c>
      <c r="E2722" s="7">
        <f t="shared" si="283"/>
        <v>5.6250000000000007E-3</v>
      </c>
      <c r="F2722" s="5">
        <v>45393</v>
      </c>
      <c r="G2722" s="5">
        <v>2958465</v>
      </c>
      <c r="H2722" s="8">
        <f t="shared" si="284"/>
        <v>2913072</v>
      </c>
      <c r="I2722" s="5">
        <v>2958465</v>
      </c>
      <c r="J2722" s="5">
        <v>46056</v>
      </c>
      <c r="K2722" s="8">
        <f t="shared" si="285"/>
        <v>663</v>
      </c>
      <c r="L2722" s="6">
        <v>1700.98</v>
      </c>
      <c r="M2722" s="9">
        <f t="shared" si="282"/>
        <v>9.5680125000000018</v>
      </c>
      <c r="N2722" s="6">
        <v>1700.98</v>
      </c>
      <c r="O2722" s="6">
        <v>338.06</v>
      </c>
    </row>
    <row r="2723" spans="1:15" ht="18.75" hidden="1" customHeight="1" thickBot="1" x14ac:dyDescent="0.3">
      <c r="A2723" s="3" t="s">
        <v>11</v>
      </c>
      <c r="B2723" s="4">
        <v>69963</v>
      </c>
      <c r="C2723" s="3" t="s">
        <v>22</v>
      </c>
      <c r="D2723" s="7">
        <v>7.4999999999999997E-2</v>
      </c>
      <c r="E2723" s="7">
        <f t="shared" si="283"/>
        <v>6.2499999999999995E-3</v>
      </c>
      <c r="F2723" s="5">
        <v>45947</v>
      </c>
      <c r="G2723" s="5">
        <v>2958465</v>
      </c>
      <c r="H2723" s="8">
        <f t="shared" si="284"/>
        <v>2912518</v>
      </c>
      <c r="I2723" s="5">
        <v>2958465</v>
      </c>
      <c r="J2723" s="5">
        <v>45950</v>
      </c>
      <c r="K2723" s="8">
        <f t="shared" si="285"/>
        <v>3</v>
      </c>
      <c r="L2723" s="6">
        <v>666.71</v>
      </c>
      <c r="M2723" s="9">
        <f t="shared" si="282"/>
        <v>4.1669374999999995</v>
      </c>
      <c r="N2723" s="6">
        <v>666.71</v>
      </c>
      <c r="O2723" s="6">
        <v>0</v>
      </c>
    </row>
    <row r="2724" spans="1:15" ht="18.75" hidden="1" customHeight="1" thickBot="1" x14ac:dyDescent="0.3">
      <c r="A2724" s="3" t="s">
        <v>11</v>
      </c>
      <c r="B2724" s="4">
        <v>177938</v>
      </c>
      <c r="C2724" s="3" t="s">
        <v>15</v>
      </c>
      <c r="D2724" s="7">
        <v>0.1515</v>
      </c>
      <c r="E2724" s="7">
        <f t="shared" si="283"/>
        <v>1.2624999999999999E-2</v>
      </c>
      <c r="F2724" s="5">
        <v>44077</v>
      </c>
      <c r="G2724" s="5">
        <v>2958465</v>
      </c>
      <c r="H2724" s="8">
        <f t="shared" si="284"/>
        <v>2914388</v>
      </c>
      <c r="I2724" s="5">
        <v>2958465</v>
      </c>
      <c r="J2724" s="5">
        <v>44078</v>
      </c>
      <c r="K2724" s="8">
        <f t="shared" si="285"/>
        <v>1</v>
      </c>
      <c r="L2724" s="6">
        <v>1087.58</v>
      </c>
      <c r="M2724" s="9">
        <f t="shared" si="282"/>
        <v>13.730697499999998</v>
      </c>
      <c r="N2724" s="6">
        <v>1087.58</v>
      </c>
      <c r="O2724" s="6">
        <v>0</v>
      </c>
    </row>
    <row r="2725" spans="1:15" ht="18.75" hidden="1" customHeight="1" thickBot="1" x14ac:dyDescent="0.3">
      <c r="A2725" s="3" t="s">
        <v>11</v>
      </c>
      <c r="B2725" s="4">
        <v>334097</v>
      </c>
      <c r="C2725" s="3" t="s">
        <v>22</v>
      </c>
      <c r="D2725" s="7">
        <v>6.7500000000000004E-2</v>
      </c>
      <c r="E2725" s="7">
        <f t="shared" si="283"/>
        <v>5.6250000000000007E-3</v>
      </c>
      <c r="F2725" s="5">
        <v>45328</v>
      </c>
      <c r="G2725" s="5">
        <v>2958465</v>
      </c>
      <c r="H2725" s="8">
        <f t="shared" si="284"/>
        <v>2913137</v>
      </c>
      <c r="I2725" s="5">
        <v>2958465</v>
      </c>
      <c r="J2725" s="5">
        <v>45329</v>
      </c>
      <c r="K2725" s="8">
        <f t="shared" si="285"/>
        <v>1</v>
      </c>
      <c r="L2725" s="6">
        <v>4913.24</v>
      </c>
      <c r="M2725" s="9">
        <f t="shared" si="282"/>
        <v>27.636975000000003</v>
      </c>
      <c r="N2725" s="6">
        <v>4913.24</v>
      </c>
      <c r="O2725" s="6">
        <v>53.47</v>
      </c>
    </row>
    <row r="2726" spans="1:15" ht="18.75" hidden="1" customHeight="1" thickBot="1" x14ac:dyDescent="0.3">
      <c r="A2726" s="3" t="s">
        <v>11</v>
      </c>
      <c r="B2726" s="4">
        <v>861812</v>
      </c>
      <c r="C2726" s="3" t="s">
        <v>22</v>
      </c>
      <c r="D2726" s="7">
        <v>6.7500000000000004E-2</v>
      </c>
      <c r="E2726" s="7">
        <f t="shared" si="283"/>
        <v>5.6250000000000007E-3</v>
      </c>
      <c r="F2726" s="5">
        <v>45145</v>
      </c>
      <c r="G2726" s="5">
        <v>2958465</v>
      </c>
      <c r="H2726" s="8">
        <f t="shared" si="284"/>
        <v>2913320</v>
      </c>
      <c r="I2726" s="5">
        <v>2958465</v>
      </c>
      <c r="J2726" s="5">
        <v>45146</v>
      </c>
      <c r="K2726" s="8">
        <f t="shared" si="285"/>
        <v>1</v>
      </c>
      <c r="L2726" s="6">
        <v>8923.76</v>
      </c>
      <c r="M2726" s="9">
        <f t="shared" si="282"/>
        <v>50.19615000000001</v>
      </c>
      <c r="N2726" s="6">
        <v>8923.76</v>
      </c>
      <c r="O2726" s="6">
        <v>175</v>
      </c>
    </row>
    <row r="2727" spans="1:15" ht="18.75" hidden="1" customHeight="1" thickBot="1" x14ac:dyDescent="0.3">
      <c r="A2727" s="3" t="s">
        <v>11</v>
      </c>
      <c r="B2727" s="4">
        <v>710183</v>
      </c>
      <c r="C2727" s="3" t="s">
        <v>22</v>
      </c>
      <c r="D2727" s="7">
        <v>6.7500000000000004E-2</v>
      </c>
      <c r="E2727" s="7">
        <f t="shared" si="283"/>
        <v>5.6250000000000007E-3</v>
      </c>
      <c r="F2727" s="5">
        <v>45233</v>
      </c>
      <c r="G2727" s="5">
        <v>2958465</v>
      </c>
      <c r="H2727" s="8">
        <f t="shared" si="284"/>
        <v>2913232</v>
      </c>
      <c r="I2727" s="5">
        <v>2958465</v>
      </c>
      <c r="J2727" s="5">
        <v>45236</v>
      </c>
      <c r="K2727" s="8">
        <f t="shared" si="285"/>
        <v>3</v>
      </c>
      <c r="L2727" s="6">
        <v>2195.15</v>
      </c>
      <c r="M2727" s="9">
        <f t="shared" si="282"/>
        <v>12.347718750000002</v>
      </c>
      <c r="N2727" s="6">
        <v>2195.15</v>
      </c>
      <c r="O2727" s="6">
        <v>0</v>
      </c>
    </row>
    <row r="2728" spans="1:15" ht="18.75" hidden="1" customHeight="1" thickBot="1" x14ac:dyDescent="0.3">
      <c r="A2728" s="3" t="s">
        <v>11</v>
      </c>
      <c r="B2728" s="4">
        <v>704586</v>
      </c>
      <c r="C2728" s="3" t="s">
        <v>22</v>
      </c>
      <c r="D2728" s="7">
        <v>6.7500000000000004E-2</v>
      </c>
      <c r="E2728" s="7">
        <f t="shared" si="283"/>
        <v>5.6250000000000007E-3</v>
      </c>
      <c r="F2728" s="5">
        <v>45454</v>
      </c>
      <c r="G2728" s="5">
        <v>2958465</v>
      </c>
      <c r="H2728" s="8">
        <f t="shared" si="284"/>
        <v>2913011</v>
      </c>
      <c r="I2728" s="5">
        <v>2958465</v>
      </c>
      <c r="J2728" s="5">
        <v>45455</v>
      </c>
      <c r="K2728" s="8">
        <f t="shared" si="285"/>
        <v>1</v>
      </c>
      <c r="L2728" s="6">
        <v>886.46</v>
      </c>
      <c r="M2728" s="9">
        <f t="shared" si="282"/>
        <v>4.9863375000000012</v>
      </c>
      <c r="N2728" s="6">
        <v>886.46</v>
      </c>
      <c r="O2728" s="6">
        <v>0</v>
      </c>
    </row>
    <row r="2729" spans="1:15" ht="18.75" hidden="1" customHeight="1" thickBot="1" x14ac:dyDescent="0.3">
      <c r="A2729" s="3" t="s">
        <v>11</v>
      </c>
      <c r="B2729" s="4">
        <v>686421</v>
      </c>
      <c r="C2729" s="3" t="s">
        <v>22</v>
      </c>
      <c r="D2729" s="7">
        <v>0.08</v>
      </c>
      <c r="E2729" s="7">
        <f t="shared" si="283"/>
        <v>6.6666666666666671E-3</v>
      </c>
      <c r="F2729" s="5">
        <v>46035</v>
      </c>
      <c r="G2729" s="5">
        <v>2958465</v>
      </c>
      <c r="H2729" s="8">
        <f t="shared" si="284"/>
        <v>2912430</v>
      </c>
      <c r="I2729" s="5">
        <v>2958465</v>
      </c>
      <c r="J2729" s="5">
        <v>46036</v>
      </c>
      <c r="K2729" s="8">
        <f t="shared" si="285"/>
        <v>1</v>
      </c>
      <c r="L2729" s="6">
        <v>666.5</v>
      </c>
      <c r="M2729" s="9">
        <f t="shared" si="282"/>
        <v>4.4433333333333334</v>
      </c>
      <c r="N2729" s="6">
        <v>666.5</v>
      </c>
      <c r="O2729" s="6">
        <v>0</v>
      </c>
    </row>
    <row r="2730" spans="1:15" ht="18.75" hidden="1" customHeight="1" thickBot="1" x14ac:dyDescent="0.3">
      <c r="A2730" s="3" t="s">
        <v>11</v>
      </c>
      <c r="B2730" s="4">
        <v>679580</v>
      </c>
      <c r="C2730" s="3" t="s">
        <v>22</v>
      </c>
      <c r="D2730" s="7">
        <v>6.7500000000000004E-2</v>
      </c>
      <c r="E2730" s="7">
        <f t="shared" si="283"/>
        <v>5.6250000000000007E-3</v>
      </c>
      <c r="F2730" s="5">
        <v>45481</v>
      </c>
      <c r="G2730" s="5">
        <v>2958465</v>
      </c>
      <c r="H2730" s="8">
        <f t="shared" si="284"/>
        <v>2912984</v>
      </c>
      <c r="I2730" s="5">
        <v>2958465</v>
      </c>
      <c r="J2730" s="5">
        <v>45483</v>
      </c>
      <c r="K2730" s="8">
        <f t="shared" si="285"/>
        <v>2</v>
      </c>
      <c r="L2730" s="6">
        <v>10747.52</v>
      </c>
      <c r="M2730" s="9">
        <f t="shared" si="282"/>
        <v>60.454800000000013</v>
      </c>
      <c r="N2730" s="6">
        <v>10747.52</v>
      </c>
      <c r="O2730" s="6">
        <v>10000</v>
      </c>
    </row>
    <row r="2731" spans="1:15" ht="18.75" hidden="1" customHeight="1" thickBot="1" x14ac:dyDescent="0.3">
      <c r="A2731" s="3" t="s">
        <v>11</v>
      </c>
      <c r="B2731" s="4">
        <v>165541</v>
      </c>
      <c r="C2731" s="3" t="s">
        <v>22</v>
      </c>
      <c r="D2731" s="7">
        <v>9.9999999999999995E-8</v>
      </c>
      <c r="E2731" s="7">
        <f t="shared" si="283"/>
        <v>8.3333333333333335E-9</v>
      </c>
      <c r="F2731" s="5">
        <v>42097</v>
      </c>
      <c r="G2731" s="5">
        <v>2958465</v>
      </c>
      <c r="H2731" s="8">
        <f t="shared" si="284"/>
        <v>2916368</v>
      </c>
      <c r="I2731" s="5">
        <v>2958465</v>
      </c>
      <c r="J2731" s="5">
        <v>42101</v>
      </c>
      <c r="K2731" s="8">
        <f t="shared" si="285"/>
        <v>4</v>
      </c>
      <c r="L2731" s="6">
        <v>1261.46</v>
      </c>
      <c r="M2731" s="9">
        <f t="shared" si="282"/>
        <v>1.298160276774165E-2</v>
      </c>
      <c r="N2731" s="6">
        <v>1261.46</v>
      </c>
      <c r="O2731" s="6">
        <v>300</v>
      </c>
    </row>
    <row r="2732" spans="1:15" ht="18.75" hidden="1" customHeight="1" thickBot="1" x14ac:dyDescent="0.3">
      <c r="A2732" s="3" t="s">
        <v>11</v>
      </c>
      <c r="B2732" s="4">
        <v>427193</v>
      </c>
      <c r="C2732" s="3" t="s">
        <v>22</v>
      </c>
      <c r="D2732" s="7">
        <v>0.08</v>
      </c>
      <c r="E2732" s="7">
        <f t="shared" si="283"/>
        <v>6.6666666666666671E-3</v>
      </c>
      <c r="F2732" s="5">
        <v>40353</v>
      </c>
      <c r="G2732" s="5">
        <v>2958465</v>
      </c>
      <c r="H2732" s="8">
        <f t="shared" si="284"/>
        <v>2918112</v>
      </c>
      <c r="I2732" s="5">
        <v>2958465</v>
      </c>
      <c r="J2732" s="5">
        <v>40358</v>
      </c>
      <c r="K2732" s="8">
        <f t="shared" si="285"/>
        <v>5</v>
      </c>
      <c r="L2732" s="6">
        <v>476.08</v>
      </c>
      <c r="M2732" s="9">
        <f t="shared" si="282"/>
        <v>3.1738666666666666</v>
      </c>
      <c r="N2732" s="6">
        <v>476.08</v>
      </c>
      <c r="O2732" s="6">
        <v>5.01</v>
      </c>
    </row>
    <row r="2733" spans="1:15" ht="18.75" hidden="1" customHeight="1" thickBot="1" x14ac:dyDescent="0.3">
      <c r="A2733" s="3" t="s">
        <v>11</v>
      </c>
      <c r="B2733" s="4">
        <v>495825</v>
      </c>
      <c r="C2733" s="3" t="s">
        <v>22</v>
      </c>
      <c r="D2733" s="7">
        <v>0.08</v>
      </c>
      <c r="E2733" s="7">
        <f t="shared" si="283"/>
        <v>6.6666666666666671E-3</v>
      </c>
      <c r="F2733" s="5">
        <v>41262</v>
      </c>
      <c r="G2733" s="5">
        <v>2958465</v>
      </c>
      <c r="H2733" s="8">
        <f t="shared" si="284"/>
        <v>2917203</v>
      </c>
      <c r="I2733" s="5">
        <v>2958465</v>
      </c>
      <c r="J2733" s="5">
        <v>41263</v>
      </c>
      <c r="K2733" s="8">
        <f t="shared" si="285"/>
        <v>1</v>
      </c>
      <c r="L2733" s="6">
        <v>1587.27</v>
      </c>
      <c r="M2733" s="9">
        <f t="shared" si="282"/>
        <v>10.581800000000001</v>
      </c>
      <c r="N2733" s="6">
        <v>1587.27</v>
      </c>
      <c r="O2733" s="6">
        <v>0</v>
      </c>
    </row>
    <row r="2734" spans="1:15" ht="18.75" hidden="1" customHeight="1" thickBot="1" x14ac:dyDescent="0.3">
      <c r="A2734" s="3" t="s">
        <v>11</v>
      </c>
      <c r="B2734" s="4">
        <v>948396</v>
      </c>
      <c r="C2734" s="3" t="s">
        <v>22</v>
      </c>
      <c r="D2734" s="7">
        <v>0.08</v>
      </c>
      <c r="E2734" s="7">
        <f t="shared" si="283"/>
        <v>6.6666666666666671E-3</v>
      </c>
      <c r="F2734" s="5">
        <v>43168</v>
      </c>
      <c r="G2734" s="5">
        <v>2958465</v>
      </c>
      <c r="H2734" s="8">
        <f t="shared" si="284"/>
        <v>2915297</v>
      </c>
      <c r="I2734" s="5">
        <v>2958465</v>
      </c>
      <c r="J2734" s="5">
        <v>43178</v>
      </c>
      <c r="K2734" s="8">
        <f t="shared" si="285"/>
        <v>10</v>
      </c>
      <c r="L2734" s="6">
        <v>772.5</v>
      </c>
      <c r="M2734" s="9">
        <f t="shared" si="282"/>
        <v>5.15</v>
      </c>
      <c r="N2734" s="6">
        <v>772.5</v>
      </c>
      <c r="O2734" s="6">
        <v>772.5</v>
      </c>
    </row>
    <row r="2735" spans="1:15" ht="18.75" hidden="1" customHeight="1" thickBot="1" x14ac:dyDescent="0.3">
      <c r="A2735" s="3" t="s">
        <v>11</v>
      </c>
      <c r="B2735" s="4">
        <v>558188</v>
      </c>
      <c r="C2735" s="3" t="s">
        <v>22</v>
      </c>
      <c r="D2735" s="7">
        <v>0.08</v>
      </c>
      <c r="E2735" s="7">
        <f t="shared" si="283"/>
        <v>6.6666666666666671E-3</v>
      </c>
      <c r="F2735" s="5">
        <v>40533</v>
      </c>
      <c r="G2735" s="5">
        <v>2958465</v>
      </c>
      <c r="H2735" s="8">
        <f t="shared" si="284"/>
        <v>2917932</v>
      </c>
      <c r="I2735" s="5">
        <v>2958465</v>
      </c>
      <c r="J2735" s="5">
        <v>40540</v>
      </c>
      <c r="K2735" s="8">
        <f t="shared" si="285"/>
        <v>7</v>
      </c>
      <c r="L2735" s="6">
        <v>457.19</v>
      </c>
      <c r="M2735" s="9">
        <f t="shared" si="282"/>
        <v>3.0479333333333334</v>
      </c>
      <c r="N2735" s="6">
        <v>457.19</v>
      </c>
      <c r="O2735" s="6">
        <v>40.9</v>
      </c>
    </row>
    <row r="2736" spans="1:15" ht="18.75" hidden="1" customHeight="1" thickBot="1" x14ac:dyDescent="0.3">
      <c r="A2736" s="3" t="s">
        <v>11</v>
      </c>
      <c r="B2736" s="4">
        <v>564862</v>
      </c>
      <c r="C2736" s="3" t="s">
        <v>22</v>
      </c>
      <c r="D2736" s="7">
        <v>0.08</v>
      </c>
      <c r="E2736" s="7">
        <f t="shared" si="283"/>
        <v>6.6666666666666671E-3</v>
      </c>
      <c r="F2736" s="5">
        <v>40533</v>
      </c>
      <c r="G2736" s="5">
        <v>2958465</v>
      </c>
      <c r="H2736" s="8">
        <f t="shared" si="284"/>
        <v>2917932</v>
      </c>
      <c r="I2736" s="5">
        <v>2958465</v>
      </c>
      <c r="J2736" s="5">
        <v>40539</v>
      </c>
      <c r="K2736" s="8">
        <f t="shared" si="285"/>
        <v>6</v>
      </c>
      <c r="L2736" s="6">
        <v>1238.8599999999999</v>
      </c>
      <c r="M2736" s="9">
        <f t="shared" si="282"/>
        <v>8.2590666666666657</v>
      </c>
      <c r="N2736" s="6">
        <v>1238.8599999999999</v>
      </c>
      <c r="O2736" s="6">
        <v>1002.36</v>
      </c>
    </row>
    <row r="2737" spans="1:15" ht="18.75" hidden="1" customHeight="1" thickBot="1" x14ac:dyDescent="0.3">
      <c r="A2737" s="3" t="s">
        <v>11</v>
      </c>
      <c r="B2737" s="4">
        <v>581559</v>
      </c>
      <c r="C2737" s="3" t="s">
        <v>22</v>
      </c>
      <c r="D2737" s="7">
        <v>0.08</v>
      </c>
      <c r="E2737" s="7">
        <f t="shared" si="283"/>
        <v>6.6666666666666671E-3</v>
      </c>
      <c r="F2737" s="5">
        <v>41086</v>
      </c>
      <c r="G2737" s="5">
        <v>2958465</v>
      </c>
      <c r="H2737" s="8">
        <f t="shared" si="284"/>
        <v>2917379</v>
      </c>
      <c r="I2737" s="5">
        <v>2958465</v>
      </c>
      <c r="J2737" s="5">
        <v>41092</v>
      </c>
      <c r="K2737" s="8">
        <f t="shared" si="285"/>
        <v>6</v>
      </c>
      <c r="L2737" s="6">
        <v>616.80999999999995</v>
      </c>
      <c r="M2737" s="9">
        <f t="shared" si="282"/>
        <v>4.1120666666666663</v>
      </c>
      <c r="N2737" s="6">
        <v>596.80999999999995</v>
      </c>
      <c r="O2737" s="6">
        <v>604.29999999999995</v>
      </c>
    </row>
    <row r="2738" spans="1:15" ht="18.75" hidden="1" customHeight="1" thickBot="1" x14ac:dyDescent="0.3">
      <c r="A2738" s="3" t="s">
        <v>11</v>
      </c>
      <c r="B2738" s="4">
        <v>142204</v>
      </c>
      <c r="C2738" s="3" t="s">
        <v>22</v>
      </c>
      <c r="D2738" s="7">
        <v>6.7500000000000004E-2</v>
      </c>
      <c r="E2738" s="7">
        <f t="shared" si="283"/>
        <v>5.6250000000000007E-3</v>
      </c>
      <c r="F2738" s="5">
        <v>45418</v>
      </c>
      <c r="G2738" s="5">
        <v>2958465</v>
      </c>
      <c r="H2738" s="8">
        <f t="shared" si="284"/>
        <v>2913047</v>
      </c>
      <c r="I2738" s="5">
        <v>2958465</v>
      </c>
      <c r="J2738" s="5">
        <v>45419</v>
      </c>
      <c r="K2738" s="8">
        <f t="shared" si="285"/>
        <v>1</v>
      </c>
      <c r="L2738" s="6">
        <v>1065.53</v>
      </c>
      <c r="M2738" s="9">
        <f t="shared" si="282"/>
        <v>5.9936062500000009</v>
      </c>
      <c r="N2738" s="6">
        <v>1065.53</v>
      </c>
      <c r="O2738" s="6">
        <v>255.53</v>
      </c>
    </row>
    <row r="2739" spans="1:15" ht="18.75" hidden="1" customHeight="1" thickBot="1" x14ac:dyDescent="0.3">
      <c r="A2739" s="3" t="s">
        <v>11</v>
      </c>
      <c r="B2739" s="4">
        <v>580335</v>
      </c>
      <c r="C2739" s="3" t="s">
        <v>22</v>
      </c>
      <c r="D2739" s="7">
        <v>0.08</v>
      </c>
      <c r="E2739" s="7">
        <f t="shared" si="283"/>
        <v>6.6666666666666671E-3</v>
      </c>
      <c r="F2739" s="5">
        <v>41759</v>
      </c>
      <c r="G2739" s="5">
        <v>2958465</v>
      </c>
      <c r="H2739" s="8">
        <f t="shared" si="284"/>
        <v>2916706</v>
      </c>
      <c r="I2739" s="5">
        <v>2958465</v>
      </c>
      <c r="J2739" s="5">
        <v>41809</v>
      </c>
      <c r="K2739" s="8">
        <f t="shared" si="285"/>
        <v>50</v>
      </c>
      <c r="L2739" s="6">
        <v>1025.1400000000001</v>
      </c>
      <c r="M2739" s="9">
        <f t="shared" si="282"/>
        <v>6.834266666666668</v>
      </c>
      <c r="N2739" s="6">
        <v>1025.1400000000001</v>
      </c>
      <c r="O2739" s="6">
        <v>0</v>
      </c>
    </row>
    <row r="2740" spans="1:15" ht="18.75" hidden="1" customHeight="1" thickBot="1" x14ac:dyDescent="0.3">
      <c r="A2740" s="3" t="s">
        <v>11</v>
      </c>
      <c r="B2740" s="4">
        <v>541436</v>
      </c>
      <c r="C2740" s="3" t="s">
        <v>22</v>
      </c>
      <c r="D2740" s="7">
        <v>0.08</v>
      </c>
      <c r="E2740" s="7">
        <f t="shared" si="283"/>
        <v>6.6666666666666671E-3</v>
      </c>
      <c r="F2740" s="5">
        <v>40627</v>
      </c>
      <c r="G2740" s="5">
        <v>2958465</v>
      </c>
      <c r="H2740" s="8">
        <f t="shared" si="284"/>
        <v>2917838</v>
      </c>
      <c r="I2740" s="5">
        <v>2958465</v>
      </c>
      <c r="J2740" s="5">
        <v>40631</v>
      </c>
      <c r="K2740" s="8">
        <f t="shared" si="285"/>
        <v>4</v>
      </c>
      <c r="L2740" s="6">
        <v>355.96</v>
      </c>
      <c r="M2740" s="9">
        <f t="shared" si="282"/>
        <v>2.3730666666666669</v>
      </c>
      <c r="N2740" s="6">
        <v>355.96</v>
      </c>
      <c r="O2740" s="6">
        <v>0</v>
      </c>
    </row>
    <row r="2741" spans="1:15" ht="18.75" hidden="1" customHeight="1" thickBot="1" x14ac:dyDescent="0.3">
      <c r="A2741" s="3" t="s">
        <v>11</v>
      </c>
      <c r="B2741" s="4">
        <v>209811</v>
      </c>
      <c r="C2741" s="3" t="s">
        <v>22</v>
      </c>
      <c r="D2741" s="7">
        <v>0</v>
      </c>
      <c r="E2741" s="7">
        <f t="shared" si="283"/>
        <v>0</v>
      </c>
      <c r="F2741" s="5">
        <v>40627</v>
      </c>
      <c r="G2741" s="5">
        <v>2958465</v>
      </c>
      <c r="H2741" s="8">
        <f t="shared" si="284"/>
        <v>2917838</v>
      </c>
      <c r="I2741" s="5">
        <v>2958465</v>
      </c>
      <c r="J2741" s="5">
        <v>40631</v>
      </c>
      <c r="K2741" s="8">
        <f t="shared" si="285"/>
        <v>4</v>
      </c>
      <c r="L2741" s="6">
        <v>465.6</v>
      </c>
      <c r="M2741" s="9">
        <f t="shared" si="282"/>
        <v>4.7871060696310077E-3</v>
      </c>
      <c r="N2741" s="6">
        <v>465.6</v>
      </c>
      <c r="O2741" s="6">
        <v>0</v>
      </c>
    </row>
    <row r="2742" spans="1:15" ht="18.75" hidden="1" customHeight="1" thickBot="1" x14ac:dyDescent="0.3">
      <c r="A2742" s="3" t="s">
        <v>11</v>
      </c>
      <c r="B2742" s="4">
        <v>369366</v>
      </c>
      <c r="C2742" s="3" t="s">
        <v>22</v>
      </c>
      <c r="D2742" s="7">
        <v>0.08</v>
      </c>
      <c r="E2742" s="7">
        <f t="shared" si="283"/>
        <v>6.6666666666666671E-3</v>
      </c>
      <c r="F2742" s="5">
        <v>43917</v>
      </c>
      <c r="G2742" s="5">
        <v>2958465</v>
      </c>
      <c r="H2742" s="8">
        <f t="shared" si="284"/>
        <v>2914548</v>
      </c>
      <c r="I2742" s="5">
        <v>2958465</v>
      </c>
      <c r="J2742" s="5">
        <v>43920</v>
      </c>
      <c r="K2742" s="8">
        <f t="shared" si="285"/>
        <v>3</v>
      </c>
      <c r="L2742" s="6">
        <v>1333.83</v>
      </c>
      <c r="M2742" s="9">
        <f t="shared" si="282"/>
        <v>8.8922000000000008</v>
      </c>
      <c r="N2742" s="6">
        <v>1333.83</v>
      </c>
      <c r="O2742" s="6">
        <v>1333.83</v>
      </c>
    </row>
    <row r="2743" spans="1:15" ht="18.75" hidden="1" customHeight="1" thickBot="1" x14ac:dyDescent="0.3">
      <c r="A2743" s="3" t="s">
        <v>11</v>
      </c>
      <c r="B2743" s="4">
        <v>843906</v>
      </c>
      <c r="C2743" s="3" t="s">
        <v>22</v>
      </c>
      <c r="D2743" s="7">
        <v>0.08</v>
      </c>
      <c r="E2743" s="7">
        <f t="shared" si="283"/>
        <v>6.6666666666666671E-3</v>
      </c>
      <c r="F2743" s="5">
        <v>41425</v>
      </c>
      <c r="G2743" s="5">
        <v>2958465</v>
      </c>
      <c r="H2743" s="8">
        <f t="shared" si="284"/>
        <v>2917040</v>
      </c>
      <c r="I2743" s="5">
        <v>2958465</v>
      </c>
      <c r="J2743" s="5">
        <v>41429</v>
      </c>
      <c r="K2743" s="8">
        <f t="shared" si="285"/>
        <v>4</v>
      </c>
      <c r="L2743" s="6">
        <v>1172.23</v>
      </c>
      <c r="M2743" s="9">
        <f t="shared" si="282"/>
        <v>7.8148666666666671</v>
      </c>
      <c r="N2743" s="6">
        <v>1172.23</v>
      </c>
      <c r="O2743" s="6">
        <v>0</v>
      </c>
    </row>
    <row r="2744" spans="1:15" ht="18.75" hidden="1" customHeight="1" thickBot="1" x14ac:dyDescent="0.3">
      <c r="A2744" s="3" t="s">
        <v>11</v>
      </c>
      <c r="B2744" s="4">
        <v>591978</v>
      </c>
      <c r="C2744" s="3" t="s">
        <v>22</v>
      </c>
      <c r="D2744" s="7">
        <v>0.08</v>
      </c>
      <c r="E2744" s="7">
        <f t="shared" si="283"/>
        <v>6.6666666666666671E-3</v>
      </c>
      <c r="F2744" s="5">
        <v>41401</v>
      </c>
      <c r="G2744" s="5">
        <v>2958465</v>
      </c>
      <c r="H2744" s="8">
        <f t="shared" si="284"/>
        <v>2917064</v>
      </c>
      <c r="I2744" s="5">
        <v>2958465</v>
      </c>
      <c r="J2744" s="5">
        <v>41442</v>
      </c>
      <c r="K2744" s="8">
        <f t="shared" si="285"/>
        <v>41</v>
      </c>
      <c r="L2744" s="6">
        <v>1712.82</v>
      </c>
      <c r="M2744" s="9">
        <f t="shared" si="282"/>
        <v>11.418800000000001</v>
      </c>
      <c r="N2744" s="6">
        <v>1712.82</v>
      </c>
      <c r="O2744" s="6">
        <v>1712.82</v>
      </c>
    </row>
    <row r="2745" spans="1:15" ht="18.75" hidden="1" customHeight="1" thickBot="1" x14ac:dyDescent="0.3">
      <c r="A2745" s="3" t="s">
        <v>11</v>
      </c>
      <c r="B2745" s="4">
        <v>815012</v>
      </c>
      <c r="C2745" s="3" t="s">
        <v>22</v>
      </c>
      <c r="D2745" s="7">
        <v>0.08</v>
      </c>
      <c r="E2745" s="7">
        <f t="shared" si="283"/>
        <v>6.6666666666666671E-3</v>
      </c>
      <c r="F2745" s="5">
        <v>42885</v>
      </c>
      <c r="G2745" s="5">
        <v>2958465</v>
      </c>
      <c r="H2745" s="8">
        <f t="shared" si="284"/>
        <v>2915580</v>
      </c>
      <c r="I2745" s="5">
        <v>2958465</v>
      </c>
      <c r="J2745" s="5">
        <v>42898</v>
      </c>
      <c r="K2745" s="8">
        <f t="shared" si="285"/>
        <v>13</v>
      </c>
      <c r="L2745" s="6">
        <v>1732.85</v>
      </c>
      <c r="M2745" s="9">
        <f t="shared" si="282"/>
        <v>11.552333333333333</v>
      </c>
      <c r="N2745" s="6">
        <v>1732.85</v>
      </c>
      <c r="O2745" s="6">
        <v>173.28</v>
      </c>
    </row>
    <row r="2746" spans="1:15" ht="18.75" hidden="1" customHeight="1" thickBot="1" x14ac:dyDescent="0.3">
      <c r="A2746" s="3" t="s">
        <v>11</v>
      </c>
      <c r="B2746" s="4">
        <v>704218</v>
      </c>
      <c r="C2746" s="3" t="s">
        <v>22</v>
      </c>
      <c r="D2746" s="7">
        <v>0.08</v>
      </c>
      <c r="E2746" s="7">
        <f t="shared" si="283"/>
        <v>6.6666666666666671E-3</v>
      </c>
      <c r="F2746" s="5">
        <v>42639</v>
      </c>
      <c r="G2746" s="5">
        <v>2958465</v>
      </c>
      <c r="H2746" s="8">
        <f t="shared" si="284"/>
        <v>2915826</v>
      </c>
      <c r="I2746" s="5">
        <v>2958465</v>
      </c>
      <c r="J2746" s="5">
        <v>42640</v>
      </c>
      <c r="K2746" s="8">
        <f t="shared" si="285"/>
        <v>1</v>
      </c>
      <c r="L2746" s="6">
        <v>695.18</v>
      </c>
      <c r="M2746" s="9">
        <f t="shared" si="282"/>
        <v>4.6345333333333336</v>
      </c>
      <c r="N2746" s="6">
        <v>695.18</v>
      </c>
      <c r="O2746" s="6">
        <v>695.18</v>
      </c>
    </row>
    <row r="2747" spans="1:15" ht="18.75" hidden="1" customHeight="1" thickBot="1" x14ac:dyDescent="0.3">
      <c r="A2747" s="3" t="s">
        <v>11</v>
      </c>
      <c r="B2747" s="4">
        <v>21528</v>
      </c>
      <c r="C2747" s="3" t="s">
        <v>22</v>
      </c>
      <c r="D2747" s="7">
        <v>0.08</v>
      </c>
      <c r="E2747" s="7">
        <f t="shared" si="283"/>
        <v>6.6666666666666671E-3</v>
      </c>
      <c r="F2747" s="5">
        <v>42944</v>
      </c>
      <c r="G2747" s="5">
        <v>2958465</v>
      </c>
      <c r="H2747" s="8">
        <f t="shared" si="284"/>
        <v>2915521</v>
      </c>
      <c r="I2747" s="5">
        <v>2958465</v>
      </c>
      <c r="J2747" s="5">
        <v>42951</v>
      </c>
      <c r="K2747" s="8">
        <f t="shared" si="285"/>
        <v>7</v>
      </c>
      <c r="L2747" s="6">
        <v>1502.7</v>
      </c>
      <c r="M2747" s="9">
        <f t="shared" si="282"/>
        <v>10.018000000000001</v>
      </c>
      <c r="N2747" s="6">
        <v>1502.7</v>
      </c>
      <c r="O2747" s="6">
        <v>1093.6099999999999</v>
      </c>
    </row>
    <row r="2748" spans="1:15" ht="18.75" hidden="1" customHeight="1" thickBot="1" x14ac:dyDescent="0.3">
      <c r="A2748" s="3" t="s">
        <v>11</v>
      </c>
      <c r="B2748" s="4">
        <v>697023</v>
      </c>
      <c r="C2748" s="3" t="s">
        <v>22</v>
      </c>
      <c r="D2748" s="7">
        <v>0.08</v>
      </c>
      <c r="E2748" s="7">
        <f t="shared" si="283"/>
        <v>6.6666666666666671E-3</v>
      </c>
      <c r="F2748" s="5">
        <v>41060</v>
      </c>
      <c r="G2748" s="5">
        <v>2958465</v>
      </c>
      <c r="H2748" s="8">
        <f t="shared" si="284"/>
        <v>2917405</v>
      </c>
      <c r="I2748" s="5">
        <v>2958465</v>
      </c>
      <c r="J2748" s="5">
        <v>41066</v>
      </c>
      <c r="K2748" s="8">
        <f t="shared" si="285"/>
        <v>6</v>
      </c>
      <c r="L2748" s="6">
        <v>6450.53</v>
      </c>
      <c r="M2748" s="9">
        <f t="shared" si="282"/>
        <v>43.003533333333337</v>
      </c>
      <c r="N2748" s="6">
        <v>6450.53</v>
      </c>
      <c r="O2748" s="6">
        <v>100</v>
      </c>
    </row>
    <row r="2749" spans="1:15" ht="18.75" hidden="1" customHeight="1" thickBot="1" x14ac:dyDescent="0.3">
      <c r="A2749" s="3" t="s">
        <v>11</v>
      </c>
      <c r="B2749" s="4">
        <v>204277</v>
      </c>
      <c r="C2749" s="3" t="s">
        <v>22</v>
      </c>
      <c r="D2749" s="7">
        <v>0.08</v>
      </c>
      <c r="E2749" s="7">
        <f t="shared" si="283"/>
        <v>6.6666666666666671E-3</v>
      </c>
      <c r="F2749" s="5">
        <v>41151</v>
      </c>
      <c r="G2749" s="5">
        <v>2958465</v>
      </c>
      <c r="H2749" s="8">
        <f t="shared" si="284"/>
        <v>2917314</v>
      </c>
      <c r="I2749" s="5">
        <v>2958465</v>
      </c>
      <c r="J2749" s="5">
        <v>41157</v>
      </c>
      <c r="K2749" s="8">
        <f t="shared" si="285"/>
        <v>6</v>
      </c>
      <c r="L2749" s="6">
        <v>452.27</v>
      </c>
      <c r="M2749" s="9">
        <f t="shared" si="282"/>
        <v>3.0151333333333334</v>
      </c>
      <c r="N2749" s="6">
        <v>452.27</v>
      </c>
      <c r="O2749" s="6">
        <v>0</v>
      </c>
    </row>
    <row r="2750" spans="1:15" ht="18.75" hidden="1" customHeight="1" thickBot="1" x14ac:dyDescent="0.3">
      <c r="A2750" s="3" t="s">
        <v>11</v>
      </c>
      <c r="B2750" s="4">
        <v>2047</v>
      </c>
      <c r="C2750" s="3" t="s">
        <v>22</v>
      </c>
      <c r="D2750" s="7">
        <v>0.08</v>
      </c>
      <c r="E2750" s="7">
        <f t="shared" si="283"/>
        <v>6.6666666666666671E-3</v>
      </c>
      <c r="F2750" s="5">
        <v>41522</v>
      </c>
      <c r="G2750" s="5">
        <v>2958465</v>
      </c>
      <c r="H2750" s="8">
        <f t="shared" si="284"/>
        <v>2916943</v>
      </c>
      <c r="I2750" s="5">
        <v>2958465</v>
      </c>
      <c r="J2750" s="5">
        <v>41527</v>
      </c>
      <c r="K2750" s="8">
        <f t="shared" si="285"/>
        <v>5</v>
      </c>
      <c r="L2750" s="6">
        <v>713.4</v>
      </c>
      <c r="M2750" s="9">
        <f t="shared" si="282"/>
        <v>4.7560000000000002</v>
      </c>
      <c r="N2750" s="6">
        <v>713.4</v>
      </c>
      <c r="O2750" s="6">
        <v>100</v>
      </c>
    </row>
    <row r="2751" spans="1:15" ht="18.75" hidden="1" customHeight="1" thickBot="1" x14ac:dyDescent="0.3">
      <c r="A2751" s="3" t="s">
        <v>11</v>
      </c>
      <c r="B2751" s="4">
        <v>680801</v>
      </c>
      <c r="C2751" s="3" t="s">
        <v>15</v>
      </c>
      <c r="D2751" s="7">
        <v>9.2499999999999999E-2</v>
      </c>
      <c r="E2751" s="7">
        <f t="shared" si="283"/>
        <v>7.7083333333333335E-3</v>
      </c>
      <c r="F2751" s="5">
        <v>44810</v>
      </c>
      <c r="G2751" s="5">
        <v>2958465</v>
      </c>
      <c r="H2751" s="8">
        <f t="shared" si="284"/>
        <v>2913655</v>
      </c>
      <c r="I2751" s="5">
        <v>2958465</v>
      </c>
      <c r="J2751" s="5">
        <v>44811</v>
      </c>
      <c r="K2751" s="8">
        <f t="shared" si="285"/>
        <v>1</v>
      </c>
      <c r="L2751" s="6">
        <v>475.49</v>
      </c>
      <c r="M2751" s="9">
        <f t="shared" si="282"/>
        <v>3.665235416666667</v>
      </c>
      <c r="N2751" s="6">
        <v>475.49</v>
      </c>
      <c r="O2751" s="6">
        <v>0</v>
      </c>
    </row>
    <row r="2752" spans="1:15" ht="18.75" hidden="1" customHeight="1" thickBot="1" x14ac:dyDescent="0.3">
      <c r="A2752" s="3" t="s">
        <v>11</v>
      </c>
      <c r="B2752" s="4">
        <v>388762</v>
      </c>
      <c r="C2752" s="3" t="s">
        <v>22</v>
      </c>
      <c r="D2752" s="7">
        <v>8.2500000000000004E-2</v>
      </c>
      <c r="E2752" s="7">
        <f t="shared" si="283"/>
        <v>6.875E-3</v>
      </c>
      <c r="F2752" s="5">
        <v>45000</v>
      </c>
      <c r="G2752" s="5">
        <v>2958465</v>
      </c>
      <c r="H2752" s="8">
        <f t="shared" si="284"/>
        <v>2913465</v>
      </c>
      <c r="I2752" s="5">
        <v>2958465</v>
      </c>
      <c r="J2752" s="5">
        <v>45002</v>
      </c>
      <c r="K2752" s="8">
        <f t="shared" si="285"/>
        <v>2</v>
      </c>
      <c r="L2752" s="6">
        <v>1903.28</v>
      </c>
      <c r="M2752" s="9">
        <f t="shared" si="282"/>
        <v>13.085050000000001</v>
      </c>
      <c r="N2752" s="6">
        <v>1903.28</v>
      </c>
      <c r="O2752" s="6">
        <v>1903.28</v>
      </c>
    </row>
    <row r="2753" spans="1:15" ht="18.75" hidden="1" customHeight="1" thickBot="1" x14ac:dyDescent="0.3">
      <c r="A2753" s="3" t="s">
        <v>11</v>
      </c>
      <c r="B2753" s="4">
        <v>190141</v>
      </c>
      <c r="C2753" s="3" t="s">
        <v>22</v>
      </c>
      <c r="D2753" s="7">
        <v>0.08</v>
      </c>
      <c r="E2753" s="7">
        <f t="shared" si="283"/>
        <v>6.6666666666666671E-3</v>
      </c>
      <c r="F2753" s="5">
        <v>41425</v>
      </c>
      <c r="G2753" s="5">
        <v>2958465</v>
      </c>
      <c r="H2753" s="8">
        <f t="shared" si="284"/>
        <v>2917040</v>
      </c>
      <c r="I2753" s="5">
        <v>2958465</v>
      </c>
      <c r="J2753" s="5">
        <v>41429</v>
      </c>
      <c r="K2753" s="8">
        <f t="shared" si="285"/>
        <v>4</v>
      </c>
      <c r="L2753" s="6">
        <v>311.33999999999997</v>
      </c>
      <c r="M2753" s="9">
        <f t="shared" si="282"/>
        <v>2.0756000000000001</v>
      </c>
      <c r="N2753" s="6">
        <v>311.33999999999997</v>
      </c>
      <c r="O2753" s="6">
        <v>26.39</v>
      </c>
    </row>
    <row r="2754" spans="1:15" ht="18.75" hidden="1" customHeight="1" thickBot="1" x14ac:dyDescent="0.3">
      <c r="A2754" s="3" t="s">
        <v>11</v>
      </c>
      <c r="B2754" s="4">
        <v>306480</v>
      </c>
      <c r="C2754" s="3" t="s">
        <v>22</v>
      </c>
      <c r="D2754" s="7">
        <v>6.7500000000000004E-2</v>
      </c>
      <c r="E2754" s="7">
        <f t="shared" si="283"/>
        <v>5.6250000000000007E-3</v>
      </c>
      <c r="F2754" s="5">
        <v>45156</v>
      </c>
      <c r="G2754" s="5">
        <v>2958465</v>
      </c>
      <c r="H2754" s="8">
        <f t="shared" si="284"/>
        <v>2913309</v>
      </c>
      <c r="I2754" s="5">
        <v>2958465</v>
      </c>
      <c r="J2754" s="5">
        <v>45159</v>
      </c>
      <c r="K2754" s="8">
        <f t="shared" si="285"/>
        <v>3</v>
      </c>
      <c r="L2754" s="6">
        <v>1144.76</v>
      </c>
      <c r="M2754" s="9">
        <f t="shared" ref="M2754:M2817" si="286">-PMT(E2754,(H2754/30),L2754)</f>
        <v>6.4392750000000003</v>
      </c>
      <c r="N2754" s="6">
        <v>1144.76</v>
      </c>
      <c r="O2754" s="6">
        <v>500</v>
      </c>
    </row>
    <row r="2755" spans="1:15" ht="18.75" hidden="1" customHeight="1" thickBot="1" x14ac:dyDescent="0.3">
      <c r="A2755" s="3" t="s">
        <v>11</v>
      </c>
      <c r="B2755" s="4">
        <v>998059</v>
      </c>
      <c r="C2755" s="3" t="s">
        <v>22</v>
      </c>
      <c r="D2755" s="7">
        <v>9.5000000000000001E-2</v>
      </c>
      <c r="E2755" s="7">
        <f t="shared" ref="E2755:E2818" si="287">D2755/12</f>
        <v>7.9166666666666673E-3</v>
      </c>
      <c r="F2755" s="5">
        <v>44839</v>
      </c>
      <c r="G2755" s="5">
        <v>2958465</v>
      </c>
      <c r="H2755" s="8">
        <f t="shared" ref="H2755:H2818" si="288">G2755-F2755</f>
        <v>2913626</v>
      </c>
      <c r="I2755" s="5">
        <v>2958465</v>
      </c>
      <c r="J2755" s="5">
        <v>44840</v>
      </c>
      <c r="K2755" s="8">
        <f t="shared" ref="K2755:K2818" si="289">J2755-F2755</f>
        <v>1</v>
      </c>
      <c r="L2755" s="6">
        <v>1679.3</v>
      </c>
      <c r="M2755" s="9">
        <f t="shared" si="286"/>
        <v>13.294458333333335</v>
      </c>
      <c r="N2755" s="6">
        <v>1679.3</v>
      </c>
      <c r="O2755" s="6">
        <v>1679.3</v>
      </c>
    </row>
    <row r="2756" spans="1:15" ht="18.75" hidden="1" customHeight="1" thickBot="1" x14ac:dyDescent="0.3">
      <c r="A2756" s="3" t="s">
        <v>11</v>
      </c>
      <c r="B2756" s="4">
        <v>61635</v>
      </c>
      <c r="C2756" s="3" t="s">
        <v>22</v>
      </c>
      <c r="D2756" s="7">
        <v>0.08</v>
      </c>
      <c r="E2756" s="7">
        <f t="shared" si="287"/>
        <v>6.6666666666666671E-3</v>
      </c>
      <c r="F2756" s="5">
        <v>41522</v>
      </c>
      <c r="G2756" s="5">
        <v>2958465</v>
      </c>
      <c r="H2756" s="8">
        <f t="shared" si="288"/>
        <v>2916943</v>
      </c>
      <c r="I2756" s="5">
        <v>2958465</v>
      </c>
      <c r="J2756" s="5">
        <v>41527</v>
      </c>
      <c r="K2756" s="8">
        <f t="shared" si="289"/>
        <v>5</v>
      </c>
      <c r="L2756" s="6">
        <v>2187.1799999999998</v>
      </c>
      <c r="M2756" s="9">
        <f t="shared" si="286"/>
        <v>14.581199999999999</v>
      </c>
      <c r="N2756" s="6">
        <v>2187.1799999999998</v>
      </c>
      <c r="O2756" s="6">
        <v>0</v>
      </c>
    </row>
    <row r="2757" spans="1:15" ht="18.75" hidden="1" customHeight="1" thickBot="1" x14ac:dyDescent="0.3">
      <c r="A2757" s="3" t="s">
        <v>11</v>
      </c>
      <c r="B2757" s="4">
        <v>869912</v>
      </c>
      <c r="C2757" s="3" t="s">
        <v>22</v>
      </c>
      <c r="D2757" s="7">
        <v>7.0000000000000007E-2</v>
      </c>
      <c r="E2757" s="7">
        <f t="shared" si="287"/>
        <v>5.8333333333333336E-3</v>
      </c>
      <c r="F2757" s="5">
        <v>45180</v>
      </c>
      <c r="G2757" s="5">
        <v>2958465</v>
      </c>
      <c r="H2757" s="8">
        <f t="shared" si="288"/>
        <v>2913285</v>
      </c>
      <c r="I2757" s="5">
        <v>2958465</v>
      </c>
      <c r="J2757" s="5">
        <v>45181</v>
      </c>
      <c r="K2757" s="8">
        <f t="shared" si="289"/>
        <v>1</v>
      </c>
      <c r="L2757" s="6">
        <v>557.64</v>
      </c>
      <c r="M2757" s="9">
        <f t="shared" si="286"/>
        <v>3.2528999999999999</v>
      </c>
      <c r="N2757" s="6">
        <v>557.64</v>
      </c>
      <c r="O2757" s="6">
        <v>557.64</v>
      </c>
    </row>
    <row r="2758" spans="1:15" ht="18.75" hidden="1" customHeight="1" thickBot="1" x14ac:dyDescent="0.3">
      <c r="A2758" s="3" t="s">
        <v>11</v>
      </c>
      <c r="B2758" s="4">
        <v>671470</v>
      </c>
      <c r="C2758" s="3" t="s">
        <v>22</v>
      </c>
      <c r="D2758" s="7">
        <v>0.08</v>
      </c>
      <c r="E2758" s="7">
        <f t="shared" si="287"/>
        <v>6.6666666666666671E-3</v>
      </c>
      <c r="F2758" s="5">
        <v>41815</v>
      </c>
      <c r="G2758" s="5">
        <v>2958465</v>
      </c>
      <c r="H2758" s="8">
        <f t="shared" si="288"/>
        <v>2916650</v>
      </c>
      <c r="I2758" s="5">
        <v>2958465</v>
      </c>
      <c r="J2758" s="5">
        <v>41817</v>
      </c>
      <c r="K2758" s="8">
        <f t="shared" si="289"/>
        <v>2</v>
      </c>
      <c r="L2758" s="6">
        <v>1010.3</v>
      </c>
      <c r="M2758" s="9">
        <f t="shared" si="286"/>
        <v>6.7353333333333332</v>
      </c>
      <c r="N2758" s="6">
        <v>1010.3</v>
      </c>
      <c r="O2758" s="6">
        <v>0</v>
      </c>
    </row>
    <row r="2759" spans="1:15" ht="18.75" hidden="1" customHeight="1" thickBot="1" x14ac:dyDescent="0.3">
      <c r="A2759" s="3" t="s">
        <v>11</v>
      </c>
      <c r="B2759" s="4">
        <v>212203</v>
      </c>
      <c r="C2759" s="3" t="s">
        <v>22</v>
      </c>
      <c r="D2759" s="7">
        <v>0.08</v>
      </c>
      <c r="E2759" s="7">
        <f t="shared" si="287"/>
        <v>6.6666666666666671E-3</v>
      </c>
      <c r="F2759" s="5">
        <v>42639</v>
      </c>
      <c r="G2759" s="5">
        <v>2958465</v>
      </c>
      <c r="H2759" s="8">
        <f t="shared" si="288"/>
        <v>2915826</v>
      </c>
      <c r="I2759" s="5">
        <v>2958465</v>
      </c>
      <c r="J2759" s="5">
        <v>42643</v>
      </c>
      <c r="K2759" s="8">
        <f t="shared" si="289"/>
        <v>4</v>
      </c>
      <c r="L2759" s="6">
        <v>1276.24</v>
      </c>
      <c r="M2759" s="9">
        <f t="shared" si="286"/>
        <v>8.5082666666666675</v>
      </c>
      <c r="N2759" s="6">
        <v>1276.24</v>
      </c>
      <c r="O2759" s="6">
        <v>72.38</v>
      </c>
    </row>
    <row r="2760" spans="1:15" ht="18.75" hidden="1" customHeight="1" thickBot="1" x14ac:dyDescent="0.3">
      <c r="A2760" s="3" t="s">
        <v>11</v>
      </c>
      <c r="B2760" s="4">
        <v>986005</v>
      </c>
      <c r="C2760" s="3" t="s">
        <v>22</v>
      </c>
      <c r="D2760" s="7">
        <v>6.7500000000000004E-2</v>
      </c>
      <c r="E2760" s="7">
        <f t="shared" si="287"/>
        <v>5.6250000000000007E-3</v>
      </c>
      <c r="F2760" s="5">
        <v>45097</v>
      </c>
      <c r="G2760" s="5">
        <v>2958465</v>
      </c>
      <c r="H2760" s="8">
        <f t="shared" si="288"/>
        <v>2913368</v>
      </c>
      <c r="I2760" s="5">
        <v>2958465</v>
      </c>
      <c r="J2760" s="5">
        <v>45099</v>
      </c>
      <c r="K2760" s="8">
        <f t="shared" si="289"/>
        <v>2</v>
      </c>
      <c r="L2760" s="6">
        <v>1997.4</v>
      </c>
      <c r="M2760" s="9">
        <f t="shared" si="286"/>
        <v>11.235375000000001</v>
      </c>
      <c r="N2760" s="6">
        <v>1997.4</v>
      </c>
      <c r="O2760" s="6">
        <v>184.34</v>
      </c>
    </row>
    <row r="2761" spans="1:15" ht="18.75" hidden="1" customHeight="1" thickBot="1" x14ac:dyDescent="0.3">
      <c r="A2761" s="3" t="s">
        <v>11</v>
      </c>
      <c r="B2761" s="4">
        <v>970382</v>
      </c>
      <c r="C2761" s="3" t="s">
        <v>22</v>
      </c>
      <c r="D2761" s="7">
        <v>0.08</v>
      </c>
      <c r="E2761" s="7">
        <f t="shared" si="287"/>
        <v>6.6666666666666671E-3</v>
      </c>
      <c r="F2761" s="5">
        <v>43454</v>
      </c>
      <c r="G2761" s="5">
        <v>2958465</v>
      </c>
      <c r="H2761" s="8">
        <f t="shared" si="288"/>
        <v>2915011</v>
      </c>
      <c r="I2761" s="5">
        <v>2958465</v>
      </c>
      <c r="J2761" s="5">
        <v>43458</v>
      </c>
      <c r="K2761" s="8">
        <f t="shared" si="289"/>
        <v>4</v>
      </c>
      <c r="L2761" s="6">
        <v>933.03</v>
      </c>
      <c r="M2761" s="9">
        <f t="shared" si="286"/>
        <v>6.2202000000000002</v>
      </c>
      <c r="N2761" s="6">
        <v>933.03</v>
      </c>
      <c r="O2761" s="6">
        <v>0</v>
      </c>
    </row>
    <row r="2762" spans="1:15" ht="18.75" hidden="1" customHeight="1" thickBot="1" x14ac:dyDescent="0.3">
      <c r="A2762" s="3" t="s">
        <v>11</v>
      </c>
      <c r="B2762" s="4">
        <v>631549</v>
      </c>
      <c r="C2762" s="3" t="s">
        <v>15</v>
      </c>
      <c r="D2762" s="7">
        <v>0.1075</v>
      </c>
      <c r="E2762" s="7">
        <f t="shared" si="287"/>
        <v>8.9583333333333338E-3</v>
      </c>
      <c r="F2762" s="5">
        <v>44686</v>
      </c>
      <c r="G2762" s="5">
        <v>2958465</v>
      </c>
      <c r="H2762" s="8">
        <f t="shared" si="288"/>
        <v>2913779</v>
      </c>
      <c r="I2762" s="5">
        <v>2958465</v>
      </c>
      <c r="J2762" s="5">
        <v>44687</v>
      </c>
      <c r="K2762" s="8">
        <f t="shared" si="289"/>
        <v>1</v>
      </c>
      <c r="L2762" s="6">
        <v>1438.23</v>
      </c>
      <c r="M2762" s="9">
        <f t="shared" si="286"/>
        <v>12.884143750000002</v>
      </c>
      <c r="N2762" s="6">
        <v>1438.23</v>
      </c>
      <c r="O2762" s="6">
        <v>0</v>
      </c>
    </row>
    <row r="2763" spans="1:15" ht="18.75" hidden="1" customHeight="1" thickBot="1" x14ac:dyDescent="0.3">
      <c r="A2763" s="3" t="s">
        <v>11</v>
      </c>
      <c r="B2763" s="4">
        <v>691556</v>
      </c>
      <c r="C2763" s="3" t="s">
        <v>15</v>
      </c>
      <c r="D2763" s="7">
        <v>0.1515</v>
      </c>
      <c r="E2763" s="7">
        <f t="shared" si="287"/>
        <v>1.2624999999999999E-2</v>
      </c>
      <c r="F2763" s="5">
        <v>44529</v>
      </c>
      <c r="G2763" s="5">
        <v>2958465</v>
      </c>
      <c r="H2763" s="8">
        <f t="shared" si="288"/>
        <v>2913936</v>
      </c>
      <c r="I2763" s="5">
        <v>2958465</v>
      </c>
      <c r="J2763" s="5">
        <v>44530</v>
      </c>
      <c r="K2763" s="8">
        <f t="shared" si="289"/>
        <v>1</v>
      </c>
      <c r="L2763" s="6">
        <v>421.41</v>
      </c>
      <c r="M2763" s="9">
        <f t="shared" si="286"/>
        <v>5.32030125</v>
      </c>
      <c r="N2763" s="6">
        <v>421.41</v>
      </c>
      <c r="O2763" s="6">
        <v>0</v>
      </c>
    </row>
    <row r="2764" spans="1:15" ht="18.75" hidden="1" customHeight="1" thickBot="1" x14ac:dyDescent="0.3">
      <c r="A2764" s="3" t="s">
        <v>11</v>
      </c>
      <c r="B2764" s="4">
        <v>332889</v>
      </c>
      <c r="C2764" s="3" t="s">
        <v>22</v>
      </c>
      <c r="D2764" s="7">
        <v>0.08</v>
      </c>
      <c r="E2764" s="7">
        <f t="shared" si="287"/>
        <v>6.6666666666666671E-3</v>
      </c>
      <c r="F2764" s="5">
        <v>43255</v>
      </c>
      <c r="G2764" s="5">
        <v>2958465</v>
      </c>
      <c r="H2764" s="8">
        <f t="shared" si="288"/>
        <v>2915210</v>
      </c>
      <c r="I2764" s="5">
        <v>2958465</v>
      </c>
      <c r="J2764" s="5">
        <v>43256</v>
      </c>
      <c r="K2764" s="8">
        <f t="shared" si="289"/>
        <v>1</v>
      </c>
      <c r="L2764" s="6">
        <v>455.14</v>
      </c>
      <c r="M2764" s="9">
        <f t="shared" si="286"/>
        <v>3.0342666666666669</v>
      </c>
      <c r="N2764" s="6">
        <v>455.14</v>
      </c>
      <c r="O2764" s="6">
        <v>455.14</v>
      </c>
    </row>
    <row r="2765" spans="1:15" ht="18.75" hidden="1" customHeight="1" thickBot="1" x14ac:dyDescent="0.3">
      <c r="A2765" s="3" t="s">
        <v>11</v>
      </c>
      <c r="B2765" s="4">
        <v>860693</v>
      </c>
      <c r="C2765" s="3" t="s">
        <v>22</v>
      </c>
      <c r="D2765" s="7">
        <v>0.08</v>
      </c>
      <c r="E2765" s="7">
        <f t="shared" si="287"/>
        <v>6.6666666666666671E-3</v>
      </c>
      <c r="F2765" s="5">
        <v>42055</v>
      </c>
      <c r="G2765" s="5">
        <v>2958465</v>
      </c>
      <c r="H2765" s="8">
        <f t="shared" si="288"/>
        <v>2916410</v>
      </c>
      <c r="I2765" s="5">
        <v>2958465</v>
      </c>
      <c r="J2765" s="5">
        <v>42062</v>
      </c>
      <c r="K2765" s="8">
        <f t="shared" si="289"/>
        <v>7</v>
      </c>
      <c r="L2765" s="6">
        <v>586.87</v>
      </c>
      <c r="M2765" s="9">
        <f t="shared" si="286"/>
        <v>3.912466666666667</v>
      </c>
      <c r="N2765" s="6">
        <v>586.87</v>
      </c>
      <c r="O2765" s="6">
        <v>45.63</v>
      </c>
    </row>
    <row r="2766" spans="1:15" ht="18.75" hidden="1" customHeight="1" thickBot="1" x14ac:dyDescent="0.3">
      <c r="A2766" s="3" t="s">
        <v>11</v>
      </c>
      <c r="B2766" s="4">
        <v>219664</v>
      </c>
      <c r="C2766" s="3" t="s">
        <v>22</v>
      </c>
      <c r="D2766" s="7">
        <v>0.08</v>
      </c>
      <c r="E2766" s="7">
        <f t="shared" si="287"/>
        <v>6.6666666666666671E-3</v>
      </c>
      <c r="F2766" s="5">
        <v>41621</v>
      </c>
      <c r="G2766" s="5">
        <v>2958465</v>
      </c>
      <c r="H2766" s="8">
        <f t="shared" si="288"/>
        <v>2916844</v>
      </c>
      <c r="I2766" s="5">
        <v>2958465</v>
      </c>
      <c r="J2766" s="5">
        <v>41625</v>
      </c>
      <c r="K2766" s="8">
        <f t="shared" si="289"/>
        <v>4</v>
      </c>
      <c r="L2766" s="6">
        <v>453.99</v>
      </c>
      <c r="M2766" s="9">
        <f t="shared" si="286"/>
        <v>3.0266000000000002</v>
      </c>
      <c r="N2766" s="6">
        <v>453.99</v>
      </c>
      <c r="O2766" s="6">
        <v>0</v>
      </c>
    </row>
    <row r="2767" spans="1:15" ht="18.75" hidden="1" customHeight="1" thickBot="1" x14ac:dyDescent="0.3">
      <c r="A2767" s="3" t="s">
        <v>11</v>
      </c>
      <c r="B2767" s="4">
        <v>693855</v>
      </c>
      <c r="C2767" s="3" t="s">
        <v>22</v>
      </c>
      <c r="D2767" s="7">
        <v>0.08</v>
      </c>
      <c r="E2767" s="7">
        <f t="shared" si="287"/>
        <v>6.6666666666666671E-3</v>
      </c>
      <c r="F2767" s="5">
        <v>43913</v>
      </c>
      <c r="G2767" s="5">
        <v>2958465</v>
      </c>
      <c r="H2767" s="8">
        <f t="shared" si="288"/>
        <v>2914552</v>
      </c>
      <c r="I2767" s="5">
        <v>2958465</v>
      </c>
      <c r="J2767" s="5">
        <v>43916</v>
      </c>
      <c r="K2767" s="8">
        <f t="shared" si="289"/>
        <v>3</v>
      </c>
      <c r="L2767" s="6">
        <v>208.64</v>
      </c>
      <c r="M2767" s="9">
        <f t="shared" si="286"/>
        <v>1.3909333333333334</v>
      </c>
      <c r="N2767" s="6">
        <v>208.64</v>
      </c>
      <c r="O2767" s="6">
        <v>0</v>
      </c>
    </row>
    <row r="2768" spans="1:15" ht="18.75" hidden="1" customHeight="1" thickBot="1" x14ac:dyDescent="0.3">
      <c r="A2768" s="3" t="s">
        <v>11</v>
      </c>
      <c r="B2768" s="4">
        <v>719880</v>
      </c>
      <c r="C2768" s="3" t="s">
        <v>22</v>
      </c>
      <c r="D2768" s="7">
        <v>6.7500000000000004E-2</v>
      </c>
      <c r="E2768" s="7">
        <f t="shared" si="287"/>
        <v>5.6250000000000007E-3</v>
      </c>
      <c r="F2768" s="5">
        <v>45078</v>
      </c>
      <c r="G2768" s="5">
        <v>2958465</v>
      </c>
      <c r="H2768" s="8">
        <f t="shared" si="288"/>
        <v>2913387</v>
      </c>
      <c r="I2768" s="5">
        <v>2958465</v>
      </c>
      <c r="J2768" s="5">
        <v>45079</v>
      </c>
      <c r="K2768" s="8">
        <f t="shared" si="289"/>
        <v>1</v>
      </c>
      <c r="L2768" s="6">
        <v>1918.87</v>
      </c>
      <c r="M2768" s="9">
        <f t="shared" si="286"/>
        <v>10.793643750000001</v>
      </c>
      <c r="N2768" s="6">
        <v>1918.87</v>
      </c>
      <c r="O2768" s="6">
        <v>0</v>
      </c>
    </row>
    <row r="2769" spans="1:15" ht="18.75" hidden="1" customHeight="1" thickBot="1" x14ac:dyDescent="0.3">
      <c r="A2769" s="3" t="s">
        <v>11</v>
      </c>
      <c r="B2769" s="4">
        <v>430916</v>
      </c>
      <c r="C2769" s="3" t="s">
        <v>22</v>
      </c>
      <c r="D2769" s="7">
        <v>0.08</v>
      </c>
      <c r="E2769" s="7">
        <f t="shared" si="287"/>
        <v>6.6666666666666671E-3</v>
      </c>
      <c r="F2769" s="5">
        <v>43454</v>
      </c>
      <c r="G2769" s="5">
        <v>2958465</v>
      </c>
      <c r="H2769" s="8">
        <f t="shared" si="288"/>
        <v>2915011</v>
      </c>
      <c r="I2769" s="5">
        <v>2958465</v>
      </c>
      <c r="J2769" s="5">
        <v>43458</v>
      </c>
      <c r="K2769" s="8">
        <f t="shared" si="289"/>
        <v>4</v>
      </c>
      <c r="L2769" s="6">
        <v>490.91</v>
      </c>
      <c r="M2769" s="9">
        <f t="shared" si="286"/>
        <v>3.2727333333333335</v>
      </c>
      <c r="N2769" s="6">
        <v>490.91</v>
      </c>
      <c r="O2769" s="6">
        <v>0</v>
      </c>
    </row>
    <row r="2770" spans="1:15" ht="18.75" hidden="1" customHeight="1" thickBot="1" x14ac:dyDescent="0.3">
      <c r="A2770" s="3" t="s">
        <v>11</v>
      </c>
      <c r="B2770" s="4">
        <v>804784</v>
      </c>
      <c r="C2770" s="3" t="s">
        <v>22</v>
      </c>
      <c r="D2770" s="7">
        <v>0.08</v>
      </c>
      <c r="E2770" s="7">
        <f t="shared" si="287"/>
        <v>6.6666666666666671E-3</v>
      </c>
      <c r="F2770" s="5">
        <v>41815</v>
      </c>
      <c r="G2770" s="5">
        <v>2958465</v>
      </c>
      <c r="H2770" s="8">
        <f t="shared" si="288"/>
        <v>2916650</v>
      </c>
      <c r="I2770" s="5">
        <v>2958465</v>
      </c>
      <c r="J2770" s="5">
        <v>41817</v>
      </c>
      <c r="K2770" s="8">
        <f t="shared" si="289"/>
        <v>2</v>
      </c>
      <c r="L2770" s="6">
        <v>539.91</v>
      </c>
      <c r="M2770" s="9">
        <f t="shared" si="286"/>
        <v>3.5994000000000002</v>
      </c>
      <c r="N2770" s="6">
        <v>539.91</v>
      </c>
      <c r="O2770" s="6">
        <v>9.89</v>
      </c>
    </row>
    <row r="2771" spans="1:15" ht="18.75" hidden="1" customHeight="1" thickBot="1" x14ac:dyDescent="0.3">
      <c r="A2771" s="3" t="s">
        <v>11</v>
      </c>
      <c r="B2771" s="4">
        <v>818448</v>
      </c>
      <c r="C2771" s="3" t="s">
        <v>22</v>
      </c>
      <c r="D2771" s="7">
        <v>0</v>
      </c>
      <c r="E2771" s="7">
        <f t="shared" si="287"/>
        <v>0</v>
      </c>
      <c r="F2771" s="5">
        <v>42048</v>
      </c>
      <c r="G2771" s="5">
        <v>2958465</v>
      </c>
      <c r="H2771" s="8">
        <f t="shared" si="288"/>
        <v>2916417</v>
      </c>
      <c r="I2771" s="5">
        <v>2958465</v>
      </c>
      <c r="J2771" s="5">
        <v>42058</v>
      </c>
      <c r="K2771" s="8">
        <f t="shared" si="289"/>
        <v>10</v>
      </c>
      <c r="L2771" s="6">
        <v>2399.0100000000002</v>
      </c>
      <c r="M2771" s="9">
        <f t="shared" si="286"/>
        <v>2.4677643834883699E-2</v>
      </c>
      <c r="N2771" s="6">
        <v>2399.0100000000002</v>
      </c>
      <c r="O2771" s="6">
        <v>0</v>
      </c>
    </row>
    <row r="2772" spans="1:15" ht="18.75" hidden="1" customHeight="1" thickBot="1" x14ac:dyDescent="0.3">
      <c r="A2772" s="3" t="s">
        <v>11</v>
      </c>
      <c r="B2772" s="4">
        <v>817651</v>
      </c>
      <c r="C2772" s="3" t="s">
        <v>15</v>
      </c>
      <c r="D2772" s="7">
        <v>0.1515</v>
      </c>
      <c r="E2772" s="7">
        <f t="shared" si="287"/>
        <v>1.2624999999999999E-2</v>
      </c>
      <c r="F2772" s="5">
        <v>44173</v>
      </c>
      <c r="G2772" s="5">
        <v>2958465</v>
      </c>
      <c r="H2772" s="8">
        <f t="shared" si="288"/>
        <v>2914292</v>
      </c>
      <c r="I2772" s="5">
        <v>2958465</v>
      </c>
      <c r="J2772" s="5">
        <v>44175</v>
      </c>
      <c r="K2772" s="8">
        <f t="shared" si="289"/>
        <v>2</v>
      </c>
      <c r="L2772" s="6">
        <v>2391.91</v>
      </c>
      <c r="M2772" s="9">
        <f t="shared" si="286"/>
        <v>30.197863749999996</v>
      </c>
      <c r="N2772" s="6">
        <v>2391.91</v>
      </c>
      <c r="O2772" s="6">
        <v>2391.91</v>
      </c>
    </row>
    <row r="2773" spans="1:15" ht="18.75" hidden="1" customHeight="1" thickBot="1" x14ac:dyDescent="0.3">
      <c r="A2773" s="3" t="s">
        <v>11</v>
      </c>
      <c r="B2773" s="4">
        <v>104543</v>
      </c>
      <c r="C2773" s="3" t="s">
        <v>22</v>
      </c>
      <c r="D2773" s="7">
        <v>0.08</v>
      </c>
      <c r="E2773" s="7">
        <f t="shared" si="287"/>
        <v>6.6666666666666671E-3</v>
      </c>
      <c r="F2773" s="5">
        <v>42849</v>
      </c>
      <c r="G2773" s="5">
        <v>2958465</v>
      </c>
      <c r="H2773" s="8">
        <f t="shared" si="288"/>
        <v>2915616</v>
      </c>
      <c r="I2773" s="5">
        <v>2958465</v>
      </c>
      <c r="J2773" s="5">
        <v>42856</v>
      </c>
      <c r="K2773" s="8">
        <f t="shared" si="289"/>
        <v>7</v>
      </c>
      <c r="L2773" s="6">
        <v>465.36</v>
      </c>
      <c r="M2773" s="9">
        <f t="shared" si="286"/>
        <v>3.1024000000000003</v>
      </c>
      <c r="N2773" s="6">
        <v>465.36</v>
      </c>
      <c r="O2773" s="6">
        <v>0</v>
      </c>
    </row>
    <row r="2774" spans="1:15" ht="18.75" hidden="1" customHeight="1" thickBot="1" x14ac:dyDescent="0.3">
      <c r="A2774" s="3" t="s">
        <v>11</v>
      </c>
      <c r="B2774" s="4">
        <v>686807</v>
      </c>
      <c r="C2774" s="3" t="s">
        <v>15</v>
      </c>
      <c r="D2774" s="7">
        <v>0.1515</v>
      </c>
      <c r="E2774" s="7">
        <f t="shared" si="287"/>
        <v>1.2624999999999999E-2</v>
      </c>
      <c r="F2774" s="5">
        <v>44432</v>
      </c>
      <c r="G2774" s="5">
        <v>2958465</v>
      </c>
      <c r="H2774" s="8">
        <f t="shared" si="288"/>
        <v>2914033</v>
      </c>
      <c r="I2774" s="5">
        <v>2958465</v>
      </c>
      <c r="J2774" s="5">
        <v>44433</v>
      </c>
      <c r="K2774" s="8">
        <f t="shared" si="289"/>
        <v>1</v>
      </c>
      <c r="L2774" s="6">
        <v>964.81</v>
      </c>
      <c r="M2774" s="9">
        <f t="shared" si="286"/>
        <v>12.180726249999998</v>
      </c>
      <c r="N2774" s="6">
        <v>964.81</v>
      </c>
      <c r="O2774" s="6">
        <v>0</v>
      </c>
    </row>
    <row r="2775" spans="1:15" ht="18.75" hidden="1" customHeight="1" thickBot="1" x14ac:dyDescent="0.3">
      <c r="A2775" s="3" t="s">
        <v>11</v>
      </c>
      <c r="B2775" s="4">
        <v>629561</v>
      </c>
      <c r="C2775" s="3" t="s">
        <v>22</v>
      </c>
      <c r="D2775" s="7">
        <v>0.08</v>
      </c>
      <c r="E2775" s="7">
        <f t="shared" si="287"/>
        <v>6.6666666666666671E-3</v>
      </c>
      <c r="F2775" s="5">
        <v>42242</v>
      </c>
      <c r="G2775" s="5">
        <v>2958465</v>
      </c>
      <c r="H2775" s="8">
        <f t="shared" si="288"/>
        <v>2916223</v>
      </c>
      <c r="I2775" s="5">
        <v>2958465</v>
      </c>
      <c r="J2775" s="5">
        <v>42244</v>
      </c>
      <c r="K2775" s="8">
        <f t="shared" si="289"/>
        <v>2</v>
      </c>
      <c r="L2775" s="6">
        <v>1120.44</v>
      </c>
      <c r="M2775" s="9">
        <f t="shared" si="286"/>
        <v>7.4696000000000007</v>
      </c>
      <c r="N2775" s="6">
        <v>1120.44</v>
      </c>
      <c r="O2775" s="6">
        <v>0</v>
      </c>
    </row>
    <row r="2776" spans="1:15" ht="18.75" hidden="1" customHeight="1" thickBot="1" x14ac:dyDescent="0.3">
      <c r="A2776" s="3" t="s">
        <v>11</v>
      </c>
      <c r="B2776" s="4">
        <v>118432</v>
      </c>
      <c r="C2776" s="3" t="s">
        <v>22</v>
      </c>
      <c r="D2776" s="7">
        <v>0.08</v>
      </c>
      <c r="E2776" s="7">
        <f t="shared" si="287"/>
        <v>6.6666666666666671E-3</v>
      </c>
      <c r="F2776" s="5">
        <v>43490</v>
      </c>
      <c r="G2776" s="5">
        <v>2958465</v>
      </c>
      <c r="H2776" s="8">
        <f t="shared" si="288"/>
        <v>2914975</v>
      </c>
      <c r="I2776" s="5">
        <v>2958465</v>
      </c>
      <c r="J2776" s="5">
        <v>43495</v>
      </c>
      <c r="K2776" s="8">
        <f t="shared" si="289"/>
        <v>5</v>
      </c>
      <c r="L2776" s="6">
        <v>656.41</v>
      </c>
      <c r="M2776" s="9">
        <f t="shared" si="286"/>
        <v>4.3760666666666665</v>
      </c>
      <c r="N2776" s="6">
        <v>656.41</v>
      </c>
      <c r="O2776" s="6">
        <v>656.41</v>
      </c>
    </row>
    <row r="2777" spans="1:15" ht="18.75" hidden="1" customHeight="1" thickBot="1" x14ac:dyDescent="0.3">
      <c r="A2777" s="3" t="s">
        <v>11</v>
      </c>
      <c r="B2777" s="4">
        <v>372456</v>
      </c>
      <c r="C2777" s="3" t="s">
        <v>22</v>
      </c>
      <c r="D2777" s="7">
        <v>0.08</v>
      </c>
      <c r="E2777" s="7">
        <f t="shared" si="287"/>
        <v>6.6666666666666671E-3</v>
      </c>
      <c r="F2777" s="5">
        <v>43500</v>
      </c>
      <c r="G2777" s="5">
        <v>2958465</v>
      </c>
      <c r="H2777" s="8">
        <f t="shared" si="288"/>
        <v>2914965</v>
      </c>
      <c r="I2777" s="5">
        <v>2958465</v>
      </c>
      <c r="J2777" s="5">
        <v>43504</v>
      </c>
      <c r="K2777" s="8">
        <f t="shared" si="289"/>
        <v>4</v>
      </c>
      <c r="L2777" s="6">
        <v>1808.48</v>
      </c>
      <c r="M2777" s="9">
        <f t="shared" si="286"/>
        <v>12.056533333333334</v>
      </c>
      <c r="N2777" s="6">
        <v>1808.48</v>
      </c>
      <c r="O2777" s="6">
        <v>1808.48</v>
      </c>
    </row>
    <row r="2778" spans="1:15" ht="18.75" hidden="1" customHeight="1" thickBot="1" x14ac:dyDescent="0.3">
      <c r="A2778" s="3" t="s">
        <v>11</v>
      </c>
      <c r="B2778" s="4">
        <v>815333</v>
      </c>
      <c r="C2778" s="3" t="s">
        <v>22</v>
      </c>
      <c r="D2778" s="7">
        <v>8.5000000000000006E-2</v>
      </c>
      <c r="E2778" s="7">
        <f t="shared" si="287"/>
        <v>7.0833333333333338E-3</v>
      </c>
      <c r="F2778" s="5">
        <v>45058</v>
      </c>
      <c r="G2778" s="5">
        <v>2958465</v>
      </c>
      <c r="H2778" s="8">
        <f t="shared" si="288"/>
        <v>2913407</v>
      </c>
      <c r="I2778" s="5">
        <v>2958465</v>
      </c>
      <c r="J2778" s="5">
        <v>45061</v>
      </c>
      <c r="K2778" s="8">
        <f t="shared" si="289"/>
        <v>3</v>
      </c>
      <c r="L2778" s="6">
        <v>2097.15</v>
      </c>
      <c r="M2778" s="9">
        <f t="shared" si="286"/>
        <v>14.854812500000001</v>
      </c>
      <c r="N2778" s="6">
        <v>2097.15</v>
      </c>
      <c r="O2778" s="6">
        <v>2097.15</v>
      </c>
    </row>
    <row r="2779" spans="1:15" ht="18.75" hidden="1" customHeight="1" thickBot="1" x14ac:dyDescent="0.3">
      <c r="A2779" s="3" t="s">
        <v>11</v>
      </c>
      <c r="B2779" s="4">
        <v>215838</v>
      </c>
      <c r="C2779" s="3" t="s">
        <v>22</v>
      </c>
      <c r="D2779" s="7">
        <v>0</v>
      </c>
      <c r="E2779" s="7">
        <f t="shared" si="287"/>
        <v>0</v>
      </c>
      <c r="F2779" s="5">
        <v>41669</v>
      </c>
      <c r="G2779" s="5">
        <v>2958465</v>
      </c>
      <c r="H2779" s="8">
        <f t="shared" si="288"/>
        <v>2916796</v>
      </c>
      <c r="I2779" s="5">
        <v>2958465</v>
      </c>
      <c r="J2779" s="5">
        <v>41670</v>
      </c>
      <c r="K2779" s="8">
        <f t="shared" si="289"/>
        <v>1</v>
      </c>
      <c r="L2779" s="6">
        <v>2227.14</v>
      </c>
      <c r="M2779" s="9">
        <f t="shared" si="286"/>
        <v>2.2906709965318107E-2</v>
      </c>
      <c r="N2779" s="6">
        <v>2227.14</v>
      </c>
      <c r="O2779" s="6">
        <v>0</v>
      </c>
    </row>
    <row r="2780" spans="1:15" ht="18.75" hidden="1" customHeight="1" thickBot="1" x14ac:dyDescent="0.3">
      <c r="A2780" s="3" t="s">
        <v>11</v>
      </c>
      <c r="B2780" s="4">
        <v>844904</v>
      </c>
      <c r="C2780" s="3" t="s">
        <v>22</v>
      </c>
      <c r="D2780" s="7">
        <v>0.08</v>
      </c>
      <c r="E2780" s="7">
        <f t="shared" si="287"/>
        <v>6.6666666666666671E-3</v>
      </c>
      <c r="F2780" s="5">
        <v>42305</v>
      </c>
      <c r="G2780" s="5">
        <v>2958465</v>
      </c>
      <c r="H2780" s="8">
        <f t="shared" si="288"/>
        <v>2916160</v>
      </c>
      <c r="I2780" s="5">
        <v>2958465</v>
      </c>
      <c r="J2780" s="5">
        <v>42311</v>
      </c>
      <c r="K2780" s="8">
        <f t="shared" si="289"/>
        <v>6</v>
      </c>
      <c r="L2780" s="6">
        <v>1213.93</v>
      </c>
      <c r="M2780" s="9">
        <f t="shared" si="286"/>
        <v>8.0928666666666675</v>
      </c>
      <c r="N2780" s="6">
        <v>1213.93</v>
      </c>
      <c r="O2780" s="6">
        <v>0</v>
      </c>
    </row>
    <row r="2781" spans="1:15" ht="18.75" hidden="1" customHeight="1" thickBot="1" x14ac:dyDescent="0.3">
      <c r="A2781" s="3" t="s">
        <v>11</v>
      </c>
      <c r="B2781" s="4">
        <v>158446</v>
      </c>
      <c r="C2781" s="3" t="s">
        <v>22</v>
      </c>
      <c r="D2781" s="7">
        <v>0.08</v>
      </c>
      <c r="E2781" s="7">
        <f t="shared" si="287"/>
        <v>6.6666666666666671E-3</v>
      </c>
      <c r="F2781" s="5">
        <v>42885</v>
      </c>
      <c r="G2781" s="5">
        <v>2958465</v>
      </c>
      <c r="H2781" s="8">
        <f t="shared" si="288"/>
        <v>2915580</v>
      </c>
      <c r="I2781" s="5">
        <v>2958465</v>
      </c>
      <c r="J2781" s="5">
        <v>42898</v>
      </c>
      <c r="K2781" s="8">
        <f t="shared" si="289"/>
        <v>13</v>
      </c>
      <c r="L2781" s="6">
        <v>3180.31</v>
      </c>
      <c r="M2781" s="9">
        <f t="shared" si="286"/>
        <v>21.202066666666667</v>
      </c>
      <c r="N2781" s="6">
        <v>3180.31</v>
      </c>
      <c r="O2781" s="6">
        <v>3180.31</v>
      </c>
    </row>
    <row r="2782" spans="1:15" ht="18.75" hidden="1" customHeight="1" thickBot="1" x14ac:dyDescent="0.3">
      <c r="A2782" s="3" t="s">
        <v>11</v>
      </c>
      <c r="B2782" s="4">
        <v>597192</v>
      </c>
      <c r="C2782" s="3" t="s">
        <v>22</v>
      </c>
      <c r="D2782" s="7">
        <v>0.08</v>
      </c>
      <c r="E2782" s="7">
        <f t="shared" si="287"/>
        <v>6.6666666666666671E-3</v>
      </c>
      <c r="F2782" s="5">
        <v>42048</v>
      </c>
      <c r="G2782" s="5">
        <v>2958465</v>
      </c>
      <c r="H2782" s="8">
        <f t="shared" si="288"/>
        <v>2916417</v>
      </c>
      <c r="I2782" s="5">
        <v>2958465</v>
      </c>
      <c r="J2782" s="5">
        <v>42062</v>
      </c>
      <c r="K2782" s="8">
        <f t="shared" si="289"/>
        <v>14</v>
      </c>
      <c r="L2782" s="6">
        <v>775.05</v>
      </c>
      <c r="M2782" s="9">
        <f t="shared" si="286"/>
        <v>5.1669999999999998</v>
      </c>
      <c r="N2782" s="6">
        <v>775.05</v>
      </c>
      <c r="O2782" s="6">
        <v>0</v>
      </c>
    </row>
    <row r="2783" spans="1:15" ht="18.75" hidden="1" customHeight="1" thickBot="1" x14ac:dyDescent="0.3">
      <c r="A2783" s="3" t="s">
        <v>11</v>
      </c>
      <c r="B2783" s="4">
        <v>790348</v>
      </c>
      <c r="C2783" s="3" t="s">
        <v>22</v>
      </c>
      <c r="D2783" s="7">
        <v>0.08</v>
      </c>
      <c r="E2783" s="7">
        <f t="shared" si="287"/>
        <v>6.6666666666666671E-3</v>
      </c>
      <c r="F2783" s="5">
        <v>42885</v>
      </c>
      <c r="G2783" s="5">
        <v>2958465</v>
      </c>
      <c r="H2783" s="8">
        <f t="shared" si="288"/>
        <v>2915580</v>
      </c>
      <c r="I2783" s="5">
        <v>2958465</v>
      </c>
      <c r="J2783" s="5">
        <v>42898</v>
      </c>
      <c r="K2783" s="8">
        <f t="shared" si="289"/>
        <v>13</v>
      </c>
      <c r="L2783" s="6">
        <v>2295.89</v>
      </c>
      <c r="M2783" s="9">
        <f t="shared" si="286"/>
        <v>15.305933333333334</v>
      </c>
      <c r="N2783" s="6">
        <v>2295.89</v>
      </c>
      <c r="O2783" s="6">
        <v>2295.89</v>
      </c>
    </row>
    <row r="2784" spans="1:15" ht="18.75" hidden="1" customHeight="1" thickBot="1" x14ac:dyDescent="0.3">
      <c r="A2784" s="3" t="s">
        <v>11</v>
      </c>
      <c r="B2784" s="4">
        <v>221427</v>
      </c>
      <c r="C2784" s="3" t="s">
        <v>22</v>
      </c>
      <c r="D2784" s="7">
        <v>0.08</v>
      </c>
      <c r="E2784" s="7">
        <f t="shared" si="287"/>
        <v>6.6666666666666671E-3</v>
      </c>
      <c r="F2784" s="5">
        <v>43542</v>
      </c>
      <c r="G2784" s="5">
        <v>2958465</v>
      </c>
      <c r="H2784" s="8">
        <f t="shared" si="288"/>
        <v>2914923</v>
      </c>
      <c r="I2784" s="5">
        <v>2958465</v>
      </c>
      <c r="J2784" s="5">
        <v>43546</v>
      </c>
      <c r="K2784" s="8">
        <f t="shared" si="289"/>
        <v>4</v>
      </c>
      <c r="L2784" s="6">
        <v>209.01</v>
      </c>
      <c r="M2784" s="9">
        <f t="shared" si="286"/>
        <v>1.3934</v>
      </c>
      <c r="N2784" s="6">
        <v>209.01</v>
      </c>
      <c r="O2784" s="6">
        <v>0</v>
      </c>
    </row>
    <row r="2785" spans="1:15" ht="18.75" hidden="1" customHeight="1" thickBot="1" x14ac:dyDescent="0.3">
      <c r="A2785" s="3" t="s">
        <v>11</v>
      </c>
      <c r="B2785" s="4">
        <v>128712</v>
      </c>
      <c r="C2785" s="3" t="s">
        <v>22</v>
      </c>
      <c r="D2785" s="7">
        <v>0.08</v>
      </c>
      <c r="E2785" s="7">
        <f t="shared" si="287"/>
        <v>6.6666666666666671E-3</v>
      </c>
      <c r="F2785" s="5">
        <v>43490</v>
      </c>
      <c r="G2785" s="5">
        <v>2958465</v>
      </c>
      <c r="H2785" s="8">
        <f t="shared" si="288"/>
        <v>2914975</v>
      </c>
      <c r="I2785" s="5">
        <v>2958465</v>
      </c>
      <c r="J2785" s="5">
        <v>43495</v>
      </c>
      <c r="K2785" s="8">
        <f t="shared" si="289"/>
        <v>5</v>
      </c>
      <c r="L2785" s="6">
        <v>445.51</v>
      </c>
      <c r="M2785" s="9">
        <f t="shared" si="286"/>
        <v>2.9700666666666669</v>
      </c>
      <c r="N2785" s="6">
        <v>445.51</v>
      </c>
      <c r="O2785" s="6">
        <v>0</v>
      </c>
    </row>
    <row r="2786" spans="1:15" ht="18.75" hidden="1" customHeight="1" thickBot="1" x14ac:dyDescent="0.3">
      <c r="A2786" s="3" t="s">
        <v>11</v>
      </c>
      <c r="B2786" s="4">
        <v>535858</v>
      </c>
      <c r="C2786" s="3" t="s">
        <v>15</v>
      </c>
      <c r="D2786" s="7">
        <v>0.1515</v>
      </c>
      <c r="E2786" s="7">
        <f t="shared" si="287"/>
        <v>1.2624999999999999E-2</v>
      </c>
      <c r="F2786" s="5">
        <v>44077</v>
      </c>
      <c r="G2786" s="5">
        <v>2958465</v>
      </c>
      <c r="H2786" s="8">
        <f t="shared" si="288"/>
        <v>2914388</v>
      </c>
      <c r="I2786" s="5">
        <v>2958465</v>
      </c>
      <c r="J2786" s="5">
        <v>44078</v>
      </c>
      <c r="K2786" s="8">
        <f t="shared" si="289"/>
        <v>1</v>
      </c>
      <c r="L2786" s="6">
        <v>404.28</v>
      </c>
      <c r="M2786" s="9">
        <f t="shared" si="286"/>
        <v>5.1040349999999997</v>
      </c>
      <c r="N2786" s="6">
        <v>404.28</v>
      </c>
      <c r="O2786" s="6">
        <v>404.28</v>
      </c>
    </row>
    <row r="2787" spans="1:15" ht="18.75" hidden="1" customHeight="1" thickBot="1" x14ac:dyDescent="0.3">
      <c r="A2787" s="3" t="s">
        <v>11</v>
      </c>
      <c r="B2787" s="4">
        <v>500563</v>
      </c>
      <c r="C2787" s="3" t="s">
        <v>15</v>
      </c>
      <c r="D2787" s="7">
        <v>0.1515</v>
      </c>
      <c r="E2787" s="7">
        <f t="shared" si="287"/>
        <v>1.2624999999999999E-2</v>
      </c>
      <c r="F2787" s="5">
        <v>44504</v>
      </c>
      <c r="G2787" s="5">
        <v>2958465</v>
      </c>
      <c r="H2787" s="8">
        <f t="shared" si="288"/>
        <v>2913961</v>
      </c>
      <c r="I2787" s="5">
        <v>2958465</v>
      </c>
      <c r="J2787" s="5">
        <v>44505</v>
      </c>
      <c r="K2787" s="8">
        <f t="shared" si="289"/>
        <v>1</v>
      </c>
      <c r="L2787" s="6">
        <v>873.63</v>
      </c>
      <c r="M2787" s="9">
        <f t="shared" si="286"/>
        <v>11.029578749999999</v>
      </c>
      <c r="N2787" s="6">
        <v>873.63</v>
      </c>
      <c r="O2787" s="6">
        <v>537.84</v>
      </c>
    </row>
    <row r="2788" spans="1:15" ht="18.75" hidden="1" customHeight="1" thickBot="1" x14ac:dyDescent="0.3">
      <c r="A2788" s="3" t="s">
        <v>11</v>
      </c>
      <c r="B2788" s="4">
        <v>313175</v>
      </c>
      <c r="C2788" s="3" t="s">
        <v>22</v>
      </c>
      <c r="D2788" s="7">
        <v>0.08</v>
      </c>
      <c r="E2788" s="7">
        <f t="shared" si="287"/>
        <v>6.6666666666666671E-3</v>
      </c>
      <c r="F2788" s="5">
        <v>42999</v>
      </c>
      <c r="G2788" s="5">
        <v>2958465</v>
      </c>
      <c r="H2788" s="8">
        <f t="shared" si="288"/>
        <v>2915466</v>
      </c>
      <c r="I2788" s="5">
        <v>2958465</v>
      </c>
      <c r="J2788" s="5">
        <v>43000</v>
      </c>
      <c r="K2788" s="8">
        <f t="shared" si="289"/>
        <v>1</v>
      </c>
      <c r="L2788" s="6">
        <v>1088.31</v>
      </c>
      <c r="M2788" s="9">
        <f t="shared" si="286"/>
        <v>7.2553999999999998</v>
      </c>
      <c r="N2788" s="6">
        <v>1088.31</v>
      </c>
      <c r="O2788" s="6">
        <v>0</v>
      </c>
    </row>
    <row r="2789" spans="1:15" ht="18.75" hidden="1" customHeight="1" thickBot="1" x14ac:dyDescent="0.3">
      <c r="A2789" s="3" t="s">
        <v>11</v>
      </c>
      <c r="B2789" s="4">
        <v>435109</v>
      </c>
      <c r="C2789" s="3" t="s">
        <v>22</v>
      </c>
      <c r="D2789" s="7">
        <v>0.08</v>
      </c>
      <c r="E2789" s="7">
        <f t="shared" si="287"/>
        <v>6.6666666666666671E-3</v>
      </c>
      <c r="F2789" s="5">
        <v>43182</v>
      </c>
      <c r="G2789" s="5">
        <v>2958465</v>
      </c>
      <c r="H2789" s="8">
        <f t="shared" si="288"/>
        <v>2915283</v>
      </c>
      <c r="I2789" s="5">
        <v>2958465</v>
      </c>
      <c r="J2789" s="5">
        <v>43185</v>
      </c>
      <c r="K2789" s="8">
        <f t="shared" si="289"/>
        <v>3</v>
      </c>
      <c r="L2789" s="6">
        <v>472.88</v>
      </c>
      <c r="M2789" s="9">
        <f t="shared" si="286"/>
        <v>3.1525333333333334</v>
      </c>
      <c r="N2789" s="6">
        <v>472.88</v>
      </c>
      <c r="O2789" s="6">
        <v>0</v>
      </c>
    </row>
    <row r="2790" spans="1:15" ht="18.75" hidden="1" customHeight="1" thickBot="1" x14ac:dyDescent="0.3">
      <c r="A2790" s="3" t="s">
        <v>11</v>
      </c>
      <c r="B2790" s="4">
        <v>773337</v>
      </c>
      <c r="C2790" s="3" t="s">
        <v>22</v>
      </c>
      <c r="D2790" s="7">
        <v>0.08</v>
      </c>
      <c r="E2790" s="7">
        <f t="shared" si="287"/>
        <v>6.6666666666666671E-3</v>
      </c>
      <c r="F2790" s="5">
        <v>43608</v>
      </c>
      <c r="G2790" s="5">
        <v>2958465</v>
      </c>
      <c r="H2790" s="8">
        <f t="shared" si="288"/>
        <v>2914857</v>
      </c>
      <c r="I2790" s="5">
        <v>2958465</v>
      </c>
      <c r="J2790" s="5">
        <v>43609</v>
      </c>
      <c r="K2790" s="8">
        <f t="shared" si="289"/>
        <v>1</v>
      </c>
      <c r="L2790" s="6">
        <v>336.08</v>
      </c>
      <c r="M2790" s="9">
        <f t="shared" si="286"/>
        <v>2.2405333333333335</v>
      </c>
      <c r="N2790" s="6">
        <v>336.08</v>
      </c>
      <c r="O2790" s="6">
        <v>0</v>
      </c>
    </row>
    <row r="2791" spans="1:15" ht="18.75" hidden="1" customHeight="1" thickBot="1" x14ac:dyDescent="0.3">
      <c r="A2791" s="3" t="s">
        <v>11</v>
      </c>
      <c r="B2791" s="4">
        <v>560117</v>
      </c>
      <c r="C2791" s="3" t="s">
        <v>22</v>
      </c>
      <c r="D2791" s="7">
        <v>0.08</v>
      </c>
      <c r="E2791" s="7">
        <f t="shared" si="287"/>
        <v>6.6666666666666671E-3</v>
      </c>
      <c r="F2791" s="5">
        <v>43577</v>
      </c>
      <c r="G2791" s="5">
        <v>2958465</v>
      </c>
      <c r="H2791" s="8">
        <f t="shared" si="288"/>
        <v>2914888</v>
      </c>
      <c r="I2791" s="5">
        <v>2958465</v>
      </c>
      <c r="J2791" s="5">
        <v>43578</v>
      </c>
      <c r="K2791" s="8">
        <f t="shared" si="289"/>
        <v>1</v>
      </c>
      <c r="L2791" s="6">
        <v>772.25</v>
      </c>
      <c r="M2791" s="9">
        <f t="shared" si="286"/>
        <v>5.1483333333333334</v>
      </c>
      <c r="N2791" s="6">
        <v>772.25</v>
      </c>
      <c r="O2791" s="6">
        <v>770.91</v>
      </c>
    </row>
    <row r="2792" spans="1:15" ht="18.75" hidden="1" customHeight="1" thickBot="1" x14ac:dyDescent="0.3">
      <c r="A2792" s="3" t="s">
        <v>11</v>
      </c>
      <c r="B2792" s="4">
        <v>163675</v>
      </c>
      <c r="C2792" s="3" t="s">
        <v>15</v>
      </c>
      <c r="D2792" s="7">
        <v>0.115</v>
      </c>
      <c r="E2792" s="7">
        <f t="shared" si="287"/>
        <v>9.5833333333333343E-3</v>
      </c>
      <c r="F2792" s="5">
        <v>44610</v>
      </c>
      <c r="G2792" s="5">
        <v>2958465</v>
      </c>
      <c r="H2792" s="8">
        <f t="shared" si="288"/>
        <v>2913855</v>
      </c>
      <c r="I2792" s="5">
        <v>2958465</v>
      </c>
      <c r="J2792" s="5">
        <v>44614</v>
      </c>
      <c r="K2792" s="8">
        <f t="shared" si="289"/>
        <v>4</v>
      </c>
      <c r="L2792" s="6">
        <v>394.2</v>
      </c>
      <c r="M2792" s="9">
        <f t="shared" si="286"/>
        <v>3.7777500000000002</v>
      </c>
      <c r="N2792" s="6">
        <v>394.2</v>
      </c>
      <c r="O2792" s="6">
        <v>0</v>
      </c>
    </row>
    <row r="2793" spans="1:15" ht="18.75" hidden="1" customHeight="1" thickBot="1" x14ac:dyDescent="0.3">
      <c r="A2793" s="3" t="s">
        <v>11</v>
      </c>
      <c r="B2793" s="4">
        <v>538923</v>
      </c>
      <c r="C2793" s="3" t="s">
        <v>22</v>
      </c>
      <c r="D2793" s="7">
        <v>0.08</v>
      </c>
      <c r="E2793" s="7">
        <f t="shared" si="287"/>
        <v>6.6666666666666671E-3</v>
      </c>
      <c r="F2793" s="5">
        <v>42305</v>
      </c>
      <c r="G2793" s="5">
        <v>2958465</v>
      </c>
      <c r="H2793" s="8">
        <f t="shared" si="288"/>
        <v>2916160</v>
      </c>
      <c r="I2793" s="5">
        <v>2958465</v>
      </c>
      <c r="J2793" s="5">
        <v>42311</v>
      </c>
      <c r="K2793" s="8">
        <f t="shared" si="289"/>
        <v>6</v>
      </c>
      <c r="L2793" s="6">
        <v>3152.69</v>
      </c>
      <c r="M2793" s="9">
        <f t="shared" si="286"/>
        <v>21.017933333333335</v>
      </c>
      <c r="N2793" s="6">
        <v>3152.69</v>
      </c>
      <c r="O2793" s="6">
        <v>1537.76</v>
      </c>
    </row>
    <row r="2794" spans="1:15" ht="18.75" hidden="1" customHeight="1" thickBot="1" x14ac:dyDescent="0.3">
      <c r="A2794" s="3" t="s">
        <v>11</v>
      </c>
      <c r="B2794" s="4">
        <v>240063</v>
      </c>
      <c r="C2794" s="3" t="s">
        <v>22</v>
      </c>
      <c r="D2794" s="7">
        <v>0.08</v>
      </c>
      <c r="E2794" s="7">
        <f t="shared" si="287"/>
        <v>6.6666666666666671E-3</v>
      </c>
      <c r="F2794" s="5">
        <v>42242</v>
      </c>
      <c r="G2794" s="5">
        <v>2958465</v>
      </c>
      <c r="H2794" s="8">
        <f t="shared" si="288"/>
        <v>2916223</v>
      </c>
      <c r="I2794" s="5">
        <v>2958465</v>
      </c>
      <c r="J2794" s="5">
        <v>42244</v>
      </c>
      <c r="K2794" s="8">
        <f t="shared" si="289"/>
        <v>2</v>
      </c>
      <c r="L2794" s="6">
        <v>538.83000000000004</v>
      </c>
      <c r="M2794" s="9">
        <f t="shared" si="286"/>
        <v>3.5922000000000005</v>
      </c>
      <c r="N2794" s="6">
        <v>538.83000000000004</v>
      </c>
      <c r="O2794" s="6">
        <v>0</v>
      </c>
    </row>
    <row r="2795" spans="1:15" ht="18.75" hidden="1" customHeight="1" thickBot="1" x14ac:dyDescent="0.3">
      <c r="A2795" s="3" t="s">
        <v>11</v>
      </c>
      <c r="B2795" s="4">
        <v>532916</v>
      </c>
      <c r="C2795" s="3" t="s">
        <v>22</v>
      </c>
      <c r="D2795" s="7">
        <v>0.08</v>
      </c>
      <c r="E2795" s="7">
        <f t="shared" si="287"/>
        <v>6.6666666666666671E-3</v>
      </c>
      <c r="F2795" s="5">
        <v>43255</v>
      </c>
      <c r="G2795" s="5">
        <v>2958465</v>
      </c>
      <c r="H2795" s="8">
        <f t="shared" si="288"/>
        <v>2915210</v>
      </c>
      <c r="I2795" s="5">
        <v>2958465</v>
      </c>
      <c r="J2795" s="5">
        <v>43256</v>
      </c>
      <c r="K2795" s="8">
        <f t="shared" si="289"/>
        <v>1</v>
      </c>
      <c r="L2795" s="6">
        <v>949.55</v>
      </c>
      <c r="M2795" s="9">
        <f t="shared" si="286"/>
        <v>6.3303333333333338</v>
      </c>
      <c r="N2795" s="6">
        <v>949.55</v>
      </c>
      <c r="O2795" s="6">
        <v>948.37</v>
      </c>
    </row>
    <row r="2796" spans="1:15" ht="18.75" hidden="1" customHeight="1" thickBot="1" x14ac:dyDescent="0.3">
      <c r="A2796" s="3" t="s">
        <v>11</v>
      </c>
      <c r="B2796" s="4">
        <v>610328</v>
      </c>
      <c r="C2796" s="3" t="s">
        <v>22</v>
      </c>
      <c r="D2796" s="7">
        <v>0.08</v>
      </c>
      <c r="E2796" s="7">
        <f t="shared" si="287"/>
        <v>6.6666666666666671E-3</v>
      </c>
      <c r="F2796" s="5">
        <v>43608</v>
      </c>
      <c r="G2796" s="5">
        <v>2958465</v>
      </c>
      <c r="H2796" s="8">
        <f t="shared" si="288"/>
        <v>2914857</v>
      </c>
      <c r="I2796" s="5">
        <v>2958465</v>
      </c>
      <c r="J2796" s="5">
        <v>43609</v>
      </c>
      <c r="K2796" s="8">
        <f t="shared" si="289"/>
        <v>1</v>
      </c>
      <c r="L2796" s="6">
        <v>2118.17</v>
      </c>
      <c r="M2796" s="9">
        <f t="shared" si="286"/>
        <v>14.121133333333335</v>
      </c>
      <c r="N2796" s="6">
        <v>2118.17</v>
      </c>
      <c r="O2796" s="6">
        <v>0</v>
      </c>
    </row>
    <row r="2797" spans="1:15" ht="18.75" hidden="1" customHeight="1" thickBot="1" x14ac:dyDescent="0.3">
      <c r="A2797" s="3" t="s">
        <v>11</v>
      </c>
      <c r="B2797" s="4">
        <v>535050</v>
      </c>
      <c r="C2797" s="3" t="s">
        <v>15</v>
      </c>
      <c r="D2797" s="7">
        <v>0.115</v>
      </c>
      <c r="E2797" s="7">
        <f t="shared" si="287"/>
        <v>9.5833333333333343E-3</v>
      </c>
      <c r="F2797" s="5">
        <v>44610</v>
      </c>
      <c r="G2797" s="5">
        <v>2958465</v>
      </c>
      <c r="H2797" s="8">
        <f t="shared" si="288"/>
        <v>2913855</v>
      </c>
      <c r="I2797" s="5">
        <v>2958465</v>
      </c>
      <c r="J2797" s="5">
        <v>44614</v>
      </c>
      <c r="K2797" s="8">
        <f t="shared" si="289"/>
        <v>4</v>
      </c>
      <c r="L2797" s="6">
        <v>568.16999999999996</v>
      </c>
      <c r="M2797" s="9">
        <f t="shared" si="286"/>
        <v>5.4449624999999999</v>
      </c>
      <c r="N2797" s="6">
        <v>568.16999999999996</v>
      </c>
      <c r="O2797" s="6">
        <v>198.76</v>
      </c>
    </row>
    <row r="2798" spans="1:15" ht="18.75" hidden="1" customHeight="1" thickBot="1" x14ac:dyDescent="0.3">
      <c r="A2798" s="3" t="s">
        <v>11</v>
      </c>
      <c r="B2798" s="4">
        <v>194609</v>
      </c>
      <c r="C2798" s="3" t="s">
        <v>22</v>
      </c>
      <c r="D2798" s="7">
        <v>0.08</v>
      </c>
      <c r="E2798" s="7">
        <f t="shared" si="287"/>
        <v>6.6666666666666671E-3</v>
      </c>
      <c r="F2798" s="5">
        <v>42174</v>
      </c>
      <c r="G2798" s="5">
        <v>2958465</v>
      </c>
      <c r="H2798" s="8">
        <f t="shared" si="288"/>
        <v>2916291</v>
      </c>
      <c r="I2798" s="5">
        <v>2958465</v>
      </c>
      <c r="J2798" s="5">
        <v>42177</v>
      </c>
      <c r="K2798" s="8">
        <f t="shared" si="289"/>
        <v>3</v>
      </c>
      <c r="L2798" s="6">
        <v>1685.77</v>
      </c>
      <c r="M2798" s="9">
        <f t="shared" si="286"/>
        <v>11.238466666666667</v>
      </c>
      <c r="N2798" s="6">
        <v>1685.77</v>
      </c>
      <c r="O2798" s="6">
        <v>247.42</v>
      </c>
    </row>
    <row r="2799" spans="1:15" ht="18.75" hidden="1" customHeight="1" thickBot="1" x14ac:dyDescent="0.3">
      <c r="A2799" s="3" t="s">
        <v>11</v>
      </c>
      <c r="B2799" s="4">
        <v>136531</v>
      </c>
      <c r="C2799" s="3" t="s">
        <v>22</v>
      </c>
      <c r="D2799" s="7">
        <v>0.08</v>
      </c>
      <c r="E2799" s="7">
        <f t="shared" si="287"/>
        <v>6.6666666666666671E-3</v>
      </c>
      <c r="F2799" s="5">
        <v>43917</v>
      </c>
      <c r="G2799" s="5">
        <v>2958465</v>
      </c>
      <c r="H2799" s="8">
        <f t="shared" si="288"/>
        <v>2914548</v>
      </c>
      <c r="I2799" s="5">
        <v>2958465</v>
      </c>
      <c r="J2799" s="5">
        <v>43920</v>
      </c>
      <c r="K2799" s="8">
        <f t="shared" si="289"/>
        <v>3</v>
      </c>
      <c r="L2799" s="6">
        <v>510.35</v>
      </c>
      <c r="M2799" s="9">
        <f t="shared" si="286"/>
        <v>3.4023333333333339</v>
      </c>
      <c r="N2799" s="6">
        <v>510.35</v>
      </c>
      <c r="O2799" s="6">
        <v>0</v>
      </c>
    </row>
    <row r="2800" spans="1:15" ht="18.75" hidden="1" customHeight="1" thickBot="1" x14ac:dyDescent="0.3">
      <c r="A2800" s="3" t="s">
        <v>11</v>
      </c>
      <c r="B2800" s="4">
        <v>915353</v>
      </c>
      <c r="C2800" s="3" t="s">
        <v>22</v>
      </c>
      <c r="D2800" s="7">
        <v>0.08</v>
      </c>
      <c r="E2800" s="7">
        <f t="shared" si="287"/>
        <v>6.6666666666666671E-3</v>
      </c>
      <c r="F2800" s="5">
        <v>43577</v>
      </c>
      <c r="G2800" s="5">
        <v>2958465</v>
      </c>
      <c r="H2800" s="8">
        <f t="shared" si="288"/>
        <v>2914888</v>
      </c>
      <c r="I2800" s="5">
        <v>2958465</v>
      </c>
      <c r="J2800" s="5">
        <v>43578</v>
      </c>
      <c r="K2800" s="8">
        <f t="shared" si="289"/>
        <v>1</v>
      </c>
      <c r="L2800" s="6">
        <v>387.29</v>
      </c>
      <c r="M2800" s="9">
        <f t="shared" si="286"/>
        <v>2.5819333333333336</v>
      </c>
      <c r="N2800" s="6">
        <v>387.29</v>
      </c>
      <c r="O2800" s="6">
        <v>0</v>
      </c>
    </row>
    <row r="2801" spans="1:15" ht="18.75" hidden="1" customHeight="1" thickBot="1" x14ac:dyDescent="0.3">
      <c r="A2801" s="3" t="s">
        <v>11</v>
      </c>
      <c r="B2801" s="4">
        <v>262815</v>
      </c>
      <c r="C2801" s="3" t="s">
        <v>22</v>
      </c>
      <c r="D2801" s="7">
        <v>0.08</v>
      </c>
      <c r="E2801" s="7">
        <f t="shared" si="287"/>
        <v>6.6666666666666671E-3</v>
      </c>
      <c r="F2801" s="5">
        <v>42999</v>
      </c>
      <c r="G2801" s="5">
        <v>2958465</v>
      </c>
      <c r="H2801" s="8">
        <f t="shared" si="288"/>
        <v>2915466</v>
      </c>
      <c r="I2801" s="5">
        <v>2958465</v>
      </c>
      <c r="J2801" s="5">
        <v>43000</v>
      </c>
      <c r="K2801" s="8">
        <f t="shared" si="289"/>
        <v>1</v>
      </c>
      <c r="L2801" s="6">
        <v>671.88</v>
      </c>
      <c r="M2801" s="9">
        <f t="shared" si="286"/>
        <v>4.4792000000000005</v>
      </c>
      <c r="N2801" s="6">
        <v>671.38</v>
      </c>
      <c r="O2801" s="6">
        <v>44.27</v>
      </c>
    </row>
    <row r="2802" spans="1:15" ht="18.75" hidden="1" customHeight="1" thickBot="1" x14ac:dyDescent="0.3">
      <c r="A2802" s="3" t="s">
        <v>11</v>
      </c>
      <c r="B2802" s="4">
        <v>187713</v>
      </c>
      <c r="C2802" s="3" t="s">
        <v>15</v>
      </c>
      <c r="D2802" s="7">
        <v>0.1515</v>
      </c>
      <c r="E2802" s="7">
        <f t="shared" si="287"/>
        <v>1.2624999999999999E-2</v>
      </c>
      <c r="F2802" s="5">
        <v>44335</v>
      </c>
      <c r="G2802" s="5">
        <v>2958465</v>
      </c>
      <c r="H2802" s="8">
        <f t="shared" si="288"/>
        <v>2914130</v>
      </c>
      <c r="I2802" s="5">
        <v>2958465</v>
      </c>
      <c r="J2802" s="5">
        <v>44336</v>
      </c>
      <c r="K2802" s="8">
        <f t="shared" si="289"/>
        <v>1</v>
      </c>
      <c r="L2802" s="6">
        <v>78.45</v>
      </c>
      <c r="M2802" s="9">
        <f t="shared" si="286"/>
        <v>0.99043124999999999</v>
      </c>
      <c r="N2802" s="6">
        <v>78.45</v>
      </c>
      <c r="O2802" s="6">
        <v>0</v>
      </c>
    </row>
    <row r="2803" spans="1:15" ht="18.75" hidden="1" customHeight="1" thickBot="1" x14ac:dyDescent="0.3">
      <c r="A2803" s="3" t="s">
        <v>11</v>
      </c>
      <c r="B2803" s="4">
        <v>89004</v>
      </c>
      <c r="C2803" s="3" t="s">
        <v>15</v>
      </c>
      <c r="D2803" s="7">
        <v>0.1515</v>
      </c>
      <c r="E2803" s="7">
        <f t="shared" si="287"/>
        <v>1.2624999999999999E-2</v>
      </c>
      <c r="F2803" s="5">
        <v>44077</v>
      </c>
      <c r="G2803" s="5">
        <v>2958465</v>
      </c>
      <c r="H2803" s="8">
        <f t="shared" si="288"/>
        <v>2914388</v>
      </c>
      <c r="I2803" s="5">
        <v>2958465</v>
      </c>
      <c r="J2803" s="5">
        <v>44078</v>
      </c>
      <c r="K2803" s="8">
        <f t="shared" si="289"/>
        <v>1</v>
      </c>
      <c r="L2803" s="6">
        <v>1334.76</v>
      </c>
      <c r="M2803" s="9">
        <f t="shared" si="286"/>
        <v>16.851344999999998</v>
      </c>
      <c r="N2803" s="6">
        <v>1334.76</v>
      </c>
      <c r="O2803" s="6">
        <v>0</v>
      </c>
    </row>
    <row r="2804" spans="1:15" ht="18.75" hidden="1" customHeight="1" thickBot="1" x14ac:dyDescent="0.3">
      <c r="A2804" s="3" t="s">
        <v>11</v>
      </c>
      <c r="B2804" s="4">
        <v>68282</v>
      </c>
      <c r="C2804" s="3" t="s">
        <v>22</v>
      </c>
      <c r="D2804" s="7">
        <v>0.08</v>
      </c>
      <c r="E2804" s="7">
        <f t="shared" si="287"/>
        <v>6.6666666666666671E-3</v>
      </c>
      <c r="F2804" s="5">
        <v>42305</v>
      </c>
      <c r="G2804" s="5">
        <v>2958465</v>
      </c>
      <c r="H2804" s="8">
        <f t="shared" si="288"/>
        <v>2916160</v>
      </c>
      <c r="I2804" s="5">
        <v>2958465</v>
      </c>
      <c r="J2804" s="5">
        <v>42311</v>
      </c>
      <c r="K2804" s="8">
        <f t="shared" si="289"/>
        <v>6</v>
      </c>
      <c r="L2804" s="6">
        <v>1230.25</v>
      </c>
      <c r="M2804" s="9">
        <f t="shared" si="286"/>
        <v>8.201666666666668</v>
      </c>
      <c r="N2804" s="6">
        <v>1230.25</v>
      </c>
      <c r="O2804" s="6">
        <v>253.15</v>
      </c>
    </row>
    <row r="2805" spans="1:15" ht="18.75" hidden="1" customHeight="1" thickBot="1" x14ac:dyDescent="0.3">
      <c r="A2805" s="3" t="s">
        <v>11</v>
      </c>
      <c r="B2805" s="4">
        <v>661705</v>
      </c>
      <c r="C2805" s="3" t="s">
        <v>15</v>
      </c>
      <c r="D2805" s="7">
        <v>0.115</v>
      </c>
      <c r="E2805" s="7">
        <f t="shared" si="287"/>
        <v>9.5833333333333343E-3</v>
      </c>
      <c r="F2805" s="5">
        <v>44610</v>
      </c>
      <c r="G2805" s="5">
        <v>2958465</v>
      </c>
      <c r="H2805" s="8">
        <f t="shared" si="288"/>
        <v>2913855</v>
      </c>
      <c r="I2805" s="5">
        <v>2958465</v>
      </c>
      <c r="J2805" s="5">
        <v>44614</v>
      </c>
      <c r="K2805" s="8">
        <f t="shared" si="289"/>
        <v>4</v>
      </c>
      <c r="L2805" s="6">
        <v>168.49</v>
      </c>
      <c r="M2805" s="9">
        <f t="shared" si="286"/>
        <v>1.6146958333333337</v>
      </c>
      <c r="N2805" s="6">
        <v>168.49</v>
      </c>
      <c r="O2805" s="6">
        <v>0</v>
      </c>
    </row>
    <row r="2806" spans="1:15" ht="18.75" hidden="1" customHeight="1" thickBot="1" x14ac:dyDescent="0.3">
      <c r="A2806" s="3" t="s">
        <v>11</v>
      </c>
      <c r="B2806" s="4">
        <v>312898</v>
      </c>
      <c r="C2806" s="3" t="s">
        <v>22</v>
      </c>
      <c r="D2806" s="7">
        <v>0.1</v>
      </c>
      <c r="E2806" s="7">
        <f t="shared" si="287"/>
        <v>8.3333333333333332E-3</v>
      </c>
      <c r="F2806" s="5">
        <v>44810</v>
      </c>
      <c r="G2806" s="5">
        <v>2958465</v>
      </c>
      <c r="H2806" s="8">
        <f t="shared" si="288"/>
        <v>2913655</v>
      </c>
      <c r="I2806" s="5">
        <v>2958465</v>
      </c>
      <c r="J2806" s="5">
        <v>44811</v>
      </c>
      <c r="K2806" s="8">
        <f t="shared" si="289"/>
        <v>1</v>
      </c>
      <c r="L2806" s="6">
        <v>568.16999999999996</v>
      </c>
      <c r="M2806" s="9">
        <f t="shared" si="286"/>
        <v>4.73475</v>
      </c>
      <c r="N2806" s="6">
        <v>2307.33</v>
      </c>
      <c r="O2806" s="6">
        <v>2307.33</v>
      </c>
    </row>
    <row r="2807" spans="1:15" ht="18.75" hidden="1" customHeight="1" thickBot="1" x14ac:dyDescent="0.3">
      <c r="A2807" s="3" t="s">
        <v>11</v>
      </c>
      <c r="B2807" s="4">
        <v>243752</v>
      </c>
      <c r="C2807" s="3" t="s">
        <v>22</v>
      </c>
      <c r="D2807" s="7">
        <v>0.08</v>
      </c>
      <c r="E2807" s="7">
        <f t="shared" si="287"/>
        <v>6.6666666666666671E-3</v>
      </c>
      <c r="F2807" s="5">
        <v>42452</v>
      </c>
      <c r="G2807" s="5">
        <v>2958465</v>
      </c>
      <c r="H2807" s="8">
        <f t="shared" si="288"/>
        <v>2916013</v>
      </c>
      <c r="I2807" s="5">
        <v>2958465</v>
      </c>
      <c r="J2807" s="5">
        <v>42458</v>
      </c>
      <c r="K2807" s="8">
        <f t="shared" si="289"/>
        <v>6</v>
      </c>
      <c r="L2807" s="6">
        <v>435.96</v>
      </c>
      <c r="M2807" s="9">
        <f t="shared" si="286"/>
        <v>2.9064000000000001</v>
      </c>
      <c r="N2807" s="6">
        <v>435.96</v>
      </c>
      <c r="O2807" s="6">
        <v>0</v>
      </c>
    </row>
    <row r="2808" spans="1:15" ht="18.75" hidden="1" customHeight="1" thickBot="1" x14ac:dyDescent="0.3">
      <c r="A2808" s="3" t="s">
        <v>11</v>
      </c>
      <c r="B2808" s="4">
        <v>981670</v>
      </c>
      <c r="C2808" s="3" t="s">
        <v>22</v>
      </c>
      <c r="D2808" s="7">
        <v>0.08</v>
      </c>
      <c r="E2808" s="7">
        <f t="shared" si="287"/>
        <v>6.6666666666666671E-3</v>
      </c>
      <c r="F2808" s="5">
        <v>42972</v>
      </c>
      <c r="G2808" s="5">
        <v>2958465</v>
      </c>
      <c r="H2808" s="8">
        <f t="shared" si="288"/>
        <v>2915493</v>
      </c>
      <c r="I2808" s="5">
        <v>2958465</v>
      </c>
      <c r="J2808" s="5">
        <v>42979</v>
      </c>
      <c r="K2808" s="8">
        <f t="shared" si="289"/>
        <v>7</v>
      </c>
      <c r="L2808" s="6">
        <v>1990.38</v>
      </c>
      <c r="M2808" s="9">
        <f t="shared" si="286"/>
        <v>13.269200000000001</v>
      </c>
      <c r="N2808" s="6">
        <v>1890.38</v>
      </c>
      <c r="O2808" s="6">
        <v>1890.38</v>
      </c>
    </row>
    <row r="2809" spans="1:15" ht="18.75" hidden="1" customHeight="1" thickBot="1" x14ac:dyDescent="0.3">
      <c r="A2809" s="3" t="s">
        <v>11</v>
      </c>
      <c r="B2809" s="4">
        <v>619208</v>
      </c>
      <c r="C2809" s="3" t="s">
        <v>22</v>
      </c>
      <c r="D2809" s="7">
        <v>0.08</v>
      </c>
      <c r="E2809" s="7">
        <f t="shared" si="287"/>
        <v>6.6666666666666671E-3</v>
      </c>
      <c r="F2809" s="5">
        <v>42361</v>
      </c>
      <c r="G2809" s="5">
        <v>2958465</v>
      </c>
      <c r="H2809" s="8">
        <f t="shared" si="288"/>
        <v>2916104</v>
      </c>
      <c r="I2809" s="5">
        <v>2958465</v>
      </c>
      <c r="J2809" s="5">
        <v>42366</v>
      </c>
      <c r="K2809" s="8">
        <f t="shared" si="289"/>
        <v>5</v>
      </c>
      <c r="L2809" s="6">
        <v>549.84</v>
      </c>
      <c r="M2809" s="9">
        <f t="shared" si="286"/>
        <v>3.6656000000000004</v>
      </c>
      <c r="N2809" s="6">
        <v>549.84</v>
      </c>
      <c r="O2809" s="6">
        <v>0</v>
      </c>
    </row>
    <row r="2810" spans="1:15" ht="18.75" hidden="1" customHeight="1" thickBot="1" x14ac:dyDescent="0.3">
      <c r="A2810" s="3" t="s">
        <v>11</v>
      </c>
      <c r="B2810" s="4">
        <v>458247</v>
      </c>
      <c r="C2810" s="3" t="s">
        <v>22</v>
      </c>
      <c r="D2810" s="7">
        <v>0.08</v>
      </c>
      <c r="E2810" s="7">
        <f t="shared" si="287"/>
        <v>6.6666666666666671E-3</v>
      </c>
      <c r="F2810" s="5">
        <v>43619</v>
      </c>
      <c r="G2810" s="5">
        <v>2958465</v>
      </c>
      <c r="H2810" s="8">
        <f t="shared" si="288"/>
        <v>2914846</v>
      </c>
      <c r="I2810" s="5">
        <v>2958465</v>
      </c>
      <c r="J2810" s="5">
        <v>43623</v>
      </c>
      <c r="K2810" s="8">
        <f t="shared" si="289"/>
        <v>4</v>
      </c>
      <c r="L2810" s="6">
        <v>494.75</v>
      </c>
      <c r="M2810" s="9">
        <f t="shared" si="286"/>
        <v>3.2983333333333333</v>
      </c>
      <c r="N2810" s="6">
        <v>494.75</v>
      </c>
      <c r="O2810" s="6">
        <v>494.75</v>
      </c>
    </row>
    <row r="2811" spans="1:15" ht="18.75" hidden="1" customHeight="1" thickBot="1" x14ac:dyDescent="0.3">
      <c r="A2811" s="3" t="s">
        <v>11</v>
      </c>
      <c r="B2811" s="4">
        <v>889830</v>
      </c>
      <c r="C2811" s="3" t="s">
        <v>22</v>
      </c>
      <c r="D2811" s="7">
        <v>0.08</v>
      </c>
      <c r="E2811" s="7">
        <f t="shared" si="287"/>
        <v>6.6666666666666671E-3</v>
      </c>
      <c r="F2811" s="5">
        <v>43917</v>
      </c>
      <c r="G2811" s="5">
        <v>2958465</v>
      </c>
      <c r="H2811" s="8">
        <f t="shared" si="288"/>
        <v>2914548</v>
      </c>
      <c r="I2811" s="5">
        <v>2958465</v>
      </c>
      <c r="J2811" s="5">
        <v>43920</v>
      </c>
      <c r="K2811" s="8">
        <f t="shared" si="289"/>
        <v>3</v>
      </c>
      <c r="L2811" s="6">
        <v>2603.6999999999998</v>
      </c>
      <c r="M2811" s="9">
        <f t="shared" si="286"/>
        <v>17.358000000000001</v>
      </c>
      <c r="N2811" s="6">
        <v>2603.6999999999998</v>
      </c>
      <c r="O2811" s="6">
        <v>2603.6999999999998</v>
      </c>
    </row>
    <row r="2812" spans="1:15" ht="18.75" hidden="1" customHeight="1" thickBot="1" x14ac:dyDescent="0.3">
      <c r="A2812" s="3" t="s">
        <v>11</v>
      </c>
      <c r="B2812" s="4">
        <v>830585</v>
      </c>
      <c r="C2812" s="3" t="s">
        <v>22</v>
      </c>
      <c r="D2812" s="7">
        <v>6.7500000000000004E-2</v>
      </c>
      <c r="E2812" s="7">
        <f t="shared" si="287"/>
        <v>5.6250000000000007E-3</v>
      </c>
      <c r="F2812" s="5">
        <v>45453</v>
      </c>
      <c r="G2812" s="5">
        <v>2958465</v>
      </c>
      <c r="H2812" s="8">
        <f t="shared" si="288"/>
        <v>2913012</v>
      </c>
      <c r="I2812" s="5">
        <v>2958465</v>
      </c>
      <c r="J2812" s="5">
        <v>45454</v>
      </c>
      <c r="K2812" s="8">
        <f t="shared" si="289"/>
        <v>1</v>
      </c>
      <c r="L2812" s="6">
        <v>2286.7800000000002</v>
      </c>
      <c r="M2812" s="9">
        <f t="shared" si="286"/>
        <v>12.863137500000002</v>
      </c>
      <c r="N2812" s="6">
        <v>2286.7800000000002</v>
      </c>
      <c r="O2812" s="6">
        <v>60.21</v>
      </c>
    </row>
    <row r="2813" spans="1:15" ht="18.75" hidden="1" customHeight="1" thickBot="1" x14ac:dyDescent="0.3">
      <c r="A2813" s="3" t="s">
        <v>11</v>
      </c>
      <c r="B2813" s="4">
        <v>350424</v>
      </c>
      <c r="C2813" s="3" t="s">
        <v>22</v>
      </c>
      <c r="D2813" s="7">
        <v>0.08</v>
      </c>
      <c r="E2813" s="7">
        <f t="shared" si="287"/>
        <v>6.6666666666666671E-3</v>
      </c>
      <c r="F2813" s="5">
        <v>43542</v>
      </c>
      <c r="G2813" s="5">
        <v>2958465</v>
      </c>
      <c r="H2813" s="8">
        <f t="shared" si="288"/>
        <v>2914923</v>
      </c>
      <c r="I2813" s="5">
        <v>2958465</v>
      </c>
      <c r="J2813" s="5">
        <v>43546</v>
      </c>
      <c r="K2813" s="8">
        <f t="shared" si="289"/>
        <v>4</v>
      </c>
      <c r="L2813" s="6">
        <v>414.54</v>
      </c>
      <c r="M2813" s="9">
        <f t="shared" si="286"/>
        <v>2.7636000000000003</v>
      </c>
      <c r="N2813" s="6">
        <v>414.54</v>
      </c>
      <c r="O2813" s="6">
        <v>275</v>
      </c>
    </row>
    <row r="2814" spans="1:15" ht="18.75" hidden="1" customHeight="1" thickBot="1" x14ac:dyDescent="0.3">
      <c r="A2814" s="3" t="s">
        <v>11</v>
      </c>
      <c r="B2814" s="4">
        <v>84425</v>
      </c>
      <c r="C2814" s="3" t="s">
        <v>22</v>
      </c>
      <c r="D2814" s="7">
        <v>0.08</v>
      </c>
      <c r="E2814" s="7">
        <f t="shared" si="287"/>
        <v>6.6666666666666671E-3</v>
      </c>
      <c r="F2814" s="5">
        <v>43917</v>
      </c>
      <c r="G2814" s="5">
        <v>2958465</v>
      </c>
      <c r="H2814" s="8">
        <f t="shared" si="288"/>
        <v>2914548</v>
      </c>
      <c r="I2814" s="5">
        <v>2958465</v>
      </c>
      <c r="J2814" s="5">
        <v>43920</v>
      </c>
      <c r="K2814" s="8">
        <f t="shared" si="289"/>
        <v>3</v>
      </c>
      <c r="L2814" s="6">
        <v>1218.6500000000001</v>
      </c>
      <c r="M2814" s="9">
        <f t="shared" si="286"/>
        <v>8.1243333333333343</v>
      </c>
      <c r="N2814" s="6">
        <v>1218.6500000000001</v>
      </c>
      <c r="O2814" s="6">
        <v>0</v>
      </c>
    </row>
    <row r="2815" spans="1:15" ht="18.75" hidden="1" customHeight="1" thickBot="1" x14ac:dyDescent="0.3">
      <c r="A2815" s="3" t="s">
        <v>11</v>
      </c>
      <c r="B2815" s="4">
        <v>845725</v>
      </c>
      <c r="C2815" s="3" t="s">
        <v>22</v>
      </c>
      <c r="D2815" s="7">
        <v>0.08</v>
      </c>
      <c r="E2815" s="7">
        <f t="shared" si="287"/>
        <v>6.6666666666666671E-3</v>
      </c>
      <c r="F2815" s="5">
        <v>42398</v>
      </c>
      <c r="G2815" s="5">
        <v>2958465</v>
      </c>
      <c r="H2815" s="8">
        <f t="shared" si="288"/>
        <v>2916067</v>
      </c>
      <c r="I2815" s="5">
        <v>2958465</v>
      </c>
      <c r="J2815" s="5">
        <v>42402</v>
      </c>
      <c r="K2815" s="8">
        <f t="shared" si="289"/>
        <v>4</v>
      </c>
      <c r="L2815" s="6">
        <v>474.48</v>
      </c>
      <c r="M2815" s="9">
        <f t="shared" si="286"/>
        <v>3.1632000000000002</v>
      </c>
      <c r="N2815" s="6">
        <v>474.48</v>
      </c>
      <c r="O2815" s="6">
        <v>0</v>
      </c>
    </row>
    <row r="2816" spans="1:15" ht="18.75" hidden="1" customHeight="1" thickBot="1" x14ac:dyDescent="0.3">
      <c r="A2816" s="3" t="s">
        <v>11</v>
      </c>
      <c r="B2816" s="4">
        <v>928953</v>
      </c>
      <c r="C2816" s="3" t="s">
        <v>22</v>
      </c>
      <c r="D2816" s="7">
        <v>0.08</v>
      </c>
      <c r="E2816" s="7">
        <f t="shared" si="287"/>
        <v>6.6666666666666671E-3</v>
      </c>
      <c r="F2816" s="5">
        <v>43879</v>
      </c>
      <c r="G2816" s="5">
        <v>2958465</v>
      </c>
      <c r="H2816" s="8">
        <f t="shared" si="288"/>
        <v>2914586</v>
      </c>
      <c r="I2816" s="5">
        <v>2958465</v>
      </c>
      <c r="J2816" s="5">
        <v>43887</v>
      </c>
      <c r="K2816" s="8">
        <f t="shared" si="289"/>
        <v>8</v>
      </c>
      <c r="L2816" s="6">
        <v>597.71</v>
      </c>
      <c r="M2816" s="9">
        <f t="shared" si="286"/>
        <v>3.9847333333333337</v>
      </c>
      <c r="N2816" s="6">
        <v>597.71</v>
      </c>
      <c r="O2816" s="6">
        <v>0</v>
      </c>
    </row>
    <row r="2817" spans="1:15" ht="18.75" hidden="1" customHeight="1" thickBot="1" x14ac:dyDescent="0.3">
      <c r="A2817" s="3" t="s">
        <v>11</v>
      </c>
      <c r="B2817" s="4">
        <v>170159</v>
      </c>
      <c r="C2817" s="3" t="s">
        <v>22</v>
      </c>
      <c r="D2817" s="7">
        <v>0.08</v>
      </c>
      <c r="E2817" s="7">
        <f t="shared" si="287"/>
        <v>6.6666666666666671E-3</v>
      </c>
      <c r="F2817" s="5">
        <v>43255</v>
      </c>
      <c r="G2817" s="5">
        <v>2958465</v>
      </c>
      <c r="H2817" s="8">
        <f t="shared" si="288"/>
        <v>2915210</v>
      </c>
      <c r="I2817" s="5">
        <v>2958465</v>
      </c>
      <c r="J2817" s="5">
        <v>43256</v>
      </c>
      <c r="K2817" s="8">
        <f t="shared" si="289"/>
        <v>1</v>
      </c>
      <c r="L2817" s="6">
        <v>748.44</v>
      </c>
      <c r="M2817" s="9">
        <f t="shared" si="286"/>
        <v>4.9896000000000003</v>
      </c>
      <c r="N2817" s="6">
        <v>748.44</v>
      </c>
      <c r="O2817" s="6">
        <v>0</v>
      </c>
    </row>
    <row r="2818" spans="1:15" ht="18.75" hidden="1" customHeight="1" thickBot="1" x14ac:dyDescent="0.3">
      <c r="A2818" s="3" t="s">
        <v>11</v>
      </c>
      <c r="B2818" s="4">
        <v>632881</v>
      </c>
      <c r="C2818" s="3" t="s">
        <v>22</v>
      </c>
      <c r="D2818" s="7">
        <v>0.08</v>
      </c>
      <c r="E2818" s="7">
        <f t="shared" si="287"/>
        <v>6.6666666666666671E-3</v>
      </c>
      <c r="F2818" s="5">
        <v>42452</v>
      </c>
      <c r="G2818" s="5">
        <v>2958465</v>
      </c>
      <c r="H2818" s="8">
        <f t="shared" si="288"/>
        <v>2916013</v>
      </c>
      <c r="I2818" s="5">
        <v>2958465</v>
      </c>
      <c r="J2818" s="5">
        <v>42457</v>
      </c>
      <c r="K2818" s="8">
        <f t="shared" si="289"/>
        <v>5</v>
      </c>
      <c r="L2818" s="6">
        <v>489.22</v>
      </c>
      <c r="M2818" s="9">
        <f t="shared" ref="M2818:M2881" si="290">-PMT(E2818,(H2818/30),L2818)</f>
        <v>3.2614666666666672</v>
      </c>
      <c r="N2818" s="6">
        <v>489.22</v>
      </c>
      <c r="O2818" s="6">
        <v>444.31</v>
      </c>
    </row>
    <row r="2819" spans="1:15" ht="18.75" hidden="1" customHeight="1" thickBot="1" x14ac:dyDescent="0.3">
      <c r="A2819" s="3" t="s">
        <v>11</v>
      </c>
      <c r="B2819" s="4">
        <v>780065</v>
      </c>
      <c r="C2819" s="3" t="s">
        <v>22</v>
      </c>
      <c r="D2819" s="7">
        <v>6.7500000000000004E-2</v>
      </c>
      <c r="E2819" s="7">
        <f t="shared" ref="E2819:E2882" si="291">D2819/12</f>
        <v>5.6250000000000007E-3</v>
      </c>
      <c r="F2819" s="5">
        <v>45392</v>
      </c>
      <c r="G2819" s="5">
        <v>2958465</v>
      </c>
      <c r="H2819" s="8">
        <f t="shared" ref="H2819:H2882" si="292">G2819-F2819</f>
        <v>2913073</v>
      </c>
      <c r="I2819" s="5">
        <v>2958465</v>
      </c>
      <c r="J2819" s="5">
        <v>45394</v>
      </c>
      <c r="K2819" s="8">
        <f t="shared" ref="K2819:K2882" si="293">J2819-F2819</f>
        <v>2</v>
      </c>
      <c r="L2819" s="6">
        <v>3212.95</v>
      </c>
      <c r="M2819" s="9">
        <f t="shared" si="290"/>
        <v>18.072843750000001</v>
      </c>
      <c r="N2819" s="6">
        <v>3212.95</v>
      </c>
      <c r="O2819" s="6">
        <v>0</v>
      </c>
    </row>
    <row r="2820" spans="1:15" ht="18.75" hidden="1" customHeight="1" thickBot="1" x14ac:dyDescent="0.3">
      <c r="A2820" s="3" t="s">
        <v>11</v>
      </c>
      <c r="B2820" s="4">
        <v>15744</v>
      </c>
      <c r="C2820" s="3" t="s">
        <v>22</v>
      </c>
      <c r="D2820" s="7">
        <v>0.08</v>
      </c>
      <c r="E2820" s="7">
        <f t="shared" si="291"/>
        <v>6.6666666666666671E-3</v>
      </c>
      <c r="F2820" s="5">
        <v>43500</v>
      </c>
      <c r="G2820" s="5">
        <v>2958465</v>
      </c>
      <c r="H2820" s="8">
        <f t="shared" si="292"/>
        <v>2914965</v>
      </c>
      <c r="I2820" s="5">
        <v>2958465</v>
      </c>
      <c r="J2820" s="5">
        <v>43504</v>
      </c>
      <c r="K2820" s="8">
        <f t="shared" si="293"/>
        <v>4</v>
      </c>
      <c r="L2820" s="6">
        <v>390.53</v>
      </c>
      <c r="M2820" s="9">
        <f t="shared" si="290"/>
        <v>2.6035333333333335</v>
      </c>
      <c r="N2820" s="6">
        <v>390.53</v>
      </c>
      <c r="O2820" s="6">
        <v>0</v>
      </c>
    </row>
    <row r="2821" spans="1:15" ht="18.75" hidden="1" customHeight="1" thickBot="1" x14ac:dyDescent="0.3">
      <c r="A2821" s="3" t="s">
        <v>11</v>
      </c>
      <c r="B2821" s="4">
        <v>20477</v>
      </c>
      <c r="C2821" s="3" t="s">
        <v>22</v>
      </c>
      <c r="D2821" s="7">
        <v>0.08</v>
      </c>
      <c r="E2821" s="7">
        <f t="shared" si="291"/>
        <v>6.6666666666666671E-3</v>
      </c>
      <c r="F2821" s="5">
        <v>43874</v>
      </c>
      <c r="G2821" s="5">
        <v>2958465</v>
      </c>
      <c r="H2821" s="8">
        <f t="shared" si="292"/>
        <v>2914591</v>
      </c>
      <c r="I2821" s="5">
        <v>2958465</v>
      </c>
      <c r="J2821" s="5">
        <v>43916</v>
      </c>
      <c r="K2821" s="8">
        <f t="shared" si="293"/>
        <v>42</v>
      </c>
      <c r="L2821" s="6">
        <v>7294.12</v>
      </c>
      <c r="M2821" s="9">
        <f t="shared" si="290"/>
        <v>48.62746666666667</v>
      </c>
      <c r="N2821" s="6">
        <v>7294.12</v>
      </c>
      <c r="O2821" s="6">
        <v>7294.12</v>
      </c>
    </row>
    <row r="2822" spans="1:15" ht="18.75" hidden="1" customHeight="1" thickBot="1" x14ac:dyDescent="0.3">
      <c r="A2822" s="3" t="s">
        <v>11</v>
      </c>
      <c r="B2822" s="4">
        <v>43248</v>
      </c>
      <c r="C2822" s="3" t="s">
        <v>22</v>
      </c>
      <c r="D2822" s="7">
        <v>0.08</v>
      </c>
      <c r="E2822" s="7">
        <f t="shared" si="291"/>
        <v>6.6666666666666671E-3</v>
      </c>
      <c r="F2822" s="5">
        <v>42818</v>
      </c>
      <c r="G2822" s="5">
        <v>2958465</v>
      </c>
      <c r="H2822" s="8">
        <f t="shared" si="292"/>
        <v>2915647</v>
      </c>
      <c r="I2822" s="5">
        <v>2958465</v>
      </c>
      <c r="J2822" s="5">
        <v>42824</v>
      </c>
      <c r="K2822" s="8">
        <f t="shared" si="293"/>
        <v>6</v>
      </c>
      <c r="L2822" s="6">
        <v>602.92999999999995</v>
      </c>
      <c r="M2822" s="9">
        <f t="shared" si="290"/>
        <v>4.0195333333333334</v>
      </c>
      <c r="N2822" s="6">
        <v>602.92999999999995</v>
      </c>
      <c r="O2822" s="6">
        <v>250</v>
      </c>
    </row>
    <row r="2823" spans="1:15" ht="18.75" hidden="1" customHeight="1" thickBot="1" x14ac:dyDescent="0.3">
      <c r="A2823" s="3" t="s">
        <v>11</v>
      </c>
      <c r="B2823" s="4">
        <v>155413</v>
      </c>
      <c r="C2823" s="3" t="s">
        <v>22</v>
      </c>
      <c r="D2823" s="7">
        <v>0.08</v>
      </c>
      <c r="E2823" s="7">
        <f t="shared" si="291"/>
        <v>6.6666666666666671E-3</v>
      </c>
      <c r="F2823" s="5">
        <v>43335</v>
      </c>
      <c r="G2823" s="5">
        <v>2958465</v>
      </c>
      <c r="H2823" s="8">
        <f t="shared" si="292"/>
        <v>2915130</v>
      </c>
      <c r="I2823" s="5">
        <v>2958465</v>
      </c>
      <c r="J2823" s="5">
        <v>43348</v>
      </c>
      <c r="K2823" s="8">
        <f t="shared" si="293"/>
        <v>13</v>
      </c>
      <c r="L2823" s="6">
        <v>628.58000000000004</v>
      </c>
      <c r="M2823" s="9">
        <f t="shared" si="290"/>
        <v>4.1905333333333337</v>
      </c>
      <c r="N2823" s="6">
        <v>528.99</v>
      </c>
      <c r="O2823" s="6">
        <v>0</v>
      </c>
    </row>
    <row r="2824" spans="1:15" ht="18.75" hidden="1" customHeight="1" thickBot="1" x14ac:dyDescent="0.3">
      <c r="A2824" s="3" t="s">
        <v>11</v>
      </c>
      <c r="B2824" s="4">
        <v>214445</v>
      </c>
      <c r="C2824" s="3" t="s">
        <v>22</v>
      </c>
      <c r="D2824" s="7">
        <v>7.0000000000000007E-2</v>
      </c>
      <c r="E2824" s="7">
        <f t="shared" si="291"/>
        <v>5.8333333333333336E-3</v>
      </c>
      <c r="F2824" s="5">
        <v>45617</v>
      </c>
      <c r="G2824" s="5">
        <v>2958465</v>
      </c>
      <c r="H2824" s="8">
        <f t="shared" si="292"/>
        <v>2912848</v>
      </c>
      <c r="I2824" s="5">
        <v>2958465</v>
      </c>
      <c r="J2824" s="5">
        <v>45618</v>
      </c>
      <c r="K2824" s="8">
        <f t="shared" si="293"/>
        <v>1</v>
      </c>
      <c r="L2824" s="6">
        <v>3310.21</v>
      </c>
      <c r="M2824" s="9">
        <f t="shared" si="290"/>
        <v>19.309558333333335</v>
      </c>
      <c r="N2824" s="6">
        <v>3310.21</v>
      </c>
      <c r="O2824" s="6">
        <v>362.43</v>
      </c>
    </row>
    <row r="2825" spans="1:15" ht="18.75" hidden="1" customHeight="1" thickBot="1" x14ac:dyDescent="0.3">
      <c r="A2825" s="3" t="s">
        <v>11</v>
      </c>
      <c r="B2825" s="4">
        <v>576051</v>
      </c>
      <c r="C2825" s="3" t="s">
        <v>22</v>
      </c>
      <c r="D2825" s="7">
        <v>0.09</v>
      </c>
      <c r="E2825" s="7">
        <f t="shared" si="291"/>
        <v>7.4999999999999997E-3</v>
      </c>
      <c r="F2825" s="5">
        <v>44935</v>
      </c>
      <c r="G2825" s="5">
        <v>2958465</v>
      </c>
      <c r="H2825" s="8">
        <f t="shared" si="292"/>
        <v>2913530</v>
      </c>
      <c r="I2825" s="5">
        <v>2958465</v>
      </c>
      <c r="J2825" s="5">
        <v>44936</v>
      </c>
      <c r="K2825" s="8">
        <f t="shared" si="293"/>
        <v>1</v>
      </c>
      <c r="L2825" s="6">
        <v>2334.46</v>
      </c>
      <c r="M2825" s="9">
        <f t="shared" si="290"/>
        <v>17.50845</v>
      </c>
      <c r="N2825" s="6">
        <v>2334.46</v>
      </c>
      <c r="O2825" s="6">
        <v>2334.46</v>
      </c>
    </row>
    <row r="2826" spans="1:15" ht="18.75" hidden="1" customHeight="1" thickBot="1" x14ac:dyDescent="0.3">
      <c r="A2826" s="3" t="s">
        <v>11</v>
      </c>
      <c r="B2826" s="4">
        <v>75819</v>
      </c>
      <c r="C2826" s="3" t="s">
        <v>22</v>
      </c>
      <c r="D2826" s="7">
        <v>9.2499999999999999E-2</v>
      </c>
      <c r="E2826" s="7">
        <f t="shared" si="291"/>
        <v>7.7083333333333335E-3</v>
      </c>
      <c r="F2826" s="5">
        <v>44810</v>
      </c>
      <c r="G2826" s="5">
        <v>2958465</v>
      </c>
      <c r="H2826" s="8">
        <f t="shared" si="292"/>
        <v>2913655</v>
      </c>
      <c r="I2826" s="5">
        <v>2958465</v>
      </c>
      <c r="J2826" s="5">
        <v>44811</v>
      </c>
      <c r="K2826" s="8">
        <f t="shared" si="293"/>
        <v>1</v>
      </c>
      <c r="L2826" s="6">
        <v>600.28</v>
      </c>
      <c r="M2826" s="9">
        <f t="shared" si="290"/>
        <v>4.627158333333333</v>
      </c>
      <c r="N2826" s="6">
        <v>600.28</v>
      </c>
      <c r="O2826" s="6">
        <v>300.95999999999998</v>
      </c>
    </row>
    <row r="2827" spans="1:15" ht="18.75" hidden="1" customHeight="1" thickBot="1" x14ac:dyDescent="0.3">
      <c r="A2827" s="3" t="s">
        <v>11</v>
      </c>
      <c r="B2827" s="4">
        <v>818709</v>
      </c>
      <c r="C2827" s="3" t="s">
        <v>22</v>
      </c>
      <c r="D2827" s="7">
        <v>0.08</v>
      </c>
      <c r="E2827" s="7">
        <f t="shared" si="291"/>
        <v>6.6666666666666671E-3</v>
      </c>
      <c r="F2827" s="5">
        <v>42639</v>
      </c>
      <c r="G2827" s="5">
        <v>2958465</v>
      </c>
      <c r="H2827" s="8">
        <f t="shared" si="292"/>
        <v>2915826</v>
      </c>
      <c r="I2827" s="5">
        <v>2958465</v>
      </c>
      <c r="J2827" s="5">
        <v>42643</v>
      </c>
      <c r="K2827" s="8">
        <f t="shared" si="293"/>
        <v>4</v>
      </c>
      <c r="L2827" s="6">
        <v>456.66</v>
      </c>
      <c r="M2827" s="9">
        <f t="shared" si="290"/>
        <v>3.0444000000000004</v>
      </c>
      <c r="N2827" s="6">
        <v>456.66</v>
      </c>
      <c r="O2827" s="6">
        <v>318.06</v>
      </c>
    </row>
    <row r="2828" spans="1:15" ht="18.75" hidden="1" customHeight="1" thickBot="1" x14ac:dyDescent="0.3">
      <c r="A2828" s="3" t="s">
        <v>11</v>
      </c>
      <c r="B2828" s="4">
        <v>921099</v>
      </c>
      <c r="C2828" s="3" t="s">
        <v>22</v>
      </c>
      <c r="D2828" s="7">
        <v>6.7500000000000004E-2</v>
      </c>
      <c r="E2828" s="7">
        <f t="shared" si="291"/>
        <v>5.6250000000000007E-3</v>
      </c>
      <c r="F2828" s="5">
        <v>45099</v>
      </c>
      <c r="G2828" s="5">
        <v>2958465</v>
      </c>
      <c r="H2828" s="8">
        <f t="shared" si="292"/>
        <v>2913366</v>
      </c>
      <c r="I2828" s="5">
        <v>2958465</v>
      </c>
      <c r="J2828" s="5">
        <v>45100</v>
      </c>
      <c r="K2828" s="8">
        <f t="shared" si="293"/>
        <v>1</v>
      </c>
      <c r="L2828" s="6">
        <v>106.48</v>
      </c>
      <c r="M2828" s="9">
        <f t="shared" si="290"/>
        <v>0.59895000000000009</v>
      </c>
      <c r="N2828" s="6">
        <v>106.48</v>
      </c>
      <c r="O2828" s="6">
        <v>0</v>
      </c>
    </row>
    <row r="2829" spans="1:15" ht="18.75" hidden="1" customHeight="1" thickBot="1" x14ac:dyDescent="0.3">
      <c r="A2829" s="3" t="s">
        <v>11</v>
      </c>
      <c r="B2829" s="4">
        <v>958060</v>
      </c>
      <c r="C2829" s="3" t="s">
        <v>15</v>
      </c>
      <c r="D2829" s="7">
        <v>0.154</v>
      </c>
      <c r="E2829" s="7">
        <f t="shared" si="291"/>
        <v>1.2833333333333334E-2</v>
      </c>
      <c r="F2829" s="5">
        <v>44413</v>
      </c>
      <c r="G2829" s="5">
        <v>2958465</v>
      </c>
      <c r="H2829" s="8">
        <f t="shared" si="292"/>
        <v>2914052</v>
      </c>
      <c r="I2829" s="5">
        <v>2958465</v>
      </c>
      <c r="J2829" s="5">
        <v>44414</v>
      </c>
      <c r="K2829" s="8">
        <f t="shared" si="293"/>
        <v>1</v>
      </c>
      <c r="L2829" s="6">
        <v>361.59</v>
      </c>
      <c r="M2829" s="9">
        <f t="shared" si="290"/>
        <v>4.6404049999999994</v>
      </c>
      <c r="N2829" s="6">
        <v>361.59</v>
      </c>
      <c r="O2829" s="6">
        <v>361.59</v>
      </c>
    </row>
    <row r="2830" spans="1:15" ht="18.75" hidden="1" customHeight="1" thickBot="1" x14ac:dyDescent="0.3">
      <c r="A2830" s="3" t="s">
        <v>11</v>
      </c>
      <c r="B2830" s="4">
        <v>264780</v>
      </c>
      <c r="C2830" s="3" t="s">
        <v>22</v>
      </c>
      <c r="D2830" s="7">
        <v>0.08</v>
      </c>
      <c r="E2830" s="7">
        <f t="shared" si="291"/>
        <v>6.6666666666666671E-3</v>
      </c>
      <c r="F2830" s="5">
        <v>43067</v>
      </c>
      <c r="G2830" s="5">
        <v>2958465</v>
      </c>
      <c r="H2830" s="8">
        <f t="shared" si="292"/>
        <v>2915398</v>
      </c>
      <c r="I2830" s="5">
        <v>2958465</v>
      </c>
      <c r="J2830" s="5">
        <v>43096</v>
      </c>
      <c r="K2830" s="8">
        <f t="shared" si="293"/>
        <v>29</v>
      </c>
      <c r="L2830" s="6">
        <v>534.26</v>
      </c>
      <c r="M2830" s="9">
        <f t="shared" si="290"/>
        <v>3.5617333333333336</v>
      </c>
      <c r="N2830" s="6">
        <v>534.26</v>
      </c>
      <c r="O2830" s="6">
        <v>221.05</v>
      </c>
    </row>
    <row r="2831" spans="1:15" ht="18.75" hidden="1" customHeight="1" thickBot="1" x14ac:dyDescent="0.3">
      <c r="A2831" s="3" t="s">
        <v>11</v>
      </c>
      <c r="B2831" s="4">
        <v>378787</v>
      </c>
      <c r="C2831" s="3" t="s">
        <v>22</v>
      </c>
      <c r="D2831" s="7">
        <v>0.08</v>
      </c>
      <c r="E2831" s="7">
        <f t="shared" si="291"/>
        <v>6.6666666666666671E-3</v>
      </c>
      <c r="F2831" s="5">
        <v>43913</v>
      </c>
      <c r="G2831" s="5">
        <v>2958465</v>
      </c>
      <c r="H2831" s="8">
        <f t="shared" si="292"/>
        <v>2914552</v>
      </c>
      <c r="I2831" s="5">
        <v>2958465</v>
      </c>
      <c r="J2831" s="5">
        <v>43916</v>
      </c>
      <c r="K2831" s="8">
        <f t="shared" si="293"/>
        <v>3</v>
      </c>
      <c r="L2831" s="6">
        <v>3420.07</v>
      </c>
      <c r="M2831" s="9">
        <f t="shared" si="290"/>
        <v>22.800466666666669</v>
      </c>
      <c r="N2831" s="6">
        <v>3420.07</v>
      </c>
      <c r="O2831" s="6">
        <v>3420.07</v>
      </c>
    </row>
    <row r="2832" spans="1:15" ht="18.75" hidden="1" customHeight="1" thickBot="1" x14ac:dyDescent="0.3">
      <c r="A2832" s="3" t="s">
        <v>11</v>
      </c>
      <c r="B2832" s="4">
        <v>948872</v>
      </c>
      <c r="C2832" s="3" t="s">
        <v>22</v>
      </c>
      <c r="D2832" s="7">
        <v>9.5000000000000001E-2</v>
      </c>
      <c r="E2832" s="7">
        <f t="shared" si="291"/>
        <v>7.9166666666666673E-3</v>
      </c>
      <c r="F2832" s="5">
        <v>44848</v>
      </c>
      <c r="G2832" s="5">
        <v>2958465</v>
      </c>
      <c r="H2832" s="8">
        <f t="shared" si="292"/>
        <v>2913617</v>
      </c>
      <c r="I2832" s="5">
        <v>2958465</v>
      </c>
      <c r="J2832" s="5">
        <v>44883</v>
      </c>
      <c r="K2832" s="8">
        <f t="shared" si="293"/>
        <v>35</v>
      </c>
      <c r="L2832" s="6">
        <v>1568.84</v>
      </c>
      <c r="M2832" s="9">
        <f t="shared" si="290"/>
        <v>12.419983333333334</v>
      </c>
      <c r="N2832" s="6">
        <v>1493.84</v>
      </c>
      <c r="O2832" s="6">
        <v>1493.84</v>
      </c>
    </row>
    <row r="2833" spans="1:15" ht="18.75" hidden="1" customHeight="1" thickBot="1" x14ac:dyDescent="0.3">
      <c r="A2833" s="3" t="s">
        <v>11</v>
      </c>
      <c r="B2833" s="4">
        <v>747024</v>
      </c>
      <c r="C2833" s="3" t="s">
        <v>22</v>
      </c>
      <c r="D2833" s="7">
        <v>6.7500000000000004E-2</v>
      </c>
      <c r="E2833" s="7">
        <f t="shared" si="291"/>
        <v>5.6250000000000007E-3</v>
      </c>
      <c r="F2833" s="5">
        <v>45362</v>
      </c>
      <c r="G2833" s="5">
        <v>2958465</v>
      </c>
      <c r="H2833" s="8">
        <f t="shared" si="292"/>
        <v>2913103</v>
      </c>
      <c r="I2833" s="5">
        <v>2958465</v>
      </c>
      <c r="J2833" s="5">
        <v>45363</v>
      </c>
      <c r="K2833" s="8">
        <f t="shared" si="293"/>
        <v>1</v>
      </c>
      <c r="L2833" s="6">
        <v>3298.4</v>
      </c>
      <c r="M2833" s="9">
        <f t="shared" si="290"/>
        <v>18.553500000000003</v>
      </c>
      <c r="N2833" s="6">
        <v>3298.4</v>
      </c>
      <c r="O2833" s="6">
        <v>14.16</v>
      </c>
    </row>
    <row r="2834" spans="1:15" ht="18.75" hidden="1" customHeight="1" thickBot="1" x14ac:dyDescent="0.3">
      <c r="A2834" s="3" t="s">
        <v>11</v>
      </c>
      <c r="B2834" s="4">
        <v>284973</v>
      </c>
      <c r="C2834" s="3" t="s">
        <v>15</v>
      </c>
      <c r="D2834" s="7">
        <v>0.1515</v>
      </c>
      <c r="E2834" s="7">
        <f t="shared" si="291"/>
        <v>1.2624999999999999E-2</v>
      </c>
      <c r="F2834" s="5">
        <v>44413</v>
      </c>
      <c r="G2834" s="5">
        <v>2958465</v>
      </c>
      <c r="H2834" s="8">
        <f t="shared" si="292"/>
        <v>2914052</v>
      </c>
      <c r="I2834" s="5">
        <v>2958465</v>
      </c>
      <c r="J2834" s="5">
        <v>44414</v>
      </c>
      <c r="K2834" s="8">
        <f t="shared" si="293"/>
        <v>1</v>
      </c>
      <c r="L2834" s="6">
        <v>393.64</v>
      </c>
      <c r="M2834" s="9">
        <f t="shared" si="290"/>
        <v>4.9697049999999994</v>
      </c>
      <c r="N2834" s="6">
        <v>393.64</v>
      </c>
      <c r="O2834" s="6">
        <v>145.94999999999999</v>
      </c>
    </row>
    <row r="2835" spans="1:15" ht="18.75" hidden="1" customHeight="1" thickBot="1" x14ac:dyDescent="0.3">
      <c r="A2835" s="3" t="s">
        <v>11</v>
      </c>
      <c r="B2835" s="4">
        <v>337110</v>
      </c>
      <c r="C2835" s="3" t="s">
        <v>22</v>
      </c>
      <c r="D2835" s="7">
        <v>7.0000000000000007E-2</v>
      </c>
      <c r="E2835" s="7">
        <f t="shared" si="291"/>
        <v>5.8333333333333336E-3</v>
      </c>
      <c r="F2835" s="5">
        <v>45617</v>
      </c>
      <c r="G2835" s="5">
        <v>2958465</v>
      </c>
      <c r="H2835" s="8">
        <f t="shared" si="292"/>
        <v>2912848</v>
      </c>
      <c r="I2835" s="5">
        <v>2958465</v>
      </c>
      <c r="J2835" s="5">
        <v>45618</v>
      </c>
      <c r="K2835" s="8">
        <f t="shared" si="293"/>
        <v>1</v>
      </c>
      <c r="L2835" s="6">
        <v>1176.98</v>
      </c>
      <c r="M2835" s="9">
        <f t="shared" si="290"/>
        <v>6.8657166666666667</v>
      </c>
      <c r="N2835" s="6">
        <v>1176.98</v>
      </c>
      <c r="O2835" s="6">
        <v>90.98</v>
      </c>
    </row>
    <row r="2836" spans="1:15" ht="18.75" hidden="1" customHeight="1" thickBot="1" x14ac:dyDescent="0.3">
      <c r="A2836" s="3" t="s">
        <v>11</v>
      </c>
      <c r="B2836" s="4">
        <v>568360</v>
      </c>
      <c r="C2836" s="3" t="s">
        <v>22</v>
      </c>
      <c r="D2836" s="7">
        <v>0.08</v>
      </c>
      <c r="E2836" s="7">
        <f t="shared" si="291"/>
        <v>6.6666666666666671E-3</v>
      </c>
      <c r="F2836" s="5">
        <v>43277</v>
      </c>
      <c r="G2836" s="5">
        <v>2958465</v>
      </c>
      <c r="H2836" s="8">
        <f t="shared" si="292"/>
        <v>2915188</v>
      </c>
      <c r="I2836" s="5">
        <v>2958465</v>
      </c>
      <c r="J2836" s="5">
        <v>43278</v>
      </c>
      <c r="K2836" s="8">
        <f t="shared" si="293"/>
        <v>1</v>
      </c>
      <c r="L2836" s="6">
        <v>3130.19</v>
      </c>
      <c r="M2836" s="9">
        <f t="shared" si="290"/>
        <v>20.867933333333337</v>
      </c>
      <c r="N2836" s="6">
        <v>3130.19</v>
      </c>
      <c r="O2836" s="6">
        <v>1928.25</v>
      </c>
    </row>
    <row r="2837" spans="1:15" ht="18.75" hidden="1" customHeight="1" thickBot="1" x14ac:dyDescent="0.3">
      <c r="A2837" s="3" t="s">
        <v>11</v>
      </c>
      <c r="B2837" s="4">
        <v>591962</v>
      </c>
      <c r="C2837" s="3" t="s">
        <v>22</v>
      </c>
      <c r="D2837" s="7">
        <v>7.2499999999999995E-2</v>
      </c>
      <c r="E2837" s="7">
        <f t="shared" si="291"/>
        <v>6.0416666666666665E-3</v>
      </c>
      <c r="F2837" s="5">
        <v>45699</v>
      </c>
      <c r="G2837" s="5">
        <v>2958465</v>
      </c>
      <c r="H2837" s="8">
        <f t="shared" si="292"/>
        <v>2912766</v>
      </c>
      <c r="I2837" s="5">
        <v>2958465</v>
      </c>
      <c r="J2837" s="5">
        <v>45700</v>
      </c>
      <c r="K2837" s="8">
        <f t="shared" si="293"/>
        <v>1</v>
      </c>
      <c r="L2837" s="6">
        <v>803.71</v>
      </c>
      <c r="M2837" s="9">
        <f t="shared" si="290"/>
        <v>4.8557479166666671</v>
      </c>
      <c r="N2837" s="6">
        <v>803.71</v>
      </c>
      <c r="O2837" s="6">
        <v>0</v>
      </c>
    </row>
    <row r="2838" spans="1:15" ht="18.75" hidden="1" customHeight="1" thickBot="1" x14ac:dyDescent="0.3">
      <c r="A2838" s="3" t="s">
        <v>11</v>
      </c>
      <c r="B2838" s="4">
        <v>994889</v>
      </c>
      <c r="C2838" s="3" t="s">
        <v>15</v>
      </c>
      <c r="D2838" s="7">
        <v>0.1515</v>
      </c>
      <c r="E2838" s="7">
        <f t="shared" si="291"/>
        <v>1.2624999999999999E-2</v>
      </c>
      <c r="F2838" s="5">
        <v>44077</v>
      </c>
      <c r="G2838" s="5">
        <v>2958465</v>
      </c>
      <c r="H2838" s="8">
        <f t="shared" si="292"/>
        <v>2914388</v>
      </c>
      <c r="I2838" s="5">
        <v>2958465</v>
      </c>
      <c r="J2838" s="5">
        <v>44078</v>
      </c>
      <c r="K2838" s="8">
        <f t="shared" si="293"/>
        <v>1</v>
      </c>
      <c r="L2838" s="6">
        <v>458.81</v>
      </c>
      <c r="M2838" s="9">
        <f t="shared" si="290"/>
        <v>5.79247625</v>
      </c>
      <c r="N2838" s="6">
        <v>458.81</v>
      </c>
      <c r="O2838" s="6">
        <v>277.89</v>
      </c>
    </row>
    <row r="2839" spans="1:15" ht="18.75" hidden="1" customHeight="1" thickBot="1" x14ac:dyDescent="0.3">
      <c r="A2839" s="3" t="s">
        <v>11</v>
      </c>
      <c r="B2839" s="4">
        <v>494307</v>
      </c>
      <c r="C2839" s="3" t="s">
        <v>22</v>
      </c>
      <c r="D2839" s="7">
        <v>0.08</v>
      </c>
      <c r="E2839" s="7">
        <f t="shared" si="291"/>
        <v>6.6666666666666671E-3</v>
      </c>
      <c r="F2839" s="5">
        <v>42849</v>
      </c>
      <c r="G2839" s="5">
        <v>2958465</v>
      </c>
      <c r="H2839" s="8">
        <f t="shared" si="292"/>
        <v>2915616</v>
      </c>
      <c r="I2839" s="5">
        <v>2958465</v>
      </c>
      <c r="J2839" s="5">
        <v>42856</v>
      </c>
      <c r="K2839" s="8">
        <f t="shared" si="293"/>
        <v>7</v>
      </c>
      <c r="L2839" s="6">
        <v>899.61</v>
      </c>
      <c r="M2839" s="9">
        <f t="shared" si="290"/>
        <v>5.9974000000000007</v>
      </c>
      <c r="N2839" s="6">
        <v>899.61</v>
      </c>
      <c r="O2839" s="6">
        <v>0</v>
      </c>
    </row>
    <row r="2840" spans="1:15" ht="18.75" hidden="1" customHeight="1" thickBot="1" x14ac:dyDescent="0.3">
      <c r="A2840" s="3" t="s">
        <v>11</v>
      </c>
      <c r="B2840" s="4">
        <v>257068</v>
      </c>
      <c r="C2840" s="3" t="s">
        <v>22</v>
      </c>
      <c r="D2840" s="7">
        <v>0.08</v>
      </c>
      <c r="E2840" s="7">
        <f t="shared" si="291"/>
        <v>6.6666666666666671E-3</v>
      </c>
      <c r="F2840" s="5">
        <v>42972</v>
      </c>
      <c r="G2840" s="5">
        <v>2958465</v>
      </c>
      <c r="H2840" s="8">
        <f t="shared" si="292"/>
        <v>2915493</v>
      </c>
      <c r="I2840" s="5">
        <v>2958465</v>
      </c>
      <c r="J2840" s="5">
        <v>42979</v>
      </c>
      <c r="K2840" s="8">
        <f t="shared" si="293"/>
        <v>7</v>
      </c>
      <c r="L2840" s="6">
        <v>1548.65</v>
      </c>
      <c r="M2840" s="9">
        <f t="shared" si="290"/>
        <v>10.324333333333335</v>
      </c>
      <c r="N2840" s="6">
        <v>1548.65</v>
      </c>
      <c r="O2840" s="6">
        <v>1548.65</v>
      </c>
    </row>
    <row r="2841" spans="1:15" ht="18.75" hidden="1" customHeight="1" thickBot="1" x14ac:dyDescent="0.3">
      <c r="A2841" s="3" t="s">
        <v>11</v>
      </c>
      <c r="B2841" s="4">
        <v>296162</v>
      </c>
      <c r="C2841" s="3" t="s">
        <v>22</v>
      </c>
      <c r="D2841" s="7">
        <v>0.08</v>
      </c>
      <c r="E2841" s="7">
        <f t="shared" si="291"/>
        <v>6.6666666666666671E-3</v>
      </c>
      <c r="F2841" s="5">
        <v>43255</v>
      </c>
      <c r="G2841" s="5">
        <v>2958465</v>
      </c>
      <c r="H2841" s="8">
        <f t="shared" si="292"/>
        <v>2915210</v>
      </c>
      <c r="I2841" s="5">
        <v>2958465</v>
      </c>
      <c r="J2841" s="5">
        <v>43256</v>
      </c>
      <c r="K2841" s="8">
        <f t="shared" si="293"/>
        <v>1</v>
      </c>
      <c r="L2841" s="6">
        <v>717.31</v>
      </c>
      <c r="M2841" s="9">
        <f t="shared" si="290"/>
        <v>4.7820666666666662</v>
      </c>
      <c r="N2841" s="6">
        <v>717.31</v>
      </c>
      <c r="O2841" s="6">
        <v>277.67</v>
      </c>
    </row>
    <row r="2842" spans="1:15" ht="18.75" hidden="1" customHeight="1" thickBot="1" x14ac:dyDescent="0.3">
      <c r="A2842" s="3" t="s">
        <v>11</v>
      </c>
      <c r="B2842" s="4">
        <v>801522</v>
      </c>
      <c r="C2842" s="3" t="s">
        <v>22</v>
      </c>
      <c r="D2842" s="7">
        <v>0.08</v>
      </c>
      <c r="E2842" s="7">
        <f t="shared" si="291"/>
        <v>6.6666666666666671E-3</v>
      </c>
      <c r="F2842" s="5">
        <v>43369</v>
      </c>
      <c r="G2842" s="5">
        <v>2958465</v>
      </c>
      <c r="H2842" s="8">
        <f t="shared" si="292"/>
        <v>2915096</v>
      </c>
      <c r="I2842" s="5">
        <v>2958465</v>
      </c>
      <c r="J2842" s="5">
        <v>43371</v>
      </c>
      <c r="K2842" s="8">
        <f t="shared" si="293"/>
        <v>2</v>
      </c>
      <c r="L2842" s="6">
        <v>880.53</v>
      </c>
      <c r="M2842" s="9">
        <f t="shared" si="290"/>
        <v>5.8702000000000005</v>
      </c>
      <c r="N2842" s="6">
        <v>780.53</v>
      </c>
      <c r="O2842" s="6">
        <v>25</v>
      </c>
    </row>
    <row r="2843" spans="1:15" ht="18.75" hidden="1" customHeight="1" thickBot="1" x14ac:dyDescent="0.3">
      <c r="A2843" s="3" t="s">
        <v>11</v>
      </c>
      <c r="B2843" s="4">
        <v>478982</v>
      </c>
      <c r="C2843" s="3" t="s">
        <v>15</v>
      </c>
      <c r="D2843" s="7">
        <v>0.16900000000000001</v>
      </c>
      <c r="E2843" s="7">
        <f t="shared" si="291"/>
        <v>1.4083333333333335E-2</v>
      </c>
      <c r="F2843" s="5">
        <v>44186</v>
      </c>
      <c r="G2843" s="5">
        <v>2958465</v>
      </c>
      <c r="H2843" s="8">
        <f t="shared" si="292"/>
        <v>2914279</v>
      </c>
      <c r="I2843" s="5">
        <v>2958465</v>
      </c>
      <c r="J2843" s="5">
        <v>44187</v>
      </c>
      <c r="K2843" s="8">
        <f t="shared" si="293"/>
        <v>1</v>
      </c>
      <c r="L2843" s="6">
        <v>517.35</v>
      </c>
      <c r="M2843" s="9">
        <f t="shared" si="290"/>
        <v>7.2860125000000009</v>
      </c>
      <c r="N2843" s="6">
        <v>517.35</v>
      </c>
      <c r="O2843" s="6">
        <v>517.35</v>
      </c>
    </row>
    <row r="2844" spans="1:15" ht="18.75" hidden="1" customHeight="1" thickBot="1" x14ac:dyDescent="0.3">
      <c r="A2844" s="3" t="s">
        <v>11</v>
      </c>
      <c r="B2844" s="4">
        <v>149923</v>
      </c>
      <c r="C2844" s="3" t="s">
        <v>15</v>
      </c>
      <c r="D2844" s="7">
        <v>0.1515</v>
      </c>
      <c r="E2844" s="7">
        <f t="shared" si="291"/>
        <v>1.2624999999999999E-2</v>
      </c>
      <c r="F2844" s="5">
        <v>44193</v>
      </c>
      <c r="G2844" s="5">
        <v>2958465</v>
      </c>
      <c r="H2844" s="8">
        <f t="shared" si="292"/>
        <v>2914272</v>
      </c>
      <c r="I2844" s="5">
        <v>2958465</v>
      </c>
      <c r="J2844" s="5">
        <v>44195</v>
      </c>
      <c r="K2844" s="8">
        <f t="shared" si="293"/>
        <v>2</v>
      </c>
      <c r="L2844" s="6">
        <v>384.79</v>
      </c>
      <c r="M2844" s="9">
        <f t="shared" si="290"/>
        <v>4.8579737500000002</v>
      </c>
      <c r="N2844" s="6">
        <v>384.79</v>
      </c>
      <c r="O2844" s="6">
        <v>235.89</v>
      </c>
    </row>
    <row r="2845" spans="1:15" ht="18.75" hidden="1" customHeight="1" thickBot="1" x14ac:dyDescent="0.3">
      <c r="A2845" s="3" t="s">
        <v>11</v>
      </c>
      <c r="B2845" s="4">
        <v>583236</v>
      </c>
      <c r="C2845" s="3" t="s">
        <v>22</v>
      </c>
      <c r="D2845" s="7">
        <v>0.08</v>
      </c>
      <c r="E2845" s="7">
        <f t="shared" si="291"/>
        <v>6.6666666666666671E-3</v>
      </c>
      <c r="F2845" s="5">
        <v>45265</v>
      </c>
      <c r="G2845" s="5">
        <v>2958465</v>
      </c>
      <c r="H2845" s="8">
        <f t="shared" si="292"/>
        <v>2913200</v>
      </c>
      <c r="I2845" s="5">
        <v>2958465</v>
      </c>
      <c r="J2845" s="5">
        <v>45266</v>
      </c>
      <c r="K2845" s="8">
        <f t="shared" si="293"/>
        <v>1</v>
      </c>
      <c r="L2845" s="6">
        <v>387.2</v>
      </c>
      <c r="M2845" s="9">
        <f t="shared" si="290"/>
        <v>2.5813333333333333</v>
      </c>
      <c r="N2845" s="6">
        <v>387.2</v>
      </c>
      <c r="O2845" s="6">
        <v>387.2</v>
      </c>
    </row>
    <row r="2846" spans="1:15" ht="18.75" hidden="1" customHeight="1" thickBot="1" x14ac:dyDescent="0.3">
      <c r="A2846" s="3" t="s">
        <v>11</v>
      </c>
      <c r="B2846" s="4">
        <v>527246</v>
      </c>
      <c r="C2846" s="3" t="s">
        <v>22</v>
      </c>
      <c r="D2846" s="7">
        <v>0.08</v>
      </c>
      <c r="E2846" s="7">
        <f t="shared" si="291"/>
        <v>6.6666666666666671E-3</v>
      </c>
      <c r="F2846" s="5">
        <v>43879</v>
      </c>
      <c r="G2846" s="5">
        <v>2958465</v>
      </c>
      <c r="H2846" s="8">
        <f t="shared" si="292"/>
        <v>2914586</v>
      </c>
      <c r="I2846" s="5">
        <v>2958465</v>
      </c>
      <c r="J2846" s="5">
        <v>43887</v>
      </c>
      <c r="K2846" s="8">
        <f t="shared" si="293"/>
        <v>8</v>
      </c>
      <c r="L2846" s="6">
        <v>904.02</v>
      </c>
      <c r="M2846" s="9">
        <f t="shared" si="290"/>
        <v>6.0268000000000006</v>
      </c>
      <c r="N2846" s="6">
        <v>904.02</v>
      </c>
      <c r="O2846" s="6">
        <v>904.02</v>
      </c>
    </row>
    <row r="2847" spans="1:15" ht="18.75" hidden="1" customHeight="1" thickBot="1" x14ac:dyDescent="0.3">
      <c r="A2847" s="3" t="s">
        <v>11</v>
      </c>
      <c r="B2847" s="4">
        <v>655512</v>
      </c>
      <c r="C2847" s="3" t="s">
        <v>22</v>
      </c>
      <c r="D2847" s="7">
        <v>0.08</v>
      </c>
      <c r="E2847" s="7">
        <f t="shared" si="291"/>
        <v>6.6666666666666671E-3</v>
      </c>
      <c r="F2847" s="5">
        <v>43608</v>
      </c>
      <c r="G2847" s="5">
        <v>2958465</v>
      </c>
      <c r="H2847" s="8">
        <f t="shared" si="292"/>
        <v>2914857</v>
      </c>
      <c r="I2847" s="5">
        <v>2958465</v>
      </c>
      <c r="J2847" s="5">
        <v>43609</v>
      </c>
      <c r="K2847" s="8">
        <f t="shared" si="293"/>
        <v>1</v>
      </c>
      <c r="L2847" s="6">
        <v>703.02</v>
      </c>
      <c r="M2847" s="9">
        <f t="shared" si="290"/>
        <v>4.6867999999999999</v>
      </c>
      <c r="N2847" s="6">
        <v>703.02</v>
      </c>
      <c r="O2847" s="6">
        <v>703.02</v>
      </c>
    </row>
    <row r="2848" spans="1:15" ht="18.75" hidden="1" customHeight="1" thickBot="1" x14ac:dyDescent="0.3">
      <c r="A2848" s="3" t="s">
        <v>11</v>
      </c>
      <c r="B2848" s="4">
        <v>851702</v>
      </c>
      <c r="C2848" s="3" t="s">
        <v>22</v>
      </c>
      <c r="D2848" s="7">
        <v>0.08</v>
      </c>
      <c r="E2848" s="7">
        <f t="shared" si="291"/>
        <v>6.6666666666666671E-3</v>
      </c>
      <c r="F2848" s="5">
        <v>43167</v>
      </c>
      <c r="G2848" s="5">
        <v>2958465</v>
      </c>
      <c r="H2848" s="8">
        <f t="shared" si="292"/>
        <v>2915298</v>
      </c>
      <c r="I2848" s="5">
        <v>2958465</v>
      </c>
      <c r="J2848" s="5">
        <v>43178</v>
      </c>
      <c r="K2848" s="8">
        <f t="shared" si="293"/>
        <v>11</v>
      </c>
      <c r="L2848" s="6">
        <v>777.24</v>
      </c>
      <c r="M2848" s="9">
        <f t="shared" si="290"/>
        <v>5.1816000000000004</v>
      </c>
      <c r="N2848" s="6">
        <v>777.24</v>
      </c>
      <c r="O2848" s="6">
        <v>414.15</v>
      </c>
    </row>
    <row r="2849" spans="1:15" ht="18.75" hidden="1" customHeight="1" thickBot="1" x14ac:dyDescent="0.3">
      <c r="A2849" s="3" t="s">
        <v>11</v>
      </c>
      <c r="B2849" s="4">
        <v>324501</v>
      </c>
      <c r="C2849" s="3" t="s">
        <v>22</v>
      </c>
      <c r="D2849" s="7">
        <v>6.7500000000000004E-2</v>
      </c>
      <c r="E2849" s="7">
        <f t="shared" si="291"/>
        <v>5.6250000000000007E-3</v>
      </c>
      <c r="F2849" s="5">
        <v>45098</v>
      </c>
      <c r="G2849" s="5">
        <v>2958465</v>
      </c>
      <c r="H2849" s="8">
        <f t="shared" si="292"/>
        <v>2913367</v>
      </c>
      <c r="I2849" s="5">
        <v>2958465</v>
      </c>
      <c r="J2849" s="5">
        <v>45099</v>
      </c>
      <c r="K2849" s="8">
        <f t="shared" si="293"/>
        <v>1</v>
      </c>
      <c r="L2849" s="6">
        <v>641.61</v>
      </c>
      <c r="M2849" s="9">
        <f t="shared" si="290"/>
        <v>3.6090562500000005</v>
      </c>
      <c r="N2849" s="6">
        <v>641.61</v>
      </c>
      <c r="O2849" s="6">
        <v>0</v>
      </c>
    </row>
    <row r="2850" spans="1:15" ht="18.75" hidden="1" customHeight="1" thickBot="1" x14ac:dyDescent="0.3">
      <c r="A2850" s="3" t="s">
        <v>11</v>
      </c>
      <c r="B2850" s="4">
        <v>861795</v>
      </c>
      <c r="C2850" s="3" t="s">
        <v>22</v>
      </c>
      <c r="D2850" s="7">
        <v>0.08</v>
      </c>
      <c r="E2850" s="7">
        <f t="shared" si="291"/>
        <v>6.6666666666666671E-3</v>
      </c>
      <c r="F2850" s="5">
        <v>44053</v>
      </c>
      <c r="G2850" s="5">
        <v>2958465</v>
      </c>
      <c r="H2850" s="8">
        <f t="shared" si="292"/>
        <v>2914412</v>
      </c>
      <c r="I2850" s="5">
        <v>2958465</v>
      </c>
      <c r="J2850" s="5">
        <v>44054</v>
      </c>
      <c r="K2850" s="8">
        <f t="shared" si="293"/>
        <v>1</v>
      </c>
      <c r="L2850" s="6">
        <v>76.680000000000007</v>
      </c>
      <c r="M2850" s="9">
        <f t="shared" si="290"/>
        <v>0.5112000000000001</v>
      </c>
      <c r="N2850" s="6">
        <v>76.680000000000007</v>
      </c>
      <c r="O2850" s="6">
        <v>0</v>
      </c>
    </row>
    <row r="2851" spans="1:15" ht="18.75" hidden="1" customHeight="1" thickBot="1" x14ac:dyDescent="0.3">
      <c r="A2851" s="3" t="s">
        <v>11</v>
      </c>
      <c r="B2851" s="4">
        <v>856408</v>
      </c>
      <c r="C2851" s="3" t="s">
        <v>22</v>
      </c>
      <c r="D2851" s="7">
        <v>0.08</v>
      </c>
      <c r="E2851" s="7">
        <f t="shared" si="291"/>
        <v>6.6666666666666671E-3</v>
      </c>
      <c r="F2851" s="5">
        <v>43608</v>
      </c>
      <c r="G2851" s="5">
        <v>2958465</v>
      </c>
      <c r="H2851" s="8">
        <f t="shared" si="292"/>
        <v>2914857</v>
      </c>
      <c r="I2851" s="5">
        <v>2958465</v>
      </c>
      <c r="J2851" s="5">
        <v>43609</v>
      </c>
      <c r="K2851" s="8">
        <f t="shared" si="293"/>
        <v>1</v>
      </c>
      <c r="L2851" s="6">
        <v>1310.3</v>
      </c>
      <c r="M2851" s="9">
        <f t="shared" si="290"/>
        <v>8.7353333333333332</v>
      </c>
      <c r="N2851" s="6">
        <v>1310.3</v>
      </c>
      <c r="O2851" s="6">
        <v>1310.3</v>
      </c>
    </row>
    <row r="2852" spans="1:15" ht="18.75" hidden="1" customHeight="1" thickBot="1" x14ac:dyDescent="0.3">
      <c r="A2852" s="3" t="s">
        <v>11</v>
      </c>
      <c r="B2852" s="4">
        <v>536869</v>
      </c>
      <c r="C2852" s="3" t="s">
        <v>22</v>
      </c>
      <c r="D2852" s="7">
        <v>0.08</v>
      </c>
      <c r="E2852" s="7">
        <f t="shared" si="291"/>
        <v>6.6666666666666671E-3</v>
      </c>
      <c r="F2852" s="5">
        <v>43335</v>
      </c>
      <c r="G2852" s="5">
        <v>2958465</v>
      </c>
      <c r="H2852" s="8">
        <f t="shared" si="292"/>
        <v>2915130</v>
      </c>
      <c r="I2852" s="5">
        <v>2958465</v>
      </c>
      <c r="J2852" s="5">
        <v>43348</v>
      </c>
      <c r="K2852" s="8">
        <f t="shared" si="293"/>
        <v>13</v>
      </c>
      <c r="L2852" s="6">
        <v>823.26</v>
      </c>
      <c r="M2852" s="9">
        <f t="shared" si="290"/>
        <v>5.4884000000000004</v>
      </c>
      <c r="N2852" s="6">
        <v>723.8</v>
      </c>
      <c r="O2852" s="6">
        <v>723.8</v>
      </c>
    </row>
    <row r="2853" spans="1:15" ht="18.75" hidden="1" customHeight="1" thickBot="1" x14ac:dyDescent="0.3">
      <c r="A2853" s="3" t="s">
        <v>11</v>
      </c>
      <c r="B2853" s="4">
        <v>837786</v>
      </c>
      <c r="C2853" s="3" t="s">
        <v>22</v>
      </c>
      <c r="D2853" s="7">
        <v>0.08</v>
      </c>
      <c r="E2853" s="7">
        <f t="shared" si="291"/>
        <v>6.6666666666666671E-3</v>
      </c>
      <c r="F2853" s="5">
        <v>43913</v>
      </c>
      <c r="G2853" s="5">
        <v>2958465</v>
      </c>
      <c r="H2853" s="8">
        <f t="shared" si="292"/>
        <v>2914552</v>
      </c>
      <c r="I2853" s="5">
        <v>2958465</v>
      </c>
      <c r="J2853" s="5">
        <v>43916</v>
      </c>
      <c r="K2853" s="8">
        <f t="shared" si="293"/>
        <v>3</v>
      </c>
      <c r="L2853" s="6">
        <v>1942.42</v>
      </c>
      <c r="M2853" s="9">
        <f t="shared" si="290"/>
        <v>12.949466666666668</v>
      </c>
      <c r="N2853" s="6">
        <v>1942.42</v>
      </c>
      <c r="O2853" s="6">
        <v>0</v>
      </c>
    </row>
    <row r="2854" spans="1:15" ht="18.75" hidden="1" customHeight="1" thickBot="1" x14ac:dyDescent="0.3">
      <c r="A2854" s="3" t="s">
        <v>11</v>
      </c>
      <c r="B2854" s="4">
        <v>534397</v>
      </c>
      <c r="C2854" s="3" t="s">
        <v>22</v>
      </c>
      <c r="D2854" s="7">
        <v>7.7499999999999999E-2</v>
      </c>
      <c r="E2854" s="7">
        <f t="shared" si="291"/>
        <v>6.4583333333333333E-3</v>
      </c>
      <c r="F2854" s="5">
        <v>44881</v>
      </c>
      <c r="G2854" s="5">
        <v>2958465</v>
      </c>
      <c r="H2854" s="8">
        <f t="shared" si="292"/>
        <v>2913584</v>
      </c>
      <c r="I2854" s="5">
        <v>2958465</v>
      </c>
      <c r="J2854" s="5">
        <v>44882</v>
      </c>
      <c r="K2854" s="8">
        <f t="shared" si="293"/>
        <v>1</v>
      </c>
      <c r="L2854" s="6">
        <v>3035.49</v>
      </c>
      <c r="M2854" s="9">
        <f t="shared" si="290"/>
        <v>19.604206249999997</v>
      </c>
      <c r="N2854" s="6">
        <v>3035.49</v>
      </c>
      <c r="O2854" s="6">
        <v>0</v>
      </c>
    </row>
    <row r="2855" spans="1:15" ht="18.75" hidden="1" customHeight="1" thickBot="1" x14ac:dyDescent="0.3">
      <c r="A2855" s="3" t="s">
        <v>11</v>
      </c>
      <c r="B2855" s="4">
        <v>93048</v>
      </c>
      <c r="C2855" s="3" t="s">
        <v>22</v>
      </c>
      <c r="D2855" s="7">
        <v>0.08</v>
      </c>
      <c r="E2855" s="7">
        <f t="shared" si="291"/>
        <v>6.6666666666666671E-3</v>
      </c>
      <c r="F2855" s="5">
        <v>43255</v>
      </c>
      <c r="G2855" s="5">
        <v>2958465</v>
      </c>
      <c r="H2855" s="8">
        <f t="shared" si="292"/>
        <v>2915210</v>
      </c>
      <c r="I2855" s="5">
        <v>2958465</v>
      </c>
      <c r="J2855" s="5">
        <v>43256</v>
      </c>
      <c r="K2855" s="8">
        <f t="shared" si="293"/>
        <v>1</v>
      </c>
      <c r="L2855" s="6">
        <v>470.76</v>
      </c>
      <c r="M2855" s="9">
        <f t="shared" si="290"/>
        <v>3.1384000000000003</v>
      </c>
      <c r="N2855" s="6">
        <v>470.76</v>
      </c>
      <c r="O2855" s="6">
        <v>170.1</v>
      </c>
    </row>
    <row r="2856" spans="1:15" ht="18.75" hidden="1" customHeight="1" thickBot="1" x14ac:dyDescent="0.3">
      <c r="A2856" s="3" t="s">
        <v>11</v>
      </c>
      <c r="B2856" s="4">
        <v>606584</v>
      </c>
      <c r="C2856" s="3" t="s">
        <v>22</v>
      </c>
      <c r="D2856" s="7">
        <v>9.9999999999999995E-8</v>
      </c>
      <c r="E2856" s="7">
        <f t="shared" si="291"/>
        <v>8.3333333333333335E-9</v>
      </c>
      <c r="F2856" s="5">
        <v>43829</v>
      </c>
      <c r="G2856" s="5">
        <v>2958465</v>
      </c>
      <c r="H2856" s="8">
        <f t="shared" si="292"/>
        <v>2914636</v>
      </c>
      <c r="I2856" s="5">
        <v>2958465</v>
      </c>
      <c r="J2856" s="5">
        <v>43866</v>
      </c>
      <c r="K2856" s="8">
        <f t="shared" si="293"/>
        <v>37</v>
      </c>
      <c r="L2856" s="6">
        <v>599</v>
      </c>
      <c r="M2856" s="9">
        <f t="shared" si="290"/>
        <v>6.1679316052327344E-3</v>
      </c>
      <c r="N2856" s="6">
        <v>599</v>
      </c>
      <c r="O2856" s="6">
        <v>0</v>
      </c>
    </row>
    <row r="2857" spans="1:15" ht="18.75" hidden="1" customHeight="1" thickBot="1" x14ac:dyDescent="0.3">
      <c r="A2857" s="3" t="s">
        <v>11</v>
      </c>
      <c r="B2857" s="4">
        <v>654670</v>
      </c>
      <c r="C2857" s="3" t="s">
        <v>22</v>
      </c>
      <c r="D2857" s="7">
        <v>0.08</v>
      </c>
      <c r="E2857" s="7">
        <f t="shared" si="291"/>
        <v>6.6666666666666671E-3</v>
      </c>
      <c r="F2857" s="5">
        <v>43277</v>
      </c>
      <c r="G2857" s="5">
        <v>2958465</v>
      </c>
      <c r="H2857" s="8">
        <f t="shared" si="292"/>
        <v>2915188</v>
      </c>
      <c r="I2857" s="5">
        <v>2958465</v>
      </c>
      <c r="J2857" s="5">
        <v>43278</v>
      </c>
      <c r="K2857" s="8">
        <f t="shared" si="293"/>
        <v>1</v>
      </c>
      <c r="L2857" s="6">
        <v>529.26</v>
      </c>
      <c r="M2857" s="9">
        <f t="shared" si="290"/>
        <v>3.5284</v>
      </c>
      <c r="N2857" s="6">
        <v>529.26</v>
      </c>
      <c r="O2857" s="6">
        <v>0</v>
      </c>
    </row>
    <row r="2858" spans="1:15" ht="18.75" hidden="1" customHeight="1" thickBot="1" x14ac:dyDescent="0.3">
      <c r="A2858" s="3" t="s">
        <v>11</v>
      </c>
      <c r="B2858" s="4">
        <v>294408</v>
      </c>
      <c r="C2858" s="3" t="s">
        <v>22</v>
      </c>
      <c r="D2858" s="7">
        <v>0.08</v>
      </c>
      <c r="E2858" s="7">
        <f t="shared" si="291"/>
        <v>6.6666666666666671E-3</v>
      </c>
      <c r="F2858" s="5">
        <v>44935</v>
      </c>
      <c r="G2858" s="5">
        <v>2958465</v>
      </c>
      <c r="H2858" s="8">
        <f t="shared" si="292"/>
        <v>2913530</v>
      </c>
      <c r="I2858" s="5">
        <v>2958465</v>
      </c>
      <c r="J2858" s="5">
        <v>44936</v>
      </c>
      <c r="K2858" s="8">
        <f t="shared" si="293"/>
        <v>1</v>
      </c>
      <c r="L2858" s="6">
        <v>5354.6</v>
      </c>
      <c r="M2858" s="9">
        <f t="shared" si="290"/>
        <v>35.69733333333334</v>
      </c>
      <c r="N2858" s="6">
        <v>5354.6</v>
      </c>
      <c r="O2858" s="6">
        <v>5354.6</v>
      </c>
    </row>
    <row r="2859" spans="1:15" ht="18.75" hidden="1" customHeight="1" thickBot="1" x14ac:dyDescent="0.3">
      <c r="A2859" s="3" t="s">
        <v>11</v>
      </c>
      <c r="B2859" s="4">
        <v>544617</v>
      </c>
      <c r="C2859" s="3" t="s">
        <v>22</v>
      </c>
      <c r="D2859" s="7">
        <v>0.08</v>
      </c>
      <c r="E2859" s="7">
        <f t="shared" si="291"/>
        <v>6.6666666666666671E-3</v>
      </c>
      <c r="F2859" s="5">
        <v>43182</v>
      </c>
      <c r="G2859" s="5">
        <v>2958465</v>
      </c>
      <c r="H2859" s="8">
        <f t="shared" si="292"/>
        <v>2915283</v>
      </c>
      <c r="I2859" s="5">
        <v>2958465</v>
      </c>
      <c r="J2859" s="5">
        <v>43185</v>
      </c>
      <c r="K2859" s="8">
        <f t="shared" si="293"/>
        <v>3</v>
      </c>
      <c r="L2859" s="6">
        <v>1133.82</v>
      </c>
      <c r="M2859" s="9">
        <f t="shared" si="290"/>
        <v>7.5587999999999997</v>
      </c>
      <c r="N2859" s="6">
        <v>1133.82</v>
      </c>
      <c r="O2859" s="6">
        <v>1133.82</v>
      </c>
    </row>
    <row r="2860" spans="1:15" ht="18.75" hidden="1" customHeight="1" thickBot="1" x14ac:dyDescent="0.3">
      <c r="A2860" s="3" t="s">
        <v>11</v>
      </c>
      <c r="B2860" s="4">
        <v>841491</v>
      </c>
      <c r="C2860" s="3" t="s">
        <v>22</v>
      </c>
      <c r="D2860" s="7">
        <v>0.08</v>
      </c>
      <c r="E2860" s="7">
        <f t="shared" si="291"/>
        <v>6.6666666666666671E-3</v>
      </c>
      <c r="F2860" s="5">
        <v>43608</v>
      </c>
      <c r="G2860" s="5">
        <v>2958465</v>
      </c>
      <c r="H2860" s="8">
        <f t="shared" si="292"/>
        <v>2914857</v>
      </c>
      <c r="I2860" s="5">
        <v>2958465</v>
      </c>
      <c r="J2860" s="5">
        <v>43609</v>
      </c>
      <c r="K2860" s="8">
        <f t="shared" si="293"/>
        <v>1</v>
      </c>
      <c r="L2860" s="6">
        <v>407.49</v>
      </c>
      <c r="M2860" s="9">
        <f t="shared" si="290"/>
        <v>2.7166000000000001</v>
      </c>
      <c r="N2860" s="6">
        <v>407.49</v>
      </c>
      <c r="O2860" s="6">
        <v>407.49</v>
      </c>
    </row>
    <row r="2861" spans="1:15" ht="18.75" hidden="1" customHeight="1" thickBot="1" x14ac:dyDescent="0.3">
      <c r="A2861" s="3" t="s">
        <v>11</v>
      </c>
      <c r="B2861" s="4">
        <v>179286</v>
      </c>
      <c r="C2861" s="3" t="s">
        <v>22</v>
      </c>
      <c r="D2861" s="7">
        <v>7.2499999999999995E-2</v>
      </c>
      <c r="E2861" s="7">
        <f t="shared" si="291"/>
        <v>6.0416666666666665E-3</v>
      </c>
      <c r="F2861" s="5">
        <v>45852</v>
      </c>
      <c r="G2861" s="5">
        <v>2958465</v>
      </c>
      <c r="H2861" s="8">
        <f t="shared" si="292"/>
        <v>2912613</v>
      </c>
      <c r="I2861" s="5">
        <v>2958465</v>
      </c>
      <c r="J2861" s="5">
        <v>45853</v>
      </c>
      <c r="K2861" s="8">
        <f t="shared" si="293"/>
        <v>1</v>
      </c>
      <c r="L2861" s="6">
        <v>607.09</v>
      </c>
      <c r="M2861" s="9">
        <f t="shared" si="290"/>
        <v>3.6678354166666667</v>
      </c>
      <c r="N2861" s="6">
        <v>607.09</v>
      </c>
      <c r="O2861" s="6">
        <v>607.09</v>
      </c>
    </row>
    <row r="2862" spans="1:15" ht="18.75" hidden="1" customHeight="1" thickBot="1" x14ac:dyDescent="0.3">
      <c r="A2862" s="3" t="s">
        <v>11</v>
      </c>
      <c r="B2862" s="4">
        <v>864560</v>
      </c>
      <c r="C2862" s="3" t="s">
        <v>15</v>
      </c>
      <c r="D2862" s="7">
        <v>0.1</v>
      </c>
      <c r="E2862" s="7">
        <f t="shared" si="291"/>
        <v>8.3333333333333332E-3</v>
      </c>
      <c r="F2862" s="5">
        <v>44753</v>
      </c>
      <c r="G2862" s="5">
        <v>2958465</v>
      </c>
      <c r="H2862" s="8">
        <f t="shared" si="292"/>
        <v>2913712</v>
      </c>
      <c r="I2862" s="5">
        <v>2958465</v>
      </c>
      <c r="J2862" s="5">
        <v>44754</v>
      </c>
      <c r="K2862" s="8">
        <f t="shared" si="293"/>
        <v>1</v>
      </c>
      <c r="L2862" s="6">
        <v>629.29</v>
      </c>
      <c r="M2862" s="9">
        <f t="shared" si="290"/>
        <v>5.2440833333333332</v>
      </c>
      <c r="N2862" s="6">
        <v>629.29</v>
      </c>
      <c r="O2862" s="6">
        <v>0</v>
      </c>
    </row>
    <row r="2863" spans="1:15" ht="18.75" hidden="1" customHeight="1" thickBot="1" x14ac:dyDescent="0.3">
      <c r="A2863" s="3" t="s">
        <v>11</v>
      </c>
      <c r="B2863" s="4">
        <v>942733</v>
      </c>
      <c r="C2863" s="3" t="s">
        <v>22</v>
      </c>
      <c r="D2863" s="7">
        <v>7.4999999999999997E-2</v>
      </c>
      <c r="E2863" s="7">
        <f t="shared" si="291"/>
        <v>6.2499999999999995E-3</v>
      </c>
      <c r="F2863" s="5">
        <v>45947</v>
      </c>
      <c r="G2863" s="5">
        <v>2958465</v>
      </c>
      <c r="H2863" s="8">
        <f t="shared" si="292"/>
        <v>2912518</v>
      </c>
      <c r="I2863" s="5">
        <v>2958465</v>
      </c>
      <c r="J2863" s="5">
        <v>45950</v>
      </c>
      <c r="K2863" s="8">
        <f t="shared" si="293"/>
        <v>3</v>
      </c>
      <c r="L2863" s="6">
        <v>961.34</v>
      </c>
      <c r="M2863" s="9">
        <f t="shared" si="290"/>
        <v>6.008375</v>
      </c>
      <c r="N2863" s="6">
        <v>961.34</v>
      </c>
      <c r="O2863" s="6">
        <v>0</v>
      </c>
    </row>
    <row r="2864" spans="1:15" ht="18.75" hidden="1" customHeight="1" thickBot="1" x14ac:dyDescent="0.3">
      <c r="A2864" s="3" t="s">
        <v>11</v>
      </c>
      <c r="B2864" s="4">
        <v>886717</v>
      </c>
      <c r="C2864" s="3" t="s">
        <v>22</v>
      </c>
      <c r="D2864" s="7">
        <v>0.08</v>
      </c>
      <c r="E2864" s="7">
        <f t="shared" si="291"/>
        <v>6.6666666666666671E-3</v>
      </c>
      <c r="F2864" s="5">
        <v>43335</v>
      </c>
      <c r="G2864" s="5">
        <v>2958465</v>
      </c>
      <c r="H2864" s="8">
        <f t="shared" si="292"/>
        <v>2915130</v>
      </c>
      <c r="I2864" s="5">
        <v>2958465</v>
      </c>
      <c r="J2864" s="5">
        <v>43348</v>
      </c>
      <c r="K2864" s="8">
        <f t="shared" si="293"/>
        <v>13</v>
      </c>
      <c r="L2864" s="6">
        <v>2169.15</v>
      </c>
      <c r="M2864" s="9">
        <f t="shared" si="290"/>
        <v>14.461000000000002</v>
      </c>
      <c r="N2864" s="6">
        <v>2169.15</v>
      </c>
      <c r="O2864" s="6">
        <v>1745.2</v>
      </c>
    </row>
    <row r="2865" spans="1:15" ht="18.75" hidden="1" customHeight="1" thickBot="1" x14ac:dyDescent="0.3">
      <c r="A2865" s="3" t="s">
        <v>11</v>
      </c>
      <c r="B2865" s="4">
        <v>880579</v>
      </c>
      <c r="C2865" s="3" t="s">
        <v>22</v>
      </c>
      <c r="D2865" s="7">
        <v>0.08</v>
      </c>
      <c r="E2865" s="7">
        <f t="shared" si="291"/>
        <v>6.6666666666666671E-3</v>
      </c>
      <c r="F2865" s="5">
        <v>43829</v>
      </c>
      <c r="G2865" s="5">
        <v>2958465</v>
      </c>
      <c r="H2865" s="8">
        <f t="shared" si="292"/>
        <v>2914636</v>
      </c>
      <c r="I2865" s="5">
        <v>2958465</v>
      </c>
      <c r="J2865" s="5">
        <v>43867</v>
      </c>
      <c r="K2865" s="8">
        <f t="shared" si="293"/>
        <v>38</v>
      </c>
      <c r="L2865" s="6">
        <v>1161.3900000000001</v>
      </c>
      <c r="M2865" s="9">
        <f t="shared" si="290"/>
        <v>7.7426000000000013</v>
      </c>
      <c r="N2865" s="6">
        <v>1161.3900000000001</v>
      </c>
      <c r="O2865" s="6">
        <v>1161.3900000000001</v>
      </c>
    </row>
    <row r="2866" spans="1:15" ht="18.75" hidden="1" customHeight="1" thickBot="1" x14ac:dyDescent="0.3">
      <c r="A2866" s="3" t="s">
        <v>11</v>
      </c>
      <c r="B2866" s="4">
        <v>60719</v>
      </c>
      <c r="C2866" s="3" t="s">
        <v>15</v>
      </c>
      <c r="D2866" s="7">
        <v>0.1515</v>
      </c>
      <c r="E2866" s="7">
        <f t="shared" si="291"/>
        <v>1.2624999999999999E-2</v>
      </c>
      <c r="F2866" s="5">
        <v>44193</v>
      </c>
      <c r="G2866" s="5">
        <v>2958465</v>
      </c>
      <c r="H2866" s="8">
        <f t="shared" si="292"/>
        <v>2914272</v>
      </c>
      <c r="I2866" s="5">
        <v>2958465</v>
      </c>
      <c r="J2866" s="5">
        <v>44195</v>
      </c>
      <c r="K2866" s="8">
        <f t="shared" si="293"/>
        <v>2</v>
      </c>
      <c r="L2866" s="6">
        <v>400.98</v>
      </c>
      <c r="M2866" s="9">
        <f t="shared" si="290"/>
        <v>5.0623724999999995</v>
      </c>
      <c r="N2866" s="6">
        <v>400.98</v>
      </c>
      <c r="O2866" s="6">
        <v>400.98</v>
      </c>
    </row>
    <row r="2867" spans="1:15" ht="18.75" hidden="1" customHeight="1" thickBot="1" x14ac:dyDescent="0.3">
      <c r="A2867" s="3" t="s">
        <v>11</v>
      </c>
      <c r="B2867" s="4">
        <v>837364</v>
      </c>
      <c r="C2867" s="3" t="s">
        <v>22</v>
      </c>
      <c r="D2867" s="7">
        <v>7.2499999999999995E-2</v>
      </c>
      <c r="E2867" s="7">
        <f t="shared" si="291"/>
        <v>6.0416666666666665E-3</v>
      </c>
      <c r="F2867" s="5">
        <v>45699</v>
      </c>
      <c r="G2867" s="5">
        <v>2958465</v>
      </c>
      <c r="H2867" s="8">
        <f t="shared" si="292"/>
        <v>2912766</v>
      </c>
      <c r="I2867" s="5">
        <v>2958465</v>
      </c>
      <c r="J2867" s="5">
        <v>45700</v>
      </c>
      <c r="K2867" s="8">
        <f t="shared" si="293"/>
        <v>1</v>
      </c>
      <c r="L2867" s="6">
        <v>674.1</v>
      </c>
      <c r="M2867" s="9">
        <f t="shared" si="290"/>
        <v>4.0726874999999998</v>
      </c>
      <c r="N2867" s="6">
        <v>674.1</v>
      </c>
      <c r="O2867" s="6">
        <v>0</v>
      </c>
    </row>
    <row r="2868" spans="1:15" ht="18.75" hidden="1" customHeight="1" thickBot="1" x14ac:dyDescent="0.3">
      <c r="A2868" s="3" t="s">
        <v>11</v>
      </c>
      <c r="B2868" s="4">
        <v>254069</v>
      </c>
      <c r="C2868" s="3" t="s">
        <v>22</v>
      </c>
      <c r="D2868" s="7">
        <v>0.08</v>
      </c>
      <c r="E2868" s="7">
        <f t="shared" si="291"/>
        <v>6.6666666666666671E-3</v>
      </c>
      <c r="F2868" s="5">
        <v>43917</v>
      </c>
      <c r="G2868" s="5">
        <v>2958465</v>
      </c>
      <c r="H2868" s="8">
        <f t="shared" si="292"/>
        <v>2914548</v>
      </c>
      <c r="I2868" s="5">
        <v>2958465</v>
      </c>
      <c r="J2868" s="5">
        <v>43920</v>
      </c>
      <c r="K2868" s="8">
        <f t="shared" si="293"/>
        <v>3</v>
      </c>
      <c r="L2868" s="6">
        <v>132.76</v>
      </c>
      <c r="M2868" s="9">
        <f t="shared" si="290"/>
        <v>0.88506666666666667</v>
      </c>
      <c r="N2868" s="6">
        <v>132.76</v>
      </c>
      <c r="O2868" s="6">
        <v>0</v>
      </c>
    </row>
    <row r="2869" spans="1:15" ht="18.75" hidden="1" customHeight="1" thickBot="1" x14ac:dyDescent="0.3">
      <c r="A2869" s="3" t="s">
        <v>11</v>
      </c>
      <c r="B2869" s="4">
        <v>100208</v>
      </c>
      <c r="C2869" s="3" t="s">
        <v>22</v>
      </c>
      <c r="D2869" s="7">
        <v>6.7500000000000004E-2</v>
      </c>
      <c r="E2869" s="7">
        <f t="shared" si="291"/>
        <v>5.6250000000000007E-3</v>
      </c>
      <c r="F2869" s="5">
        <v>45243</v>
      </c>
      <c r="G2869" s="5">
        <v>2958465</v>
      </c>
      <c r="H2869" s="8">
        <f t="shared" si="292"/>
        <v>2913222</v>
      </c>
      <c r="I2869" s="5">
        <v>2958465</v>
      </c>
      <c r="J2869" s="5">
        <v>45244</v>
      </c>
      <c r="K2869" s="8">
        <f t="shared" si="293"/>
        <v>1</v>
      </c>
      <c r="L2869" s="6">
        <v>329.62</v>
      </c>
      <c r="M2869" s="9">
        <f t="shared" si="290"/>
        <v>1.8541125000000003</v>
      </c>
      <c r="N2869" s="6">
        <v>329.62</v>
      </c>
      <c r="O2869" s="6">
        <v>0</v>
      </c>
    </row>
    <row r="2870" spans="1:15" ht="18.75" hidden="1" customHeight="1" thickBot="1" x14ac:dyDescent="0.3">
      <c r="A2870" s="3" t="s">
        <v>11</v>
      </c>
      <c r="B2870" s="4">
        <v>86954</v>
      </c>
      <c r="C2870" s="3" t="s">
        <v>22</v>
      </c>
      <c r="D2870" s="7">
        <v>0.08</v>
      </c>
      <c r="E2870" s="7">
        <f t="shared" si="291"/>
        <v>6.6666666666666671E-3</v>
      </c>
      <c r="F2870" s="5">
        <v>43917</v>
      </c>
      <c r="G2870" s="5">
        <v>2958465</v>
      </c>
      <c r="H2870" s="8">
        <f t="shared" si="292"/>
        <v>2914548</v>
      </c>
      <c r="I2870" s="5">
        <v>2958465</v>
      </c>
      <c r="J2870" s="5">
        <v>43920</v>
      </c>
      <c r="K2870" s="8">
        <f t="shared" si="293"/>
        <v>3</v>
      </c>
      <c r="L2870" s="6">
        <v>1295.95</v>
      </c>
      <c r="M2870" s="9">
        <f t="shared" si="290"/>
        <v>8.6396666666666668</v>
      </c>
      <c r="N2870" s="6">
        <v>1295.95</v>
      </c>
      <c r="O2870" s="6">
        <v>1295.95</v>
      </c>
    </row>
    <row r="2871" spans="1:15" ht="18.75" hidden="1" customHeight="1" thickBot="1" x14ac:dyDescent="0.3">
      <c r="A2871" s="3" t="s">
        <v>11</v>
      </c>
      <c r="B2871" s="4">
        <v>852434</v>
      </c>
      <c r="C2871" s="3" t="s">
        <v>22</v>
      </c>
      <c r="D2871" s="7">
        <v>0.08</v>
      </c>
      <c r="E2871" s="7">
        <f t="shared" si="291"/>
        <v>6.6666666666666671E-3</v>
      </c>
      <c r="F2871" s="5">
        <v>43542</v>
      </c>
      <c r="G2871" s="5">
        <v>2958465</v>
      </c>
      <c r="H2871" s="8">
        <f t="shared" si="292"/>
        <v>2914923</v>
      </c>
      <c r="I2871" s="5">
        <v>2958465</v>
      </c>
      <c r="J2871" s="5">
        <v>43546</v>
      </c>
      <c r="K2871" s="8">
        <f t="shared" si="293"/>
        <v>4</v>
      </c>
      <c r="L2871" s="6">
        <v>390.15</v>
      </c>
      <c r="M2871" s="9">
        <f t="shared" si="290"/>
        <v>2.601</v>
      </c>
      <c r="N2871" s="6">
        <v>390.15</v>
      </c>
      <c r="O2871" s="6">
        <v>0</v>
      </c>
    </row>
    <row r="2872" spans="1:15" ht="18.75" hidden="1" customHeight="1" thickBot="1" x14ac:dyDescent="0.3">
      <c r="A2872" s="3" t="s">
        <v>11</v>
      </c>
      <c r="B2872" s="4">
        <v>677350</v>
      </c>
      <c r="C2872" s="3" t="s">
        <v>22</v>
      </c>
      <c r="D2872" s="7">
        <v>0.08</v>
      </c>
      <c r="E2872" s="7">
        <f t="shared" si="291"/>
        <v>6.6666666666666671E-3</v>
      </c>
      <c r="F2872" s="5">
        <v>43335</v>
      </c>
      <c r="G2872" s="5">
        <v>2958465</v>
      </c>
      <c r="H2872" s="8">
        <f t="shared" si="292"/>
        <v>2915130</v>
      </c>
      <c r="I2872" s="5">
        <v>2958465</v>
      </c>
      <c r="J2872" s="5">
        <v>43348</v>
      </c>
      <c r="K2872" s="8">
        <f t="shared" si="293"/>
        <v>13</v>
      </c>
      <c r="L2872" s="6">
        <v>685.08</v>
      </c>
      <c r="M2872" s="9">
        <f t="shared" si="290"/>
        <v>4.5672000000000006</v>
      </c>
      <c r="N2872" s="6">
        <v>685.08</v>
      </c>
      <c r="O2872" s="6">
        <v>0</v>
      </c>
    </row>
    <row r="2873" spans="1:15" ht="18.75" hidden="1" customHeight="1" thickBot="1" x14ac:dyDescent="0.3">
      <c r="A2873" s="3" t="s">
        <v>11</v>
      </c>
      <c r="B2873" s="4">
        <v>642434</v>
      </c>
      <c r="C2873" s="3" t="s">
        <v>22</v>
      </c>
      <c r="D2873" s="7">
        <v>0.08</v>
      </c>
      <c r="E2873" s="7">
        <f t="shared" si="291"/>
        <v>6.6666666666666671E-3</v>
      </c>
      <c r="F2873" s="5">
        <v>43873</v>
      </c>
      <c r="G2873" s="5">
        <v>2958465</v>
      </c>
      <c r="H2873" s="8">
        <f t="shared" si="292"/>
        <v>2914592</v>
      </c>
      <c r="I2873" s="5">
        <v>2958465</v>
      </c>
      <c r="J2873" s="5">
        <v>43887</v>
      </c>
      <c r="K2873" s="8">
        <f t="shared" si="293"/>
        <v>14</v>
      </c>
      <c r="L2873" s="6">
        <v>938.15</v>
      </c>
      <c r="M2873" s="9">
        <f t="shared" si="290"/>
        <v>6.2543333333333333</v>
      </c>
      <c r="N2873" s="6">
        <v>938.15</v>
      </c>
      <c r="O2873" s="6">
        <v>938.15</v>
      </c>
    </row>
    <row r="2874" spans="1:15" ht="18.75" hidden="1" customHeight="1" thickBot="1" x14ac:dyDescent="0.3">
      <c r="A2874" s="3" t="s">
        <v>11</v>
      </c>
      <c r="B2874" s="4">
        <v>679582</v>
      </c>
      <c r="C2874" s="3" t="s">
        <v>22</v>
      </c>
      <c r="D2874" s="7">
        <v>0.08</v>
      </c>
      <c r="E2874" s="7">
        <f t="shared" si="291"/>
        <v>6.6666666666666671E-3</v>
      </c>
      <c r="F2874" s="5">
        <v>43494</v>
      </c>
      <c r="G2874" s="5">
        <v>2958465</v>
      </c>
      <c r="H2874" s="8">
        <f t="shared" si="292"/>
        <v>2914971</v>
      </c>
      <c r="I2874" s="5">
        <v>2958465</v>
      </c>
      <c r="J2874" s="5">
        <v>43495</v>
      </c>
      <c r="K2874" s="8">
        <f t="shared" si="293"/>
        <v>1</v>
      </c>
      <c r="L2874" s="6">
        <v>495.49</v>
      </c>
      <c r="M2874" s="9">
        <f t="shared" si="290"/>
        <v>3.303266666666667</v>
      </c>
      <c r="N2874" s="6">
        <v>495.49</v>
      </c>
      <c r="O2874" s="6">
        <v>495.49</v>
      </c>
    </row>
    <row r="2875" spans="1:15" ht="18.75" hidden="1" customHeight="1" thickBot="1" x14ac:dyDescent="0.3">
      <c r="A2875" s="3" t="s">
        <v>11</v>
      </c>
      <c r="B2875" s="4">
        <v>486813</v>
      </c>
      <c r="C2875" s="3" t="s">
        <v>22</v>
      </c>
      <c r="D2875" s="7">
        <v>0.08</v>
      </c>
      <c r="E2875" s="7">
        <f t="shared" si="291"/>
        <v>6.6666666666666671E-3</v>
      </c>
      <c r="F2875" s="5">
        <v>43608</v>
      </c>
      <c r="G2875" s="5">
        <v>2958465</v>
      </c>
      <c r="H2875" s="8">
        <f t="shared" si="292"/>
        <v>2914857</v>
      </c>
      <c r="I2875" s="5">
        <v>2958465</v>
      </c>
      <c r="J2875" s="5">
        <v>43609</v>
      </c>
      <c r="K2875" s="8">
        <f t="shared" si="293"/>
        <v>1</v>
      </c>
      <c r="L2875" s="6">
        <v>452.59</v>
      </c>
      <c r="M2875" s="9">
        <f t="shared" si="290"/>
        <v>3.0172666666666665</v>
      </c>
      <c r="N2875" s="6">
        <v>452.59</v>
      </c>
      <c r="O2875" s="6">
        <v>0</v>
      </c>
    </row>
    <row r="2876" spans="1:15" ht="18.75" hidden="1" customHeight="1" thickBot="1" x14ac:dyDescent="0.3">
      <c r="A2876" s="3" t="s">
        <v>11</v>
      </c>
      <c r="B2876" s="4">
        <v>810366</v>
      </c>
      <c r="C2876" s="3" t="s">
        <v>22</v>
      </c>
      <c r="D2876" s="7">
        <v>0.08</v>
      </c>
      <c r="E2876" s="7">
        <f t="shared" si="291"/>
        <v>6.6666666666666671E-3</v>
      </c>
      <c r="F2876" s="5">
        <v>43917</v>
      </c>
      <c r="G2876" s="5">
        <v>2958465</v>
      </c>
      <c r="H2876" s="8">
        <f t="shared" si="292"/>
        <v>2914548</v>
      </c>
      <c r="I2876" s="5">
        <v>2958465</v>
      </c>
      <c r="J2876" s="5">
        <v>43920</v>
      </c>
      <c r="K2876" s="8">
        <f t="shared" si="293"/>
        <v>3</v>
      </c>
      <c r="L2876" s="6">
        <v>853.04</v>
      </c>
      <c r="M2876" s="9">
        <f t="shared" si="290"/>
        <v>5.6869333333333332</v>
      </c>
      <c r="N2876" s="6">
        <v>853.04</v>
      </c>
      <c r="O2876" s="6">
        <v>0</v>
      </c>
    </row>
    <row r="2877" spans="1:15" ht="18.75" hidden="1" customHeight="1" thickBot="1" x14ac:dyDescent="0.3">
      <c r="A2877" s="3" t="s">
        <v>11</v>
      </c>
      <c r="B2877" s="4">
        <v>796439</v>
      </c>
      <c r="C2877" s="3" t="s">
        <v>15</v>
      </c>
      <c r="D2877" s="7">
        <v>0.1515</v>
      </c>
      <c r="E2877" s="7">
        <f t="shared" si="291"/>
        <v>1.2624999999999999E-2</v>
      </c>
      <c r="F2877" s="5">
        <v>44529</v>
      </c>
      <c r="G2877" s="5">
        <v>2958465</v>
      </c>
      <c r="H2877" s="8">
        <f t="shared" si="292"/>
        <v>2913936</v>
      </c>
      <c r="I2877" s="5">
        <v>2958465</v>
      </c>
      <c r="J2877" s="5">
        <v>44530</v>
      </c>
      <c r="K2877" s="8">
        <f t="shared" si="293"/>
        <v>1</v>
      </c>
      <c r="L2877" s="6">
        <v>424.4</v>
      </c>
      <c r="M2877" s="9">
        <f t="shared" si="290"/>
        <v>5.3580499999999995</v>
      </c>
      <c r="N2877" s="6">
        <v>424.4</v>
      </c>
      <c r="O2877" s="6">
        <v>0</v>
      </c>
    </row>
    <row r="2878" spans="1:15" ht="18.75" hidden="1" customHeight="1" thickBot="1" x14ac:dyDescent="0.3">
      <c r="A2878" s="3" t="s">
        <v>11</v>
      </c>
      <c r="B2878" s="4">
        <v>965866</v>
      </c>
      <c r="C2878" s="3" t="s">
        <v>15</v>
      </c>
      <c r="D2878" s="7">
        <v>0.115</v>
      </c>
      <c r="E2878" s="7">
        <f t="shared" si="291"/>
        <v>9.5833333333333343E-3</v>
      </c>
      <c r="F2878" s="5">
        <v>44603</v>
      </c>
      <c r="G2878" s="5">
        <v>2958465</v>
      </c>
      <c r="H2878" s="8">
        <f t="shared" si="292"/>
        <v>2913862</v>
      </c>
      <c r="I2878" s="5">
        <v>2958465</v>
      </c>
      <c r="J2878" s="5">
        <v>44606</v>
      </c>
      <c r="K2878" s="8">
        <f t="shared" si="293"/>
        <v>3</v>
      </c>
      <c r="L2878" s="6">
        <v>656.87</v>
      </c>
      <c r="M2878" s="9">
        <f t="shared" si="290"/>
        <v>6.2950041666666676</v>
      </c>
      <c r="N2878" s="6">
        <v>656.87</v>
      </c>
      <c r="O2878" s="6">
        <v>0</v>
      </c>
    </row>
    <row r="2879" spans="1:15" ht="18.75" hidden="1" customHeight="1" thickBot="1" x14ac:dyDescent="0.3">
      <c r="A2879" s="3" t="s">
        <v>11</v>
      </c>
      <c r="B2879" s="4">
        <v>317575</v>
      </c>
      <c r="C2879" s="3" t="s">
        <v>15</v>
      </c>
      <c r="D2879" s="7">
        <v>0.159</v>
      </c>
      <c r="E2879" s="7">
        <f t="shared" si="291"/>
        <v>1.325E-2</v>
      </c>
      <c r="F2879" s="5">
        <v>44077</v>
      </c>
      <c r="G2879" s="5">
        <v>2958465</v>
      </c>
      <c r="H2879" s="8">
        <f t="shared" si="292"/>
        <v>2914388</v>
      </c>
      <c r="I2879" s="5">
        <v>2958465</v>
      </c>
      <c r="J2879" s="5">
        <v>44078</v>
      </c>
      <c r="K2879" s="8">
        <f t="shared" si="293"/>
        <v>1</v>
      </c>
      <c r="L2879" s="6">
        <v>2283.46</v>
      </c>
      <c r="M2879" s="9">
        <f t="shared" si="290"/>
        <v>30.255845000000001</v>
      </c>
      <c r="N2879" s="6">
        <v>2283.46</v>
      </c>
      <c r="O2879" s="6">
        <v>2283.46</v>
      </c>
    </row>
    <row r="2880" spans="1:15" ht="18.75" hidden="1" customHeight="1" thickBot="1" x14ac:dyDescent="0.3">
      <c r="A2880" s="3" t="s">
        <v>11</v>
      </c>
      <c r="B2880" s="4">
        <v>712346</v>
      </c>
      <c r="C2880" s="3" t="s">
        <v>15</v>
      </c>
      <c r="D2880" s="7">
        <v>0.1515</v>
      </c>
      <c r="E2880" s="7">
        <f t="shared" si="291"/>
        <v>1.2624999999999999E-2</v>
      </c>
      <c r="F2880" s="5">
        <v>44455</v>
      </c>
      <c r="G2880" s="5">
        <v>2958465</v>
      </c>
      <c r="H2880" s="8">
        <f t="shared" si="292"/>
        <v>2914010</v>
      </c>
      <c r="I2880" s="5">
        <v>2958465</v>
      </c>
      <c r="J2880" s="5">
        <v>44456</v>
      </c>
      <c r="K2880" s="8">
        <f t="shared" si="293"/>
        <v>1</v>
      </c>
      <c r="L2880" s="6">
        <v>2218.37</v>
      </c>
      <c r="M2880" s="9">
        <f t="shared" si="290"/>
        <v>28.006921249999998</v>
      </c>
      <c r="N2880" s="6">
        <v>2218.37</v>
      </c>
      <c r="O2880" s="6">
        <v>0</v>
      </c>
    </row>
    <row r="2881" spans="1:15" ht="18.75" hidden="1" customHeight="1" thickBot="1" x14ac:dyDescent="0.3">
      <c r="A2881" s="3" t="s">
        <v>11</v>
      </c>
      <c r="B2881" s="4">
        <v>234175</v>
      </c>
      <c r="C2881" s="3" t="s">
        <v>15</v>
      </c>
      <c r="D2881" s="7">
        <v>0.1515</v>
      </c>
      <c r="E2881" s="7">
        <f t="shared" si="291"/>
        <v>1.2624999999999999E-2</v>
      </c>
      <c r="F2881" s="5">
        <v>44077</v>
      </c>
      <c r="G2881" s="5">
        <v>2958465</v>
      </c>
      <c r="H2881" s="8">
        <f t="shared" si="292"/>
        <v>2914388</v>
      </c>
      <c r="I2881" s="5">
        <v>2958465</v>
      </c>
      <c r="J2881" s="5">
        <v>44078</v>
      </c>
      <c r="K2881" s="8">
        <f t="shared" si="293"/>
        <v>1</v>
      </c>
      <c r="L2881" s="6">
        <v>387.53</v>
      </c>
      <c r="M2881" s="9">
        <f t="shared" si="290"/>
        <v>4.8925662499999989</v>
      </c>
      <c r="N2881" s="6">
        <v>387.53</v>
      </c>
      <c r="O2881" s="6">
        <v>183.48</v>
      </c>
    </row>
    <row r="2882" spans="1:15" ht="18.75" hidden="1" customHeight="1" thickBot="1" x14ac:dyDescent="0.3">
      <c r="A2882" s="3" t="s">
        <v>11</v>
      </c>
      <c r="B2882" s="4">
        <v>778008</v>
      </c>
      <c r="C2882" s="3" t="s">
        <v>22</v>
      </c>
      <c r="D2882" s="7">
        <v>0.08</v>
      </c>
      <c r="E2882" s="7">
        <f t="shared" si="291"/>
        <v>6.6666666666666671E-3</v>
      </c>
      <c r="F2882" s="5">
        <v>43738</v>
      </c>
      <c r="G2882" s="5">
        <v>2958465</v>
      </c>
      <c r="H2882" s="8">
        <f t="shared" si="292"/>
        <v>2914727</v>
      </c>
      <c r="I2882" s="5">
        <v>2958465</v>
      </c>
      <c r="J2882" s="5">
        <v>43738</v>
      </c>
      <c r="K2882" s="8">
        <f t="shared" si="293"/>
        <v>0</v>
      </c>
      <c r="L2882" s="6">
        <v>556.91</v>
      </c>
      <c r="M2882" s="9">
        <f t="shared" ref="M2882:M2945" si="294">-PMT(E2882,(H2882/30),L2882)</f>
        <v>3.7127333333333334</v>
      </c>
      <c r="N2882" s="6">
        <v>556.91</v>
      </c>
      <c r="O2882" s="6">
        <v>556.91</v>
      </c>
    </row>
    <row r="2883" spans="1:15" ht="18.75" hidden="1" customHeight="1" thickBot="1" x14ac:dyDescent="0.3">
      <c r="A2883" s="3" t="s">
        <v>11</v>
      </c>
      <c r="B2883" s="4">
        <v>743568</v>
      </c>
      <c r="C2883" s="3" t="s">
        <v>22</v>
      </c>
      <c r="D2883" s="7">
        <v>0.08</v>
      </c>
      <c r="E2883" s="7">
        <f t="shared" ref="E2883:E2946" si="295">D2883/12</f>
        <v>6.6666666666666671E-3</v>
      </c>
      <c r="F2883" s="5">
        <v>43542</v>
      </c>
      <c r="G2883" s="5">
        <v>2958465</v>
      </c>
      <c r="H2883" s="8">
        <f t="shared" ref="H2883:H2946" si="296">G2883-F2883</f>
        <v>2914923</v>
      </c>
      <c r="I2883" s="5">
        <v>2958465</v>
      </c>
      <c r="J2883" s="5">
        <v>43544</v>
      </c>
      <c r="K2883" s="8">
        <f t="shared" ref="K2883:K2946" si="297">J2883-F2883</f>
        <v>2</v>
      </c>
      <c r="L2883" s="6">
        <v>4828.49</v>
      </c>
      <c r="M2883" s="9">
        <f t="shared" si="294"/>
        <v>32.189933333333336</v>
      </c>
      <c r="N2883" s="6">
        <v>4828.49</v>
      </c>
      <c r="O2883" s="6">
        <v>0</v>
      </c>
    </row>
    <row r="2884" spans="1:15" ht="18.75" hidden="1" customHeight="1" thickBot="1" x14ac:dyDescent="0.3">
      <c r="A2884" s="3" t="s">
        <v>11</v>
      </c>
      <c r="B2884" s="4">
        <v>467002</v>
      </c>
      <c r="C2884" s="3" t="s">
        <v>22</v>
      </c>
      <c r="D2884" s="7">
        <v>8.5000000000000006E-2</v>
      </c>
      <c r="E2884" s="7">
        <f t="shared" si="295"/>
        <v>7.0833333333333338E-3</v>
      </c>
      <c r="F2884" s="5">
        <v>44881</v>
      </c>
      <c r="G2884" s="5">
        <v>2958465</v>
      </c>
      <c r="H2884" s="8">
        <f t="shared" si="296"/>
        <v>2913584</v>
      </c>
      <c r="I2884" s="5">
        <v>2958465</v>
      </c>
      <c r="J2884" s="5">
        <v>44882</v>
      </c>
      <c r="K2884" s="8">
        <f t="shared" si="297"/>
        <v>1</v>
      </c>
      <c r="L2884" s="6">
        <v>1729.87</v>
      </c>
      <c r="M2884" s="9">
        <f t="shared" si="294"/>
        <v>12.253245833333333</v>
      </c>
      <c r="N2884" s="6">
        <v>1729.87</v>
      </c>
      <c r="O2884" s="6">
        <v>1729.87</v>
      </c>
    </row>
    <row r="2885" spans="1:15" ht="18.75" hidden="1" customHeight="1" thickBot="1" x14ac:dyDescent="0.3">
      <c r="A2885" s="3" t="s">
        <v>11</v>
      </c>
      <c r="B2885" s="4">
        <v>285437</v>
      </c>
      <c r="C2885" s="3" t="s">
        <v>22</v>
      </c>
      <c r="D2885" s="7">
        <v>0.08</v>
      </c>
      <c r="E2885" s="7">
        <f t="shared" si="295"/>
        <v>6.6666666666666671E-3</v>
      </c>
      <c r="F2885" s="5">
        <v>43738</v>
      </c>
      <c r="G2885" s="5">
        <v>2958465</v>
      </c>
      <c r="H2885" s="8">
        <f t="shared" si="296"/>
        <v>2914727</v>
      </c>
      <c r="I2885" s="5">
        <v>2958465</v>
      </c>
      <c r="J2885" s="5">
        <v>43738</v>
      </c>
      <c r="K2885" s="8">
        <f t="shared" si="297"/>
        <v>0</v>
      </c>
      <c r="L2885" s="6">
        <v>1860.64</v>
      </c>
      <c r="M2885" s="9">
        <f t="shared" si="294"/>
        <v>12.404266666666668</v>
      </c>
      <c r="N2885" s="6">
        <v>1860.64</v>
      </c>
      <c r="O2885" s="6">
        <v>100</v>
      </c>
    </row>
    <row r="2886" spans="1:15" ht="18.75" hidden="1" customHeight="1" thickBot="1" x14ac:dyDescent="0.3">
      <c r="A2886" s="3" t="s">
        <v>11</v>
      </c>
      <c r="B2886" s="4">
        <v>335119</v>
      </c>
      <c r="C2886" s="3" t="s">
        <v>22</v>
      </c>
      <c r="D2886" s="7">
        <v>6.7500000000000004E-2</v>
      </c>
      <c r="E2886" s="7">
        <f t="shared" si="295"/>
        <v>5.6250000000000007E-3</v>
      </c>
      <c r="F2886" s="5">
        <v>45152</v>
      </c>
      <c r="G2886" s="5">
        <v>2958465</v>
      </c>
      <c r="H2886" s="8">
        <f t="shared" si="296"/>
        <v>2913313</v>
      </c>
      <c r="I2886" s="5">
        <v>2958465</v>
      </c>
      <c r="J2886" s="5">
        <v>45153</v>
      </c>
      <c r="K2886" s="8">
        <f t="shared" si="297"/>
        <v>1</v>
      </c>
      <c r="L2886" s="6">
        <v>2646.73</v>
      </c>
      <c r="M2886" s="9">
        <f t="shared" si="294"/>
        <v>14.887856250000002</v>
      </c>
      <c r="N2886" s="6">
        <v>2646.73</v>
      </c>
      <c r="O2886" s="6">
        <v>0</v>
      </c>
    </row>
    <row r="2887" spans="1:15" ht="18.75" hidden="1" customHeight="1" thickBot="1" x14ac:dyDescent="0.3">
      <c r="A2887" s="3" t="s">
        <v>11</v>
      </c>
      <c r="B2887" s="4">
        <v>748840</v>
      </c>
      <c r="C2887" s="3" t="s">
        <v>22</v>
      </c>
      <c r="D2887" s="7">
        <v>0.08</v>
      </c>
      <c r="E2887" s="7">
        <f t="shared" si="295"/>
        <v>6.6666666666666671E-3</v>
      </c>
      <c r="F2887" s="5">
        <v>43460</v>
      </c>
      <c r="G2887" s="5">
        <v>2958465</v>
      </c>
      <c r="H2887" s="8">
        <f t="shared" si="296"/>
        <v>2915005</v>
      </c>
      <c r="I2887" s="5">
        <v>2958465</v>
      </c>
      <c r="J2887" s="5">
        <v>43462</v>
      </c>
      <c r="K2887" s="8">
        <f t="shared" si="297"/>
        <v>2</v>
      </c>
      <c r="L2887" s="6">
        <v>1098.1300000000001</v>
      </c>
      <c r="M2887" s="9">
        <f t="shared" si="294"/>
        <v>7.3208666666666682</v>
      </c>
      <c r="N2887" s="6">
        <v>1098.1300000000001</v>
      </c>
      <c r="O2887" s="6">
        <v>50</v>
      </c>
    </row>
    <row r="2888" spans="1:15" ht="18.75" hidden="1" customHeight="1" thickBot="1" x14ac:dyDescent="0.3">
      <c r="A2888" s="3" t="s">
        <v>11</v>
      </c>
      <c r="B2888" s="4">
        <v>266179</v>
      </c>
      <c r="C2888" s="3" t="s">
        <v>22</v>
      </c>
      <c r="D2888" s="7">
        <v>8.5000000000000006E-2</v>
      </c>
      <c r="E2888" s="7">
        <f t="shared" si="295"/>
        <v>7.0833333333333338E-3</v>
      </c>
      <c r="F2888" s="5">
        <v>45026</v>
      </c>
      <c r="G2888" s="5">
        <v>2958465</v>
      </c>
      <c r="H2888" s="8">
        <f t="shared" si="296"/>
        <v>2913439</v>
      </c>
      <c r="I2888" s="5">
        <v>2958465</v>
      </c>
      <c r="J2888" s="5">
        <v>45027</v>
      </c>
      <c r="K2888" s="8">
        <f t="shared" si="297"/>
        <v>1</v>
      </c>
      <c r="L2888" s="6">
        <v>1050.92</v>
      </c>
      <c r="M2888" s="9">
        <f t="shared" si="294"/>
        <v>7.4440166666666681</v>
      </c>
      <c r="N2888" s="6">
        <v>1050.92</v>
      </c>
      <c r="O2888" s="6">
        <v>1050.92</v>
      </c>
    </row>
    <row r="2889" spans="1:15" ht="18.75" hidden="1" customHeight="1" thickBot="1" x14ac:dyDescent="0.3">
      <c r="A2889" s="3" t="s">
        <v>11</v>
      </c>
      <c r="B2889" s="4">
        <v>531339</v>
      </c>
      <c r="C2889" s="3" t="s">
        <v>22</v>
      </c>
      <c r="D2889" s="7">
        <v>7.2499999999999995E-2</v>
      </c>
      <c r="E2889" s="7">
        <f t="shared" si="295"/>
        <v>6.0416666666666665E-3</v>
      </c>
      <c r="F2889" s="5">
        <v>44935</v>
      </c>
      <c r="G2889" s="5">
        <v>2958465</v>
      </c>
      <c r="H2889" s="8">
        <f t="shared" si="296"/>
        <v>2913530</v>
      </c>
      <c r="I2889" s="5">
        <v>2958465</v>
      </c>
      <c r="J2889" s="5">
        <v>44998</v>
      </c>
      <c r="K2889" s="8">
        <f t="shared" si="297"/>
        <v>63</v>
      </c>
      <c r="L2889" s="6">
        <v>1737.68</v>
      </c>
      <c r="M2889" s="9">
        <f t="shared" si="294"/>
        <v>10.498483333333333</v>
      </c>
      <c r="N2889" s="6">
        <v>4389.68</v>
      </c>
      <c r="O2889" s="6">
        <v>0</v>
      </c>
    </row>
    <row r="2890" spans="1:15" ht="18.75" hidden="1" customHeight="1" thickBot="1" x14ac:dyDescent="0.3">
      <c r="A2890" s="3" t="s">
        <v>11</v>
      </c>
      <c r="B2890" s="4">
        <v>402545</v>
      </c>
      <c r="C2890" s="3" t="s">
        <v>15</v>
      </c>
      <c r="D2890" s="7">
        <v>0.1515</v>
      </c>
      <c r="E2890" s="7">
        <f t="shared" si="295"/>
        <v>1.2624999999999999E-2</v>
      </c>
      <c r="F2890" s="5">
        <v>44565</v>
      </c>
      <c r="G2890" s="5">
        <v>2958465</v>
      </c>
      <c r="H2890" s="8">
        <f t="shared" si="296"/>
        <v>2913900</v>
      </c>
      <c r="I2890" s="5">
        <v>2958465</v>
      </c>
      <c r="J2890" s="5">
        <v>44566</v>
      </c>
      <c r="K2890" s="8">
        <f t="shared" si="297"/>
        <v>1</v>
      </c>
      <c r="L2890" s="6">
        <v>437.89</v>
      </c>
      <c r="M2890" s="9">
        <f t="shared" si="294"/>
        <v>5.5283612499999997</v>
      </c>
      <c r="N2890" s="6">
        <v>437.89</v>
      </c>
      <c r="O2890" s="6">
        <v>0</v>
      </c>
    </row>
    <row r="2891" spans="1:15" ht="18.75" hidden="1" customHeight="1" thickBot="1" x14ac:dyDescent="0.3">
      <c r="A2891" s="3" t="s">
        <v>11</v>
      </c>
      <c r="B2891" s="4">
        <v>94162</v>
      </c>
      <c r="C2891" s="3" t="s">
        <v>22</v>
      </c>
      <c r="D2891" s="7">
        <v>0.08</v>
      </c>
      <c r="E2891" s="7">
        <f t="shared" si="295"/>
        <v>6.6666666666666671E-3</v>
      </c>
      <c r="F2891" s="5">
        <v>43829</v>
      </c>
      <c r="G2891" s="5">
        <v>2958465</v>
      </c>
      <c r="H2891" s="8">
        <f t="shared" si="296"/>
        <v>2914636</v>
      </c>
      <c r="I2891" s="5">
        <v>2958465</v>
      </c>
      <c r="J2891" s="5">
        <v>43867</v>
      </c>
      <c r="K2891" s="8">
        <f t="shared" si="297"/>
        <v>38</v>
      </c>
      <c r="L2891" s="6">
        <v>455.87</v>
      </c>
      <c r="M2891" s="9">
        <f t="shared" si="294"/>
        <v>3.0391333333333335</v>
      </c>
      <c r="N2891" s="6">
        <v>455.87</v>
      </c>
      <c r="O2891" s="6">
        <v>455.87</v>
      </c>
    </row>
    <row r="2892" spans="1:15" ht="18.75" hidden="1" customHeight="1" thickBot="1" x14ac:dyDescent="0.3">
      <c r="A2892" s="3" t="s">
        <v>11</v>
      </c>
      <c r="B2892" s="4">
        <v>578185</v>
      </c>
      <c r="C2892" s="3" t="s">
        <v>15</v>
      </c>
      <c r="D2892" s="7">
        <v>0.1515</v>
      </c>
      <c r="E2892" s="7">
        <f t="shared" si="295"/>
        <v>1.2624999999999999E-2</v>
      </c>
      <c r="F2892" s="5">
        <v>44251</v>
      </c>
      <c r="G2892" s="5">
        <v>2958465</v>
      </c>
      <c r="H2892" s="8">
        <f t="shared" si="296"/>
        <v>2914214</v>
      </c>
      <c r="I2892" s="5">
        <v>2958465</v>
      </c>
      <c r="J2892" s="5">
        <v>44252</v>
      </c>
      <c r="K2892" s="8">
        <f t="shared" si="297"/>
        <v>1</v>
      </c>
      <c r="L2892" s="6">
        <v>248.89</v>
      </c>
      <c r="M2892" s="9">
        <f t="shared" si="294"/>
        <v>3.1422362499999994</v>
      </c>
      <c r="N2892" s="6">
        <v>248.89</v>
      </c>
      <c r="O2892" s="6">
        <v>0</v>
      </c>
    </row>
    <row r="2893" spans="1:15" ht="18.75" hidden="1" customHeight="1" thickBot="1" x14ac:dyDescent="0.3">
      <c r="A2893" s="3" t="s">
        <v>11</v>
      </c>
      <c r="B2893" s="4">
        <v>838636</v>
      </c>
      <c r="C2893" s="3" t="s">
        <v>22</v>
      </c>
      <c r="D2893" s="7">
        <v>0.08</v>
      </c>
      <c r="E2893" s="7">
        <f t="shared" si="295"/>
        <v>6.6666666666666671E-3</v>
      </c>
      <c r="F2893" s="5">
        <v>43493</v>
      </c>
      <c r="G2893" s="5">
        <v>2958465</v>
      </c>
      <c r="H2893" s="8">
        <f t="shared" si="296"/>
        <v>2914972</v>
      </c>
      <c r="I2893" s="5">
        <v>2958465</v>
      </c>
      <c r="J2893" s="5">
        <v>43495</v>
      </c>
      <c r="K2893" s="8">
        <f t="shared" si="297"/>
        <v>2</v>
      </c>
      <c r="L2893" s="6">
        <v>400.26</v>
      </c>
      <c r="M2893" s="9">
        <f t="shared" si="294"/>
        <v>2.6684000000000001</v>
      </c>
      <c r="N2893" s="6">
        <v>400.26</v>
      </c>
      <c r="O2893" s="6">
        <v>0</v>
      </c>
    </row>
    <row r="2894" spans="1:15" ht="18.75" hidden="1" customHeight="1" thickBot="1" x14ac:dyDescent="0.3">
      <c r="A2894" s="3" t="s">
        <v>11</v>
      </c>
      <c r="B2894" s="4">
        <v>364350</v>
      </c>
      <c r="C2894" s="3" t="s">
        <v>22</v>
      </c>
      <c r="D2894" s="7">
        <v>7.0000000000000007E-2</v>
      </c>
      <c r="E2894" s="7">
        <f t="shared" si="295"/>
        <v>5.8333333333333336E-3</v>
      </c>
      <c r="F2894" s="5">
        <v>45000</v>
      </c>
      <c r="G2894" s="5">
        <v>2958465</v>
      </c>
      <c r="H2894" s="8">
        <f t="shared" si="296"/>
        <v>2913465</v>
      </c>
      <c r="I2894" s="5">
        <v>2958465</v>
      </c>
      <c r="J2894" s="5">
        <v>45002</v>
      </c>
      <c r="K2894" s="8">
        <f t="shared" si="297"/>
        <v>2</v>
      </c>
      <c r="L2894" s="6">
        <v>398.48</v>
      </c>
      <c r="M2894" s="9">
        <f t="shared" si="294"/>
        <v>2.3244666666666669</v>
      </c>
      <c r="N2894" s="6">
        <v>398.48</v>
      </c>
      <c r="O2894" s="6">
        <v>0</v>
      </c>
    </row>
    <row r="2895" spans="1:15" ht="18.75" hidden="1" customHeight="1" thickBot="1" x14ac:dyDescent="0.3">
      <c r="A2895" s="3" t="s">
        <v>11</v>
      </c>
      <c r="B2895" s="4">
        <v>185997</v>
      </c>
      <c r="C2895" s="3" t="s">
        <v>22</v>
      </c>
      <c r="D2895" s="7">
        <v>6.7500000000000004E-2</v>
      </c>
      <c r="E2895" s="7">
        <f t="shared" si="295"/>
        <v>5.6250000000000007E-3</v>
      </c>
      <c r="F2895" s="5">
        <v>45511</v>
      </c>
      <c r="G2895" s="5">
        <v>2958465</v>
      </c>
      <c r="H2895" s="8">
        <f t="shared" si="296"/>
        <v>2912954</v>
      </c>
      <c r="I2895" s="5">
        <v>2958465</v>
      </c>
      <c r="J2895" s="5">
        <v>45512</v>
      </c>
      <c r="K2895" s="8">
        <f t="shared" si="297"/>
        <v>1</v>
      </c>
      <c r="L2895" s="6">
        <v>3190.07</v>
      </c>
      <c r="M2895" s="9">
        <f t="shared" si="294"/>
        <v>17.944143750000002</v>
      </c>
      <c r="N2895" s="6">
        <v>3190.07</v>
      </c>
      <c r="O2895" s="6">
        <v>0</v>
      </c>
    </row>
    <row r="2896" spans="1:15" ht="18.75" hidden="1" customHeight="1" thickBot="1" x14ac:dyDescent="0.3">
      <c r="A2896" s="3" t="s">
        <v>11</v>
      </c>
      <c r="B2896" s="4">
        <v>68621</v>
      </c>
      <c r="C2896" s="3" t="s">
        <v>22</v>
      </c>
      <c r="D2896" s="7">
        <v>0.08</v>
      </c>
      <c r="E2896" s="7">
        <f t="shared" si="295"/>
        <v>6.6666666666666671E-3</v>
      </c>
      <c r="F2896" s="5">
        <v>43500</v>
      </c>
      <c r="G2896" s="5">
        <v>2958465</v>
      </c>
      <c r="H2896" s="8">
        <f t="shared" si="296"/>
        <v>2914965</v>
      </c>
      <c r="I2896" s="5">
        <v>2958465</v>
      </c>
      <c r="J2896" s="5">
        <v>43504</v>
      </c>
      <c r="K2896" s="8">
        <f t="shared" si="297"/>
        <v>4</v>
      </c>
      <c r="L2896" s="6">
        <v>896</v>
      </c>
      <c r="M2896" s="9">
        <f t="shared" si="294"/>
        <v>5.9733333333333336</v>
      </c>
      <c r="N2896" s="6">
        <v>896</v>
      </c>
      <c r="O2896" s="6">
        <v>896</v>
      </c>
    </row>
    <row r="2897" spans="1:15" ht="18.75" hidden="1" customHeight="1" thickBot="1" x14ac:dyDescent="0.3">
      <c r="A2897" s="3" t="s">
        <v>11</v>
      </c>
      <c r="B2897" s="4">
        <v>192926</v>
      </c>
      <c r="C2897" s="3" t="s">
        <v>15</v>
      </c>
      <c r="D2897" s="7">
        <v>0.1515</v>
      </c>
      <c r="E2897" s="7">
        <f t="shared" si="295"/>
        <v>1.2624999999999999E-2</v>
      </c>
      <c r="F2897" s="5">
        <v>44412</v>
      </c>
      <c r="G2897" s="5">
        <v>2958465</v>
      </c>
      <c r="H2897" s="8">
        <f t="shared" si="296"/>
        <v>2914053</v>
      </c>
      <c r="I2897" s="5">
        <v>2958465</v>
      </c>
      <c r="J2897" s="5">
        <v>44413</v>
      </c>
      <c r="K2897" s="8">
        <f t="shared" si="297"/>
        <v>1</v>
      </c>
      <c r="L2897" s="6">
        <v>385.36</v>
      </c>
      <c r="M2897" s="9">
        <f t="shared" si="294"/>
        <v>4.86517</v>
      </c>
      <c r="N2897" s="6">
        <v>385.36</v>
      </c>
      <c r="O2897" s="6">
        <v>0</v>
      </c>
    </row>
    <row r="2898" spans="1:15" ht="18.75" hidden="1" customHeight="1" thickBot="1" x14ac:dyDescent="0.3">
      <c r="A2898" s="3" t="s">
        <v>11</v>
      </c>
      <c r="B2898" s="4">
        <v>197400</v>
      </c>
      <c r="C2898" s="3" t="s">
        <v>22</v>
      </c>
      <c r="D2898" s="7">
        <v>0.08</v>
      </c>
      <c r="E2898" s="7">
        <f t="shared" si="295"/>
        <v>6.6666666666666671E-3</v>
      </c>
      <c r="F2898" s="5">
        <v>43829</v>
      </c>
      <c r="G2898" s="5">
        <v>2958465</v>
      </c>
      <c r="H2898" s="8">
        <f t="shared" si="296"/>
        <v>2914636</v>
      </c>
      <c r="I2898" s="5">
        <v>2958465</v>
      </c>
      <c r="J2898" s="5">
        <v>43867</v>
      </c>
      <c r="K2898" s="8">
        <f t="shared" si="297"/>
        <v>38</v>
      </c>
      <c r="L2898" s="6">
        <v>5388.14</v>
      </c>
      <c r="M2898" s="9">
        <f t="shared" si="294"/>
        <v>35.920933333333338</v>
      </c>
      <c r="N2898" s="6">
        <v>5388.14</v>
      </c>
      <c r="O2898" s="6">
        <v>0</v>
      </c>
    </row>
    <row r="2899" spans="1:15" ht="18.75" hidden="1" customHeight="1" thickBot="1" x14ac:dyDescent="0.3">
      <c r="A2899" s="3" t="s">
        <v>11</v>
      </c>
      <c r="B2899" s="4">
        <v>74622</v>
      </c>
      <c r="C2899" s="3" t="s">
        <v>22</v>
      </c>
      <c r="D2899" s="7">
        <v>9.9999999999999995E-7</v>
      </c>
      <c r="E2899" s="7">
        <f t="shared" si="295"/>
        <v>8.3333333333333325E-8</v>
      </c>
      <c r="F2899" s="5">
        <v>43402</v>
      </c>
      <c r="G2899" s="5">
        <v>2958465</v>
      </c>
      <c r="H2899" s="8">
        <f t="shared" si="296"/>
        <v>2915063</v>
      </c>
      <c r="I2899" s="5">
        <v>2958465</v>
      </c>
      <c r="J2899" s="5">
        <v>43403</v>
      </c>
      <c r="K2899" s="8">
        <f t="shared" si="297"/>
        <v>1</v>
      </c>
      <c r="L2899" s="6">
        <v>318.83999999999997</v>
      </c>
      <c r="M2899" s="9">
        <f t="shared" si="294"/>
        <v>3.2946043617487438E-3</v>
      </c>
      <c r="N2899" s="6">
        <v>318.83999999999997</v>
      </c>
      <c r="O2899" s="6">
        <v>135.87</v>
      </c>
    </row>
    <row r="2900" spans="1:15" ht="18.75" hidden="1" customHeight="1" thickBot="1" x14ac:dyDescent="0.3">
      <c r="A2900" s="3" t="s">
        <v>11</v>
      </c>
      <c r="B2900" s="4">
        <v>579962</v>
      </c>
      <c r="C2900" s="3" t="s">
        <v>22</v>
      </c>
      <c r="D2900" s="7">
        <v>0.08</v>
      </c>
      <c r="E2900" s="7">
        <f t="shared" si="295"/>
        <v>6.6666666666666671E-3</v>
      </c>
      <c r="F2900" s="5">
        <v>43917</v>
      </c>
      <c r="G2900" s="5">
        <v>2958465</v>
      </c>
      <c r="H2900" s="8">
        <f t="shared" si="296"/>
        <v>2914548</v>
      </c>
      <c r="I2900" s="5">
        <v>2958465</v>
      </c>
      <c r="J2900" s="5">
        <v>43920</v>
      </c>
      <c r="K2900" s="8">
        <f t="shared" si="297"/>
        <v>3</v>
      </c>
      <c r="L2900" s="6">
        <v>625.74</v>
      </c>
      <c r="M2900" s="9">
        <f t="shared" si="294"/>
        <v>4.1716000000000006</v>
      </c>
      <c r="N2900" s="6">
        <v>625.74</v>
      </c>
      <c r="O2900" s="6">
        <v>625.74</v>
      </c>
    </row>
    <row r="2901" spans="1:15" ht="18.75" hidden="1" customHeight="1" thickBot="1" x14ac:dyDescent="0.3">
      <c r="A2901" s="3" t="s">
        <v>11</v>
      </c>
      <c r="B2901" s="4">
        <v>404225</v>
      </c>
      <c r="C2901" s="3" t="s">
        <v>22</v>
      </c>
      <c r="D2901" s="7">
        <v>0.08</v>
      </c>
      <c r="E2901" s="7">
        <f t="shared" si="295"/>
        <v>6.6666666666666671E-3</v>
      </c>
      <c r="F2901" s="5">
        <v>43829</v>
      </c>
      <c r="G2901" s="5">
        <v>2958465</v>
      </c>
      <c r="H2901" s="8">
        <f t="shared" si="296"/>
        <v>2914636</v>
      </c>
      <c r="I2901" s="5">
        <v>2958465</v>
      </c>
      <c r="J2901" s="5">
        <v>43867</v>
      </c>
      <c r="K2901" s="8">
        <f t="shared" si="297"/>
        <v>38</v>
      </c>
      <c r="L2901" s="6">
        <v>1040.51</v>
      </c>
      <c r="M2901" s="9">
        <f t="shared" si="294"/>
        <v>6.9367333333333336</v>
      </c>
      <c r="N2901" s="6">
        <v>1040.51</v>
      </c>
      <c r="O2901" s="6">
        <v>43.86</v>
      </c>
    </row>
    <row r="2902" spans="1:15" ht="18.75" hidden="1" customHeight="1" thickBot="1" x14ac:dyDescent="0.3">
      <c r="A2902" s="3" t="s">
        <v>11</v>
      </c>
      <c r="B2902" s="4">
        <v>97440</v>
      </c>
      <c r="C2902" s="3" t="s">
        <v>22</v>
      </c>
      <c r="D2902" s="7">
        <v>0.08</v>
      </c>
      <c r="E2902" s="7">
        <f t="shared" si="295"/>
        <v>6.6666666666666671E-3</v>
      </c>
      <c r="F2902" s="5">
        <v>43829</v>
      </c>
      <c r="G2902" s="5">
        <v>2958465</v>
      </c>
      <c r="H2902" s="8">
        <f t="shared" si="296"/>
        <v>2914636</v>
      </c>
      <c r="I2902" s="5">
        <v>2958465</v>
      </c>
      <c r="J2902" s="5">
        <v>43867</v>
      </c>
      <c r="K2902" s="8">
        <f t="shared" si="297"/>
        <v>38</v>
      </c>
      <c r="L2902" s="6">
        <v>702.66</v>
      </c>
      <c r="M2902" s="9">
        <f t="shared" si="294"/>
        <v>4.6844000000000001</v>
      </c>
      <c r="N2902" s="6">
        <v>702.66</v>
      </c>
      <c r="O2902" s="6">
        <v>0</v>
      </c>
    </row>
    <row r="2903" spans="1:15" ht="18.75" hidden="1" customHeight="1" thickBot="1" x14ac:dyDescent="0.3">
      <c r="A2903" s="3" t="s">
        <v>11</v>
      </c>
      <c r="B2903" s="4">
        <v>899999</v>
      </c>
      <c r="C2903" s="3" t="s">
        <v>22</v>
      </c>
      <c r="D2903" s="7">
        <v>0.08</v>
      </c>
      <c r="E2903" s="7">
        <f t="shared" si="295"/>
        <v>6.6666666666666671E-3</v>
      </c>
      <c r="F2903" s="5">
        <v>43917</v>
      </c>
      <c r="G2903" s="5">
        <v>2958465</v>
      </c>
      <c r="H2903" s="8">
        <f t="shared" si="296"/>
        <v>2914548</v>
      </c>
      <c r="I2903" s="5">
        <v>2958465</v>
      </c>
      <c r="J2903" s="5">
        <v>43920</v>
      </c>
      <c r="K2903" s="8">
        <f t="shared" si="297"/>
        <v>3</v>
      </c>
      <c r="L2903" s="6">
        <v>627.49</v>
      </c>
      <c r="M2903" s="9">
        <f t="shared" si="294"/>
        <v>4.1832666666666674</v>
      </c>
      <c r="N2903" s="6">
        <v>627.49</v>
      </c>
      <c r="O2903" s="6">
        <v>258</v>
      </c>
    </row>
    <row r="2904" spans="1:15" ht="18.75" hidden="1" customHeight="1" thickBot="1" x14ac:dyDescent="0.3">
      <c r="A2904" s="3" t="s">
        <v>11</v>
      </c>
      <c r="B2904" s="4">
        <v>229468</v>
      </c>
      <c r="C2904" s="3" t="s">
        <v>22</v>
      </c>
      <c r="D2904" s="7">
        <v>0.08</v>
      </c>
      <c r="E2904" s="7">
        <f t="shared" si="295"/>
        <v>6.6666666666666671E-3</v>
      </c>
      <c r="F2904" s="5">
        <v>43537</v>
      </c>
      <c r="G2904" s="5">
        <v>2958465</v>
      </c>
      <c r="H2904" s="8">
        <f t="shared" si="296"/>
        <v>2914928</v>
      </c>
      <c r="I2904" s="5">
        <v>2958465</v>
      </c>
      <c r="J2904" s="5">
        <v>43542</v>
      </c>
      <c r="K2904" s="8">
        <f t="shared" si="297"/>
        <v>5</v>
      </c>
      <c r="L2904" s="6">
        <v>18.97</v>
      </c>
      <c r="M2904" s="9">
        <f t="shared" si="294"/>
        <v>0.12646666666666667</v>
      </c>
      <c r="N2904" s="6">
        <v>18.97</v>
      </c>
      <c r="O2904" s="6">
        <v>0</v>
      </c>
    </row>
    <row r="2905" spans="1:15" ht="18.75" hidden="1" customHeight="1" thickBot="1" x14ac:dyDescent="0.3">
      <c r="A2905" s="3" t="s">
        <v>11</v>
      </c>
      <c r="B2905" s="4">
        <v>384088</v>
      </c>
      <c r="C2905" s="3" t="s">
        <v>22</v>
      </c>
      <c r="D2905" s="7">
        <v>0.08</v>
      </c>
      <c r="E2905" s="7">
        <f t="shared" si="295"/>
        <v>6.6666666666666671E-3</v>
      </c>
      <c r="F2905" s="5">
        <v>43917</v>
      </c>
      <c r="G2905" s="5">
        <v>2958465</v>
      </c>
      <c r="H2905" s="8">
        <f t="shared" si="296"/>
        <v>2914548</v>
      </c>
      <c r="I2905" s="5">
        <v>2958465</v>
      </c>
      <c r="J2905" s="5">
        <v>43920</v>
      </c>
      <c r="K2905" s="8">
        <f t="shared" si="297"/>
        <v>3</v>
      </c>
      <c r="L2905" s="6">
        <v>458.86</v>
      </c>
      <c r="M2905" s="9">
        <f t="shared" si="294"/>
        <v>3.0590666666666668</v>
      </c>
      <c r="N2905" s="6">
        <v>458.86</v>
      </c>
      <c r="O2905" s="6">
        <v>50.9</v>
      </c>
    </row>
    <row r="2906" spans="1:15" ht="18.75" hidden="1" customHeight="1" thickBot="1" x14ac:dyDescent="0.3">
      <c r="A2906" s="3" t="s">
        <v>11</v>
      </c>
      <c r="B2906" s="4">
        <v>390110</v>
      </c>
      <c r="C2906" s="3" t="s">
        <v>22</v>
      </c>
      <c r="D2906" s="7">
        <v>6.7500000000000004E-2</v>
      </c>
      <c r="E2906" s="7">
        <f t="shared" si="295"/>
        <v>5.6250000000000007E-3</v>
      </c>
      <c r="F2906" s="5">
        <v>45243</v>
      </c>
      <c r="G2906" s="5">
        <v>2958465</v>
      </c>
      <c r="H2906" s="8">
        <f t="shared" si="296"/>
        <v>2913222</v>
      </c>
      <c r="I2906" s="5">
        <v>2958465</v>
      </c>
      <c r="J2906" s="5">
        <v>45244</v>
      </c>
      <c r="K2906" s="8">
        <f t="shared" si="297"/>
        <v>1</v>
      </c>
      <c r="L2906" s="6">
        <v>426.25</v>
      </c>
      <c r="M2906" s="9">
        <f t="shared" si="294"/>
        <v>2.3976562500000003</v>
      </c>
      <c r="N2906" s="6">
        <v>426.25</v>
      </c>
      <c r="O2906" s="6">
        <v>426.25</v>
      </c>
    </row>
    <row r="2907" spans="1:15" ht="18.75" hidden="1" customHeight="1" thickBot="1" x14ac:dyDescent="0.3">
      <c r="A2907" s="3" t="s">
        <v>11</v>
      </c>
      <c r="B2907" s="4">
        <v>706523</v>
      </c>
      <c r="C2907" s="3" t="s">
        <v>22</v>
      </c>
      <c r="D2907" s="7">
        <v>8.5000000000000006E-2</v>
      </c>
      <c r="E2907" s="7">
        <f t="shared" si="295"/>
        <v>7.0833333333333338E-3</v>
      </c>
      <c r="F2907" s="5">
        <v>45156</v>
      </c>
      <c r="G2907" s="5">
        <v>2958465</v>
      </c>
      <c r="H2907" s="8">
        <f t="shared" si="296"/>
        <v>2913309</v>
      </c>
      <c r="I2907" s="5">
        <v>2958465</v>
      </c>
      <c r="J2907" s="5">
        <v>45159</v>
      </c>
      <c r="K2907" s="8">
        <f t="shared" si="297"/>
        <v>3</v>
      </c>
      <c r="L2907" s="6">
        <v>1059.27</v>
      </c>
      <c r="M2907" s="9">
        <f t="shared" si="294"/>
        <v>7.5031625000000002</v>
      </c>
      <c r="N2907" s="6">
        <v>1059.27</v>
      </c>
      <c r="O2907" s="6">
        <v>1059.27</v>
      </c>
    </row>
    <row r="2908" spans="1:15" ht="18.75" hidden="1" customHeight="1" thickBot="1" x14ac:dyDescent="0.3">
      <c r="A2908" s="3" t="s">
        <v>11</v>
      </c>
      <c r="B2908" s="4">
        <v>995579</v>
      </c>
      <c r="C2908" s="3" t="s">
        <v>22</v>
      </c>
      <c r="D2908" s="7">
        <v>6.7500000000000004E-2</v>
      </c>
      <c r="E2908" s="7">
        <f t="shared" si="295"/>
        <v>5.6250000000000007E-3</v>
      </c>
      <c r="F2908" s="5">
        <v>45180</v>
      </c>
      <c r="G2908" s="5">
        <v>2958465</v>
      </c>
      <c r="H2908" s="8">
        <f t="shared" si="296"/>
        <v>2913285</v>
      </c>
      <c r="I2908" s="5">
        <v>2958465</v>
      </c>
      <c r="J2908" s="5">
        <v>45181</v>
      </c>
      <c r="K2908" s="8">
        <f t="shared" si="297"/>
        <v>1</v>
      </c>
      <c r="L2908" s="6">
        <v>2738.84</v>
      </c>
      <c r="M2908" s="9">
        <f t="shared" si="294"/>
        <v>15.405975000000003</v>
      </c>
      <c r="N2908" s="6">
        <v>2738.84</v>
      </c>
      <c r="O2908" s="6">
        <v>118.4</v>
      </c>
    </row>
    <row r="2909" spans="1:15" ht="18.75" hidden="1" customHeight="1" thickBot="1" x14ac:dyDescent="0.3">
      <c r="A2909" s="3" t="s">
        <v>11</v>
      </c>
      <c r="B2909" s="4">
        <v>185882</v>
      </c>
      <c r="C2909" s="3" t="s">
        <v>22</v>
      </c>
      <c r="D2909" s="7">
        <v>0.08</v>
      </c>
      <c r="E2909" s="7">
        <f t="shared" si="295"/>
        <v>6.6666666666666671E-3</v>
      </c>
      <c r="F2909" s="5">
        <v>43879</v>
      </c>
      <c r="G2909" s="5">
        <v>2958465</v>
      </c>
      <c r="H2909" s="8">
        <f t="shared" si="296"/>
        <v>2914586</v>
      </c>
      <c r="I2909" s="5">
        <v>2958465</v>
      </c>
      <c r="J2909" s="5">
        <v>43887</v>
      </c>
      <c r="K2909" s="8">
        <f t="shared" si="297"/>
        <v>8</v>
      </c>
      <c r="L2909" s="6">
        <v>628.09</v>
      </c>
      <c r="M2909" s="9">
        <f t="shared" si="294"/>
        <v>4.1872666666666669</v>
      </c>
      <c r="N2909" s="6">
        <v>628.09</v>
      </c>
      <c r="O2909" s="6">
        <v>628.09</v>
      </c>
    </row>
    <row r="2910" spans="1:15" ht="18.75" hidden="1" customHeight="1" thickBot="1" x14ac:dyDescent="0.3">
      <c r="A2910" s="3" t="s">
        <v>11</v>
      </c>
      <c r="B2910" s="4">
        <v>122558</v>
      </c>
      <c r="C2910" s="3" t="s">
        <v>15</v>
      </c>
      <c r="D2910" s="7">
        <v>0.1515</v>
      </c>
      <c r="E2910" s="7">
        <f t="shared" si="295"/>
        <v>1.2624999999999999E-2</v>
      </c>
      <c r="F2910" s="5">
        <v>44243</v>
      </c>
      <c r="G2910" s="5">
        <v>2958465</v>
      </c>
      <c r="H2910" s="8">
        <f t="shared" si="296"/>
        <v>2914222</v>
      </c>
      <c r="I2910" s="5">
        <v>2958465</v>
      </c>
      <c r="J2910" s="5">
        <v>44244</v>
      </c>
      <c r="K2910" s="8">
        <f t="shared" si="297"/>
        <v>1</v>
      </c>
      <c r="L2910" s="6">
        <v>633.70000000000005</v>
      </c>
      <c r="M2910" s="9">
        <f t="shared" si="294"/>
        <v>8.0004624999999994</v>
      </c>
      <c r="N2910" s="6">
        <v>633.70000000000005</v>
      </c>
      <c r="O2910" s="6">
        <v>625.01</v>
      </c>
    </row>
    <row r="2911" spans="1:15" ht="18.75" hidden="1" customHeight="1" thickBot="1" x14ac:dyDescent="0.3">
      <c r="A2911" s="3" t="s">
        <v>11</v>
      </c>
      <c r="B2911" s="4">
        <v>389668</v>
      </c>
      <c r="C2911" s="3" t="s">
        <v>22</v>
      </c>
      <c r="D2911" s="7">
        <v>0.08</v>
      </c>
      <c r="E2911" s="7">
        <f t="shared" si="295"/>
        <v>6.6666666666666671E-3</v>
      </c>
      <c r="F2911" s="5">
        <v>43879</v>
      </c>
      <c r="G2911" s="5">
        <v>2958465</v>
      </c>
      <c r="H2911" s="8">
        <f t="shared" si="296"/>
        <v>2914586</v>
      </c>
      <c r="I2911" s="5">
        <v>2958465</v>
      </c>
      <c r="J2911" s="5">
        <v>43887</v>
      </c>
      <c r="K2911" s="8">
        <f t="shared" si="297"/>
        <v>8</v>
      </c>
      <c r="L2911" s="6">
        <v>1794.92</v>
      </c>
      <c r="M2911" s="9">
        <f t="shared" si="294"/>
        <v>11.966133333333335</v>
      </c>
      <c r="N2911" s="6">
        <v>1794.92</v>
      </c>
      <c r="O2911" s="6">
        <v>669.92</v>
      </c>
    </row>
    <row r="2912" spans="1:15" ht="18.75" hidden="1" customHeight="1" thickBot="1" x14ac:dyDescent="0.3">
      <c r="A2912" s="3" t="s">
        <v>11</v>
      </c>
      <c r="B2912" s="4">
        <v>370330</v>
      </c>
      <c r="C2912" s="3" t="s">
        <v>22</v>
      </c>
      <c r="D2912" s="7">
        <v>6.7500000000000004E-2</v>
      </c>
      <c r="E2912" s="7">
        <f t="shared" si="295"/>
        <v>5.6250000000000007E-3</v>
      </c>
      <c r="F2912" s="5">
        <v>45587</v>
      </c>
      <c r="G2912" s="5">
        <v>2958465</v>
      </c>
      <c r="H2912" s="8">
        <f t="shared" si="296"/>
        <v>2912878</v>
      </c>
      <c r="I2912" s="5">
        <v>2958465</v>
      </c>
      <c r="J2912" s="5">
        <v>45588</v>
      </c>
      <c r="K2912" s="8">
        <f t="shared" si="297"/>
        <v>1</v>
      </c>
      <c r="L2912" s="6">
        <v>411.13</v>
      </c>
      <c r="M2912" s="9">
        <f t="shared" si="294"/>
        <v>2.3126062500000004</v>
      </c>
      <c r="N2912" s="6">
        <v>411.13</v>
      </c>
      <c r="O2912" s="6">
        <v>0</v>
      </c>
    </row>
    <row r="2913" spans="1:15" ht="18.75" hidden="1" customHeight="1" thickBot="1" x14ac:dyDescent="0.3">
      <c r="A2913" s="3" t="s">
        <v>11</v>
      </c>
      <c r="B2913" s="4">
        <v>393602</v>
      </c>
      <c r="C2913" s="3" t="s">
        <v>22</v>
      </c>
      <c r="D2913" s="7">
        <v>0.08</v>
      </c>
      <c r="E2913" s="7">
        <f t="shared" si="295"/>
        <v>6.6666666666666671E-3</v>
      </c>
      <c r="F2913" s="5">
        <v>43608</v>
      </c>
      <c r="G2913" s="5">
        <v>2958465</v>
      </c>
      <c r="H2913" s="8">
        <f t="shared" si="296"/>
        <v>2914857</v>
      </c>
      <c r="I2913" s="5">
        <v>2958465</v>
      </c>
      <c r="J2913" s="5">
        <v>43609</v>
      </c>
      <c r="K2913" s="8">
        <f t="shared" si="297"/>
        <v>1</v>
      </c>
      <c r="L2913" s="6">
        <v>401.72</v>
      </c>
      <c r="M2913" s="9">
        <f t="shared" si="294"/>
        <v>2.6781333333333337</v>
      </c>
      <c r="N2913" s="6">
        <v>401.72</v>
      </c>
      <c r="O2913" s="6">
        <v>0</v>
      </c>
    </row>
    <row r="2914" spans="1:15" ht="18.75" hidden="1" customHeight="1" thickBot="1" x14ac:dyDescent="0.3">
      <c r="A2914" s="3" t="s">
        <v>11</v>
      </c>
      <c r="B2914" s="4">
        <v>530816</v>
      </c>
      <c r="C2914" s="3" t="s">
        <v>22</v>
      </c>
      <c r="D2914" s="7">
        <v>0.115</v>
      </c>
      <c r="E2914" s="7">
        <f t="shared" si="295"/>
        <v>9.5833333333333343E-3</v>
      </c>
      <c r="F2914" s="5">
        <v>44610</v>
      </c>
      <c r="G2914" s="5">
        <v>2958465</v>
      </c>
      <c r="H2914" s="8">
        <f t="shared" si="296"/>
        <v>2913855</v>
      </c>
      <c r="I2914" s="5">
        <v>2958465</v>
      </c>
      <c r="J2914" s="5">
        <v>44614</v>
      </c>
      <c r="K2914" s="8">
        <f t="shared" si="297"/>
        <v>4</v>
      </c>
      <c r="L2914" s="6">
        <v>2623.92</v>
      </c>
      <c r="M2914" s="9">
        <f t="shared" si="294"/>
        <v>25.145900000000005</v>
      </c>
      <c r="N2914" s="6">
        <v>2623.92</v>
      </c>
      <c r="O2914" s="6">
        <v>1847.68</v>
      </c>
    </row>
    <row r="2915" spans="1:15" ht="18.75" hidden="1" customHeight="1" thickBot="1" x14ac:dyDescent="0.3">
      <c r="A2915" s="3" t="s">
        <v>11</v>
      </c>
      <c r="B2915" s="4">
        <v>231570</v>
      </c>
      <c r="C2915" s="3" t="s">
        <v>22</v>
      </c>
      <c r="D2915" s="7">
        <v>0.08</v>
      </c>
      <c r="E2915" s="7">
        <f t="shared" si="295"/>
        <v>6.6666666666666671E-3</v>
      </c>
      <c r="F2915" s="5">
        <v>43829</v>
      </c>
      <c r="G2915" s="5">
        <v>2958465</v>
      </c>
      <c r="H2915" s="8">
        <f t="shared" si="296"/>
        <v>2914636</v>
      </c>
      <c r="I2915" s="5">
        <v>2958465</v>
      </c>
      <c r="J2915" s="5">
        <v>43867</v>
      </c>
      <c r="K2915" s="8">
        <f t="shared" si="297"/>
        <v>38</v>
      </c>
      <c r="L2915" s="6">
        <v>496.33</v>
      </c>
      <c r="M2915" s="9">
        <f t="shared" si="294"/>
        <v>3.3088666666666668</v>
      </c>
      <c r="N2915" s="6">
        <v>496.33</v>
      </c>
      <c r="O2915" s="6">
        <v>0</v>
      </c>
    </row>
    <row r="2916" spans="1:15" ht="18.75" hidden="1" customHeight="1" thickBot="1" x14ac:dyDescent="0.3">
      <c r="A2916" s="3" t="s">
        <v>11</v>
      </c>
      <c r="B2916" s="4">
        <v>969219</v>
      </c>
      <c r="C2916" s="3" t="s">
        <v>22</v>
      </c>
      <c r="D2916" s="7">
        <v>0.08</v>
      </c>
      <c r="E2916" s="7">
        <f t="shared" si="295"/>
        <v>6.6666666666666671E-3</v>
      </c>
      <c r="F2916" s="5">
        <v>43608</v>
      </c>
      <c r="G2916" s="5">
        <v>2958465</v>
      </c>
      <c r="H2916" s="8">
        <f t="shared" si="296"/>
        <v>2914857</v>
      </c>
      <c r="I2916" s="5">
        <v>2958465</v>
      </c>
      <c r="J2916" s="5">
        <v>43609</v>
      </c>
      <c r="K2916" s="8">
        <f t="shared" si="297"/>
        <v>1</v>
      </c>
      <c r="L2916" s="6">
        <v>407.96</v>
      </c>
      <c r="M2916" s="9">
        <f t="shared" si="294"/>
        <v>2.7197333333333336</v>
      </c>
      <c r="N2916" s="6">
        <v>407.96</v>
      </c>
      <c r="O2916" s="6">
        <v>0</v>
      </c>
    </row>
    <row r="2917" spans="1:15" ht="18.75" hidden="1" customHeight="1" thickBot="1" x14ac:dyDescent="0.3">
      <c r="A2917" s="3" t="s">
        <v>11</v>
      </c>
      <c r="B2917" s="4">
        <v>464984</v>
      </c>
      <c r="C2917" s="3" t="s">
        <v>22</v>
      </c>
      <c r="D2917" s="7">
        <v>0.08</v>
      </c>
      <c r="E2917" s="7">
        <f t="shared" si="295"/>
        <v>6.6666666666666671E-3</v>
      </c>
      <c r="F2917" s="5">
        <v>43917</v>
      </c>
      <c r="G2917" s="5">
        <v>2958465</v>
      </c>
      <c r="H2917" s="8">
        <f t="shared" si="296"/>
        <v>2914548</v>
      </c>
      <c r="I2917" s="5">
        <v>2958465</v>
      </c>
      <c r="J2917" s="5">
        <v>43920</v>
      </c>
      <c r="K2917" s="8">
        <f t="shared" si="297"/>
        <v>3</v>
      </c>
      <c r="L2917" s="6">
        <v>1993.45</v>
      </c>
      <c r="M2917" s="9">
        <f t="shared" si="294"/>
        <v>13.289666666666667</v>
      </c>
      <c r="N2917" s="6">
        <v>1993.45</v>
      </c>
      <c r="O2917" s="6">
        <v>274.95</v>
      </c>
    </row>
    <row r="2918" spans="1:15" ht="18.75" hidden="1" customHeight="1" thickBot="1" x14ac:dyDescent="0.3">
      <c r="A2918" s="3" t="s">
        <v>11</v>
      </c>
      <c r="B2918" s="4">
        <v>531395</v>
      </c>
      <c r="C2918" s="3" t="s">
        <v>22</v>
      </c>
      <c r="D2918" s="7">
        <v>7.0000000000000007E-2</v>
      </c>
      <c r="E2918" s="7">
        <f t="shared" si="295"/>
        <v>5.8333333333333336E-3</v>
      </c>
      <c r="F2918" s="5">
        <v>45000</v>
      </c>
      <c r="G2918" s="5">
        <v>2958465</v>
      </c>
      <c r="H2918" s="8">
        <f t="shared" si="296"/>
        <v>2913465</v>
      </c>
      <c r="I2918" s="5">
        <v>2958465</v>
      </c>
      <c r="J2918" s="5">
        <v>45002</v>
      </c>
      <c r="K2918" s="8">
        <f t="shared" si="297"/>
        <v>2</v>
      </c>
      <c r="L2918" s="6">
        <v>429.5</v>
      </c>
      <c r="M2918" s="9">
        <f t="shared" si="294"/>
        <v>2.5054166666666666</v>
      </c>
      <c r="N2918" s="6">
        <v>429.5</v>
      </c>
      <c r="O2918" s="6">
        <v>0</v>
      </c>
    </row>
    <row r="2919" spans="1:15" ht="18.75" hidden="1" customHeight="1" thickBot="1" x14ac:dyDescent="0.3">
      <c r="A2919" s="3" t="s">
        <v>11</v>
      </c>
      <c r="B2919" s="4">
        <v>258212</v>
      </c>
      <c r="C2919" s="3" t="s">
        <v>22</v>
      </c>
      <c r="D2919" s="7">
        <v>0.08</v>
      </c>
      <c r="E2919" s="7">
        <f t="shared" si="295"/>
        <v>6.6666666666666671E-3</v>
      </c>
      <c r="F2919" s="5">
        <v>43608</v>
      </c>
      <c r="G2919" s="5">
        <v>2958465</v>
      </c>
      <c r="H2919" s="8">
        <f t="shared" si="296"/>
        <v>2914857</v>
      </c>
      <c r="I2919" s="5">
        <v>2958465</v>
      </c>
      <c r="J2919" s="5">
        <v>43609</v>
      </c>
      <c r="K2919" s="8">
        <f t="shared" si="297"/>
        <v>1</v>
      </c>
      <c r="L2919" s="6">
        <v>643.53</v>
      </c>
      <c r="M2919" s="9">
        <f t="shared" si="294"/>
        <v>4.2902000000000005</v>
      </c>
      <c r="N2919" s="6">
        <v>643.53</v>
      </c>
      <c r="O2919" s="6">
        <v>0</v>
      </c>
    </row>
    <row r="2920" spans="1:15" ht="18.75" hidden="1" customHeight="1" thickBot="1" x14ac:dyDescent="0.3">
      <c r="A2920" s="3" t="s">
        <v>11</v>
      </c>
      <c r="B2920" s="4">
        <v>754440</v>
      </c>
      <c r="C2920" s="3" t="s">
        <v>22</v>
      </c>
      <c r="D2920" s="7">
        <v>7.2499999999999995E-2</v>
      </c>
      <c r="E2920" s="7">
        <f t="shared" si="295"/>
        <v>6.0416666666666665E-3</v>
      </c>
      <c r="F2920" s="5">
        <v>45723</v>
      </c>
      <c r="G2920" s="5">
        <v>2958465</v>
      </c>
      <c r="H2920" s="8">
        <f t="shared" si="296"/>
        <v>2912742</v>
      </c>
      <c r="I2920" s="5">
        <v>2958465</v>
      </c>
      <c r="J2920" s="5">
        <v>45726</v>
      </c>
      <c r="K2920" s="8">
        <f t="shared" si="297"/>
        <v>3</v>
      </c>
      <c r="L2920" s="6">
        <v>689.28</v>
      </c>
      <c r="M2920" s="9">
        <f t="shared" si="294"/>
        <v>4.1643999999999997</v>
      </c>
      <c r="N2920" s="6">
        <v>689.28</v>
      </c>
      <c r="O2920" s="6">
        <v>0</v>
      </c>
    </row>
    <row r="2921" spans="1:15" ht="18.75" hidden="1" customHeight="1" thickBot="1" x14ac:dyDescent="0.3">
      <c r="A2921" s="3" t="s">
        <v>11</v>
      </c>
      <c r="B2921" s="4">
        <v>577137</v>
      </c>
      <c r="C2921" s="3" t="s">
        <v>15</v>
      </c>
      <c r="D2921" s="7">
        <v>0.1515</v>
      </c>
      <c r="E2921" s="7">
        <f t="shared" si="295"/>
        <v>1.2624999999999999E-2</v>
      </c>
      <c r="F2921" s="5">
        <v>44187</v>
      </c>
      <c r="G2921" s="5">
        <v>2958465</v>
      </c>
      <c r="H2921" s="8">
        <f t="shared" si="296"/>
        <v>2914278</v>
      </c>
      <c r="I2921" s="5">
        <v>2958465</v>
      </c>
      <c r="J2921" s="5">
        <v>44193</v>
      </c>
      <c r="K2921" s="8">
        <f t="shared" si="297"/>
        <v>6</v>
      </c>
      <c r="L2921" s="6">
        <v>401.14</v>
      </c>
      <c r="M2921" s="9">
        <f t="shared" si="294"/>
        <v>5.0643924999999994</v>
      </c>
      <c r="N2921" s="6">
        <v>401.14</v>
      </c>
      <c r="O2921" s="6">
        <v>401.14</v>
      </c>
    </row>
    <row r="2922" spans="1:15" ht="18.75" hidden="1" customHeight="1" thickBot="1" x14ac:dyDescent="0.3">
      <c r="A2922" s="3" t="s">
        <v>11</v>
      </c>
      <c r="B2922" s="4">
        <v>752982</v>
      </c>
      <c r="C2922" s="3" t="s">
        <v>22</v>
      </c>
      <c r="D2922" s="7">
        <v>0.08</v>
      </c>
      <c r="E2922" s="7">
        <f t="shared" si="295"/>
        <v>6.6666666666666671E-3</v>
      </c>
      <c r="F2922" s="5">
        <v>43879</v>
      </c>
      <c r="G2922" s="5">
        <v>2958465</v>
      </c>
      <c r="H2922" s="8">
        <f t="shared" si="296"/>
        <v>2914586</v>
      </c>
      <c r="I2922" s="5">
        <v>2958465</v>
      </c>
      <c r="J2922" s="5">
        <v>43887</v>
      </c>
      <c r="K2922" s="8">
        <f t="shared" si="297"/>
        <v>8</v>
      </c>
      <c r="L2922" s="6">
        <v>1289.45</v>
      </c>
      <c r="M2922" s="9">
        <f t="shared" si="294"/>
        <v>8.5963333333333338</v>
      </c>
      <c r="N2922" s="6">
        <v>1289.45</v>
      </c>
      <c r="O2922" s="6">
        <v>0</v>
      </c>
    </row>
    <row r="2923" spans="1:15" ht="18.75" hidden="1" customHeight="1" thickBot="1" x14ac:dyDescent="0.3">
      <c r="A2923" s="3" t="s">
        <v>11</v>
      </c>
      <c r="B2923" s="4">
        <v>472105</v>
      </c>
      <c r="C2923" s="3" t="s">
        <v>22</v>
      </c>
      <c r="D2923" s="7">
        <v>0.08</v>
      </c>
      <c r="E2923" s="7">
        <f t="shared" si="295"/>
        <v>6.6666666666666671E-3</v>
      </c>
      <c r="F2923" s="5">
        <v>43500</v>
      </c>
      <c r="G2923" s="5">
        <v>2958465</v>
      </c>
      <c r="H2923" s="8">
        <f t="shared" si="296"/>
        <v>2914965</v>
      </c>
      <c r="I2923" s="5">
        <v>2958465</v>
      </c>
      <c r="J2923" s="5">
        <v>43504</v>
      </c>
      <c r="K2923" s="8">
        <f t="shared" si="297"/>
        <v>4</v>
      </c>
      <c r="L2923" s="6">
        <v>2072</v>
      </c>
      <c r="M2923" s="9">
        <f t="shared" si="294"/>
        <v>13.813333333333334</v>
      </c>
      <c r="N2923" s="6">
        <v>2072</v>
      </c>
      <c r="O2923" s="6">
        <v>0</v>
      </c>
    </row>
    <row r="2924" spans="1:15" ht="18.75" hidden="1" customHeight="1" thickBot="1" x14ac:dyDescent="0.3">
      <c r="A2924" s="3" t="s">
        <v>11</v>
      </c>
      <c r="B2924" s="4">
        <v>866112</v>
      </c>
      <c r="C2924" s="3" t="s">
        <v>22</v>
      </c>
      <c r="D2924" s="7">
        <v>0.08</v>
      </c>
      <c r="E2924" s="7">
        <f t="shared" si="295"/>
        <v>6.6666666666666671E-3</v>
      </c>
      <c r="F2924" s="5">
        <v>43738</v>
      </c>
      <c r="G2924" s="5">
        <v>2958465</v>
      </c>
      <c r="H2924" s="8">
        <f t="shared" si="296"/>
        <v>2914727</v>
      </c>
      <c r="I2924" s="5">
        <v>2958465</v>
      </c>
      <c r="J2924" s="5">
        <v>43738</v>
      </c>
      <c r="K2924" s="8">
        <f t="shared" si="297"/>
        <v>0</v>
      </c>
      <c r="L2924" s="6">
        <v>808.58</v>
      </c>
      <c r="M2924" s="9">
        <f t="shared" si="294"/>
        <v>5.3905333333333338</v>
      </c>
      <c r="N2924" s="6">
        <v>808.58</v>
      </c>
      <c r="O2924" s="6">
        <v>0</v>
      </c>
    </row>
    <row r="2925" spans="1:15" ht="18.75" hidden="1" customHeight="1" thickBot="1" x14ac:dyDescent="0.3">
      <c r="A2925" s="3" t="s">
        <v>11</v>
      </c>
      <c r="B2925" s="4">
        <v>525411</v>
      </c>
      <c r="C2925" s="3" t="s">
        <v>15</v>
      </c>
      <c r="D2925" s="7">
        <v>0.115</v>
      </c>
      <c r="E2925" s="7">
        <f t="shared" si="295"/>
        <v>9.5833333333333343E-3</v>
      </c>
      <c r="F2925" s="5">
        <v>44610</v>
      </c>
      <c r="G2925" s="5">
        <v>2958465</v>
      </c>
      <c r="H2925" s="8">
        <f t="shared" si="296"/>
        <v>2913855</v>
      </c>
      <c r="I2925" s="5">
        <v>2958465</v>
      </c>
      <c r="J2925" s="5">
        <v>44614</v>
      </c>
      <c r="K2925" s="8">
        <f t="shared" si="297"/>
        <v>4</v>
      </c>
      <c r="L2925" s="6">
        <v>467.81</v>
      </c>
      <c r="M2925" s="9">
        <f t="shared" si="294"/>
        <v>4.4831791666666669</v>
      </c>
      <c r="N2925" s="6">
        <v>467.81</v>
      </c>
      <c r="O2925" s="6">
        <v>0</v>
      </c>
    </row>
    <row r="2926" spans="1:15" ht="18.75" hidden="1" customHeight="1" thickBot="1" x14ac:dyDescent="0.3">
      <c r="A2926" s="3" t="s">
        <v>11</v>
      </c>
      <c r="B2926" s="4">
        <v>209951</v>
      </c>
      <c r="C2926" s="3" t="s">
        <v>15</v>
      </c>
      <c r="D2926" s="7">
        <v>0.1125</v>
      </c>
      <c r="E2926" s="7">
        <f t="shared" si="295"/>
        <v>9.3749999999999997E-3</v>
      </c>
      <c r="F2926" s="5">
        <v>44644</v>
      </c>
      <c r="G2926" s="5">
        <v>2958465</v>
      </c>
      <c r="H2926" s="8">
        <f t="shared" si="296"/>
        <v>2913821</v>
      </c>
      <c r="I2926" s="5">
        <v>2958465</v>
      </c>
      <c r="J2926" s="5">
        <v>44645</v>
      </c>
      <c r="K2926" s="8">
        <f t="shared" si="297"/>
        <v>1</v>
      </c>
      <c r="L2926" s="6">
        <v>622</v>
      </c>
      <c r="M2926" s="9">
        <f t="shared" si="294"/>
        <v>5.8312499999999998</v>
      </c>
      <c r="N2926" s="6">
        <v>621.13</v>
      </c>
      <c r="O2926" s="6">
        <v>0</v>
      </c>
    </row>
    <row r="2927" spans="1:15" ht="18.75" hidden="1" customHeight="1" thickBot="1" x14ac:dyDescent="0.3">
      <c r="A2927" s="3" t="s">
        <v>11</v>
      </c>
      <c r="B2927" s="4">
        <v>395265</v>
      </c>
      <c r="C2927" s="3" t="s">
        <v>15</v>
      </c>
      <c r="D2927" s="7">
        <v>0.1515</v>
      </c>
      <c r="E2927" s="7">
        <f t="shared" si="295"/>
        <v>1.2624999999999999E-2</v>
      </c>
      <c r="F2927" s="5">
        <v>44186</v>
      </c>
      <c r="G2927" s="5">
        <v>2958465</v>
      </c>
      <c r="H2927" s="8">
        <f t="shared" si="296"/>
        <v>2914279</v>
      </c>
      <c r="I2927" s="5">
        <v>2958465</v>
      </c>
      <c r="J2927" s="5">
        <v>44187</v>
      </c>
      <c r="K2927" s="8">
        <f t="shared" si="297"/>
        <v>1</v>
      </c>
      <c r="L2927" s="6">
        <v>319.18</v>
      </c>
      <c r="M2927" s="9">
        <f t="shared" si="294"/>
        <v>4.0296474999999994</v>
      </c>
      <c r="N2927" s="6">
        <v>319.18</v>
      </c>
      <c r="O2927" s="6">
        <v>0</v>
      </c>
    </row>
    <row r="2928" spans="1:15" ht="18.75" hidden="1" customHeight="1" thickBot="1" x14ac:dyDescent="0.3">
      <c r="A2928" s="3" t="s">
        <v>11</v>
      </c>
      <c r="B2928" s="4">
        <v>386981</v>
      </c>
      <c r="C2928" s="3" t="s">
        <v>22</v>
      </c>
      <c r="D2928" s="7">
        <v>0.08</v>
      </c>
      <c r="E2928" s="7">
        <f t="shared" si="295"/>
        <v>6.6666666666666671E-3</v>
      </c>
      <c r="F2928" s="5">
        <v>43980</v>
      </c>
      <c r="G2928" s="5">
        <v>2958465</v>
      </c>
      <c r="H2928" s="8">
        <f t="shared" si="296"/>
        <v>2914485</v>
      </c>
      <c r="I2928" s="5">
        <v>2958465</v>
      </c>
      <c r="J2928" s="5">
        <v>44011</v>
      </c>
      <c r="K2928" s="8">
        <f t="shared" si="297"/>
        <v>31</v>
      </c>
      <c r="L2928" s="6">
        <v>636.89</v>
      </c>
      <c r="M2928" s="9">
        <f t="shared" si="294"/>
        <v>4.2459333333333333</v>
      </c>
      <c r="N2928" s="6">
        <v>636.89</v>
      </c>
      <c r="O2928" s="6">
        <v>25</v>
      </c>
    </row>
    <row r="2929" spans="1:15" ht="18.75" hidden="1" customHeight="1" thickBot="1" x14ac:dyDescent="0.3">
      <c r="A2929" s="3" t="s">
        <v>11</v>
      </c>
      <c r="B2929" s="4">
        <v>832137</v>
      </c>
      <c r="C2929" s="3" t="s">
        <v>22</v>
      </c>
      <c r="D2929" s="7">
        <v>0.08</v>
      </c>
      <c r="E2929" s="7">
        <f t="shared" si="295"/>
        <v>6.6666666666666671E-3</v>
      </c>
      <c r="F2929" s="5">
        <v>43879</v>
      </c>
      <c r="G2929" s="5">
        <v>2958465</v>
      </c>
      <c r="H2929" s="8">
        <f t="shared" si="296"/>
        <v>2914586</v>
      </c>
      <c r="I2929" s="5">
        <v>2958465</v>
      </c>
      <c r="J2929" s="5">
        <v>43887</v>
      </c>
      <c r="K2929" s="8">
        <f t="shared" si="297"/>
        <v>8</v>
      </c>
      <c r="L2929" s="6">
        <v>700.15</v>
      </c>
      <c r="M2929" s="9">
        <f t="shared" si="294"/>
        <v>4.6676666666666664</v>
      </c>
      <c r="N2929" s="6">
        <v>700.15</v>
      </c>
      <c r="O2929" s="6">
        <v>6.17</v>
      </c>
    </row>
    <row r="2930" spans="1:15" ht="18.75" hidden="1" customHeight="1" thickBot="1" x14ac:dyDescent="0.3">
      <c r="A2930" s="3" t="s">
        <v>11</v>
      </c>
      <c r="B2930" s="4">
        <v>718595</v>
      </c>
      <c r="C2930" s="3" t="s">
        <v>15</v>
      </c>
      <c r="D2930" s="7">
        <v>0.1515</v>
      </c>
      <c r="E2930" s="7">
        <f t="shared" si="295"/>
        <v>1.2624999999999999E-2</v>
      </c>
      <c r="F2930" s="5">
        <v>44559</v>
      </c>
      <c r="G2930" s="5">
        <v>2958465</v>
      </c>
      <c r="H2930" s="8">
        <f t="shared" si="296"/>
        <v>2913906</v>
      </c>
      <c r="I2930" s="5">
        <v>2958465</v>
      </c>
      <c r="J2930" s="5">
        <v>44560</v>
      </c>
      <c r="K2930" s="8">
        <f t="shared" si="297"/>
        <v>1</v>
      </c>
      <c r="L2930" s="6">
        <v>1702.89</v>
      </c>
      <c r="M2930" s="9">
        <f t="shared" si="294"/>
        <v>21.498986249999998</v>
      </c>
      <c r="N2930" s="6">
        <v>1702.89</v>
      </c>
      <c r="O2930" s="6">
        <v>0</v>
      </c>
    </row>
    <row r="2931" spans="1:15" ht="18.75" hidden="1" customHeight="1" thickBot="1" x14ac:dyDescent="0.3">
      <c r="A2931" s="3" t="s">
        <v>11</v>
      </c>
      <c r="B2931" s="4">
        <v>670553</v>
      </c>
      <c r="C2931" s="3" t="s">
        <v>22</v>
      </c>
      <c r="D2931" s="7">
        <v>0.08</v>
      </c>
      <c r="E2931" s="7">
        <f t="shared" si="295"/>
        <v>6.6666666666666671E-3</v>
      </c>
      <c r="F2931" s="5">
        <v>43917</v>
      </c>
      <c r="G2931" s="5">
        <v>2958465</v>
      </c>
      <c r="H2931" s="8">
        <f t="shared" si="296"/>
        <v>2914548</v>
      </c>
      <c r="I2931" s="5">
        <v>2958465</v>
      </c>
      <c r="J2931" s="5">
        <v>43920</v>
      </c>
      <c r="K2931" s="8">
        <f t="shared" si="297"/>
        <v>3</v>
      </c>
      <c r="L2931" s="6">
        <v>718.92</v>
      </c>
      <c r="M2931" s="9">
        <f t="shared" si="294"/>
        <v>4.7927999999999997</v>
      </c>
      <c r="N2931" s="6">
        <v>718.92</v>
      </c>
      <c r="O2931" s="6">
        <v>333.04</v>
      </c>
    </row>
    <row r="2932" spans="1:15" ht="18.75" hidden="1" customHeight="1" thickBot="1" x14ac:dyDescent="0.3">
      <c r="A2932" s="3" t="s">
        <v>11</v>
      </c>
      <c r="B2932" s="4">
        <v>162304</v>
      </c>
      <c r="C2932" s="3" t="s">
        <v>22</v>
      </c>
      <c r="D2932" s="7">
        <v>7.0000000000000007E-2</v>
      </c>
      <c r="E2932" s="7">
        <f t="shared" si="295"/>
        <v>5.8333333333333336E-3</v>
      </c>
      <c r="F2932" s="5">
        <v>45642</v>
      </c>
      <c r="G2932" s="5">
        <v>2958465</v>
      </c>
      <c r="H2932" s="8">
        <f t="shared" si="296"/>
        <v>2912823</v>
      </c>
      <c r="I2932" s="5">
        <v>2958465</v>
      </c>
      <c r="J2932" s="5">
        <v>45643</v>
      </c>
      <c r="K2932" s="8">
        <f t="shared" si="297"/>
        <v>1</v>
      </c>
      <c r="L2932" s="6">
        <v>817.75</v>
      </c>
      <c r="M2932" s="9">
        <f t="shared" si="294"/>
        <v>4.7702083333333336</v>
      </c>
      <c r="N2932" s="6">
        <v>817.75</v>
      </c>
      <c r="O2932" s="6">
        <v>0</v>
      </c>
    </row>
    <row r="2933" spans="1:15" ht="18.75" hidden="1" customHeight="1" thickBot="1" x14ac:dyDescent="0.3">
      <c r="A2933" s="3" t="s">
        <v>11</v>
      </c>
      <c r="B2933" s="4">
        <v>769000</v>
      </c>
      <c r="C2933" s="3" t="s">
        <v>22</v>
      </c>
      <c r="D2933" s="7">
        <v>0.08</v>
      </c>
      <c r="E2933" s="7">
        <f t="shared" si="295"/>
        <v>6.6666666666666671E-3</v>
      </c>
      <c r="F2933" s="5">
        <v>43738</v>
      </c>
      <c r="G2933" s="5">
        <v>2958465</v>
      </c>
      <c r="H2933" s="8">
        <f t="shared" si="296"/>
        <v>2914727</v>
      </c>
      <c r="I2933" s="5">
        <v>2958465</v>
      </c>
      <c r="J2933" s="5">
        <v>43738</v>
      </c>
      <c r="K2933" s="8">
        <f t="shared" si="297"/>
        <v>0</v>
      </c>
      <c r="L2933" s="6">
        <v>3186.3</v>
      </c>
      <c r="M2933" s="9">
        <f t="shared" si="294"/>
        <v>21.242000000000001</v>
      </c>
      <c r="N2933" s="6">
        <v>3186.3</v>
      </c>
      <c r="O2933" s="6">
        <v>150</v>
      </c>
    </row>
    <row r="2934" spans="1:15" ht="18.75" hidden="1" customHeight="1" thickBot="1" x14ac:dyDescent="0.3">
      <c r="A2934" s="3" t="s">
        <v>11</v>
      </c>
      <c r="B2934" s="4">
        <v>778903</v>
      </c>
      <c r="C2934" s="3" t="s">
        <v>15</v>
      </c>
      <c r="D2934" s="7">
        <v>0.1515</v>
      </c>
      <c r="E2934" s="7">
        <f t="shared" si="295"/>
        <v>1.2624999999999999E-2</v>
      </c>
      <c r="F2934" s="5">
        <v>44455</v>
      </c>
      <c r="G2934" s="5">
        <v>2958465</v>
      </c>
      <c r="H2934" s="8">
        <f t="shared" si="296"/>
        <v>2914010</v>
      </c>
      <c r="I2934" s="5">
        <v>2958465</v>
      </c>
      <c r="J2934" s="5">
        <v>44456</v>
      </c>
      <c r="K2934" s="8">
        <f t="shared" si="297"/>
        <v>1</v>
      </c>
      <c r="L2934" s="6">
        <v>1555.82</v>
      </c>
      <c r="M2934" s="9">
        <f t="shared" si="294"/>
        <v>19.642227499999997</v>
      </c>
      <c r="N2934" s="6">
        <v>1555.82</v>
      </c>
      <c r="O2934" s="6">
        <v>0</v>
      </c>
    </row>
    <row r="2935" spans="1:15" ht="18.75" hidden="1" customHeight="1" thickBot="1" x14ac:dyDescent="0.3">
      <c r="A2935" s="3" t="s">
        <v>11</v>
      </c>
      <c r="B2935" s="4">
        <v>417515</v>
      </c>
      <c r="C2935" s="3" t="s">
        <v>22</v>
      </c>
      <c r="D2935" s="7">
        <v>0.08</v>
      </c>
      <c r="E2935" s="7">
        <f t="shared" si="295"/>
        <v>6.6666666666666671E-3</v>
      </c>
      <c r="F2935" s="5">
        <v>46035</v>
      </c>
      <c r="G2935" s="5">
        <v>2958465</v>
      </c>
      <c r="H2935" s="8">
        <f t="shared" si="296"/>
        <v>2912430</v>
      </c>
      <c r="I2935" s="5">
        <v>2958465</v>
      </c>
      <c r="J2935" s="5">
        <v>46036</v>
      </c>
      <c r="K2935" s="8">
        <f t="shared" si="297"/>
        <v>1</v>
      </c>
      <c r="L2935" s="6">
        <v>2885.32</v>
      </c>
      <c r="M2935" s="9">
        <f t="shared" si="294"/>
        <v>19.235466666666667</v>
      </c>
      <c r="N2935" s="6">
        <v>2885.32</v>
      </c>
      <c r="O2935" s="6">
        <v>71.819999999999993</v>
      </c>
    </row>
    <row r="2936" spans="1:15" ht="18.75" hidden="1" customHeight="1" thickBot="1" x14ac:dyDescent="0.3">
      <c r="A2936" s="3" t="s">
        <v>11</v>
      </c>
      <c r="B2936" s="4">
        <v>749480</v>
      </c>
      <c r="C2936" s="3" t="s">
        <v>22</v>
      </c>
      <c r="D2936" s="7">
        <v>0.08</v>
      </c>
      <c r="E2936" s="7">
        <f t="shared" si="295"/>
        <v>6.6666666666666671E-3</v>
      </c>
      <c r="F2936" s="5">
        <v>43879</v>
      </c>
      <c r="G2936" s="5">
        <v>2958465</v>
      </c>
      <c r="H2936" s="8">
        <f t="shared" si="296"/>
        <v>2914586</v>
      </c>
      <c r="I2936" s="5">
        <v>2958465</v>
      </c>
      <c r="J2936" s="5">
        <v>43887</v>
      </c>
      <c r="K2936" s="8">
        <f t="shared" si="297"/>
        <v>8</v>
      </c>
      <c r="L2936" s="6">
        <v>3104.71</v>
      </c>
      <c r="M2936" s="9">
        <f t="shared" si="294"/>
        <v>20.698066666666669</v>
      </c>
      <c r="N2936" s="6">
        <v>3104.71</v>
      </c>
      <c r="O2936" s="6">
        <v>453.07</v>
      </c>
    </row>
    <row r="2937" spans="1:15" ht="18.75" hidden="1" customHeight="1" thickBot="1" x14ac:dyDescent="0.3">
      <c r="A2937" s="3" t="s">
        <v>11</v>
      </c>
      <c r="B2937" s="4">
        <v>812886</v>
      </c>
      <c r="C2937" s="3" t="s">
        <v>15</v>
      </c>
      <c r="D2937" s="7">
        <v>0.1515</v>
      </c>
      <c r="E2937" s="7">
        <f t="shared" si="295"/>
        <v>1.2624999999999999E-2</v>
      </c>
      <c r="F2937" s="5">
        <v>44253</v>
      </c>
      <c r="G2937" s="5">
        <v>2958465</v>
      </c>
      <c r="H2937" s="8">
        <f t="shared" si="296"/>
        <v>2914212</v>
      </c>
      <c r="I2937" s="5">
        <v>2958465</v>
      </c>
      <c r="J2937" s="5">
        <v>44257</v>
      </c>
      <c r="K2937" s="8">
        <f t="shared" si="297"/>
        <v>4</v>
      </c>
      <c r="L2937" s="6">
        <v>166.72</v>
      </c>
      <c r="M2937" s="9">
        <f t="shared" si="294"/>
        <v>2.1048399999999998</v>
      </c>
      <c r="N2937" s="6">
        <v>166.72</v>
      </c>
      <c r="O2937" s="6">
        <v>0</v>
      </c>
    </row>
    <row r="2938" spans="1:15" ht="18.75" hidden="1" customHeight="1" thickBot="1" x14ac:dyDescent="0.3">
      <c r="A2938" s="3" t="s">
        <v>11</v>
      </c>
      <c r="B2938" s="4">
        <v>128569</v>
      </c>
      <c r="C2938" s="3" t="s">
        <v>15</v>
      </c>
      <c r="D2938" s="7">
        <v>0.1515</v>
      </c>
      <c r="E2938" s="7">
        <f t="shared" si="295"/>
        <v>1.2624999999999999E-2</v>
      </c>
      <c r="F2938" s="5">
        <v>44186</v>
      </c>
      <c r="G2938" s="5">
        <v>2958465</v>
      </c>
      <c r="H2938" s="8">
        <f t="shared" si="296"/>
        <v>2914279</v>
      </c>
      <c r="I2938" s="5">
        <v>2958465</v>
      </c>
      <c r="J2938" s="5">
        <v>44187</v>
      </c>
      <c r="K2938" s="8">
        <f t="shared" si="297"/>
        <v>1</v>
      </c>
      <c r="L2938" s="6">
        <v>668.09</v>
      </c>
      <c r="M2938" s="9">
        <f t="shared" si="294"/>
        <v>8.4346362500000005</v>
      </c>
      <c r="N2938" s="6">
        <v>668.09</v>
      </c>
      <c r="O2938" s="6">
        <v>0</v>
      </c>
    </row>
    <row r="2939" spans="1:15" ht="18.75" hidden="1" customHeight="1" thickBot="1" x14ac:dyDescent="0.3">
      <c r="A2939" s="3" t="s">
        <v>11</v>
      </c>
      <c r="B2939" s="4">
        <v>681800</v>
      </c>
      <c r="C2939" s="3" t="s">
        <v>22</v>
      </c>
      <c r="D2939" s="7">
        <v>0.08</v>
      </c>
      <c r="E2939" s="7">
        <f t="shared" si="295"/>
        <v>6.6666666666666671E-3</v>
      </c>
      <c r="F2939" s="5">
        <v>43955</v>
      </c>
      <c r="G2939" s="5">
        <v>2958465</v>
      </c>
      <c r="H2939" s="8">
        <f t="shared" si="296"/>
        <v>2914510</v>
      </c>
      <c r="I2939" s="5">
        <v>2958465</v>
      </c>
      <c r="J2939" s="5">
        <v>43977</v>
      </c>
      <c r="K2939" s="8">
        <f t="shared" si="297"/>
        <v>22</v>
      </c>
      <c r="L2939" s="6">
        <v>425.57</v>
      </c>
      <c r="M2939" s="9">
        <f t="shared" si="294"/>
        <v>2.8371333333333335</v>
      </c>
      <c r="N2939" s="6">
        <v>425.57</v>
      </c>
      <c r="O2939" s="6">
        <v>0</v>
      </c>
    </row>
    <row r="2940" spans="1:15" ht="18.75" hidden="1" customHeight="1" thickBot="1" x14ac:dyDescent="0.3">
      <c r="A2940" s="3" t="s">
        <v>11</v>
      </c>
      <c r="B2940" s="4">
        <v>243907</v>
      </c>
      <c r="C2940" s="3" t="s">
        <v>22</v>
      </c>
      <c r="D2940" s="7">
        <v>7.2499999999999995E-2</v>
      </c>
      <c r="E2940" s="7">
        <f t="shared" si="295"/>
        <v>6.0416666666666665E-3</v>
      </c>
      <c r="F2940" s="5">
        <v>45723</v>
      </c>
      <c r="G2940" s="5">
        <v>2958465</v>
      </c>
      <c r="H2940" s="8">
        <f t="shared" si="296"/>
        <v>2912742</v>
      </c>
      <c r="I2940" s="5">
        <v>2958465</v>
      </c>
      <c r="J2940" s="5">
        <v>45726</v>
      </c>
      <c r="K2940" s="8">
        <f t="shared" si="297"/>
        <v>3</v>
      </c>
      <c r="L2940" s="6">
        <v>2260.1999999999998</v>
      </c>
      <c r="M2940" s="9">
        <f t="shared" si="294"/>
        <v>13.655374999999999</v>
      </c>
      <c r="N2940" s="6">
        <v>2260.1999999999998</v>
      </c>
      <c r="O2940" s="6">
        <v>2119.16</v>
      </c>
    </row>
    <row r="2941" spans="1:15" ht="18.75" hidden="1" customHeight="1" thickBot="1" x14ac:dyDescent="0.3">
      <c r="A2941" s="3" t="s">
        <v>11</v>
      </c>
      <c r="B2941" s="4">
        <v>765694</v>
      </c>
      <c r="C2941" s="3" t="s">
        <v>22</v>
      </c>
      <c r="D2941" s="7">
        <v>0.08</v>
      </c>
      <c r="E2941" s="7">
        <f t="shared" si="295"/>
        <v>6.6666666666666671E-3</v>
      </c>
      <c r="F2941" s="5">
        <v>43829</v>
      </c>
      <c r="G2941" s="5">
        <v>2958465</v>
      </c>
      <c r="H2941" s="8">
        <f t="shared" si="296"/>
        <v>2914636</v>
      </c>
      <c r="I2941" s="5">
        <v>2958465</v>
      </c>
      <c r="J2941" s="5">
        <v>43867</v>
      </c>
      <c r="K2941" s="8">
        <f t="shared" si="297"/>
        <v>38</v>
      </c>
      <c r="L2941" s="6">
        <v>729.22</v>
      </c>
      <c r="M2941" s="9">
        <f t="shared" si="294"/>
        <v>4.8614666666666668</v>
      </c>
      <c r="N2941" s="6">
        <v>729.22</v>
      </c>
      <c r="O2941" s="6">
        <v>0</v>
      </c>
    </row>
    <row r="2942" spans="1:15" ht="18.75" hidden="1" customHeight="1" thickBot="1" x14ac:dyDescent="0.3">
      <c r="A2942" s="3" t="s">
        <v>11</v>
      </c>
      <c r="B2942" s="4">
        <v>529031</v>
      </c>
      <c r="C2942" s="3" t="s">
        <v>22</v>
      </c>
      <c r="D2942" s="7">
        <v>6.7500000000000004E-2</v>
      </c>
      <c r="E2942" s="7">
        <f t="shared" si="295"/>
        <v>5.6250000000000007E-3</v>
      </c>
      <c r="F2942" s="5">
        <v>45293</v>
      </c>
      <c r="G2942" s="5">
        <v>2958465</v>
      </c>
      <c r="H2942" s="8">
        <f t="shared" si="296"/>
        <v>2913172</v>
      </c>
      <c r="I2942" s="5">
        <v>2958465</v>
      </c>
      <c r="J2942" s="5">
        <v>45294</v>
      </c>
      <c r="K2942" s="8">
        <f t="shared" si="297"/>
        <v>1</v>
      </c>
      <c r="L2942" s="6">
        <v>330.25</v>
      </c>
      <c r="M2942" s="9">
        <f t="shared" si="294"/>
        <v>1.8576562500000002</v>
      </c>
      <c r="N2942" s="6">
        <v>330.25</v>
      </c>
      <c r="O2942" s="6">
        <v>0</v>
      </c>
    </row>
    <row r="2943" spans="1:15" ht="18.75" hidden="1" customHeight="1" thickBot="1" x14ac:dyDescent="0.3">
      <c r="A2943" s="3" t="s">
        <v>11</v>
      </c>
      <c r="B2943" s="4">
        <v>337907</v>
      </c>
      <c r="C2943" s="3" t="s">
        <v>22</v>
      </c>
      <c r="D2943" s="7">
        <v>0.08</v>
      </c>
      <c r="E2943" s="7">
        <f t="shared" si="295"/>
        <v>6.6666666666666671E-3</v>
      </c>
      <c r="F2943" s="5">
        <v>43829</v>
      </c>
      <c r="G2943" s="5">
        <v>2958465</v>
      </c>
      <c r="H2943" s="8">
        <f t="shared" si="296"/>
        <v>2914636</v>
      </c>
      <c r="I2943" s="5">
        <v>2958465</v>
      </c>
      <c r="J2943" s="5">
        <v>43867</v>
      </c>
      <c r="K2943" s="8">
        <f t="shared" si="297"/>
        <v>38</v>
      </c>
      <c r="L2943" s="6">
        <v>2690.9</v>
      </c>
      <c r="M2943" s="9">
        <f t="shared" si="294"/>
        <v>17.939333333333334</v>
      </c>
      <c r="N2943" s="6">
        <v>2690.9</v>
      </c>
      <c r="O2943" s="6">
        <v>0</v>
      </c>
    </row>
    <row r="2944" spans="1:15" ht="18.75" hidden="1" customHeight="1" thickBot="1" x14ac:dyDescent="0.3">
      <c r="A2944" s="3" t="s">
        <v>11</v>
      </c>
      <c r="B2944" s="4">
        <v>306821</v>
      </c>
      <c r="C2944" s="3" t="s">
        <v>22</v>
      </c>
      <c r="D2944" s="7">
        <v>8.5000000000000006E-2</v>
      </c>
      <c r="E2944" s="7">
        <f t="shared" si="295"/>
        <v>7.0833333333333338E-3</v>
      </c>
      <c r="F2944" s="5">
        <v>44839</v>
      </c>
      <c r="G2944" s="5">
        <v>2958465</v>
      </c>
      <c r="H2944" s="8">
        <f t="shared" si="296"/>
        <v>2913626</v>
      </c>
      <c r="I2944" s="5">
        <v>2958465</v>
      </c>
      <c r="J2944" s="5">
        <v>44840</v>
      </c>
      <c r="K2944" s="8">
        <f t="shared" si="297"/>
        <v>1</v>
      </c>
      <c r="L2944" s="6">
        <v>1373.28</v>
      </c>
      <c r="M2944" s="9">
        <f t="shared" si="294"/>
        <v>9.7274000000000012</v>
      </c>
      <c r="N2944" s="6">
        <v>1373.28</v>
      </c>
      <c r="O2944" s="6">
        <v>0</v>
      </c>
    </row>
    <row r="2945" spans="1:15" ht="18.75" hidden="1" customHeight="1" thickBot="1" x14ac:dyDescent="0.3">
      <c r="A2945" s="3" t="s">
        <v>11</v>
      </c>
      <c r="B2945" s="4">
        <v>467964</v>
      </c>
      <c r="C2945" s="3" t="s">
        <v>15</v>
      </c>
      <c r="D2945" s="7">
        <v>0.08</v>
      </c>
      <c r="E2945" s="7">
        <f t="shared" si="295"/>
        <v>6.6666666666666671E-3</v>
      </c>
      <c r="F2945" s="5">
        <v>44412</v>
      </c>
      <c r="G2945" s="5">
        <v>2958465</v>
      </c>
      <c r="H2945" s="8">
        <f t="shared" si="296"/>
        <v>2914053</v>
      </c>
      <c r="I2945" s="5">
        <v>2958465</v>
      </c>
      <c r="J2945" s="5">
        <v>44413</v>
      </c>
      <c r="K2945" s="8">
        <f t="shared" si="297"/>
        <v>1</v>
      </c>
      <c r="L2945" s="6">
        <v>477.37</v>
      </c>
      <c r="M2945" s="9">
        <f t="shared" si="294"/>
        <v>3.182466666666667</v>
      </c>
      <c r="N2945" s="6">
        <v>477.37</v>
      </c>
      <c r="O2945" s="6">
        <v>477.37</v>
      </c>
    </row>
    <row r="2946" spans="1:15" ht="18.75" hidden="1" customHeight="1" thickBot="1" x14ac:dyDescent="0.3">
      <c r="A2946" s="3" t="s">
        <v>11</v>
      </c>
      <c r="B2946" s="4">
        <v>68285</v>
      </c>
      <c r="C2946" s="3" t="s">
        <v>15</v>
      </c>
      <c r="D2946" s="7">
        <v>0.1515</v>
      </c>
      <c r="E2946" s="7">
        <f t="shared" si="295"/>
        <v>1.2624999999999999E-2</v>
      </c>
      <c r="F2946" s="5">
        <v>44375</v>
      </c>
      <c r="G2946" s="5">
        <v>2958465</v>
      </c>
      <c r="H2946" s="8">
        <f t="shared" si="296"/>
        <v>2914090</v>
      </c>
      <c r="I2946" s="5">
        <v>2958465</v>
      </c>
      <c r="J2946" s="5">
        <v>44376</v>
      </c>
      <c r="K2946" s="8">
        <f t="shared" si="297"/>
        <v>1</v>
      </c>
      <c r="L2946" s="6">
        <v>908.9</v>
      </c>
      <c r="M2946" s="9">
        <f t="shared" ref="M2946:M3009" si="298">-PMT(E2946,(H2946/30),L2946)</f>
        <v>11.474862499999999</v>
      </c>
      <c r="N2946" s="6">
        <v>908.9</v>
      </c>
      <c r="O2946" s="6">
        <v>0</v>
      </c>
    </row>
    <row r="2947" spans="1:15" ht="18.75" hidden="1" customHeight="1" thickBot="1" x14ac:dyDescent="0.3">
      <c r="A2947" s="3" t="s">
        <v>11</v>
      </c>
      <c r="B2947" s="4">
        <v>698819</v>
      </c>
      <c r="C2947" s="3" t="s">
        <v>15</v>
      </c>
      <c r="D2947" s="7">
        <v>0.11650000000000001</v>
      </c>
      <c r="E2947" s="7">
        <f t="shared" ref="E2947:E3010" si="299">D2947/12</f>
        <v>9.7083333333333344E-3</v>
      </c>
      <c r="F2947" s="5">
        <v>44186</v>
      </c>
      <c r="G2947" s="5">
        <v>2958465</v>
      </c>
      <c r="H2947" s="8">
        <f t="shared" ref="H2947:H3010" si="300">G2947-F2947</f>
        <v>2914279</v>
      </c>
      <c r="I2947" s="5">
        <v>2958465</v>
      </c>
      <c r="J2947" s="5">
        <v>44187</v>
      </c>
      <c r="K2947" s="8">
        <f t="shared" ref="K2947:K3010" si="301">J2947-F2947</f>
        <v>1</v>
      </c>
      <c r="L2947" s="6">
        <v>944.73</v>
      </c>
      <c r="M2947" s="9">
        <f t="shared" si="298"/>
        <v>9.1717537500000006</v>
      </c>
      <c r="N2947" s="6">
        <v>944.73</v>
      </c>
      <c r="O2947" s="6">
        <v>944.73</v>
      </c>
    </row>
    <row r="2948" spans="1:15" ht="18.75" hidden="1" customHeight="1" thickBot="1" x14ac:dyDescent="0.3">
      <c r="A2948" s="3" t="s">
        <v>11</v>
      </c>
      <c r="B2948" s="4">
        <v>691833</v>
      </c>
      <c r="C2948" s="3" t="s">
        <v>15</v>
      </c>
      <c r="D2948" s="7">
        <v>0.115</v>
      </c>
      <c r="E2948" s="7">
        <f t="shared" si="299"/>
        <v>9.5833333333333343E-3</v>
      </c>
      <c r="F2948" s="5">
        <v>44603</v>
      </c>
      <c r="G2948" s="5">
        <v>2958465</v>
      </c>
      <c r="H2948" s="8">
        <f t="shared" si="300"/>
        <v>2913862</v>
      </c>
      <c r="I2948" s="5">
        <v>2958465</v>
      </c>
      <c r="J2948" s="5">
        <v>44606</v>
      </c>
      <c r="K2948" s="8">
        <f t="shared" si="301"/>
        <v>3</v>
      </c>
      <c r="L2948" s="6">
        <v>356.53</v>
      </c>
      <c r="M2948" s="9">
        <f t="shared" si="298"/>
        <v>3.4167458333333336</v>
      </c>
      <c r="N2948" s="6">
        <v>356.53</v>
      </c>
      <c r="O2948" s="6">
        <v>356.53</v>
      </c>
    </row>
    <row r="2949" spans="1:15" ht="18.75" hidden="1" customHeight="1" thickBot="1" x14ac:dyDescent="0.3">
      <c r="A2949" s="3" t="s">
        <v>11</v>
      </c>
      <c r="B2949" s="4">
        <v>793069</v>
      </c>
      <c r="C2949" s="3" t="s">
        <v>22</v>
      </c>
      <c r="D2949" s="7">
        <v>0.08</v>
      </c>
      <c r="E2949" s="7">
        <f t="shared" si="299"/>
        <v>6.6666666666666671E-3</v>
      </c>
      <c r="F2949" s="5">
        <v>43879</v>
      </c>
      <c r="G2949" s="5">
        <v>2958465</v>
      </c>
      <c r="H2949" s="8">
        <f t="shared" si="300"/>
        <v>2914586</v>
      </c>
      <c r="I2949" s="5">
        <v>2958465</v>
      </c>
      <c r="J2949" s="5">
        <v>43887</v>
      </c>
      <c r="K2949" s="8">
        <f t="shared" si="301"/>
        <v>8</v>
      </c>
      <c r="L2949" s="6">
        <v>655.85</v>
      </c>
      <c r="M2949" s="9">
        <f t="shared" si="298"/>
        <v>4.3723333333333336</v>
      </c>
      <c r="N2949" s="6">
        <v>655.85</v>
      </c>
      <c r="O2949" s="6">
        <v>0</v>
      </c>
    </row>
    <row r="2950" spans="1:15" ht="18.75" hidden="1" customHeight="1" thickBot="1" x14ac:dyDescent="0.3">
      <c r="A2950" s="3" t="s">
        <v>11</v>
      </c>
      <c r="B2950" s="4">
        <v>919074</v>
      </c>
      <c r="C2950" s="3" t="s">
        <v>22</v>
      </c>
      <c r="D2950" s="7">
        <v>0.08</v>
      </c>
      <c r="E2950" s="7">
        <f t="shared" si="299"/>
        <v>6.6666666666666671E-3</v>
      </c>
      <c r="F2950" s="5">
        <v>43917</v>
      </c>
      <c r="G2950" s="5">
        <v>2958465</v>
      </c>
      <c r="H2950" s="8">
        <f t="shared" si="300"/>
        <v>2914548</v>
      </c>
      <c r="I2950" s="5">
        <v>2958465</v>
      </c>
      <c r="J2950" s="5">
        <v>43920</v>
      </c>
      <c r="K2950" s="8">
        <f t="shared" si="301"/>
        <v>3</v>
      </c>
      <c r="L2950" s="6">
        <v>650.08000000000004</v>
      </c>
      <c r="M2950" s="9">
        <f t="shared" si="298"/>
        <v>4.3338666666666672</v>
      </c>
      <c r="N2950" s="6">
        <v>650.08000000000004</v>
      </c>
      <c r="O2950" s="6">
        <v>0</v>
      </c>
    </row>
    <row r="2951" spans="1:15" ht="18.75" hidden="1" customHeight="1" thickBot="1" x14ac:dyDescent="0.3">
      <c r="A2951" s="3" t="s">
        <v>11</v>
      </c>
      <c r="B2951" s="4">
        <v>995031</v>
      </c>
      <c r="C2951" s="3" t="s">
        <v>22</v>
      </c>
      <c r="D2951" s="7">
        <v>9.7500000000000003E-2</v>
      </c>
      <c r="E2951" s="7">
        <f t="shared" si="299"/>
        <v>8.1250000000000003E-3</v>
      </c>
      <c r="F2951" s="5">
        <v>44839</v>
      </c>
      <c r="G2951" s="5">
        <v>2958465</v>
      </c>
      <c r="H2951" s="8">
        <f t="shared" si="300"/>
        <v>2913626</v>
      </c>
      <c r="I2951" s="5">
        <v>2958465</v>
      </c>
      <c r="J2951" s="5">
        <v>44840</v>
      </c>
      <c r="K2951" s="8">
        <f t="shared" si="301"/>
        <v>1</v>
      </c>
      <c r="L2951" s="6">
        <v>2414.48</v>
      </c>
      <c r="M2951" s="9">
        <f t="shared" si="298"/>
        <v>19.617650000000001</v>
      </c>
      <c r="N2951" s="6">
        <v>2414.48</v>
      </c>
      <c r="O2951" s="6">
        <v>2414.48</v>
      </c>
    </row>
    <row r="2952" spans="1:15" ht="18.75" hidden="1" customHeight="1" thickBot="1" x14ac:dyDescent="0.3">
      <c r="A2952" s="3" t="s">
        <v>11</v>
      </c>
      <c r="B2952" s="4">
        <v>129820</v>
      </c>
      <c r="C2952" s="3" t="s">
        <v>22</v>
      </c>
      <c r="D2952" s="7">
        <v>6.7500000000000004E-2</v>
      </c>
      <c r="E2952" s="7">
        <f t="shared" si="299"/>
        <v>5.6250000000000007E-3</v>
      </c>
      <c r="F2952" s="5">
        <v>45526</v>
      </c>
      <c r="G2952" s="5">
        <v>2958465</v>
      </c>
      <c r="H2952" s="8">
        <f t="shared" si="300"/>
        <v>2912939</v>
      </c>
      <c r="I2952" s="5">
        <v>2958465</v>
      </c>
      <c r="J2952" s="5">
        <v>45527</v>
      </c>
      <c r="K2952" s="8">
        <f t="shared" si="301"/>
        <v>1</v>
      </c>
      <c r="L2952" s="6">
        <v>301.89999999999998</v>
      </c>
      <c r="M2952" s="9">
        <f t="shared" si="298"/>
        <v>1.6981875</v>
      </c>
      <c r="N2952" s="6">
        <v>301.89999999999998</v>
      </c>
      <c r="O2952" s="6">
        <v>0</v>
      </c>
    </row>
    <row r="2953" spans="1:15" ht="18.75" hidden="1" customHeight="1" thickBot="1" x14ac:dyDescent="0.3">
      <c r="A2953" s="3" t="s">
        <v>11</v>
      </c>
      <c r="B2953" s="4">
        <v>615399</v>
      </c>
      <c r="C2953" s="3" t="s">
        <v>22</v>
      </c>
      <c r="D2953" s="7">
        <v>7.0000000000000007E-2</v>
      </c>
      <c r="E2953" s="7">
        <f t="shared" si="299"/>
        <v>5.8333333333333336E-3</v>
      </c>
      <c r="F2953" s="5">
        <v>45002</v>
      </c>
      <c r="G2953" s="5">
        <v>2958465</v>
      </c>
      <c r="H2953" s="8">
        <f t="shared" si="300"/>
        <v>2913463</v>
      </c>
      <c r="I2953" s="5">
        <v>2958465</v>
      </c>
      <c r="J2953" s="5">
        <v>45005</v>
      </c>
      <c r="K2953" s="8">
        <f t="shared" si="301"/>
        <v>3</v>
      </c>
      <c r="L2953" s="6">
        <v>1494.15</v>
      </c>
      <c r="M2953" s="9">
        <f t="shared" si="298"/>
        <v>8.7158750000000005</v>
      </c>
      <c r="N2953" s="6">
        <v>1494.15</v>
      </c>
      <c r="O2953" s="6">
        <v>1494.15</v>
      </c>
    </row>
    <row r="2954" spans="1:15" ht="18.75" hidden="1" customHeight="1" thickBot="1" x14ac:dyDescent="0.3">
      <c r="A2954" s="3" t="s">
        <v>11</v>
      </c>
      <c r="B2954" s="4">
        <v>942613</v>
      </c>
      <c r="C2954" s="3" t="s">
        <v>15</v>
      </c>
      <c r="D2954" s="7">
        <v>0.1515</v>
      </c>
      <c r="E2954" s="7">
        <f t="shared" si="299"/>
        <v>1.2624999999999999E-2</v>
      </c>
      <c r="F2954" s="5">
        <v>44236</v>
      </c>
      <c r="G2954" s="5">
        <v>2958465</v>
      </c>
      <c r="H2954" s="8">
        <f t="shared" si="300"/>
        <v>2914229</v>
      </c>
      <c r="I2954" s="5">
        <v>2958465</v>
      </c>
      <c r="J2954" s="5">
        <v>44238</v>
      </c>
      <c r="K2954" s="8">
        <f t="shared" si="301"/>
        <v>2</v>
      </c>
      <c r="L2954" s="6">
        <v>213.44</v>
      </c>
      <c r="M2954" s="9">
        <f t="shared" si="298"/>
        <v>2.69468</v>
      </c>
      <c r="N2954" s="6">
        <v>213.44</v>
      </c>
      <c r="O2954" s="6">
        <v>213.44</v>
      </c>
    </row>
    <row r="2955" spans="1:15" ht="18.75" hidden="1" customHeight="1" thickBot="1" x14ac:dyDescent="0.3">
      <c r="A2955" s="3" t="s">
        <v>11</v>
      </c>
      <c r="B2955" s="4">
        <v>951397</v>
      </c>
      <c r="C2955" s="3" t="s">
        <v>22</v>
      </c>
      <c r="D2955" s="7">
        <v>8.5000000000000006E-2</v>
      </c>
      <c r="E2955" s="7">
        <f t="shared" si="299"/>
        <v>7.0833333333333338E-3</v>
      </c>
      <c r="F2955" s="5">
        <v>45418</v>
      </c>
      <c r="G2955" s="5">
        <v>2958465</v>
      </c>
      <c r="H2955" s="8">
        <f t="shared" si="300"/>
        <v>2913047</v>
      </c>
      <c r="I2955" s="5">
        <v>2958465</v>
      </c>
      <c r="J2955" s="5">
        <v>45419</v>
      </c>
      <c r="K2955" s="8">
        <f t="shared" si="301"/>
        <v>1</v>
      </c>
      <c r="L2955" s="6">
        <v>1273.99</v>
      </c>
      <c r="M2955" s="9">
        <f t="shared" si="298"/>
        <v>9.0240958333333339</v>
      </c>
      <c r="N2955" s="6">
        <v>1273.99</v>
      </c>
      <c r="O2955" s="6">
        <v>1273.99</v>
      </c>
    </row>
    <row r="2956" spans="1:15" ht="18.75" hidden="1" customHeight="1" thickBot="1" x14ac:dyDescent="0.3">
      <c r="A2956" s="3" t="s">
        <v>11</v>
      </c>
      <c r="B2956" s="4">
        <v>94657</v>
      </c>
      <c r="C2956" s="3" t="s">
        <v>15</v>
      </c>
      <c r="D2956" s="7">
        <v>0.1515</v>
      </c>
      <c r="E2956" s="7">
        <f t="shared" si="299"/>
        <v>1.2624999999999999E-2</v>
      </c>
      <c r="F2956" s="5">
        <v>44193</v>
      </c>
      <c r="G2956" s="5">
        <v>2958465</v>
      </c>
      <c r="H2956" s="8">
        <f t="shared" si="300"/>
        <v>2914272</v>
      </c>
      <c r="I2956" s="5">
        <v>2958465</v>
      </c>
      <c r="J2956" s="5">
        <v>44195</v>
      </c>
      <c r="K2956" s="8">
        <f t="shared" si="301"/>
        <v>2</v>
      </c>
      <c r="L2956" s="6">
        <v>514.64</v>
      </c>
      <c r="M2956" s="9">
        <f t="shared" si="298"/>
        <v>6.4973299999999989</v>
      </c>
      <c r="N2956" s="6">
        <v>514.64</v>
      </c>
      <c r="O2956" s="6">
        <v>0</v>
      </c>
    </row>
    <row r="2957" spans="1:15" ht="18.75" hidden="1" customHeight="1" thickBot="1" x14ac:dyDescent="0.3">
      <c r="A2957" s="3" t="s">
        <v>11</v>
      </c>
      <c r="B2957" s="4">
        <v>230967</v>
      </c>
      <c r="C2957" s="3" t="s">
        <v>15</v>
      </c>
      <c r="D2957" s="7">
        <v>0.1125</v>
      </c>
      <c r="E2957" s="7">
        <f t="shared" si="299"/>
        <v>9.3749999999999997E-3</v>
      </c>
      <c r="F2957" s="5">
        <v>44644</v>
      </c>
      <c r="G2957" s="5">
        <v>2958465</v>
      </c>
      <c r="H2957" s="8">
        <f t="shared" si="300"/>
        <v>2913821</v>
      </c>
      <c r="I2957" s="5">
        <v>2958465</v>
      </c>
      <c r="J2957" s="5">
        <v>44645</v>
      </c>
      <c r="K2957" s="8">
        <f t="shared" si="301"/>
        <v>1</v>
      </c>
      <c r="L2957" s="6">
        <v>240</v>
      </c>
      <c r="M2957" s="9">
        <f t="shared" si="298"/>
        <v>2.25</v>
      </c>
      <c r="N2957" s="6">
        <v>239.16</v>
      </c>
      <c r="O2957" s="6">
        <v>0</v>
      </c>
    </row>
    <row r="2958" spans="1:15" ht="18.75" hidden="1" customHeight="1" thickBot="1" x14ac:dyDescent="0.3">
      <c r="A2958" s="3" t="s">
        <v>11</v>
      </c>
      <c r="B2958" s="4">
        <v>64071</v>
      </c>
      <c r="C2958" s="3" t="s">
        <v>22</v>
      </c>
      <c r="D2958" s="7">
        <v>9.2499999999999999E-2</v>
      </c>
      <c r="E2958" s="7">
        <f t="shared" si="299"/>
        <v>7.7083333333333335E-3</v>
      </c>
      <c r="F2958" s="5">
        <v>44810</v>
      </c>
      <c r="G2958" s="5">
        <v>2958465</v>
      </c>
      <c r="H2958" s="8">
        <f t="shared" si="300"/>
        <v>2913655</v>
      </c>
      <c r="I2958" s="5">
        <v>2958465</v>
      </c>
      <c r="J2958" s="5">
        <v>44811</v>
      </c>
      <c r="K2958" s="8">
        <f t="shared" si="301"/>
        <v>1</v>
      </c>
      <c r="L2958" s="6">
        <v>859.63</v>
      </c>
      <c r="M2958" s="9">
        <f t="shared" si="298"/>
        <v>6.6263145833333335</v>
      </c>
      <c r="N2958" s="6">
        <v>859.63</v>
      </c>
      <c r="O2958" s="6">
        <v>0</v>
      </c>
    </row>
    <row r="2959" spans="1:15" ht="18.75" hidden="1" customHeight="1" thickBot="1" x14ac:dyDescent="0.3">
      <c r="A2959" s="3" t="s">
        <v>11</v>
      </c>
      <c r="B2959" s="4">
        <v>195559</v>
      </c>
      <c r="C2959" s="3" t="s">
        <v>15</v>
      </c>
      <c r="D2959" s="7">
        <v>0.1125</v>
      </c>
      <c r="E2959" s="7">
        <f t="shared" si="299"/>
        <v>9.3749999999999997E-3</v>
      </c>
      <c r="F2959" s="5">
        <v>44679</v>
      </c>
      <c r="G2959" s="5">
        <v>2958465</v>
      </c>
      <c r="H2959" s="8">
        <f t="shared" si="300"/>
        <v>2913786</v>
      </c>
      <c r="I2959" s="5">
        <v>2958465</v>
      </c>
      <c r="J2959" s="5">
        <v>44680</v>
      </c>
      <c r="K2959" s="8">
        <f t="shared" si="301"/>
        <v>1</v>
      </c>
      <c r="L2959" s="6">
        <v>375.01</v>
      </c>
      <c r="M2959" s="9">
        <f t="shared" si="298"/>
        <v>3.51571875</v>
      </c>
      <c r="N2959" s="6">
        <v>375.01</v>
      </c>
      <c r="O2959" s="6">
        <v>0</v>
      </c>
    </row>
    <row r="2960" spans="1:15" ht="18.75" hidden="1" customHeight="1" thickBot="1" x14ac:dyDescent="0.3">
      <c r="A2960" s="3" t="s">
        <v>11</v>
      </c>
      <c r="B2960" s="4">
        <v>243610</v>
      </c>
      <c r="C2960" s="3" t="s">
        <v>15</v>
      </c>
      <c r="D2960" s="7">
        <v>0.1515</v>
      </c>
      <c r="E2960" s="7">
        <f t="shared" si="299"/>
        <v>1.2624999999999999E-2</v>
      </c>
      <c r="F2960" s="5">
        <v>44455</v>
      </c>
      <c r="G2960" s="5">
        <v>2958465</v>
      </c>
      <c r="H2960" s="8">
        <f t="shared" si="300"/>
        <v>2914010</v>
      </c>
      <c r="I2960" s="5">
        <v>2958465</v>
      </c>
      <c r="J2960" s="5">
        <v>44456</v>
      </c>
      <c r="K2960" s="8">
        <f t="shared" si="301"/>
        <v>1</v>
      </c>
      <c r="L2960" s="6">
        <v>429.01</v>
      </c>
      <c r="M2960" s="9">
        <f t="shared" si="298"/>
        <v>5.4162512499999993</v>
      </c>
      <c r="N2960" s="6">
        <v>429.01</v>
      </c>
      <c r="O2960" s="6">
        <v>0</v>
      </c>
    </row>
    <row r="2961" spans="1:15" ht="18.75" hidden="1" customHeight="1" thickBot="1" x14ac:dyDescent="0.3">
      <c r="A2961" s="3" t="s">
        <v>11</v>
      </c>
      <c r="B2961" s="4">
        <v>294814</v>
      </c>
      <c r="C2961" s="3" t="s">
        <v>22</v>
      </c>
      <c r="D2961" s="7">
        <v>7.4999999999999997E-2</v>
      </c>
      <c r="E2961" s="7">
        <f t="shared" si="299"/>
        <v>6.2499999999999995E-3</v>
      </c>
      <c r="F2961" s="5">
        <v>45541</v>
      </c>
      <c r="G2961" s="5">
        <v>2958465</v>
      </c>
      <c r="H2961" s="8">
        <f t="shared" si="300"/>
        <v>2912924</v>
      </c>
      <c r="I2961" s="5">
        <v>2958465</v>
      </c>
      <c r="J2961" s="5">
        <v>45544</v>
      </c>
      <c r="K2961" s="8">
        <f t="shared" si="301"/>
        <v>3</v>
      </c>
      <c r="L2961" s="6">
        <v>186.89</v>
      </c>
      <c r="M2961" s="9">
        <f t="shared" si="298"/>
        <v>1.1680624999999998</v>
      </c>
      <c r="N2961" s="6">
        <v>186.89</v>
      </c>
      <c r="O2961" s="6">
        <v>186.89</v>
      </c>
    </row>
    <row r="2962" spans="1:15" ht="18.75" hidden="1" customHeight="1" thickBot="1" x14ac:dyDescent="0.3">
      <c r="A2962" s="3" t="s">
        <v>11</v>
      </c>
      <c r="B2962" s="4">
        <v>870889</v>
      </c>
      <c r="C2962" s="3" t="s">
        <v>15</v>
      </c>
      <c r="D2962" s="7">
        <v>0.1515</v>
      </c>
      <c r="E2962" s="7">
        <f t="shared" si="299"/>
        <v>1.2624999999999999E-2</v>
      </c>
      <c r="F2962" s="5">
        <v>44432</v>
      </c>
      <c r="G2962" s="5">
        <v>2958465</v>
      </c>
      <c r="H2962" s="8">
        <f t="shared" si="300"/>
        <v>2914033</v>
      </c>
      <c r="I2962" s="5">
        <v>2958465</v>
      </c>
      <c r="J2962" s="5">
        <v>44433</v>
      </c>
      <c r="K2962" s="8">
        <f t="shared" si="301"/>
        <v>1</v>
      </c>
      <c r="L2962" s="6">
        <v>1333.49</v>
      </c>
      <c r="M2962" s="9">
        <f t="shared" si="298"/>
        <v>16.83531125</v>
      </c>
      <c r="N2962" s="6">
        <v>1333.49</v>
      </c>
      <c r="O2962" s="6">
        <v>49.42</v>
      </c>
    </row>
    <row r="2963" spans="1:15" ht="18.75" hidden="1" customHeight="1" thickBot="1" x14ac:dyDescent="0.3">
      <c r="A2963" s="3" t="s">
        <v>11</v>
      </c>
      <c r="B2963" s="4">
        <v>460633</v>
      </c>
      <c r="C2963" s="3" t="s">
        <v>22</v>
      </c>
      <c r="D2963" s="7">
        <v>0.115</v>
      </c>
      <c r="E2963" s="7">
        <f t="shared" si="299"/>
        <v>9.5833333333333343E-3</v>
      </c>
      <c r="F2963" s="5">
        <v>44603</v>
      </c>
      <c r="G2963" s="5">
        <v>2958465</v>
      </c>
      <c r="H2963" s="8">
        <f t="shared" si="300"/>
        <v>2913862</v>
      </c>
      <c r="I2963" s="5">
        <v>2958465</v>
      </c>
      <c r="J2963" s="5">
        <v>44606</v>
      </c>
      <c r="K2963" s="8">
        <f t="shared" si="301"/>
        <v>3</v>
      </c>
      <c r="L2963" s="6">
        <v>991.36</v>
      </c>
      <c r="M2963" s="9">
        <f t="shared" si="298"/>
        <v>9.5005333333333351</v>
      </c>
      <c r="N2963" s="6">
        <v>991.36</v>
      </c>
      <c r="O2963" s="6">
        <v>676.28</v>
      </c>
    </row>
    <row r="2964" spans="1:15" ht="18.75" hidden="1" customHeight="1" thickBot="1" x14ac:dyDescent="0.3">
      <c r="A2964" s="3" t="s">
        <v>11</v>
      </c>
      <c r="B2964" s="4">
        <v>91414</v>
      </c>
      <c r="C2964" s="3" t="s">
        <v>15</v>
      </c>
      <c r="D2964" s="7">
        <v>0.1125</v>
      </c>
      <c r="E2964" s="7">
        <f t="shared" si="299"/>
        <v>9.3749999999999997E-3</v>
      </c>
      <c r="F2964" s="5">
        <v>44679</v>
      </c>
      <c r="G2964" s="5">
        <v>2958465</v>
      </c>
      <c r="H2964" s="8">
        <f t="shared" si="300"/>
        <v>2913786</v>
      </c>
      <c r="I2964" s="5">
        <v>2958465</v>
      </c>
      <c r="J2964" s="5">
        <v>44680</v>
      </c>
      <c r="K2964" s="8">
        <f t="shared" si="301"/>
        <v>1</v>
      </c>
      <c r="L2964" s="6">
        <v>647.12</v>
      </c>
      <c r="M2964" s="9">
        <f t="shared" si="298"/>
        <v>6.0667499999999999</v>
      </c>
      <c r="N2964" s="6">
        <v>647.12</v>
      </c>
      <c r="O2964" s="6">
        <v>0</v>
      </c>
    </row>
    <row r="2965" spans="1:15" ht="18.75" hidden="1" customHeight="1" thickBot="1" x14ac:dyDescent="0.3">
      <c r="A2965" s="3" t="s">
        <v>11</v>
      </c>
      <c r="B2965" s="4">
        <v>13065</v>
      </c>
      <c r="C2965" s="3" t="s">
        <v>15</v>
      </c>
      <c r="D2965" s="7">
        <v>0.1515</v>
      </c>
      <c r="E2965" s="7">
        <f t="shared" si="299"/>
        <v>1.2624999999999999E-2</v>
      </c>
      <c r="F2965" s="5">
        <v>44551</v>
      </c>
      <c r="G2965" s="5">
        <v>2958465</v>
      </c>
      <c r="H2965" s="8">
        <f t="shared" si="300"/>
        <v>2913914</v>
      </c>
      <c r="I2965" s="5">
        <v>2958465</v>
      </c>
      <c r="J2965" s="5">
        <v>44557</v>
      </c>
      <c r="K2965" s="8">
        <f t="shared" si="301"/>
        <v>6</v>
      </c>
      <c r="L2965" s="6">
        <v>391.55</v>
      </c>
      <c r="M2965" s="9">
        <f t="shared" si="298"/>
        <v>4.9433187499999995</v>
      </c>
      <c r="N2965" s="6">
        <v>391.55</v>
      </c>
      <c r="O2965" s="6">
        <v>0</v>
      </c>
    </row>
    <row r="2966" spans="1:15" ht="18.75" hidden="1" customHeight="1" thickBot="1" x14ac:dyDescent="0.3">
      <c r="A2966" s="3" t="s">
        <v>11</v>
      </c>
      <c r="B2966" s="4">
        <v>752411</v>
      </c>
      <c r="C2966" s="3" t="s">
        <v>22</v>
      </c>
      <c r="D2966" s="7">
        <v>7.7499999999999999E-2</v>
      </c>
      <c r="E2966" s="7">
        <f t="shared" si="299"/>
        <v>6.4583333333333333E-3</v>
      </c>
      <c r="F2966" s="5">
        <v>44907</v>
      </c>
      <c r="G2966" s="5">
        <v>2958465</v>
      </c>
      <c r="H2966" s="8">
        <f t="shared" si="300"/>
        <v>2913558</v>
      </c>
      <c r="I2966" s="5">
        <v>2958465</v>
      </c>
      <c r="J2966" s="5">
        <v>44908</v>
      </c>
      <c r="K2966" s="8">
        <f t="shared" si="301"/>
        <v>1</v>
      </c>
      <c r="L2966" s="6">
        <v>583.24</v>
      </c>
      <c r="M2966" s="9">
        <f t="shared" si="298"/>
        <v>3.7667583333333332</v>
      </c>
      <c r="N2966" s="6">
        <v>583.24</v>
      </c>
      <c r="O2966" s="6">
        <v>0</v>
      </c>
    </row>
    <row r="2967" spans="1:15" ht="18.75" hidden="1" customHeight="1" thickBot="1" x14ac:dyDescent="0.3">
      <c r="A2967" s="3" t="s">
        <v>11</v>
      </c>
      <c r="B2967" s="4">
        <v>806829</v>
      </c>
      <c r="C2967" s="3" t="s">
        <v>15</v>
      </c>
      <c r="D2967" s="7">
        <v>0.1515</v>
      </c>
      <c r="E2967" s="7">
        <f t="shared" si="299"/>
        <v>1.2624999999999999E-2</v>
      </c>
      <c r="F2967" s="5">
        <v>44193</v>
      </c>
      <c r="G2967" s="5">
        <v>2958465</v>
      </c>
      <c r="H2967" s="8">
        <f t="shared" si="300"/>
        <v>2914272</v>
      </c>
      <c r="I2967" s="5">
        <v>2958465</v>
      </c>
      <c r="J2967" s="5">
        <v>44195</v>
      </c>
      <c r="K2967" s="8">
        <f t="shared" si="301"/>
        <v>2</v>
      </c>
      <c r="L2967" s="6">
        <v>362.56</v>
      </c>
      <c r="M2967" s="9">
        <f t="shared" si="298"/>
        <v>4.5773199999999994</v>
      </c>
      <c r="N2967" s="6">
        <v>362.56</v>
      </c>
      <c r="O2967" s="6">
        <v>0</v>
      </c>
    </row>
    <row r="2968" spans="1:15" ht="18.75" hidden="1" customHeight="1" thickBot="1" x14ac:dyDescent="0.3">
      <c r="A2968" s="3" t="s">
        <v>11</v>
      </c>
      <c r="B2968" s="4">
        <v>892626</v>
      </c>
      <c r="C2968" s="3" t="s">
        <v>15</v>
      </c>
      <c r="D2968" s="7">
        <v>0.1515</v>
      </c>
      <c r="E2968" s="7">
        <f t="shared" si="299"/>
        <v>1.2624999999999999E-2</v>
      </c>
      <c r="F2968" s="5">
        <v>44375</v>
      </c>
      <c r="G2968" s="5">
        <v>2958465</v>
      </c>
      <c r="H2968" s="8">
        <f t="shared" si="300"/>
        <v>2914090</v>
      </c>
      <c r="I2968" s="5">
        <v>2958465</v>
      </c>
      <c r="J2968" s="5">
        <v>44376</v>
      </c>
      <c r="K2968" s="8">
        <f t="shared" si="301"/>
        <v>1</v>
      </c>
      <c r="L2968" s="6">
        <v>1512.49</v>
      </c>
      <c r="M2968" s="9">
        <f t="shared" si="298"/>
        <v>19.095186249999998</v>
      </c>
      <c r="N2968" s="6">
        <v>1512.49</v>
      </c>
      <c r="O2968" s="6">
        <v>0</v>
      </c>
    </row>
    <row r="2969" spans="1:15" ht="18.75" hidden="1" customHeight="1" thickBot="1" x14ac:dyDescent="0.3">
      <c r="A2969" s="3" t="s">
        <v>11</v>
      </c>
      <c r="B2969" s="4">
        <v>278290</v>
      </c>
      <c r="C2969" s="3" t="s">
        <v>22</v>
      </c>
      <c r="D2969" s="7">
        <v>7.2499999999999995E-2</v>
      </c>
      <c r="E2969" s="7">
        <f t="shared" si="299"/>
        <v>6.0416666666666665E-3</v>
      </c>
      <c r="F2969" s="5">
        <v>44957</v>
      </c>
      <c r="G2969" s="5">
        <v>2958465</v>
      </c>
      <c r="H2969" s="8">
        <f t="shared" si="300"/>
        <v>2913508</v>
      </c>
      <c r="I2969" s="5">
        <v>2958465</v>
      </c>
      <c r="J2969" s="5">
        <v>44958</v>
      </c>
      <c r="K2969" s="8">
        <f t="shared" si="301"/>
        <v>1</v>
      </c>
      <c r="L2969" s="6">
        <v>1780.97</v>
      </c>
      <c r="M2969" s="9">
        <f t="shared" si="298"/>
        <v>10.760027083333334</v>
      </c>
      <c r="N2969" s="6">
        <v>1780.97</v>
      </c>
      <c r="O2969" s="6">
        <v>1732.03</v>
      </c>
    </row>
    <row r="2970" spans="1:15" ht="18.75" hidden="1" customHeight="1" thickBot="1" x14ac:dyDescent="0.3">
      <c r="A2970" s="3" t="s">
        <v>11</v>
      </c>
      <c r="B2970" s="4">
        <v>137807</v>
      </c>
      <c r="C2970" s="3" t="s">
        <v>22</v>
      </c>
      <c r="D2970" s="7">
        <v>6.7500000000000004E-2</v>
      </c>
      <c r="E2970" s="7">
        <f t="shared" si="299"/>
        <v>5.6250000000000007E-3</v>
      </c>
      <c r="F2970" s="5">
        <v>45481</v>
      </c>
      <c r="G2970" s="5">
        <v>2958465</v>
      </c>
      <c r="H2970" s="8">
        <f t="shared" si="300"/>
        <v>2912984</v>
      </c>
      <c r="I2970" s="5">
        <v>2958465</v>
      </c>
      <c r="J2970" s="5">
        <v>45483</v>
      </c>
      <c r="K2970" s="8">
        <f t="shared" si="301"/>
        <v>2</v>
      </c>
      <c r="L2970" s="6">
        <v>1795.37</v>
      </c>
      <c r="M2970" s="9">
        <f t="shared" si="298"/>
        <v>10.098956250000001</v>
      </c>
      <c r="N2970" s="6">
        <v>1795.37</v>
      </c>
      <c r="O2970" s="6">
        <v>0</v>
      </c>
    </row>
    <row r="2971" spans="1:15" ht="18.75" hidden="1" customHeight="1" thickBot="1" x14ac:dyDescent="0.3">
      <c r="A2971" s="3" t="s">
        <v>11</v>
      </c>
      <c r="B2971" s="4">
        <v>962273</v>
      </c>
      <c r="C2971" s="3" t="s">
        <v>15</v>
      </c>
      <c r="D2971" s="7">
        <v>0.159</v>
      </c>
      <c r="E2971" s="7">
        <f t="shared" si="299"/>
        <v>1.325E-2</v>
      </c>
      <c r="F2971" s="5">
        <v>44077</v>
      </c>
      <c r="G2971" s="5">
        <v>2958465</v>
      </c>
      <c r="H2971" s="8">
        <f t="shared" si="300"/>
        <v>2914388</v>
      </c>
      <c r="I2971" s="5">
        <v>2958465</v>
      </c>
      <c r="J2971" s="5">
        <v>44083</v>
      </c>
      <c r="K2971" s="8">
        <f t="shared" si="301"/>
        <v>6</v>
      </c>
      <c r="L2971" s="6">
        <v>1713.3</v>
      </c>
      <c r="M2971" s="9">
        <f t="shared" si="298"/>
        <v>22.701224999999997</v>
      </c>
      <c r="N2971" s="6">
        <v>1713.3</v>
      </c>
      <c r="O2971" s="6">
        <v>1713.3</v>
      </c>
    </row>
    <row r="2972" spans="1:15" ht="18.75" hidden="1" customHeight="1" thickBot="1" x14ac:dyDescent="0.3">
      <c r="A2972" s="3" t="s">
        <v>11</v>
      </c>
      <c r="B2972" s="4">
        <v>207418</v>
      </c>
      <c r="C2972" s="3" t="s">
        <v>15</v>
      </c>
      <c r="D2972" s="7">
        <v>0.1515</v>
      </c>
      <c r="E2972" s="7">
        <f t="shared" si="299"/>
        <v>1.2624999999999999E-2</v>
      </c>
      <c r="F2972" s="5">
        <v>44102</v>
      </c>
      <c r="G2972" s="5">
        <v>2958465</v>
      </c>
      <c r="H2972" s="8">
        <f t="shared" si="300"/>
        <v>2914363</v>
      </c>
      <c r="I2972" s="5">
        <v>2958465</v>
      </c>
      <c r="J2972" s="5">
        <v>44103</v>
      </c>
      <c r="K2972" s="8">
        <f t="shared" si="301"/>
        <v>1</v>
      </c>
      <c r="L2972" s="6">
        <v>649.25</v>
      </c>
      <c r="M2972" s="9">
        <f t="shared" si="298"/>
        <v>8.196781249999999</v>
      </c>
      <c r="N2972" s="6">
        <v>649.25</v>
      </c>
      <c r="O2972" s="6">
        <v>37.770000000000003</v>
      </c>
    </row>
    <row r="2973" spans="1:15" ht="18.75" hidden="1" customHeight="1" thickBot="1" x14ac:dyDescent="0.3">
      <c r="A2973" s="3" t="s">
        <v>11</v>
      </c>
      <c r="B2973" s="4">
        <v>239007</v>
      </c>
      <c r="C2973" s="3" t="s">
        <v>22</v>
      </c>
      <c r="D2973" s="7">
        <v>0.1615</v>
      </c>
      <c r="E2973" s="7">
        <f t="shared" si="299"/>
        <v>1.3458333333333334E-2</v>
      </c>
      <c r="F2973" s="5">
        <v>44455</v>
      </c>
      <c r="G2973" s="5">
        <v>2958465</v>
      </c>
      <c r="H2973" s="8">
        <f t="shared" si="300"/>
        <v>2914010</v>
      </c>
      <c r="I2973" s="5">
        <v>2958465</v>
      </c>
      <c r="J2973" s="5">
        <v>44456</v>
      </c>
      <c r="K2973" s="8">
        <f t="shared" si="301"/>
        <v>1</v>
      </c>
      <c r="L2973" s="6">
        <v>537.80999999999995</v>
      </c>
      <c r="M2973" s="9">
        <f t="shared" si="298"/>
        <v>7.2380262499999999</v>
      </c>
      <c r="N2973" s="6">
        <v>537.80999999999995</v>
      </c>
      <c r="O2973" s="6">
        <v>537.80999999999995</v>
      </c>
    </row>
    <row r="2974" spans="1:15" ht="18.75" hidden="1" customHeight="1" thickBot="1" x14ac:dyDescent="0.3">
      <c r="A2974" s="3" t="s">
        <v>11</v>
      </c>
      <c r="B2974" s="4">
        <v>406225</v>
      </c>
      <c r="C2974" s="3" t="s">
        <v>15</v>
      </c>
      <c r="D2974" s="7">
        <v>0.1515</v>
      </c>
      <c r="E2974" s="7">
        <f t="shared" si="299"/>
        <v>1.2624999999999999E-2</v>
      </c>
      <c r="F2974" s="5">
        <v>44102</v>
      </c>
      <c r="G2974" s="5">
        <v>2958465</v>
      </c>
      <c r="H2974" s="8">
        <f t="shared" si="300"/>
        <v>2914363</v>
      </c>
      <c r="I2974" s="5">
        <v>2958465</v>
      </c>
      <c r="J2974" s="5">
        <v>44103</v>
      </c>
      <c r="K2974" s="8">
        <f t="shared" si="301"/>
        <v>1</v>
      </c>
      <c r="L2974" s="6">
        <v>625.63</v>
      </c>
      <c r="M2974" s="9">
        <f t="shared" si="298"/>
        <v>7.8985787499999995</v>
      </c>
      <c r="N2974" s="6">
        <v>625.63</v>
      </c>
      <c r="O2974" s="6">
        <v>0</v>
      </c>
    </row>
    <row r="2975" spans="1:15" ht="18.75" hidden="1" customHeight="1" thickBot="1" x14ac:dyDescent="0.3">
      <c r="A2975" s="3" t="s">
        <v>11</v>
      </c>
      <c r="B2975" s="4">
        <v>922644</v>
      </c>
      <c r="C2975" s="3" t="s">
        <v>22</v>
      </c>
      <c r="D2975" s="7">
        <v>6.7500000000000004E-2</v>
      </c>
      <c r="E2975" s="7">
        <f t="shared" si="299"/>
        <v>5.6250000000000007E-3</v>
      </c>
      <c r="F2975" s="5">
        <v>45331</v>
      </c>
      <c r="G2975" s="5">
        <v>2958465</v>
      </c>
      <c r="H2975" s="8">
        <f t="shared" si="300"/>
        <v>2913134</v>
      </c>
      <c r="I2975" s="5">
        <v>2958465</v>
      </c>
      <c r="J2975" s="5">
        <v>45334</v>
      </c>
      <c r="K2975" s="8">
        <f t="shared" si="301"/>
        <v>3</v>
      </c>
      <c r="L2975" s="6">
        <v>571.09</v>
      </c>
      <c r="M2975" s="9">
        <f t="shared" si="298"/>
        <v>3.2123812500000004</v>
      </c>
      <c r="N2975" s="6">
        <v>571.09</v>
      </c>
      <c r="O2975" s="6">
        <v>74.33</v>
      </c>
    </row>
    <row r="2976" spans="1:15" ht="18.75" hidden="1" customHeight="1" thickBot="1" x14ac:dyDescent="0.3">
      <c r="A2976" s="3" t="s">
        <v>11</v>
      </c>
      <c r="B2976" s="4">
        <v>712330</v>
      </c>
      <c r="C2976" s="3" t="s">
        <v>22</v>
      </c>
      <c r="D2976" s="7">
        <v>6.7500000000000004E-2</v>
      </c>
      <c r="E2976" s="7">
        <f t="shared" si="299"/>
        <v>5.6250000000000007E-3</v>
      </c>
      <c r="F2976" s="5">
        <v>45307</v>
      </c>
      <c r="G2976" s="5">
        <v>2958465</v>
      </c>
      <c r="H2976" s="8">
        <f t="shared" si="300"/>
        <v>2913158</v>
      </c>
      <c r="I2976" s="5">
        <v>2958465</v>
      </c>
      <c r="J2976" s="5">
        <v>45310</v>
      </c>
      <c r="K2976" s="8">
        <f t="shared" si="301"/>
        <v>3</v>
      </c>
      <c r="L2976" s="6">
        <v>98.01</v>
      </c>
      <c r="M2976" s="9">
        <f t="shared" si="298"/>
        <v>0.55130625000000011</v>
      </c>
      <c r="N2976" s="6">
        <v>98.01</v>
      </c>
      <c r="O2976" s="6">
        <v>0</v>
      </c>
    </row>
    <row r="2977" spans="1:15" ht="18.75" hidden="1" customHeight="1" thickBot="1" x14ac:dyDescent="0.3">
      <c r="A2977" s="3" t="s">
        <v>11</v>
      </c>
      <c r="B2977" s="4">
        <v>768185</v>
      </c>
      <c r="C2977" s="3" t="s">
        <v>22</v>
      </c>
      <c r="D2977" s="7">
        <v>8.5000000000000006E-2</v>
      </c>
      <c r="E2977" s="7">
        <f t="shared" si="299"/>
        <v>7.0833333333333338E-3</v>
      </c>
      <c r="F2977" s="5">
        <v>45331</v>
      </c>
      <c r="G2977" s="5">
        <v>2958465</v>
      </c>
      <c r="H2977" s="8">
        <f t="shared" si="300"/>
        <v>2913134</v>
      </c>
      <c r="I2977" s="5">
        <v>2958465</v>
      </c>
      <c r="J2977" s="5">
        <v>45334</v>
      </c>
      <c r="K2977" s="8">
        <f t="shared" si="301"/>
        <v>3</v>
      </c>
      <c r="L2977" s="6">
        <v>887.47</v>
      </c>
      <c r="M2977" s="9">
        <f t="shared" si="298"/>
        <v>6.286245833333334</v>
      </c>
      <c r="N2977" s="6">
        <v>887.47</v>
      </c>
      <c r="O2977" s="6">
        <v>887.47</v>
      </c>
    </row>
    <row r="2978" spans="1:15" ht="18.75" hidden="1" customHeight="1" thickBot="1" x14ac:dyDescent="0.3">
      <c r="A2978" s="3" t="s">
        <v>11</v>
      </c>
      <c r="B2978" s="4">
        <v>462235</v>
      </c>
      <c r="C2978" s="3" t="s">
        <v>22</v>
      </c>
      <c r="D2978" s="7">
        <v>6.7500000000000004E-2</v>
      </c>
      <c r="E2978" s="7">
        <f t="shared" si="299"/>
        <v>5.6250000000000007E-3</v>
      </c>
      <c r="F2978" s="5">
        <v>45541</v>
      </c>
      <c r="G2978" s="5">
        <v>2958465</v>
      </c>
      <c r="H2978" s="8">
        <f t="shared" si="300"/>
        <v>2912924</v>
      </c>
      <c r="I2978" s="5">
        <v>2958465</v>
      </c>
      <c r="J2978" s="5">
        <v>46020</v>
      </c>
      <c r="K2978" s="8">
        <f t="shared" si="301"/>
        <v>479</v>
      </c>
      <c r="L2978" s="6">
        <v>1125.08</v>
      </c>
      <c r="M2978" s="9">
        <f t="shared" si="298"/>
        <v>6.3285750000000007</v>
      </c>
      <c r="N2978" s="6">
        <v>1125.08</v>
      </c>
      <c r="O2978" s="6">
        <v>219.06</v>
      </c>
    </row>
    <row r="2979" spans="1:15" ht="18.75" hidden="1" customHeight="1" thickBot="1" x14ac:dyDescent="0.3">
      <c r="A2979" s="3" t="s">
        <v>11</v>
      </c>
      <c r="B2979" s="4">
        <v>134843</v>
      </c>
      <c r="C2979" s="3" t="s">
        <v>15</v>
      </c>
      <c r="D2979" s="7">
        <v>0.1515</v>
      </c>
      <c r="E2979" s="7">
        <f t="shared" si="299"/>
        <v>1.2624999999999999E-2</v>
      </c>
      <c r="F2979" s="5">
        <v>44412</v>
      </c>
      <c r="G2979" s="5">
        <v>2958465</v>
      </c>
      <c r="H2979" s="8">
        <f t="shared" si="300"/>
        <v>2914053</v>
      </c>
      <c r="I2979" s="5">
        <v>2958465</v>
      </c>
      <c r="J2979" s="5">
        <v>44413</v>
      </c>
      <c r="K2979" s="8">
        <f t="shared" si="301"/>
        <v>1</v>
      </c>
      <c r="L2979" s="6">
        <v>2769.96</v>
      </c>
      <c r="M2979" s="9">
        <f t="shared" si="298"/>
        <v>34.970745000000001</v>
      </c>
      <c r="N2979" s="6">
        <v>2769.96</v>
      </c>
      <c r="O2979" s="6">
        <v>0</v>
      </c>
    </row>
    <row r="2980" spans="1:15" ht="18.75" hidden="1" customHeight="1" thickBot="1" x14ac:dyDescent="0.3">
      <c r="A2980" s="3" t="s">
        <v>11</v>
      </c>
      <c r="B2980" s="4">
        <v>167234</v>
      </c>
      <c r="C2980" s="3" t="s">
        <v>15</v>
      </c>
      <c r="D2980" s="7">
        <v>0.159</v>
      </c>
      <c r="E2980" s="7">
        <f t="shared" si="299"/>
        <v>1.325E-2</v>
      </c>
      <c r="F2980" s="5">
        <v>44455</v>
      </c>
      <c r="G2980" s="5">
        <v>2958465</v>
      </c>
      <c r="H2980" s="8">
        <f t="shared" si="300"/>
        <v>2914010</v>
      </c>
      <c r="I2980" s="5">
        <v>2958465</v>
      </c>
      <c r="J2980" s="5">
        <v>44456</v>
      </c>
      <c r="K2980" s="8">
        <f t="shared" si="301"/>
        <v>1</v>
      </c>
      <c r="L2980" s="6">
        <v>424.35</v>
      </c>
      <c r="M2980" s="9">
        <f t="shared" si="298"/>
        <v>5.6226374999999997</v>
      </c>
      <c r="N2980" s="6">
        <v>424.35</v>
      </c>
      <c r="O2980" s="6">
        <v>424.35</v>
      </c>
    </row>
    <row r="2981" spans="1:15" ht="18.75" hidden="1" customHeight="1" thickBot="1" x14ac:dyDescent="0.3">
      <c r="A2981" s="3" t="s">
        <v>11</v>
      </c>
      <c r="B2981" s="4">
        <v>886792</v>
      </c>
      <c r="C2981" s="3" t="s">
        <v>15</v>
      </c>
      <c r="D2981" s="7">
        <v>0.1515</v>
      </c>
      <c r="E2981" s="7">
        <f t="shared" si="299"/>
        <v>1.2624999999999999E-2</v>
      </c>
      <c r="F2981" s="5">
        <v>44529</v>
      </c>
      <c r="G2981" s="5">
        <v>2958465</v>
      </c>
      <c r="H2981" s="8">
        <f t="shared" si="300"/>
        <v>2913936</v>
      </c>
      <c r="I2981" s="5">
        <v>2958465</v>
      </c>
      <c r="J2981" s="5">
        <v>44530</v>
      </c>
      <c r="K2981" s="8">
        <f t="shared" si="301"/>
        <v>1</v>
      </c>
      <c r="L2981" s="6">
        <v>428.99</v>
      </c>
      <c r="M2981" s="9">
        <f t="shared" si="298"/>
        <v>5.41599875</v>
      </c>
      <c r="N2981" s="6">
        <v>428.99</v>
      </c>
      <c r="O2981" s="6">
        <v>0</v>
      </c>
    </row>
    <row r="2982" spans="1:15" ht="18.75" hidden="1" customHeight="1" thickBot="1" x14ac:dyDescent="0.3">
      <c r="A2982" s="3" t="s">
        <v>11</v>
      </c>
      <c r="B2982" s="4">
        <v>391577</v>
      </c>
      <c r="C2982" s="3" t="s">
        <v>22</v>
      </c>
      <c r="D2982" s="7">
        <v>6.7500000000000004E-2</v>
      </c>
      <c r="E2982" s="7">
        <f t="shared" si="299"/>
        <v>5.6250000000000007E-3</v>
      </c>
      <c r="F2982" s="5">
        <v>45152</v>
      </c>
      <c r="G2982" s="5">
        <v>2958465</v>
      </c>
      <c r="H2982" s="8">
        <f t="shared" si="300"/>
        <v>2913313</v>
      </c>
      <c r="I2982" s="5">
        <v>2958465</v>
      </c>
      <c r="J2982" s="5">
        <v>45153</v>
      </c>
      <c r="K2982" s="8">
        <f t="shared" si="301"/>
        <v>1</v>
      </c>
      <c r="L2982" s="6">
        <v>1109.49</v>
      </c>
      <c r="M2982" s="9">
        <f t="shared" si="298"/>
        <v>6.240881250000001</v>
      </c>
      <c r="N2982" s="6">
        <v>1109.49</v>
      </c>
      <c r="O2982" s="6">
        <v>885.8</v>
      </c>
    </row>
    <row r="2983" spans="1:15" ht="18.75" hidden="1" customHeight="1" thickBot="1" x14ac:dyDescent="0.3">
      <c r="A2983" s="3" t="s">
        <v>11</v>
      </c>
      <c r="B2983" s="4">
        <v>785496</v>
      </c>
      <c r="C2983" s="3" t="s">
        <v>15</v>
      </c>
      <c r="D2983" s="7">
        <v>0.16900000000000001</v>
      </c>
      <c r="E2983" s="7">
        <f t="shared" si="299"/>
        <v>1.4083333333333335E-2</v>
      </c>
      <c r="F2983" s="5">
        <v>44468</v>
      </c>
      <c r="G2983" s="5">
        <v>2958465</v>
      </c>
      <c r="H2983" s="8">
        <f t="shared" si="300"/>
        <v>2913997</v>
      </c>
      <c r="I2983" s="5">
        <v>2958465</v>
      </c>
      <c r="J2983" s="5">
        <v>44469</v>
      </c>
      <c r="K2983" s="8">
        <f t="shared" si="301"/>
        <v>1</v>
      </c>
      <c r="L2983" s="6">
        <v>2824.81</v>
      </c>
      <c r="M2983" s="9">
        <f t="shared" si="298"/>
        <v>39.782740833333335</v>
      </c>
      <c r="N2983" s="6">
        <v>2824.81</v>
      </c>
      <c r="O2983" s="6">
        <v>2824.81</v>
      </c>
    </row>
    <row r="2984" spans="1:15" ht="18.75" hidden="1" customHeight="1" thickBot="1" x14ac:dyDescent="0.3">
      <c r="A2984" s="3" t="s">
        <v>11</v>
      </c>
      <c r="B2984" s="4">
        <v>718058</v>
      </c>
      <c r="C2984" s="3" t="s">
        <v>22</v>
      </c>
      <c r="D2984" s="7">
        <v>6.7500000000000004E-2</v>
      </c>
      <c r="E2984" s="7">
        <f t="shared" si="299"/>
        <v>5.6250000000000007E-3</v>
      </c>
      <c r="F2984" s="5">
        <v>45222</v>
      </c>
      <c r="G2984" s="5">
        <v>2958465</v>
      </c>
      <c r="H2984" s="8">
        <f t="shared" si="300"/>
        <v>2913243</v>
      </c>
      <c r="I2984" s="5">
        <v>2958465</v>
      </c>
      <c r="J2984" s="5">
        <v>45223</v>
      </c>
      <c r="K2984" s="8">
        <f t="shared" si="301"/>
        <v>1</v>
      </c>
      <c r="L2984" s="6">
        <v>431.63</v>
      </c>
      <c r="M2984" s="9">
        <f t="shared" si="298"/>
        <v>2.4279187500000003</v>
      </c>
      <c r="N2984" s="6">
        <v>431.63</v>
      </c>
      <c r="O2984" s="6">
        <v>0</v>
      </c>
    </row>
    <row r="2985" spans="1:15" ht="18.75" hidden="1" customHeight="1" thickBot="1" x14ac:dyDescent="0.3">
      <c r="A2985" s="3" t="s">
        <v>11</v>
      </c>
      <c r="B2985" s="4">
        <v>642222</v>
      </c>
      <c r="C2985" s="3" t="s">
        <v>22</v>
      </c>
      <c r="D2985" s="7">
        <v>7.0000000000000007E-2</v>
      </c>
      <c r="E2985" s="7">
        <f t="shared" si="299"/>
        <v>5.8333333333333336E-3</v>
      </c>
      <c r="F2985" s="5">
        <v>45635</v>
      </c>
      <c r="G2985" s="5">
        <v>2958465</v>
      </c>
      <c r="H2985" s="8">
        <f t="shared" si="300"/>
        <v>2912830</v>
      </c>
      <c r="I2985" s="5">
        <v>2958465</v>
      </c>
      <c r="J2985" s="5">
        <v>45637</v>
      </c>
      <c r="K2985" s="8">
        <f t="shared" si="301"/>
        <v>2</v>
      </c>
      <c r="L2985" s="6">
        <v>1846.86</v>
      </c>
      <c r="M2985" s="9">
        <f t="shared" si="298"/>
        <v>10.773350000000001</v>
      </c>
      <c r="N2985" s="6">
        <v>1846.86</v>
      </c>
      <c r="O2985" s="6">
        <v>30.91</v>
      </c>
    </row>
    <row r="2986" spans="1:15" ht="18.75" hidden="1" customHeight="1" thickBot="1" x14ac:dyDescent="0.3">
      <c r="A2986" s="3" t="s">
        <v>11</v>
      </c>
      <c r="B2986" s="4">
        <v>13513</v>
      </c>
      <c r="C2986" s="3" t="s">
        <v>22</v>
      </c>
      <c r="D2986" s="7">
        <v>7.0000000000000007E-2</v>
      </c>
      <c r="E2986" s="7">
        <f t="shared" si="299"/>
        <v>5.8333333333333336E-3</v>
      </c>
      <c r="F2986" s="5">
        <v>45002</v>
      </c>
      <c r="G2986" s="5">
        <v>2958465</v>
      </c>
      <c r="H2986" s="8">
        <f t="shared" si="300"/>
        <v>2913463</v>
      </c>
      <c r="I2986" s="5">
        <v>2958465</v>
      </c>
      <c r="J2986" s="5">
        <v>45005</v>
      </c>
      <c r="K2986" s="8">
        <f t="shared" si="301"/>
        <v>3</v>
      </c>
      <c r="L2986" s="6">
        <v>654.16</v>
      </c>
      <c r="M2986" s="9">
        <f t="shared" si="298"/>
        <v>3.8159333333333332</v>
      </c>
      <c r="N2986" s="6">
        <v>654.16</v>
      </c>
      <c r="O2986" s="6">
        <v>0</v>
      </c>
    </row>
    <row r="2987" spans="1:15" ht="18.75" hidden="1" customHeight="1" thickBot="1" x14ac:dyDescent="0.3">
      <c r="A2987" s="3" t="s">
        <v>11</v>
      </c>
      <c r="B2987" s="4">
        <v>392551</v>
      </c>
      <c r="C2987" s="3" t="s">
        <v>22</v>
      </c>
      <c r="D2987" s="7">
        <v>8.5000000000000006E-2</v>
      </c>
      <c r="E2987" s="7">
        <f t="shared" si="299"/>
        <v>7.0833333333333338E-3</v>
      </c>
      <c r="F2987" s="5">
        <v>45453</v>
      </c>
      <c r="G2987" s="5">
        <v>2958465</v>
      </c>
      <c r="H2987" s="8">
        <f t="shared" si="300"/>
        <v>2913012</v>
      </c>
      <c r="I2987" s="5">
        <v>2958465</v>
      </c>
      <c r="J2987" s="5">
        <v>45454</v>
      </c>
      <c r="K2987" s="8">
        <f t="shared" si="301"/>
        <v>1</v>
      </c>
      <c r="L2987" s="6">
        <v>117.41</v>
      </c>
      <c r="M2987" s="9">
        <f t="shared" si="298"/>
        <v>0.83165416666666669</v>
      </c>
      <c r="N2987" s="6">
        <v>117.41</v>
      </c>
      <c r="O2987" s="6">
        <v>117.41</v>
      </c>
    </row>
    <row r="2988" spans="1:15" ht="18.75" hidden="1" customHeight="1" thickBot="1" x14ac:dyDescent="0.3">
      <c r="A2988" s="3" t="s">
        <v>11</v>
      </c>
      <c r="B2988" s="4">
        <v>891859</v>
      </c>
      <c r="C2988" s="3" t="s">
        <v>15</v>
      </c>
      <c r="D2988" s="7">
        <v>0.1125</v>
      </c>
      <c r="E2988" s="7">
        <f t="shared" si="299"/>
        <v>9.3749999999999997E-3</v>
      </c>
      <c r="F2988" s="5">
        <v>44679</v>
      </c>
      <c r="G2988" s="5">
        <v>2958465</v>
      </c>
      <c r="H2988" s="8">
        <f t="shared" si="300"/>
        <v>2913786</v>
      </c>
      <c r="I2988" s="5">
        <v>2958465</v>
      </c>
      <c r="J2988" s="5">
        <v>44680</v>
      </c>
      <c r="K2988" s="8">
        <f t="shared" si="301"/>
        <v>1</v>
      </c>
      <c r="L2988" s="6">
        <v>541.09</v>
      </c>
      <c r="M2988" s="9">
        <f t="shared" si="298"/>
        <v>5.0727187499999999</v>
      </c>
      <c r="N2988" s="6">
        <v>541.09</v>
      </c>
      <c r="O2988" s="6">
        <v>0</v>
      </c>
    </row>
    <row r="2989" spans="1:15" ht="18.75" hidden="1" customHeight="1" thickBot="1" x14ac:dyDescent="0.3">
      <c r="A2989" s="3" t="s">
        <v>11</v>
      </c>
      <c r="B2989" s="4">
        <v>130050</v>
      </c>
      <c r="C2989" s="3" t="s">
        <v>22</v>
      </c>
      <c r="D2989" s="7">
        <v>7.0000000000000007E-2</v>
      </c>
      <c r="E2989" s="7">
        <f t="shared" si="299"/>
        <v>5.8333333333333336E-3</v>
      </c>
      <c r="F2989" s="5">
        <v>45635</v>
      </c>
      <c r="G2989" s="5">
        <v>2958465</v>
      </c>
      <c r="H2989" s="8">
        <f t="shared" si="300"/>
        <v>2912830</v>
      </c>
      <c r="I2989" s="5">
        <v>2958465</v>
      </c>
      <c r="J2989" s="5">
        <v>45637</v>
      </c>
      <c r="K2989" s="8">
        <f t="shared" si="301"/>
        <v>2</v>
      </c>
      <c r="L2989" s="6">
        <v>827.64</v>
      </c>
      <c r="M2989" s="9">
        <f t="shared" si="298"/>
        <v>4.8279000000000005</v>
      </c>
      <c r="N2989" s="6">
        <v>827.64</v>
      </c>
      <c r="O2989" s="6">
        <v>0</v>
      </c>
    </row>
    <row r="2990" spans="1:15" ht="18.75" hidden="1" customHeight="1" thickBot="1" x14ac:dyDescent="0.3">
      <c r="A2990" s="3" t="s">
        <v>11</v>
      </c>
      <c r="B2990" s="4">
        <v>970113</v>
      </c>
      <c r="C2990" s="3" t="s">
        <v>15</v>
      </c>
      <c r="D2990" s="7">
        <v>0.13900000000000001</v>
      </c>
      <c r="E2990" s="7">
        <f t="shared" si="299"/>
        <v>1.1583333333333334E-2</v>
      </c>
      <c r="F2990" s="5">
        <v>44412</v>
      </c>
      <c r="G2990" s="5">
        <v>2958465</v>
      </c>
      <c r="H2990" s="8">
        <f t="shared" si="300"/>
        <v>2914053</v>
      </c>
      <c r="I2990" s="5">
        <v>2958465</v>
      </c>
      <c r="J2990" s="5">
        <v>44413</v>
      </c>
      <c r="K2990" s="8">
        <f t="shared" si="301"/>
        <v>1</v>
      </c>
      <c r="L2990" s="6">
        <v>552.4</v>
      </c>
      <c r="M2990" s="9">
        <f t="shared" si="298"/>
        <v>6.3986333333333336</v>
      </c>
      <c r="N2990" s="6">
        <v>552.4</v>
      </c>
      <c r="O2990" s="6">
        <v>552.4</v>
      </c>
    </row>
    <row r="2991" spans="1:15" ht="18.75" hidden="1" customHeight="1" thickBot="1" x14ac:dyDescent="0.3">
      <c r="A2991" s="3" t="s">
        <v>11</v>
      </c>
      <c r="B2991" s="4">
        <v>247235</v>
      </c>
      <c r="C2991" s="3" t="s">
        <v>22</v>
      </c>
      <c r="D2991" s="7">
        <v>7.7499999999999999E-2</v>
      </c>
      <c r="E2991" s="7">
        <f t="shared" si="299"/>
        <v>6.4583333333333333E-3</v>
      </c>
      <c r="F2991" s="5">
        <v>45999</v>
      </c>
      <c r="G2991" s="5">
        <v>2958465</v>
      </c>
      <c r="H2991" s="8">
        <f t="shared" si="300"/>
        <v>2912466</v>
      </c>
      <c r="I2991" s="5">
        <v>2958465</v>
      </c>
      <c r="J2991" s="5">
        <v>46000</v>
      </c>
      <c r="K2991" s="8">
        <f t="shared" si="301"/>
        <v>1</v>
      </c>
      <c r="L2991" s="6">
        <v>3322.86</v>
      </c>
      <c r="M2991" s="9">
        <f t="shared" si="298"/>
        <v>21.460137500000002</v>
      </c>
      <c r="N2991" s="6">
        <v>3322.86</v>
      </c>
      <c r="O2991" s="6">
        <v>0</v>
      </c>
    </row>
    <row r="2992" spans="1:15" ht="18.75" hidden="1" customHeight="1" thickBot="1" x14ac:dyDescent="0.3">
      <c r="A2992" s="3" t="s">
        <v>11</v>
      </c>
      <c r="B2992" s="4">
        <v>401552</v>
      </c>
      <c r="C2992" s="3" t="s">
        <v>15</v>
      </c>
      <c r="D2992" s="7">
        <v>0.13900000000000001</v>
      </c>
      <c r="E2992" s="7">
        <f t="shared" si="299"/>
        <v>1.1583333333333334E-2</v>
      </c>
      <c r="F2992" s="5">
        <v>44273</v>
      </c>
      <c r="G2992" s="5">
        <v>2958465</v>
      </c>
      <c r="H2992" s="8">
        <f t="shared" si="300"/>
        <v>2914192</v>
      </c>
      <c r="I2992" s="5">
        <v>2958465</v>
      </c>
      <c r="J2992" s="5">
        <v>44274</v>
      </c>
      <c r="K2992" s="8">
        <f t="shared" si="301"/>
        <v>1</v>
      </c>
      <c r="L2992" s="6">
        <v>1187.72</v>
      </c>
      <c r="M2992" s="9">
        <f t="shared" si="298"/>
        <v>13.757756666666669</v>
      </c>
      <c r="N2992" s="6">
        <v>1187.72</v>
      </c>
      <c r="O2992" s="6">
        <v>1187.72</v>
      </c>
    </row>
    <row r="2993" spans="1:15" ht="18.75" hidden="1" customHeight="1" thickBot="1" x14ac:dyDescent="0.3">
      <c r="A2993" s="3" t="s">
        <v>11</v>
      </c>
      <c r="B2993" s="4">
        <v>479594</v>
      </c>
      <c r="C2993" s="3" t="s">
        <v>15</v>
      </c>
      <c r="D2993" s="7">
        <v>0.08</v>
      </c>
      <c r="E2993" s="7">
        <f t="shared" si="299"/>
        <v>6.6666666666666671E-3</v>
      </c>
      <c r="F2993" s="5">
        <v>44413</v>
      </c>
      <c r="G2993" s="5">
        <v>2958465</v>
      </c>
      <c r="H2993" s="8">
        <f t="shared" si="300"/>
        <v>2914052</v>
      </c>
      <c r="I2993" s="5">
        <v>2958465</v>
      </c>
      <c r="J2993" s="5">
        <v>44414</v>
      </c>
      <c r="K2993" s="8">
        <f t="shared" si="301"/>
        <v>1</v>
      </c>
      <c r="L2993" s="6">
        <v>971.21</v>
      </c>
      <c r="M2993" s="9">
        <f t="shared" si="298"/>
        <v>6.4747333333333339</v>
      </c>
      <c r="N2993" s="6">
        <v>971.21</v>
      </c>
      <c r="O2993" s="6">
        <v>971.21</v>
      </c>
    </row>
    <row r="2994" spans="1:15" ht="18.75" hidden="1" customHeight="1" thickBot="1" x14ac:dyDescent="0.3">
      <c r="A2994" s="3" t="s">
        <v>11</v>
      </c>
      <c r="B2994" s="4">
        <v>601349</v>
      </c>
      <c r="C2994" s="3" t="s">
        <v>22</v>
      </c>
      <c r="D2994" s="7">
        <v>6.7500000000000004E-2</v>
      </c>
      <c r="E2994" s="7">
        <f t="shared" si="299"/>
        <v>5.6250000000000007E-3</v>
      </c>
      <c r="F2994" s="5">
        <v>45331</v>
      </c>
      <c r="G2994" s="5">
        <v>2958465</v>
      </c>
      <c r="H2994" s="8">
        <f t="shared" si="300"/>
        <v>2913134</v>
      </c>
      <c r="I2994" s="5">
        <v>2958465</v>
      </c>
      <c r="J2994" s="5">
        <v>45334</v>
      </c>
      <c r="K2994" s="8">
        <f t="shared" si="301"/>
        <v>3</v>
      </c>
      <c r="L2994" s="6">
        <v>616.88</v>
      </c>
      <c r="M2994" s="9">
        <f t="shared" si="298"/>
        <v>3.4699500000000003</v>
      </c>
      <c r="N2994" s="6">
        <v>616.88</v>
      </c>
      <c r="O2994" s="6">
        <v>0</v>
      </c>
    </row>
    <row r="2995" spans="1:15" ht="18.75" hidden="1" customHeight="1" thickBot="1" x14ac:dyDescent="0.3">
      <c r="A2995" s="3" t="s">
        <v>11</v>
      </c>
      <c r="B2995" s="4">
        <v>409877</v>
      </c>
      <c r="C2995" s="3" t="s">
        <v>22</v>
      </c>
      <c r="D2995" s="7">
        <v>6.7500000000000004E-2</v>
      </c>
      <c r="E2995" s="7">
        <f t="shared" si="299"/>
        <v>5.6250000000000007E-3</v>
      </c>
      <c r="F2995" s="5">
        <v>45453</v>
      </c>
      <c r="G2995" s="5">
        <v>2958465</v>
      </c>
      <c r="H2995" s="8">
        <f t="shared" si="300"/>
        <v>2913012</v>
      </c>
      <c r="I2995" s="5">
        <v>2958465</v>
      </c>
      <c r="J2995" s="5">
        <v>45454</v>
      </c>
      <c r="K2995" s="8">
        <f t="shared" si="301"/>
        <v>1</v>
      </c>
      <c r="L2995" s="6">
        <v>599.70000000000005</v>
      </c>
      <c r="M2995" s="9">
        <f t="shared" si="298"/>
        <v>3.3733125000000008</v>
      </c>
      <c r="N2995" s="6">
        <v>599.70000000000005</v>
      </c>
      <c r="O2995" s="6">
        <v>2.9</v>
      </c>
    </row>
    <row r="2996" spans="1:15" ht="18.75" hidden="1" customHeight="1" thickBot="1" x14ac:dyDescent="0.3">
      <c r="A2996" s="3" t="s">
        <v>11</v>
      </c>
      <c r="B2996" s="4">
        <v>489635</v>
      </c>
      <c r="C2996" s="3" t="s">
        <v>22</v>
      </c>
      <c r="D2996" s="7">
        <v>7.4999999999999997E-2</v>
      </c>
      <c r="E2996" s="7">
        <f t="shared" si="299"/>
        <v>6.2499999999999995E-3</v>
      </c>
      <c r="F2996" s="5">
        <v>45937</v>
      </c>
      <c r="G2996" s="5">
        <v>2958465</v>
      </c>
      <c r="H2996" s="8">
        <f t="shared" si="300"/>
        <v>2912528</v>
      </c>
      <c r="I2996" s="5">
        <v>2958465</v>
      </c>
      <c r="J2996" s="5">
        <v>45938</v>
      </c>
      <c r="K2996" s="8">
        <f t="shared" si="301"/>
        <v>1</v>
      </c>
      <c r="L2996" s="6">
        <v>643.04</v>
      </c>
      <c r="M2996" s="9">
        <f t="shared" si="298"/>
        <v>4.0189999999999992</v>
      </c>
      <c r="N2996" s="6">
        <v>643.04</v>
      </c>
      <c r="O2996" s="6">
        <v>195.54</v>
      </c>
    </row>
    <row r="2997" spans="1:15" ht="18.75" hidden="1" customHeight="1" thickBot="1" x14ac:dyDescent="0.3">
      <c r="A2997" s="3" t="s">
        <v>11</v>
      </c>
      <c r="B2997" s="4">
        <v>675356</v>
      </c>
      <c r="C2997" s="3" t="s">
        <v>15</v>
      </c>
      <c r="D2997" s="7">
        <v>0.1515</v>
      </c>
      <c r="E2997" s="7">
        <f t="shared" si="299"/>
        <v>1.2624999999999999E-2</v>
      </c>
      <c r="F2997" s="5">
        <v>44468</v>
      </c>
      <c r="G2997" s="5">
        <v>2958465</v>
      </c>
      <c r="H2997" s="8">
        <f t="shared" si="300"/>
        <v>2913997</v>
      </c>
      <c r="I2997" s="5">
        <v>2958465</v>
      </c>
      <c r="J2997" s="5">
        <v>44469</v>
      </c>
      <c r="K2997" s="8">
        <f t="shared" si="301"/>
        <v>1</v>
      </c>
      <c r="L2997" s="6">
        <v>728.65</v>
      </c>
      <c r="M2997" s="9">
        <f t="shared" si="298"/>
        <v>9.1992062499999996</v>
      </c>
      <c r="N2997" s="6">
        <v>728.65</v>
      </c>
      <c r="O2997" s="6">
        <v>0</v>
      </c>
    </row>
    <row r="2998" spans="1:15" ht="18.75" hidden="1" customHeight="1" thickBot="1" x14ac:dyDescent="0.3">
      <c r="A2998" s="3" t="s">
        <v>11</v>
      </c>
      <c r="B2998" s="4">
        <v>117678</v>
      </c>
      <c r="C2998" s="3" t="s">
        <v>22</v>
      </c>
      <c r="D2998" s="7">
        <v>9.7500000000000003E-2</v>
      </c>
      <c r="E2998" s="7">
        <f t="shared" si="299"/>
        <v>8.1250000000000003E-3</v>
      </c>
      <c r="F2998" s="5">
        <v>44848</v>
      </c>
      <c r="G2998" s="5">
        <v>2958465</v>
      </c>
      <c r="H2998" s="8">
        <f t="shared" si="300"/>
        <v>2913617</v>
      </c>
      <c r="I2998" s="5">
        <v>2958465</v>
      </c>
      <c r="J2998" s="5">
        <v>44883</v>
      </c>
      <c r="K2998" s="8">
        <f t="shared" si="301"/>
        <v>35</v>
      </c>
      <c r="L2998" s="6">
        <v>57.04</v>
      </c>
      <c r="M2998" s="9">
        <f t="shared" si="298"/>
        <v>0.46345000000000003</v>
      </c>
      <c r="N2998" s="6">
        <v>57.04</v>
      </c>
      <c r="O2998" s="6">
        <v>57.04</v>
      </c>
    </row>
    <row r="2999" spans="1:15" ht="18.75" hidden="1" customHeight="1" thickBot="1" x14ac:dyDescent="0.3">
      <c r="A2999" s="3" t="s">
        <v>11</v>
      </c>
      <c r="B2999" s="4">
        <v>851418</v>
      </c>
      <c r="C2999" s="3" t="s">
        <v>22</v>
      </c>
      <c r="D2999" s="7">
        <v>6.7500000000000004E-2</v>
      </c>
      <c r="E2999" s="7">
        <f t="shared" si="299"/>
        <v>5.6250000000000007E-3</v>
      </c>
      <c r="F2999" s="5">
        <v>45026</v>
      </c>
      <c r="G2999" s="5">
        <v>2958465</v>
      </c>
      <c r="H2999" s="8">
        <f t="shared" si="300"/>
        <v>2913439</v>
      </c>
      <c r="I2999" s="5">
        <v>2958465</v>
      </c>
      <c r="J2999" s="5">
        <v>45027</v>
      </c>
      <c r="K2999" s="8">
        <f t="shared" si="301"/>
        <v>1</v>
      </c>
      <c r="L2999" s="6">
        <v>3183.96</v>
      </c>
      <c r="M2999" s="9">
        <f t="shared" si="298"/>
        <v>17.909775000000003</v>
      </c>
      <c r="N2999" s="6">
        <v>3183.96</v>
      </c>
      <c r="O2999" s="6">
        <v>1135.0899999999999</v>
      </c>
    </row>
    <row r="3000" spans="1:15" ht="18.75" hidden="1" customHeight="1" thickBot="1" x14ac:dyDescent="0.3">
      <c r="A3000" s="3" t="s">
        <v>11</v>
      </c>
      <c r="B3000" s="4">
        <v>385426</v>
      </c>
      <c r="C3000" s="3" t="s">
        <v>22</v>
      </c>
      <c r="D3000" s="7">
        <v>6.7500000000000004E-2</v>
      </c>
      <c r="E3000" s="7">
        <f t="shared" si="299"/>
        <v>5.6250000000000007E-3</v>
      </c>
      <c r="F3000" s="5">
        <v>45243</v>
      </c>
      <c r="G3000" s="5">
        <v>2958465</v>
      </c>
      <c r="H3000" s="8">
        <f t="shared" si="300"/>
        <v>2913222</v>
      </c>
      <c r="I3000" s="5">
        <v>2958465</v>
      </c>
      <c r="J3000" s="5">
        <v>45244</v>
      </c>
      <c r="K3000" s="8">
        <f t="shared" si="301"/>
        <v>1</v>
      </c>
      <c r="L3000" s="6">
        <v>599.59</v>
      </c>
      <c r="M3000" s="9">
        <f t="shared" si="298"/>
        <v>3.3726937500000007</v>
      </c>
      <c r="N3000" s="6">
        <v>599.59</v>
      </c>
      <c r="O3000" s="6">
        <v>86</v>
      </c>
    </row>
    <row r="3001" spans="1:15" ht="18.75" hidden="1" customHeight="1" thickBot="1" x14ac:dyDescent="0.3">
      <c r="A3001" s="3" t="s">
        <v>11</v>
      </c>
      <c r="B3001" s="4">
        <v>754327</v>
      </c>
      <c r="C3001" s="3" t="s">
        <v>15</v>
      </c>
      <c r="D3001" s="7">
        <v>0.1</v>
      </c>
      <c r="E3001" s="7">
        <f t="shared" si="299"/>
        <v>8.3333333333333332E-3</v>
      </c>
      <c r="F3001" s="5">
        <v>44753</v>
      </c>
      <c r="G3001" s="5">
        <v>2958465</v>
      </c>
      <c r="H3001" s="8">
        <f t="shared" si="300"/>
        <v>2913712</v>
      </c>
      <c r="I3001" s="5">
        <v>2958465</v>
      </c>
      <c r="J3001" s="5">
        <v>44754</v>
      </c>
      <c r="K3001" s="8">
        <f t="shared" si="301"/>
        <v>1</v>
      </c>
      <c r="L3001" s="6">
        <v>618.55999999999995</v>
      </c>
      <c r="M3001" s="9">
        <f t="shared" si="298"/>
        <v>5.1546666666666665</v>
      </c>
      <c r="N3001" s="6">
        <v>618.55999999999995</v>
      </c>
      <c r="O3001" s="6">
        <v>0</v>
      </c>
    </row>
    <row r="3002" spans="1:15" ht="18.75" hidden="1" customHeight="1" thickBot="1" x14ac:dyDescent="0.3">
      <c r="A3002" s="3" t="s">
        <v>11</v>
      </c>
      <c r="B3002" s="4">
        <v>658096</v>
      </c>
      <c r="C3002" s="3" t="s">
        <v>22</v>
      </c>
      <c r="D3002" s="7">
        <v>7.2499999999999995E-2</v>
      </c>
      <c r="E3002" s="7">
        <f t="shared" si="299"/>
        <v>6.0416666666666665E-3</v>
      </c>
      <c r="F3002" s="5">
        <v>45819</v>
      </c>
      <c r="G3002" s="5">
        <v>2958465</v>
      </c>
      <c r="H3002" s="8">
        <f t="shared" si="300"/>
        <v>2912646</v>
      </c>
      <c r="I3002" s="5">
        <v>2958465</v>
      </c>
      <c r="J3002" s="5">
        <v>45820</v>
      </c>
      <c r="K3002" s="8">
        <f t="shared" si="301"/>
        <v>1</v>
      </c>
      <c r="L3002" s="6">
        <v>153.29</v>
      </c>
      <c r="M3002" s="9">
        <f t="shared" si="298"/>
        <v>0.92612708333333327</v>
      </c>
      <c r="N3002" s="6">
        <v>153.29</v>
      </c>
      <c r="O3002" s="6">
        <v>0</v>
      </c>
    </row>
    <row r="3003" spans="1:15" ht="18.75" hidden="1" customHeight="1" thickBot="1" x14ac:dyDescent="0.3">
      <c r="A3003" s="3" t="s">
        <v>11</v>
      </c>
      <c r="B3003" s="4">
        <v>820556</v>
      </c>
      <c r="C3003" s="3" t="s">
        <v>22</v>
      </c>
      <c r="D3003" s="7">
        <v>0.115</v>
      </c>
      <c r="E3003" s="7">
        <f t="shared" si="299"/>
        <v>9.5833333333333343E-3</v>
      </c>
      <c r="F3003" s="5">
        <v>44603</v>
      </c>
      <c r="G3003" s="5">
        <v>2958465</v>
      </c>
      <c r="H3003" s="8">
        <f t="shared" si="300"/>
        <v>2913862</v>
      </c>
      <c r="I3003" s="5">
        <v>2958465</v>
      </c>
      <c r="J3003" s="5">
        <v>44606</v>
      </c>
      <c r="K3003" s="8">
        <f t="shared" si="301"/>
        <v>3</v>
      </c>
      <c r="L3003" s="6">
        <v>418.41</v>
      </c>
      <c r="M3003" s="9">
        <f t="shared" si="298"/>
        <v>4.0097625000000008</v>
      </c>
      <c r="N3003" s="6">
        <v>418.41</v>
      </c>
      <c r="O3003" s="6">
        <v>418.41</v>
      </c>
    </row>
    <row r="3004" spans="1:15" ht="18.75" hidden="1" customHeight="1" thickBot="1" x14ac:dyDescent="0.3">
      <c r="A3004" s="3" t="s">
        <v>11</v>
      </c>
      <c r="B3004" s="4">
        <v>665077</v>
      </c>
      <c r="C3004" s="3" t="s">
        <v>22</v>
      </c>
      <c r="D3004" s="7">
        <v>6.7500000000000004E-2</v>
      </c>
      <c r="E3004" s="7">
        <f t="shared" si="299"/>
        <v>5.6250000000000007E-3</v>
      </c>
      <c r="F3004" s="5">
        <v>45098</v>
      </c>
      <c r="G3004" s="5">
        <v>2958465</v>
      </c>
      <c r="H3004" s="8">
        <f t="shared" si="300"/>
        <v>2913367</v>
      </c>
      <c r="I3004" s="5">
        <v>2958465</v>
      </c>
      <c r="J3004" s="5">
        <v>45099</v>
      </c>
      <c r="K3004" s="8">
        <f t="shared" si="301"/>
        <v>1</v>
      </c>
      <c r="L3004" s="6">
        <v>2290.31</v>
      </c>
      <c r="M3004" s="9">
        <f t="shared" si="298"/>
        <v>12.882993750000001</v>
      </c>
      <c r="N3004" s="6">
        <v>2290.31</v>
      </c>
      <c r="O3004" s="6">
        <v>0</v>
      </c>
    </row>
    <row r="3005" spans="1:15" ht="18.75" hidden="1" customHeight="1" thickBot="1" x14ac:dyDescent="0.3">
      <c r="A3005" s="3" t="s">
        <v>11</v>
      </c>
      <c r="B3005" s="4">
        <v>854980</v>
      </c>
      <c r="C3005" s="3" t="s">
        <v>15</v>
      </c>
      <c r="D3005" s="7">
        <v>0.1515</v>
      </c>
      <c r="E3005" s="7">
        <f t="shared" si="299"/>
        <v>1.2624999999999999E-2</v>
      </c>
      <c r="F3005" s="5">
        <v>44413</v>
      </c>
      <c r="G3005" s="5">
        <v>2958465</v>
      </c>
      <c r="H3005" s="8">
        <f t="shared" si="300"/>
        <v>2914052</v>
      </c>
      <c r="I3005" s="5">
        <v>2958465</v>
      </c>
      <c r="J3005" s="5">
        <v>44414</v>
      </c>
      <c r="K3005" s="8">
        <f t="shared" si="301"/>
        <v>1</v>
      </c>
      <c r="L3005" s="6">
        <v>509.92</v>
      </c>
      <c r="M3005" s="9">
        <f t="shared" si="298"/>
        <v>6.4377399999999998</v>
      </c>
      <c r="N3005" s="6">
        <v>509.92</v>
      </c>
      <c r="O3005" s="6">
        <v>0</v>
      </c>
    </row>
    <row r="3006" spans="1:15" ht="18.75" hidden="1" customHeight="1" thickBot="1" x14ac:dyDescent="0.3">
      <c r="A3006" s="3" t="s">
        <v>11</v>
      </c>
      <c r="B3006" s="4">
        <v>976541</v>
      </c>
      <c r="C3006" s="3" t="s">
        <v>15</v>
      </c>
      <c r="D3006" s="7">
        <v>0.11650000000000001</v>
      </c>
      <c r="E3006" s="7">
        <f t="shared" si="299"/>
        <v>9.7083333333333344E-3</v>
      </c>
      <c r="F3006" s="5">
        <v>44413</v>
      </c>
      <c r="G3006" s="5">
        <v>2958465</v>
      </c>
      <c r="H3006" s="8">
        <f t="shared" si="300"/>
        <v>2914052</v>
      </c>
      <c r="I3006" s="5">
        <v>2958465</v>
      </c>
      <c r="J3006" s="5">
        <v>44414</v>
      </c>
      <c r="K3006" s="8">
        <f t="shared" si="301"/>
        <v>1</v>
      </c>
      <c r="L3006" s="6">
        <v>402.21</v>
      </c>
      <c r="M3006" s="9">
        <f t="shared" si="298"/>
        <v>3.9047887500000003</v>
      </c>
      <c r="N3006" s="6">
        <v>402.21</v>
      </c>
      <c r="O3006" s="6">
        <v>402.21</v>
      </c>
    </row>
    <row r="3007" spans="1:15" ht="18.75" hidden="1" customHeight="1" thickBot="1" x14ac:dyDescent="0.3">
      <c r="A3007" s="3" t="s">
        <v>11</v>
      </c>
      <c r="B3007" s="4">
        <v>344944</v>
      </c>
      <c r="C3007" s="3" t="s">
        <v>15</v>
      </c>
      <c r="D3007" s="7">
        <v>0.1</v>
      </c>
      <c r="E3007" s="7">
        <f t="shared" si="299"/>
        <v>8.3333333333333332E-3</v>
      </c>
      <c r="F3007" s="5">
        <v>44753</v>
      </c>
      <c r="G3007" s="5">
        <v>2958465</v>
      </c>
      <c r="H3007" s="8">
        <f t="shared" si="300"/>
        <v>2913712</v>
      </c>
      <c r="I3007" s="5">
        <v>2958465</v>
      </c>
      <c r="J3007" s="5">
        <v>44754</v>
      </c>
      <c r="K3007" s="8">
        <f t="shared" si="301"/>
        <v>1</v>
      </c>
      <c r="L3007" s="6">
        <v>564.61</v>
      </c>
      <c r="M3007" s="9">
        <f t="shared" si="298"/>
        <v>4.7050833333333335</v>
      </c>
      <c r="N3007" s="6">
        <v>564.61</v>
      </c>
      <c r="O3007" s="6">
        <v>0</v>
      </c>
    </row>
    <row r="3008" spans="1:15" ht="18.75" hidden="1" customHeight="1" thickBot="1" x14ac:dyDescent="0.3">
      <c r="A3008" s="3" t="s">
        <v>11</v>
      </c>
      <c r="B3008" s="4">
        <v>6493</v>
      </c>
      <c r="C3008" s="3" t="s">
        <v>22</v>
      </c>
      <c r="D3008" s="7">
        <v>0.16900000000000001</v>
      </c>
      <c r="E3008" s="7">
        <f t="shared" si="299"/>
        <v>1.4083333333333335E-2</v>
      </c>
      <c r="F3008" s="5">
        <v>44504</v>
      </c>
      <c r="G3008" s="5">
        <v>2958465</v>
      </c>
      <c r="H3008" s="8">
        <f t="shared" si="300"/>
        <v>2913961</v>
      </c>
      <c r="I3008" s="5">
        <v>2958465</v>
      </c>
      <c r="J3008" s="5">
        <v>44505</v>
      </c>
      <c r="K3008" s="8">
        <f t="shared" si="301"/>
        <v>1</v>
      </c>
      <c r="L3008" s="6">
        <v>1913.42</v>
      </c>
      <c r="M3008" s="9">
        <f t="shared" si="298"/>
        <v>26.94733166666667</v>
      </c>
      <c r="N3008" s="6">
        <v>1913.42</v>
      </c>
      <c r="O3008" s="6">
        <v>1913.42</v>
      </c>
    </row>
    <row r="3009" spans="1:15" ht="18.75" hidden="1" customHeight="1" thickBot="1" x14ac:dyDescent="0.3">
      <c r="A3009" s="3" t="s">
        <v>11</v>
      </c>
      <c r="B3009" s="4">
        <v>152318</v>
      </c>
      <c r="C3009" s="3" t="s">
        <v>22</v>
      </c>
      <c r="D3009" s="7">
        <v>8.5000000000000006E-2</v>
      </c>
      <c r="E3009" s="7">
        <f t="shared" si="299"/>
        <v>7.0833333333333338E-3</v>
      </c>
      <c r="F3009" s="5">
        <v>44839</v>
      </c>
      <c r="G3009" s="5">
        <v>2958465</v>
      </c>
      <c r="H3009" s="8">
        <f t="shared" si="300"/>
        <v>2913626</v>
      </c>
      <c r="I3009" s="5">
        <v>2958465</v>
      </c>
      <c r="J3009" s="5">
        <v>44840</v>
      </c>
      <c r="K3009" s="8">
        <f t="shared" si="301"/>
        <v>1</v>
      </c>
      <c r="L3009" s="6">
        <v>716.62</v>
      </c>
      <c r="M3009" s="9">
        <f t="shared" si="298"/>
        <v>5.076058333333334</v>
      </c>
      <c r="N3009" s="6">
        <v>716.62</v>
      </c>
      <c r="O3009" s="6">
        <v>129.80000000000001</v>
      </c>
    </row>
    <row r="3010" spans="1:15" ht="18.75" hidden="1" customHeight="1" thickBot="1" x14ac:dyDescent="0.3">
      <c r="A3010" s="3" t="s">
        <v>11</v>
      </c>
      <c r="B3010" s="4">
        <v>266320</v>
      </c>
      <c r="C3010" s="3" t="s">
        <v>15</v>
      </c>
      <c r="D3010" s="7">
        <v>0.1515</v>
      </c>
      <c r="E3010" s="7">
        <f t="shared" si="299"/>
        <v>1.2624999999999999E-2</v>
      </c>
      <c r="F3010" s="5">
        <v>44375</v>
      </c>
      <c r="G3010" s="5">
        <v>2958465</v>
      </c>
      <c r="H3010" s="8">
        <f t="shared" si="300"/>
        <v>2914090</v>
      </c>
      <c r="I3010" s="5">
        <v>2958465</v>
      </c>
      <c r="J3010" s="5">
        <v>44376</v>
      </c>
      <c r="K3010" s="8">
        <f t="shared" si="301"/>
        <v>1</v>
      </c>
      <c r="L3010" s="6">
        <v>232.26</v>
      </c>
      <c r="M3010" s="9">
        <f t="shared" ref="M3010:M3073" si="302">-PMT(E3010,(H3010/30),L3010)</f>
        <v>2.9322824999999995</v>
      </c>
      <c r="N3010" s="6">
        <v>232.26</v>
      </c>
      <c r="O3010" s="6">
        <v>0</v>
      </c>
    </row>
    <row r="3011" spans="1:15" ht="18.75" hidden="1" customHeight="1" thickBot="1" x14ac:dyDescent="0.3">
      <c r="A3011" s="3" t="s">
        <v>11</v>
      </c>
      <c r="B3011" s="4">
        <v>267556</v>
      </c>
      <c r="C3011" s="3" t="s">
        <v>22</v>
      </c>
      <c r="D3011" s="7">
        <v>7.2499999999999995E-2</v>
      </c>
      <c r="E3011" s="7">
        <f t="shared" ref="E3011:E3074" si="303">D3011/12</f>
        <v>6.0416666666666665E-3</v>
      </c>
      <c r="F3011" s="5">
        <v>44935</v>
      </c>
      <c r="G3011" s="5">
        <v>2958465</v>
      </c>
      <c r="H3011" s="8">
        <f t="shared" ref="H3011:H3074" si="304">G3011-F3011</f>
        <v>2913530</v>
      </c>
      <c r="I3011" s="5">
        <v>2958465</v>
      </c>
      <c r="J3011" s="5">
        <v>44936</v>
      </c>
      <c r="K3011" s="8">
        <f t="shared" ref="K3011:K3074" si="305">J3011-F3011</f>
        <v>1</v>
      </c>
      <c r="L3011" s="6">
        <v>412.74</v>
      </c>
      <c r="M3011" s="9">
        <f t="shared" si="302"/>
        <v>2.4936375000000002</v>
      </c>
      <c r="N3011" s="6">
        <v>412.74</v>
      </c>
      <c r="O3011" s="6">
        <v>30.57</v>
      </c>
    </row>
    <row r="3012" spans="1:15" ht="18.75" hidden="1" customHeight="1" thickBot="1" x14ac:dyDescent="0.3">
      <c r="A3012" s="3" t="s">
        <v>11</v>
      </c>
      <c r="B3012" s="4">
        <v>348493</v>
      </c>
      <c r="C3012" s="3" t="s">
        <v>22</v>
      </c>
      <c r="D3012" s="7">
        <v>0.1515</v>
      </c>
      <c r="E3012" s="7">
        <f t="shared" si="303"/>
        <v>1.2624999999999999E-2</v>
      </c>
      <c r="F3012" s="5">
        <v>44504</v>
      </c>
      <c r="G3012" s="5">
        <v>2958465</v>
      </c>
      <c r="H3012" s="8">
        <f t="shared" si="304"/>
        <v>2913961</v>
      </c>
      <c r="I3012" s="5">
        <v>2958465</v>
      </c>
      <c r="J3012" s="5">
        <v>44505</v>
      </c>
      <c r="K3012" s="8">
        <f t="shared" si="305"/>
        <v>1</v>
      </c>
      <c r="L3012" s="6">
        <v>1734.08</v>
      </c>
      <c r="M3012" s="9">
        <f t="shared" si="302"/>
        <v>21.892759999999999</v>
      </c>
      <c r="N3012" s="6">
        <v>1734.08</v>
      </c>
      <c r="O3012" s="6">
        <v>1702.58</v>
      </c>
    </row>
    <row r="3013" spans="1:15" ht="18.75" hidden="1" customHeight="1" thickBot="1" x14ac:dyDescent="0.3">
      <c r="A3013" s="3" t="s">
        <v>11</v>
      </c>
      <c r="B3013" s="4">
        <v>856838</v>
      </c>
      <c r="C3013" s="3" t="s">
        <v>15</v>
      </c>
      <c r="D3013" s="7">
        <v>0.115</v>
      </c>
      <c r="E3013" s="7">
        <f t="shared" si="303"/>
        <v>9.5833333333333343E-3</v>
      </c>
      <c r="F3013" s="5">
        <v>44610</v>
      </c>
      <c r="G3013" s="5">
        <v>2958465</v>
      </c>
      <c r="H3013" s="8">
        <f t="shared" si="304"/>
        <v>2913855</v>
      </c>
      <c r="I3013" s="5">
        <v>2958465</v>
      </c>
      <c r="J3013" s="5">
        <v>44614</v>
      </c>
      <c r="K3013" s="8">
        <f t="shared" si="305"/>
        <v>4</v>
      </c>
      <c r="L3013" s="6">
        <v>752.33</v>
      </c>
      <c r="M3013" s="9">
        <f t="shared" si="302"/>
        <v>7.2098291666666681</v>
      </c>
      <c r="N3013" s="6">
        <v>752.33</v>
      </c>
      <c r="O3013" s="6">
        <v>0</v>
      </c>
    </row>
    <row r="3014" spans="1:15" ht="18.75" hidden="1" customHeight="1" thickBot="1" x14ac:dyDescent="0.3">
      <c r="A3014" s="3" t="s">
        <v>11</v>
      </c>
      <c r="B3014" s="4">
        <v>930033</v>
      </c>
      <c r="C3014" s="3" t="s">
        <v>15</v>
      </c>
      <c r="D3014" s="7">
        <v>0.1515</v>
      </c>
      <c r="E3014" s="7">
        <f t="shared" si="303"/>
        <v>1.2624999999999999E-2</v>
      </c>
      <c r="F3014" s="5">
        <v>44375</v>
      </c>
      <c r="G3014" s="5">
        <v>2958465</v>
      </c>
      <c r="H3014" s="8">
        <f t="shared" si="304"/>
        <v>2914090</v>
      </c>
      <c r="I3014" s="5">
        <v>2958465</v>
      </c>
      <c r="J3014" s="5">
        <v>44376</v>
      </c>
      <c r="K3014" s="8">
        <f t="shared" si="305"/>
        <v>1</v>
      </c>
      <c r="L3014" s="6">
        <v>420.55</v>
      </c>
      <c r="M3014" s="9">
        <f t="shared" si="302"/>
        <v>5.3094437499999998</v>
      </c>
      <c r="N3014" s="6">
        <v>420.55</v>
      </c>
      <c r="O3014" s="6">
        <v>0</v>
      </c>
    </row>
    <row r="3015" spans="1:15" ht="18.75" hidden="1" customHeight="1" thickBot="1" x14ac:dyDescent="0.3">
      <c r="A3015" s="3" t="s">
        <v>11</v>
      </c>
      <c r="B3015" s="4">
        <v>900921</v>
      </c>
      <c r="C3015" s="3" t="s">
        <v>22</v>
      </c>
      <c r="D3015" s="7">
        <v>6.7500000000000004E-2</v>
      </c>
      <c r="E3015" s="7">
        <f t="shared" si="303"/>
        <v>5.6250000000000007E-3</v>
      </c>
      <c r="F3015" s="5">
        <v>45265</v>
      </c>
      <c r="G3015" s="5">
        <v>2958465</v>
      </c>
      <c r="H3015" s="8">
        <f t="shared" si="304"/>
        <v>2913200</v>
      </c>
      <c r="I3015" s="5">
        <v>2958465</v>
      </c>
      <c r="J3015" s="5">
        <v>45266</v>
      </c>
      <c r="K3015" s="8">
        <f t="shared" si="305"/>
        <v>1</v>
      </c>
      <c r="L3015" s="6">
        <v>457.69</v>
      </c>
      <c r="M3015" s="9">
        <f t="shared" si="302"/>
        <v>2.5745062500000002</v>
      </c>
      <c r="N3015" s="6">
        <v>457.69</v>
      </c>
      <c r="O3015" s="6">
        <v>0</v>
      </c>
    </row>
    <row r="3016" spans="1:15" ht="18.75" hidden="1" customHeight="1" thickBot="1" x14ac:dyDescent="0.3">
      <c r="A3016" s="3" t="s">
        <v>11</v>
      </c>
      <c r="B3016" s="4">
        <v>856490</v>
      </c>
      <c r="C3016" s="3" t="s">
        <v>22</v>
      </c>
      <c r="D3016" s="7">
        <v>6.7500000000000004E-2</v>
      </c>
      <c r="E3016" s="7">
        <f t="shared" si="303"/>
        <v>5.6250000000000007E-3</v>
      </c>
      <c r="F3016" s="5">
        <v>45265</v>
      </c>
      <c r="G3016" s="5">
        <v>2958465</v>
      </c>
      <c r="H3016" s="8">
        <f t="shared" si="304"/>
        <v>2913200</v>
      </c>
      <c r="I3016" s="5">
        <v>2958465</v>
      </c>
      <c r="J3016" s="5">
        <v>45266</v>
      </c>
      <c r="K3016" s="8">
        <f t="shared" si="305"/>
        <v>1</v>
      </c>
      <c r="L3016" s="6">
        <v>433.66</v>
      </c>
      <c r="M3016" s="9">
        <f t="shared" si="302"/>
        <v>2.4393375000000006</v>
      </c>
      <c r="N3016" s="6">
        <v>433.66</v>
      </c>
      <c r="O3016" s="6">
        <v>0</v>
      </c>
    </row>
    <row r="3017" spans="1:15" ht="18.75" hidden="1" customHeight="1" thickBot="1" x14ac:dyDescent="0.3">
      <c r="A3017" s="3" t="s">
        <v>11</v>
      </c>
      <c r="B3017" s="4">
        <v>499990</v>
      </c>
      <c r="C3017" s="3" t="s">
        <v>15</v>
      </c>
      <c r="D3017" s="7">
        <v>0.1125</v>
      </c>
      <c r="E3017" s="7">
        <f t="shared" si="303"/>
        <v>9.3749999999999997E-3</v>
      </c>
      <c r="F3017" s="5">
        <v>44644</v>
      </c>
      <c r="G3017" s="5">
        <v>2958465</v>
      </c>
      <c r="H3017" s="8">
        <f t="shared" si="304"/>
        <v>2913821</v>
      </c>
      <c r="I3017" s="5">
        <v>2958465</v>
      </c>
      <c r="J3017" s="5">
        <v>44645</v>
      </c>
      <c r="K3017" s="8">
        <f t="shared" si="305"/>
        <v>1</v>
      </c>
      <c r="L3017" s="6">
        <v>311</v>
      </c>
      <c r="M3017" s="9">
        <f t="shared" si="302"/>
        <v>2.9156249999999999</v>
      </c>
      <c r="N3017" s="6">
        <v>310.01</v>
      </c>
      <c r="O3017" s="6">
        <v>310.01</v>
      </c>
    </row>
    <row r="3018" spans="1:15" ht="18.75" hidden="1" customHeight="1" thickBot="1" x14ac:dyDescent="0.3">
      <c r="A3018" s="3" t="s">
        <v>11</v>
      </c>
      <c r="B3018" s="4">
        <v>332638</v>
      </c>
      <c r="C3018" s="3" t="s">
        <v>15</v>
      </c>
      <c r="D3018" s="7">
        <v>0.115</v>
      </c>
      <c r="E3018" s="7">
        <f t="shared" si="303"/>
        <v>9.5833333333333343E-3</v>
      </c>
      <c r="F3018" s="5">
        <v>44610</v>
      </c>
      <c r="G3018" s="5">
        <v>2958465</v>
      </c>
      <c r="H3018" s="8">
        <f t="shared" si="304"/>
        <v>2913855</v>
      </c>
      <c r="I3018" s="5">
        <v>2958465</v>
      </c>
      <c r="J3018" s="5">
        <v>44614</v>
      </c>
      <c r="K3018" s="8">
        <f t="shared" si="305"/>
        <v>4</v>
      </c>
      <c r="L3018" s="6">
        <v>895.45</v>
      </c>
      <c r="M3018" s="9">
        <f t="shared" si="302"/>
        <v>8.5813958333333353</v>
      </c>
      <c r="N3018" s="6">
        <v>895.45</v>
      </c>
      <c r="O3018" s="6">
        <v>275</v>
      </c>
    </row>
    <row r="3019" spans="1:15" ht="18.75" hidden="1" customHeight="1" thickBot="1" x14ac:dyDescent="0.3">
      <c r="A3019" s="3" t="s">
        <v>11</v>
      </c>
      <c r="B3019" s="4">
        <v>32340</v>
      </c>
      <c r="C3019" s="3" t="s">
        <v>22</v>
      </c>
      <c r="D3019" s="7">
        <v>6.7500000000000004E-2</v>
      </c>
      <c r="E3019" s="7">
        <f t="shared" si="303"/>
        <v>5.6250000000000007E-3</v>
      </c>
      <c r="F3019" s="5">
        <v>45307</v>
      </c>
      <c r="G3019" s="5">
        <v>2958465</v>
      </c>
      <c r="H3019" s="8">
        <f t="shared" si="304"/>
        <v>2913158</v>
      </c>
      <c r="I3019" s="5">
        <v>2958465</v>
      </c>
      <c r="J3019" s="5">
        <v>45310</v>
      </c>
      <c r="K3019" s="8">
        <f t="shared" si="305"/>
        <v>3</v>
      </c>
      <c r="L3019" s="6">
        <v>850.77</v>
      </c>
      <c r="M3019" s="9">
        <f t="shared" si="302"/>
        <v>4.7855812500000008</v>
      </c>
      <c r="N3019" s="6">
        <v>850.77</v>
      </c>
      <c r="O3019" s="6">
        <v>0</v>
      </c>
    </row>
    <row r="3020" spans="1:15" ht="18.75" hidden="1" customHeight="1" thickBot="1" x14ac:dyDescent="0.3">
      <c r="A3020" s="3" t="s">
        <v>11</v>
      </c>
      <c r="B3020" s="4">
        <v>79797</v>
      </c>
      <c r="C3020" s="3" t="s">
        <v>22</v>
      </c>
      <c r="D3020" s="7">
        <v>7.7499999999999999E-2</v>
      </c>
      <c r="E3020" s="7">
        <f t="shared" si="303"/>
        <v>6.4583333333333333E-3</v>
      </c>
      <c r="F3020" s="5">
        <v>44881</v>
      </c>
      <c r="G3020" s="5">
        <v>2958465</v>
      </c>
      <c r="H3020" s="8">
        <f t="shared" si="304"/>
        <v>2913584</v>
      </c>
      <c r="I3020" s="5">
        <v>2958465</v>
      </c>
      <c r="J3020" s="5">
        <v>44882</v>
      </c>
      <c r="K3020" s="8">
        <f t="shared" si="305"/>
        <v>1</v>
      </c>
      <c r="L3020" s="6">
        <v>861.91</v>
      </c>
      <c r="M3020" s="9">
        <f t="shared" si="302"/>
        <v>5.566502083333333</v>
      </c>
      <c r="N3020" s="6">
        <v>861.91</v>
      </c>
      <c r="O3020" s="6">
        <v>0</v>
      </c>
    </row>
    <row r="3021" spans="1:15" ht="18.75" hidden="1" customHeight="1" thickBot="1" x14ac:dyDescent="0.3">
      <c r="A3021" s="3" t="s">
        <v>11</v>
      </c>
      <c r="B3021" s="4">
        <v>212866</v>
      </c>
      <c r="C3021" s="3" t="s">
        <v>22</v>
      </c>
      <c r="D3021" s="7">
        <v>7.0000000000000007E-2</v>
      </c>
      <c r="E3021" s="7">
        <f t="shared" si="303"/>
        <v>5.8333333333333336E-3</v>
      </c>
      <c r="F3021" s="5">
        <v>44973</v>
      </c>
      <c r="G3021" s="5">
        <v>2958465</v>
      </c>
      <c r="H3021" s="8">
        <f t="shared" si="304"/>
        <v>2913492</v>
      </c>
      <c r="I3021" s="5">
        <v>2958465</v>
      </c>
      <c r="J3021" s="5">
        <v>44978</v>
      </c>
      <c r="K3021" s="8">
        <f t="shared" si="305"/>
        <v>5</v>
      </c>
      <c r="L3021" s="6">
        <v>534.35</v>
      </c>
      <c r="M3021" s="9">
        <f t="shared" si="302"/>
        <v>3.1170416666666672</v>
      </c>
      <c r="N3021" s="6">
        <v>534.35</v>
      </c>
      <c r="O3021" s="6">
        <v>0</v>
      </c>
    </row>
    <row r="3022" spans="1:15" ht="18.75" hidden="1" customHeight="1" thickBot="1" x14ac:dyDescent="0.3">
      <c r="A3022" s="3" t="s">
        <v>11</v>
      </c>
      <c r="B3022" s="4">
        <v>735477</v>
      </c>
      <c r="C3022" s="3" t="s">
        <v>15</v>
      </c>
      <c r="D3022" s="7">
        <v>0.124</v>
      </c>
      <c r="E3022" s="7">
        <f t="shared" si="303"/>
        <v>1.0333333333333333E-2</v>
      </c>
      <c r="F3022" s="5">
        <v>44504</v>
      </c>
      <c r="G3022" s="5">
        <v>2958465</v>
      </c>
      <c r="H3022" s="8">
        <f t="shared" si="304"/>
        <v>2913961</v>
      </c>
      <c r="I3022" s="5">
        <v>2958465</v>
      </c>
      <c r="J3022" s="5">
        <v>44505</v>
      </c>
      <c r="K3022" s="8">
        <f t="shared" si="305"/>
        <v>1</v>
      </c>
      <c r="L3022" s="6">
        <v>1669.35</v>
      </c>
      <c r="M3022" s="9">
        <f t="shared" si="302"/>
        <v>17.249949999999998</v>
      </c>
      <c r="N3022" s="6">
        <v>1669.35</v>
      </c>
      <c r="O3022" s="6">
        <v>1664.05</v>
      </c>
    </row>
    <row r="3023" spans="1:15" ht="18.75" hidden="1" customHeight="1" thickBot="1" x14ac:dyDescent="0.3">
      <c r="A3023" s="3" t="s">
        <v>11</v>
      </c>
      <c r="B3023" s="4">
        <v>347074</v>
      </c>
      <c r="C3023" s="3" t="s">
        <v>15</v>
      </c>
      <c r="D3023" s="7">
        <v>0.1515</v>
      </c>
      <c r="E3023" s="7">
        <f t="shared" si="303"/>
        <v>1.2624999999999999E-2</v>
      </c>
      <c r="F3023" s="5">
        <v>44529</v>
      </c>
      <c r="G3023" s="5">
        <v>2958465</v>
      </c>
      <c r="H3023" s="8">
        <f t="shared" si="304"/>
        <v>2913936</v>
      </c>
      <c r="I3023" s="5">
        <v>2958465</v>
      </c>
      <c r="J3023" s="5">
        <v>44530</v>
      </c>
      <c r="K3023" s="8">
        <f t="shared" si="305"/>
        <v>1</v>
      </c>
      <c r="L3023" s="6">
        <v>412.51</v>
      </c>
      <c r="M3023" s="9">
        <f t="shared" si="302"/>
        <v>5.2079387499999994</v>
      </c>
      <c r="N3023" s="6">
        <v>412.51</v>
      </c>
      <c r="O3023" s="6">
        <v>0</v>
      </c>
    </row>
    <row r="3024" spans="1:15" ht="18.75" hidden="1" customHeight="1" thickBot="1" x14ac:dyDescent="0.3">
      <c r="A3024" s="3" t="s">
        <v>11</v>
      </c>
      <c r="B3024" s="4">
        <v>967792</v>
      </c>
      <c r="C3024" s="3" t="s">
        <v>15</v>
      </c>
      <c r="D3024" s="7">
        <v>0.1515</v>
      </c>
      <c r="E3024" s="7">
        <f t="shared" si="303"/>
        <v>1.2624999999999999E-2</v>
      </c>
      <c r="F3024" s="5">
        <v>44504</v>
      </c>
      <c r="G3024" s="5">
        <v>2958465</v>
      </c>
      <c r="H3024" s="8">
        <f t="shared" si="304"/>
        <v>2913961</v>
      </c>
      <c r="I3024" s="5">
        <v>2958465</v>
      </c>
      <c r="J3024" s="5">
        <v>44505</v>
      </c>
      <c r="K3024" s="8">
        <f t="shared" si="305"/>
        <v>1</v>
      </c>
      <c r="L3024" s="6">
        <v>1572.72</v>
      </c>
      <c r="M3024" s="9">
        <f t="shared" si="302"/>
        <v>19.855589999999999</v>
      </c>
      <c r="N3024" s="6">
        <v>1572.72</v>
      </c>
      <c r="O3024" s="6">
        <v>0</v>
      </c>
    </row>
    <row r="3025" spans="1:15" ht="18.75" hidden="1" customHeight="1" thickBot="1" x14ac:dyDescent="0.3">
      <c r="A3025" s="3" t="s">
        <v>11</v>
      </c>
      <c r="B3025" s="4">
        <v>235862</v>
      </c>
      <c r="C3025" s="3" t="s">
        <v>22</v>
      </c>
      <c r="D3025" s="7">
        <v>6.7500000000000004E-2</v>
      </c>
      <c r="E3025" s="7">
        <f t="shared" si="303"/>
        <v>5.6250000000000007E-3</v>
      </c>
      <c r="F3025" s="5">
        <v>45308</v>
      </c>
      <c r="G3025" s="5">
        <v>2958465</v>
      </c>
      <c r="H3025" s="8">
        <f t="shared" si="304"/>
        <v>2913157</v>
      </c>
      <c r="I3025" s="5">
        <v>2958465</v>
      </c>
      <c r="J3025" s="5">
        <v>45310</v>
      </c>
      <c r="K3025" s="8">
        <f t="shared" si="305"/>
        <v>2</v>
      </c>
      <c r="L3025" s="6">
        <v>129.12</v>
      </c>
      <c r="M3025" s="9">
        <f t="shared" si="302"/>
        <v>0.72630000000000006</v>
      </c>
      <c r="N3025" s="6">
        <v>129.12</v>
      </c>
      <c r="O3025" s="6">
        <v>0</v>
      </c>
    </row>
    <row r="3026" spans="1:15" ht="18.75" hidden="1" customHeight="1" thickBot="1" x14ac:dyDescent="0.3">
      <c r="A3026" s="3" t="s">
        <v>11</v>
      </c>
      <c r="B3026" s="4">
        <v>894897</v>
      </c>
      <c r="C3026" s="3" t="s">
        <v>22</v>
      </c>
      <c r="D3026" s="7">
        <v>6.7500000000000004E-2</v>
      </c>
      <c r="E3026" s="7">
        <f t="shared" si="303"/>
        <v>5.6250000000000007E-3</v>
      </c>
      <c r="F3026" s="5">
        <v>45567</v>
      </c>
      <c r="G3026" s="5">
        <v>2958465</v>
      </c>
      <c r="H3026" s="8">
        <f t="shared" si="304"/>
        <v>2912898</v>
      </c>
      <c r="I3026" s="5">
        <v>2958465</v>
      </c>
      <c r="J3026" s="5">
        <v>45569</v>
      </c>
      <c r="K3026" s="8">
        <f t="shared" si="305"/>
        <v>2</v>
      </c>
      <c r="L3026" s="6">
        <v>1318.49</v>
      </c>
      <c r="M3026" s="9">
        <f t="shared" si="302"/>
        <v>7.4165062500000012</v>
      </c>
      <c r="N3026" s="6">
        <v>1318.49</v>
      </c>
      <c r="O3026" s="6">
        <v>185.38</v>
      </c>
    </row>
    <row r="3027" spans="1:15" ht="18.75" hidden="1" customHeight="1" thickBot="1" x14ac:dyDescent="0.3">
      <c r="A3027" s="3" t="s">
        <v>11</v>
      </c>
      <c r="B3027" s="4">
        <v>109060</v>
      </c>
      <c r="C3027" s="3" t="s">
        <v>22</v>
      </c>
      <c r="D3027" s="7">
        <v>6.7500000000000004E-2</v>
      </c>
      <c r="E3027" s="7">
        <f t="shared" si="303"/>
        <v>5.6250000000000007E-3</v>
      </c>
      <c r="F3027" s="5">
        <v>45511</v>
      </c>
      <c r="G3027" s="5">
        <v>2958465</v>
      </c>
      <c r="H3027" s="8">
        <f t="shared" si="304"/>
        <v>2912954</v>
      </c>
      <c r="I3027" s="5">
        <v>2958465</v>
      </c>
      <c r="J3027" s="5">
        <v>45512</v>
      </c>
      <c r="K3027" s="8">
        <f t="shared" si="305"/>
        <v>1</v>
      </c>
      <c r="L3027" s="6">
        <v>955.1</v>
      </c>
      <c r="M3027" s="9">
        <f t="shared" si="302"/>
        <v>5.3724375000000011</v>
      </c>
      <c r="N3027" s="6">
        <v>955.1</v>
      </c>
      <c r="O3027" s="6">
        <v>0</v>
      </c>
    </row>
    <row r="3028" spans="1:15" ht="18.75" hidden="1" customHeight="1" thickBot="1" x14ac:dyDescent="0.3">
      <c r="A3028" s="3" t="s">
        <v>11</v>
      </c>
      <c r="B3028" s="4">
        <v>218588</v>
      </c>
      <c r="C3028" s="3" t="s">
        <v>15</v>
      </c>
      <c r="D3028" s="7">
        <v>0.1515</v>
      </c>
      <c r="E3028" s="7">
        <f t="shared" si="303"/>
        <v>1.2624999999999999E-2</v>
      </c>
      <c r="F3028" s="5">
        <v>44529</v>
      </c>
      <c r="G3028" s="5">
        <v>2958465</v>
      </c>
      <c r="H3028" s="8">
        <f t="shared" si="304"/>
        <v>2913936</v>
      </c>
      <c r="I3028" s="5">
        <v>2958465</v>
      </c>
      <c r="J3028" s="5">
        <v>44530</v>
      </c>
      <c r="K3028" s="8">
        <f t="shared" si="305"/>
        <v>1</v>
      </c>
      <c r="L3028" s="6">
        <v>427.93</v>
      </c>
      <c r="M3028" s="9">
        <f t="shared" si="302"/>
        <v>5.4026162499999995</v>
      </c>
      <c r="N3028" s="6">
        <v>427.93</v>
      </c>
      <c r="O3028" s="6">
        <v>0</v>
      </c>
    </row>
    <row r="3029" spans="1:15" ht="18.75" hidden="1" customHeight="1" thickBot="1" x14ac:dyDescent="0.3">
      <c r="A3029" s="3" t="s">
        <v>11</v>
      </c>
      <c r="B3029" s="4">
        <v>238267</v>
      </c>
      <c r="C3029" s="3" t="s">
        <v>15</v>
      </c>
      <c r="D3029" s="7">
        <v>0.1515</v>
      </c>
      <c r="E3029" s="7">
        <f t="shared" si="303"/>
        <v>1.2624999999999999E-2</v>
      </c>
      <c r="F3029" s="5">
        <v>44551</v>
      </c>
      <c r="G3029" s="5">
        <v>2958465</v>
      </c>
      <c r="H3029" s="8">
        <f t="shared" si="304"/>
        <v>2913914</v>
      </c>
      <c r="I3029" s="5">
        <v>2958465</v>
      </c>
      <c r="J3029" s="5">
        <v>44557</v>
      </c>
      <c r="K3029" s="8">
        <f t="shared" si="305"/>
        <v>6</v>
      </c>
      <c r="L3029" s="6">
        <v>636.79999999999995</v>
      </c>
      <c r="M3029" s="9">
        <f t="shared" si="302"/>
        <v>8.0395999999999983</v>
      </c>
      <c r="N3029" s="6">
        <v>636.79999999999995</v>
      </c>
      <c r="O3029" s="6">
        <v>250</v>
      </c>
    </row>
    <row r="3030" spans="1:15" ht="18.75" hidden="1" customHeight="1" thickBot="1" x14ac:dyDescent="0.3">
      <c r="A3030" s="3" t="s">
        <v>11</v>
      </c>
      <c r="B3030" s="4">
        <v>875087</v>
      </c>
      <c r="C3030" s="3" t="s">
        <v>22</v>
      </c>
      <c r="D3030" s="7">
        <v>8.5000000000000006E-2</v>
      </c>
      <c r="E3030" s="7">
        <f t="shared" si="303"/>
        <v>7.0833333333333338E-3</v>
      </c>
      <c r="F3030" s="5">
        <v>45058</v>
      </c>
      <c r="G3030" s="5">
        <v>2958465</v>
      </c>
      <c r="H3030" s="8">
        <f t="shared" si="304"/>
        <v>2913407</v>
      </c>
      <c r="I3030" s="5">
        <v>2958465</v>
      </c>
      <c r="J3030" s="5">
        <v>45061</v>
      </c>
      <c r="K3030" s="8">
        <f t="shared" si="305"/>
        <v>3</v>
      </c>
      <c r="L3030" s="6">
        <v>334</v>
      </c>
      <c r="M3030" s="9">
        <f t="shared" si="302"/>
        <v>2.3658333333333337</v>
      </c>
      <c r="N3030" s="6">
        <v>334</v>
      </c>
      <c r="O3030" s="6">
        <v>334</v>
      </c>
    </row>
    <row r="3031" spans="1:15" ht="18.75" hidden="1" customHeight="1" thickBot="1" x14ac:dyDescent="0.3">
      <c r="A3031" s="3" t="s">
        <v>11</v>
      </c>
      <c r="B3031" s="4">
        <v>668845</v>
      </c>
      <c r="C3031" s="3" t="s">
        <v>22</v>
      </c>
      <c r="D3031" s="7">
        <v>6.7500000000000004E-2</v>
      </c>
      <c r="E3031" s="7">
        <f t="shared" si="303"/>
        <v>5.6250000000000007E-3</v>
      </c>
      <c r="F3031" s="5">
        <v>45541</v>
      </c>
      <c r="G3031" s="5">
        <v>2958465</v>
      </c>
      <c r="H3031" s="8">
        <f t="shared" si="304"/>
        <v>2912924</v>
      </c>
      <c r="I3031" s="5">
        <v>2958465</v>
      </c>
      <c r="J3031" s="5">
        <v>45544</v>
      </c>
      <c r="K3031" s="8">
        <f t="shared" si="305"/>
        <v>3</v>
      </c>
      <c r="L3031" s="6">
        <v>272.63</v>
      </c>
      <c r="M3031" s="9">
        <f t="shared" si="302"/>
        <v>1.5335437500000002</v>
      </c>
      <c r="N3031" s="6">
        <v>272.63</v>
      </c>
      <c r="O3031" s="6">
        <v>0</v>
      </c>
    </row>
    <row r="3032" spans="1:15" ht="18.75" hidden="1" customHeight="1" thickBot="1" x14ac:dyDescent="0.3">
      <c r="A3032" s="3" t="s">
        <v>11</v>
      </c>
      <c r="B3032" s="4">
        <v>528736</v>
      </c>
      <c r="C3032" s="3" t="s">
        <v>22</v>
      </c>
      <c r="D3032" s="7">
        <v>7.7499999999999999E-2</v>
      </c>
      <c r="E3032" s="7">
        <f t="shared" si="303"/>
        <v>6.4583333333333333E-3</v>
      </c>
      <c r="F3032" s="5">
        <v>44907</v>
      </c>
      <c r="G3032" s="5">
        <v>2958465</v>
      </c>
      <c r="H3032" s="8">
        <f t="shared" si="304"/>
        <v>2913558</v>
      </c>
      <c r="I3032" s="5">
        <v>2958465</v>
      </c>
      <c r="J3032" s="5">
        <v>44908</v>
      </c>
      <c r="K3032" s="8">
        <f t="shared" si="305"/>
        <v>1</v>
      </c>
      <c r="L3032" s="6">
        <v>370.45</v>
      </c>
      <c r="M3032" s="9">
        <f t="shared" si="302"/>
        <v>2.3924895833333331</v>
      </c>
      <c r="N3032" s="6">
        <v>370.45</v>
      </c>
      <c r="O3032" s="6">
        <v>0</v>
      </c>
    </row>
    <row r="3033" spans="1:15" ht="18.75" hidden="1" customHeight="1" thickBot="1" x14ac:dyDescent="0.3">
      <c r="A3033" s="3" t="s">
        <v>11</v>
      </c>
      <c r="B3033" s="4">
        <v>641438</v>
      </c>
      <c r="C3033" s="3" t="s">
        <v>22</v>
      </c>
      <c r="D3033" s="7">
        <v>7.2499999999999995E-2</v>
      </c>
      <c r="E3033" s="7">
        <f t="shared" si="303"/>
        <v>6.0416666666666665E-3</v>
      </c>
      <c r="F3033" s="5">
        <v>45699</v>
      </c>
      <c r="G3033" s="5">
        <v>2958465</v>
      </c>
      <c r="H3033" s="8">
        <f t="shared" si="304"/>
        <v>2912766</v>
      </c>
      <c r="I3033" s="5">
        <v>2958465</v>
      </c>
      <c r="J3033" s="5">
        <v>45700</v>
      </c>
      <c r="K3033" s="8">
        <f t="shared" si="305"/>
        <v>1</v>
      </c>
      <c r="L3033" s="6">
        <v>561.71</v>
      </c>
      <c r="M3033" s="9">
        <f t="shared" si="302"/>
        <v>3.3936645833333334</v>
      </c>
      <c r="N3033" s="6">
        <v>561.71</v>
      </c>
      <c r="O3033" s="6">
        <v>0</v>
      </c>
    </row>
    <row r="3034" spans="1:15" ht="18.75" hidden="1" customHeight="1" thickBot="1" x14ac:dyDescent="0.3">
      <c r="A3034" s="3" t="s">
        <v>11</v>
      </c>
      <c r="B3034" s="4">
        <v>531113</v>
      </c>
      <c r="C3034" s="3" t="s">
        <v>15</v>
      </c>
      <c r="D3034" s="7">
        <v>0.1515</v>
      </c>
      <c r="E3034" s="7">
        <f t="shared" si="303"/>
        <v>1.2624999999999999E-2</v>
      </c>
      <c r="F3034" s="5">
        <v>44529</v>
      </c>
      <c r="G3034" s="5">
        <v>2958465</v>
      </c>
      <c r="H3034" s="8">
        <f t="shared" si="304"/>
        <v>2913936</v>
      </c>
      <c r="I3034" s="5">
        <v>2958465</v>
      </c>
      <c r="J3034" s="5">
        <v>44530</v>
      </c>
      <c r="K3034" s="8">
        <f t="shared" si="305"/>
        <v>1</v>
      </c>
      <c r="L3034" s="6">
        <v>2657.17</v>
      </c>
      <c r="M3034" s="9">
        <f t="shared" si="302"/>
        <v>33.546771249999999</v>
      </c>
      <c r="N3034" s="6">
        <v>2657.17</v>
      </c>
      <c r="O3034" s="6">
        <v>460</v>
      </c>
    </row>
    <row r="3035" spans="1:15" ht="18.75" hidden="1" customHeight="1" thickBot="1" x14ac:dyDescent="0.3">
      <c r="A3035" s="3" t="s">
        <v>11</v>
      </c>
      <c r="B3035" s="4">
        <v>878592</v>
      </c>
      <c r="C3035" s="3" t="s">
        <v>15</v>
      </c>
      <c r="D3035" s="7">
        <v>0.1515</v>
      </c>
      <c r="E3035" s="7">
        <f t="shared" si="303"/>
        <v>1.2624999999999999E-2</v>
      </c>
      <c r="F3035" s="5">
        <v>44643</v>
      </c>
      <c r="G3035" s="5">
        <v>2958465</v>
      </c>
      <c r="H3035" s="8">
        <f t="shared" si="304"/>
        <v>2913822</v>
      </c>
      <c r="I3035" s="5">
        <v>2958465</v>
      </c>
      <c r="J3035" s="5">
        <v>44644</v>
      </c>
      <c r="K3035" s="8">
        <f t="shared" si="305"/>
        <v>1</v>
      </c>
      <c r="L3035" s="6">
        <v>452</v>
      </c>
      <c r="M3035" s="9">
        <f t="shared" si="302"/>
        <v>5.7064999999999992</v>
      </c>
      <c r="N3035" s="6">
        <v>451.36</v>
      </c>
      <c r="O3035" s="6">
        <v>451.36</v>
      </c>
    </row>
    <row r="3036" spans="1:15" ht="18.75" hidden="1" customHeight="1" thickBot="1" x14ac:dyDescent="0.3">
      <c r="A3036" s="3" t="s">
        <v>11</v>
      </c>
      <c r="B3036" s="4">
        <v>652992</v>
      </c>
      <c r="C3036" s="3" t="s">
        <v>15</v>
      </c>
      <c r="D3036" s="7">
        <v>0.115</v>
      </c>
      <c r="E3036" s="7">
        <f t="shared" si="303"/>
        <v>9.5833333333333343E-3</v>
      </c>
      <c r="F3036" s="5">
        <v>44603</v>
      </c>
      <c r="G3036" s="5">
        <v>2958465</v>
      </c>
      <c r="H3036" s="8">
        <f t="shared" si="304"/>
        <v>2913862</v>
      </c>
      <c r="I3036" s="5">
        <v>2958465</v>
      </c>
      <c r="J3036" s="5">
        <v>44606</v>
      </c>
      <c r="K3036" s="8">
        <f t="shared" si="305"/>
        <v>3</v>
      </c>
      <c r="L3036" s="6">
        <v>3262.97</v>
      </c>
      <c r="M3036" s="9">
        <f t="shared" si="302"/>
        <v>31.270129166666667</v>
      </c>
      <c r="N3036" s="6">
        <v>3262.97</v>
      </c>
      <c r="O3036" s="6">
        <v>1.31</v>
      </c>
    </row>
    <row r="3037" spans="1:15" ht="18.75" hidden="1" customHeight="1" thickBot="1" x14ac:dyDescent="0.3">
      <c r="A3037" s="3" t="s">
        <v>11</v>
      </c>
      <c r="B3037" s="4">
        <v>664738</v>
      </c>
      <c r="C3037" s="3" t="s">
        <v>22</v>
      </c>
      <c r="D3037" s="7">
        <v>7.2499999999999995E-2</v>
      </c>
      <c r="E3037" s="7">
        <f t="shared" si="303"/>
        <v>6.0416666666666665E-3</v>
      </c>
      <c r="F3037" s="5">
        <v>45723</v>
      </c>
      <c r="G3037" s="5">
        <v>2958465</v>
      </c>
      <c r="H3037" s="8">
        <f t="shared" si="304"/>
        <v>2912742</v>
      </c>
      <c r="I3037" s="5">
        <v>2958465</v>
      </c>
      <c r="J3037" s="5">
        <v>45726</v>
      </c>
      <c r="K3037" s="8">
        <f t="shared" si="305"/>
        <v>3</v>
      </c>
      <c r="L3037" s="6">
        <v>560.47</v>
      </c>
      <c r="M3037" s="9">
        <f t="shared" si="302"/>
        <v>3.3861729166666668</v>
      </c>
      <c r="N3037" s="6">
        <v>560.47</v>
      </c>
      <c r="O3037" s="6">
        <v>0</v>
      </c>
    </row>
    <row r="3038" spans="1:15" ht="18.75" hidden="1" customHeight="1" thickBot="1" x14ac:dyDescent="0.3">
      <c r="A3038" s="3" t="s">
        <v>11</v>
      </c>
      <c r="B3038" s="4">
        <v>232635</v>
      </c>
      <c r="C3038" s="3" t="s">
        <v>15</v>
      </c>
      <c r="D3038" s="7">
        <v>0.115</v>
      </c>
      <c r="E3038" s="7">
        <f t="shared" si="303"/>
        <v>9.5833333333333343E-3</v>
      </c>
      <c r="F3038" s="5">
        <v>44610</v>
      </c>
      <c r="G3038" s="5">
        <v>2958465</v>
      </c>
      <c r="H3038" s="8">
        <f t="shared" si="304"/>
        <v>2913855</v>
      </c>
      <c r="I3038" s="5">
        <v>2958465</v>
      </c>
      <c r="J3038" s="5">
        <v>44614</v>
      </c>
      <c r="K3038" s="8">
        <f t="shared" si="305"/>
        <v>4</v>
      </c>
      <c r="L3038" s="6">
        <v>429.31</v>
      </c>
      <c r="M3038" s="9">
        <f t="shared" si="302"/>
        <v>4.1142208333333334</v>
      </c>
      <c r="N3038" s="6">
        <v>429.31</v>
      </c>
      <c r="O3038" s="6">
        <v>0</v>
      </c>
    </row>
    <row r="3039" spans="1:15" ht="18.75" hidden="1" customHeight="1" thickBot="1" x14ac:dyDescent="0.3">
      <c r="A3039" s="3" t="s">
        <v>11</v>
      </c>
      <c r="B3039" s="4">
        <v>63026</v>
      </c>
      <c r="C3039" s="3" t="s">
        <v>22</v>
      </c>
      <c r="D3039" s="7">
        <v>7.4999999999999997E-2</v>
      </c>
      <c r="E3039" s="7">
        <f t="shared" si="303"/>
        <v>6.2499999999999995E-3</v>
      </c>
      <c r="F3039" s="5">
        <v>45418</v>
      </c>
      <c r="G3039" s="5">
        <v>2958465</v>
      </c>
      <c r="H3039" s="8">
        <f t="shared" si="304"/>
        <v>2913047</v>
      </c>
      <c r="I3039" s="5">
        <v>2958465</v>
      </c>
      <c r="J3039" s="5">
        <v>45419</v>
      </c>
      <c r="K3039" s="8">
        <f t="shared" si="305"/>
        <v>1</v>
      </c>
      <c r="L3039" s="6">
        <v>630.88</v>
      </c>
      <c r="M3039" s="9">
        <f t="shared" si="302"/>
        <v>3.9429999999999996</v>
      </c>
      <c r="N3039" s="6">
        <v>630.88</v>
      </c>
      <c r="O3039" s="6">
        <v>630.88</v>
      </c>
    </row>
    <row r="3040" spans="1:15" ht="18.75" hidden="1" customHeight="1" thickBot="1" x14ac:dyDescent="0.3">
      <c r="A3040" s="3" t="s">
        <v>11</v>
      </c>
      <c r="B3040" s="4">
        <v>857514</v>
      </c>
      <c r="C3040" s="3" t="s">
        <v>22</v>
      </c>
      <c r="D3040" s="7">
        <v>7.2499999999999995E-2</v>
      </c>
      <c r="E3040" s="7">
        <f t="shared" si="303"/>
        <v>6.0416666666666665E-3</v>
      </c>
      <c r="F3040" s="5">
        <v>44935</v>
      </c>
      <c r="G3040" s="5">
        <v>2958465</v>
      </c>
      <c r="H3040" s="8">
        <f t="shared" si="304"/>
        <v>2913530</v>
      </c>
      <c r="I3040" s="5">
        <v>2958465</v>
      </c>
      <c r="J3040" s="5">
        <v>44936</v>
      </c>
      <c r="K3040" s="8">
        <f t="shared" si="305"/>
        <v>1</v>
      </c>
      <c r="L3040" s="6">
        <v>625.87</v>
      </c>
      <c r="M3040" s="9">
        <f t="shared" si="302"/>
        <v>3.7812979166666665</v>
      </c>
      <c r="N3040" s="6">
        <v>625.87</v>
      </c>
      <c r="O3040" s="6">
        <v>2.67</v>
      </c>
    </row>
    <row r="3041" spans="1:15" ht="18.75" hidden="1" customHeight="1" thickBot="1" x14ac:dyDescent="0.3">
      <c r="A3041" s="3" t="s">
        <v>11</v>
      </c>
      <c r="B3041" s="4">
        <v>488756</v>
      </c>
      <c r="C3041" s="3" t="s">
        <v>22</v>
      </c>
      <c r="D3041" s="7">
        <v>6.7500000000000004E-2</v>
      </c>
      <c r="E3041" s="7">
        <f t="shared" si="303"/>
        <v>5.6250000000000007E-3</v>
      </c>
      <c r="F3041" s="5">
        <v>45425</v>
      </c>
      <c r="G3041" s="5">
        <v>2958465</v>
      </c>
      <c r="H3041" s="8">
        <f t="shared" si="304"/>
        <v>2913040</v>
      </c>
      <c r="I3041" s="5">
        <v>2958465</v>
      </c>
      <c r="J3041" s="5">
        <v>45426</v>
      </c>
      <c r="K3041" s="8">
        <f t="shared" si="305"/>
        <v>1</v>
      </c>
      <c r="L3041" s="6">
        <v>2169.9</v>
      </c>
      <c r="M3041" s="9">
        <f t="shared" si="302"/>
        <v>12.205687500000002</v>
      </c>
      <c r="N3041" s="6">
        <v>2169.9</v>
      </c>
      <c r="O3041" s="6">
        <v>0</v>
      </c>
    </row>
    <row r="3042" spans="1:15" ht="18.75" hidden="1" customHeight="1" thickBot="1" x14ac:dyDescent="0.3">
      <c r="A3042" s="3" t="s">
        <v>11</v>
      </c>
      <c r="B3042" s="4">
        <v>702244</v>
      </c>
      <c r="C3042" s="3" t="s">
        <v>22</v>
      </c>
      <c r="D3042" s="7">
        <v>7.7499999999999999E-2</v>
      </c>
      <c r="E3042" s="7">
        <f t="shared" si="303"/>
        <v>6.4583333333333333E-3</v>
      </c>
      <c r="F3042" s="5">
        <v>45642</v>
      </c>
      <c r="G3042" s="5">
        <v>2958465</v>
      </c>
      <c r="H3042" s="8">
        <f t="shared" si="304"/>
        <v>2912823</v>
      </c>
      <c r="I3042" s="5">
        <v>2958465</v>
      </c>
      <c r="J3042" s="5">
        <v>45643</v>
      </c>
      <c r="K3042" s="8">
        <f t="shared" si="305"/>
        <v>1</v>
      </c>
      <c r="L3042" s="6">
        <v>2007.08</v>
      </c>
      <c r="M3042" s="9">
        <f t="shared" si="302"/>
        <v>12.962391666666667</v>
      </c>
      <c r="N3042" s="6">
        <v>2007.08</v>
      </c>
      <c r="O3042" s="6">
        <v>2007.08</v>
      </c>
    </row>
    <row r="3043" spans="1:15" ht="18.75" hidden="1" customHeight="1" thickBot="1" x14ac:dyDescent="0.3">
      <c r="A3043" s="3" t="s">
        <v>11</v>
      </c>
      <c r="B3043" s="4">
        <v>958433</v>
      </c>
      <c r="C3043" s="3" t="s">
        <v>22</v>
      </c>
      <c r="D3043" s="7">
        <v>0.11</v>
      </c>
      <c r="E3043" s="7">
        <f t="shared" si="303"/>
        <v>9.1666666666666667E-3</v>
      </c>
      <c r="F3043" s="5">
        <v>44810</v>
      </c>
      <c r="G3043" s="5">
        <v>2958465</v>
      </c>
      <c r="H3043" s="8">
        <f t="shared" si="304"/>
        <v>2913655</v>
      </c>
      <c r="I3043" s="5">
        <v>2958465</v>
      </c>
      <c r="J3043" s="5">
        <v>44811</v>
      </c>
      <c r="K3043" s="8">
        <f t="shared" si="305"/>
        <v>1</v>
      </c>
      <c r="L3043" s="6">
        <v>533.64</v>
      </c>
      <c r="M3043" s="9">
        <f t="shared" si="302"/>
        <v>4.8917000000000002</v>
      </c>
      <c r="N3043" s="6">
        <v>533.64</v>
      </c>
      <c r="O3043" s="6">
        <v>533.64</v>
      </c>
    </row>
    <row r="3044" spans="1:15" ht="18.75" hidden="1" customHeight="1" thickBot="1" x14ac:dyDescent="0.3">
      <c r="A3044" s="3" t="s">
        <v>11</v>
      </c>
      <c r="B3044" s="4">
        <v>62867</v>
      </c>
      <c r="C3044" s="3" t="s">
        <v>22</v>
      </c>
      <c r="D3044" s="7">
        <v>7.0000000000000007E-2</v>
      </c>
      <c r="E3044" s="7">
        <f t="shared" si="303"/>
        <v>5.8333333333333336E-3</v>
      </c>
      <c r="F3044" s="5">
        <v>45617</v>
      </c>
      <c r="G3044" s="5">
        <v>2958465</v>
      </c>
      <c r="H3044" s="8">
        <f t="shared" si="304"/>
        <v>2912848</v>
      </c>
      <c r="I3044" s="5">
        <v>2958465</v>
      </c>
      <c r="J3044" s="5">
        <v>45618</v>
      </c>
      <c r="K3044" s="8">
        <f t="shared" si="305"/>
        <v>1</v>
      </c>
      <c r="L3044" s="6">
        <v>589.96</v>
      </c>
      <c r="M3044" s="9">
        <f t="shared" si="302"/>
        <v>3.4414333333333338</v>
      </c>
      <c r="N3044" s="6">
        <v>589.96</v>
      </c>
      <c r="O3044" s="6">
        <v>0</v>
      </c>
    </row>
    <row r="3045" spans="1:15" ht="18.75" hidden="1" customHeight="1" thickBot="1" x14ac:dyDescent="0.3">
      <c r="A3045" s="3" t="s">
        <v>11</v>
      </c>
      <c r="B3045" s="4">
        <v>446738</v>
      </c>
      <c r="C3045" s="3" t="s">
        <v>15</v>
      </c>
      <c r="D3045" s="7">
        <v>0.1</v>
      </c>
      <c r="E3045" s="7">
        <f t="shared" si="303"/>
        <v>8.3333333333333332E-3</v>
      </c>
      <c r="F3045" s="5">
        <v>44753</v>
      </c>
      <c r="G3045" s="5">
        <v>2958465</v>
      </c>
      <c r="H3045" s="8">
        <f t="shared" si="304"/>
        <v>2913712</v>
      </c>
      <c r="I3045" s="5">
        <v>2958465</v>
      </c>
      <c r="J3045" s="5">
        <v>44754</v>
      </c>
      <c r="K3045" s="8">
        <f t="shared" si="305"/>
        <v>1</v>
      </c>
      <c r="L3045" s="6">
        <v>798.28</v>
      </c>
      <c r="M3045" s="9">
        <f t="shared" si="302"/>
        <v>6.652333333333333</v>
      </c>
      <c r="N3045" s="6">
        <v>798.28</v>
      </c>
      <c r="O3045" s="6">
        <v>0</v>
      </c>
    </row>
    <row r="3046" spans="1:15" ht="18.75" hidden="1" customHeight="1" thickBot="1" x14ac:dyDescent="0.3">
      <c r="A3046" s="3" t="s">
        <v>11</v>
      </c>
      <c r="B3046" s="4">
        <v>699288</v>
      </c>
      <c r="C3046" s="3" t="s">
        <v>22</v>
      </c>
      <c r="D3046" s="7">
        <v>6.7500000000000004E-2</v>
      </c>
      <c r="E3046" s="7">
        <f t="shared" si="303"/>
        <v>5.6250000000000007E-3</v>
      </c>
      <c r="F3046" s="5">
        <v>45026</v>
      </c>
      <c r="G3046" s="5">
        <v>2958465</v>
      </c>
      <c r="H3046" s="8">
        <f t="shared" si="304"/>
        <v>2913439</v>
      </c>
      <c r="I3046" s="5">
        <v>2958465</v>
      </c>
      <c r="J3046" s="5">
        <v>45027</v>
      </c>
      <c r="K3046" s="8">
        <f t="shared" si="305"/>
        <v>1</v>
      </c>
      <c r="L3046" s="6">
        <v>2043.72</v>
      </c>
      <c r="M3046" s="9">
        <f t="shared" si="302"/>
        <v>11.495925000000002</v>
      </c>
      <c r="N3046" s="6">
        <v>2043.72</v>
      </c>
      <c r="O3046" s="6">
        <v>0</v>
      </c>
    </row>
    <row r="3047" spans="1:15" ht="18.75" hidden="1" customHeight="1" thickBot="1" x14ac:dyDescent="0.3">
      <c r="A3047" s="3" t="s">
        <v>11</v>
      </c>
      <c r="B3047" s="4">
        <v>565813</v>
      </c>
      <c r="C3047" s="3" t="s">
        <v>22</v>
      </c>
      <c r="D3047" s="7">
        <v>8.5000000000000006E-2</v>
      </c>
      <c r="E3047" s="7">
        <f t="shared" si="303"/>
        <v>7.0833333333333338E-3</v>
      </c>
      <c r="F3047" s="5">
        <v>44848</v>
      </c>
      <c r="G3047" s="5">
        <v>2958465</v>
      </c>
      <c r="H3047" s="8">
        <f t="shared" si="304"/>
        <v>2913617</v>
      </c>
      <c r="I3047" s="5">
        <v>2958465</v>
      </c>
      <c r="J3047" s="5">
        <v>44883</v>
      </c>
      <c r="K3047" s="8">
        <f t="shared" si="305"/>
        <v>35</v>
      </c>
      <c r="L3047" s="6">
        <v>958.39</v>
      </c>
      <c r="M3047" s="9">
        <f t="shared" si="302"/>
        <v>6.7885958333333338</v>
      </c>
      <c r="N3047" s="6">
        <v>958.39</v>
      </c>
      <c r="O3047" s="6">
        <v>0</v>
      </c>
    </row>
    <row r="3048" spans="1:15" ht="18.75" hidden="1" customHeight="1" thickBot="1" x14ac:dyDescent="0.3">
      <c r="A3048" s="3" t="s">
        <v>11</v>
      </c>
      <c r="B3048" s="4">
        <v>696464</v>
      </c>
      <c r="C3048" s="3" t="s">
        <v>22</v>
      </c>
      <c r="D3048" s="7">
        <v>6.7500000000000004E-2</v>
      </c>
      <c r="E3048" s="7">
        <f t="shared" si="303"/>
        <v>5.6250000000000007E-3</v>
      </c>
      <c r="F3048" s="5">
        <v>45362</v>
      </c>
      <c r="G3048" s="5">
        <v>2958465</v>
      </c>
      <c r="H3048" s="8">
        <f t="shared" si="304"/>
        <v>2913103</v>
      </c>
      <c r="I3048" s="5">
        <v>2958465</v>
      </c>
      <c r="J3048" s="5">
        <v>45363</v>
      </c>
      <c r="K3048" s="8">
        <f t="shared" si="305"/>
        <v>1</v>
      </c>
      <c r="L3048" s="6">
        <v>727.85</v>
      </c>
      <c r="M3048" s="9">
        <f t="shared" si="302"/>
        <v>4.0941562500000011</v>
      </c>
      <c r="N3048" s="6">
        <v>727.85</v>
      </c>
      <c r="O3048" s="6">
        <v>0</v>
      </c>
    </row>
    <row r="3049" spans="1:15" ht="18.75" hidden="1" customHeight="1" thickBot="1" x14ac:dyDescent="0.3">
      <c r="A3049" s="3" t="s">
        <v>11</v>
      </c>
      <c r="B3049" s="4">
        <v>852966</v>
      </c>
      <c r="C3049" s="3" t="s">
        <v>22</v>
      </c>
      <c r="D3049" s="7">
        <v>6.7500000000000004E-2</v>
      </c>
      <c r="E3049" s="7">
        <f t="shared" si="303"/>
        <v>5.6250000000000007E-3</v>
      </c>
      <c r="F3049" s="5">
        <v>45209</v>
      </c>
      <c r="G3049" s="5">
        <v>2958465</v>
      </c>
      <c r="H3049" s="8">
        <f t="shared" si="304"/>
        <v>2913256</v>
      </c>
      <c r="I3049" s="5">
        <v>2958465</v>
      </c>
      <c r="J3049" s="5">
        <v>45210</v>
      </c>
      <c r="K3049" s="8">
        <f t="shared" si="305"/>
        <v>1</v>
      </c>
      <c r="L3049" s="6">
        <v>1815.75</v>
      </c>
      <c r="M3049" s="9">
        <f t="shared" si="302"/>
        <v>10.213593750000001</v>
      </c>
      <c r="N3049" s="6">
        <v>1815.75</v>
      </c>
      <c r="O3049" s="6">
        <v>18.64</v>
      </c>
    </row>
    <row r="3050" spans="1:15" ht="18.75" hidden="1" customHeight="1" thickBot="1" x14ac:dyDescent="0.3">
      <c r="A3050" s="3" t="s">
        <v>11</v>
      </c>
      <c r="B3050" s="4">
        <v>468791</v>
      </c>
      <c r="C3050" s="3" t="s">
        <v>15</v>
      </c>
      <c r="D3050" s="7">
        <v>0.1075</v>
      </c>
      <c r="E3050" s="7">
        <f t="shared" si="303"/>
        <v>8.9583333333333338E-3</v>
      </c>
      <c r="F3050" s="5">
        <v>44704</v>
      </c>
      <c r="G3050" s="5">
        <v>2958465</v>
      </c>
      <c r="H3050" s="8">
        <f t="shared" si="304"/>
        <v>2913761</v>
      </c>
      <c r="I3050" s="5">
        <v>2958465</v>
      </c>
      <c r="J3050" s="5">
        <v>44705</v>
      </c>
      <c r="K3050" s="8">
        <f t="shared" si="305"/>
        <v>1</v>
      </c>
      <c r="L3050" s="6">
        <v>2680</v>
      </c>
      <c r="M3050" s="9">
        <f t="shared" si="302"/>
        <v>24.008333333333333</v>
      </c>
      <c r="N3050" s="6">
        <v>2679.98</v>
      </c>
      <c r="O3050" s="6">
        <v>0</v>
      </c>
    </row>
    <row r="3051" spans="1:15" ht="18.75" hidden="1" customHeight="1" thickBot="1" x14ac:dyDescent="0.3">
      <c r="A3051" s="3" t="s">
        <v>11</v>
      </c>
      <c r="B3051" s="4">
        <v>847119</v>
      </c>
      <c r="C3051" s="3" t="s">
        <v>22</v>
      </c>
      <c r="D3051" s="7">
        <v>7.4999999999999997E-2</v>
      </c>
      <c r="E3051" s="7">
        <f t="shared" si="303"/>
        <v>6.2499999999999995E-3</v>
      </c>
      <c r="F3051" s="5">
        <v>45947</v>
      </c>
      <c r="G3051" s="5">
        <v>2958465</v>
      </c>
      <c r="H3051" s="8">
        <f t="shared" si="304"/>
        <v>2912518</v>
      </c>
      <c r="I3051" s="5">
        <v>2958465</v>
      </c>
      <c r="J3051" s="5">
        <v>45950</v>
      </c>
      <c r="K3051" s="8">
        <f t="shared" si="305"/>
        <v>3</v>
      </c>
      <c r="L3051" s="6">
        <v>8692.39</v>
      </c>
      <c r="M3051" s="9">
        <f t="shared" si="302"/>
        <v>54.327437499999995</v>
      </c>
      <c r="N3051" s="6">
        <v>8692.39</v>
      </c>
      <c r="O3051" s="6">
        <v>0</v>
      </c>
    </row>
    <row r="3052" spans="1:15" ht="18.75" hidden="1" customHeight="1" thickBot="1" x14ac:dyDescent="0.3">
      <c r="A3052" s="3" t="s">
        <v>11</v>
      </c>
      <c r="B3052" s="4">
        <v>336310</v>
      </c>
      <c r="C3052" s="3" t="s">
        <v>22</v>
      </c>
      <c r="D3052" s="7">
        <v>8.5000000000000006E-2</v>
      </c>
      <c r="E3052" s="7">
        <f t="shared" si="303"/>
        <v>7.0833333333333338E-3</v>
      </c>
      <c r="F3052" s="5">
        <v>45180</v>
      </c>
      <c r="G3052" s="5">
        <v>2958465</v>
      </c>
      <c r="H3052" s="8">
        <f t="shared" si="304"/>
        <v>2913285</v>
      </c>
      <c r="I3052" s="5">
        <v>2958465</v>
      </c>
      <c r="J3052" s="5">
        <v>45181</v>
      </c>
      <c r="K3052" s="8">
        <f t="shared" si="305"/>
        <v>1</v>
      </c>
      <c r="L3052" s="6">
        <v>112.18</v>
      </c>
      <c r="M3052" s="9">
        <f t="shared" si="302"/>
        <v>0.79460833333333347</v>
      </c>
      <c r="N3052" s="6">
        <v>112.18</v>
      </c>
      <c r="O3052" s="6">
        <v>112.18</v>
      </c>
    </row>
    <row r="3053" spans="1:15" ht="18.75" hidden="1" customHeight="1" thickBot="1" x14ac:dyDescent="0.3">
      <c r="A3053" s="3" t="s">
        <v>11</v>
      </c>
      <c r="B3053" s="4">
        <v>107410</v>
      </c>
      <c r="C3053" s="3" t="s">
        <v>22</v>
      </c>
      <c r="D3053" s="7">
        <v>7.7499999999999999E-2</v>
      </c>
      <c r="E3053" s="7">
        <f t="shared" si="303"/>
        <v>6.4583333333333333E-3</v>
      </c>
      <c r="F3053" s="5">
        <v>44907</v>
      </c>
      <c r="G3053" s="5">
        <v>2958465</v>
      </c>
      <c r="H3053" s="8">
        <f t="shared" si="304"/>
        <v>2913558</v>
      </c>
      <c r="I3053" s="5">
        <v>2958465</v>
      </c>
      <c r="J3053" s="5">
        <v>44908</v>
      </c>
      <c r="K3053" s="8">
        <f t="shared" si="305"/>
        <v>1</v>
      </c>
      <c r="L3053" s="6">
        <v>2053.2800000000002</v>
      </c>
      <c r="M3053" s="9">
        <f t="shared" si="302"/>
        <v>13.260766666666667</v>
      </c>
      <c r="N3053" s="6">
        <v>2053.2800000000002</v>
      </c>
      <c r="O3053" s="6">
        <v>0</v>
      </c>
    </row>
    <row r="3054" spans="1:15" ht="18.75" hidden="1" customHeight="1" thickBot="1" x14ac:dyDescent="0.3">
      <c r="A3054" s="3" t="s">
        <v>11</v>
      </c>
      <c r="B3054" s="4">
        <v>300252</v>
      </c>
      <c r="C3054" s="3" t="s">
        <v>22</v>
      </c>
      <c r="D3054" s="7">
        <v>8.5000000000000006E-2</v>
      </c>
      <c r="E3054" s="7">
        <f t="shared" si="303"/>
        <v>7.0833333333333338E-3</v>
      </c>
      <c r="F3054" s="5">
        <v>44839</v>
      </c>
      <c r="G3054" s="5">
        <v>2958465</v>
      </c>
      <c r="H3054" s="8">
        <f t="shared" si="304"/>
        <v>2913626</v>
      </c>
      <c r="I3054" s="5">
        <v>2958465</v>
      </c>
      <c r="J3054" s="5">
        <v>44840</v>
      </c>
      <c r="K3054" s="8">
        <f t="shared" si="305"/>
        <v>1</v>
      </c>
      <c r="L3054" s="6">
        <v>2212.16</v>
      </c>
      <c r="M3054" s="9">
        <f t="shared" si="302"/>
        <v>15.669466666666667</v>
      </c>
      <c r="N3054" s="6">
        <v>2212.16</v>
      </c>
      <c r="O3054" s="6">
        <v>0</v>
      </c>
    </row>
    <row r="3055" spans="1:15" ht="18.75" hidden="1" customHeight="1" thickBot="1" x14ac:dyDescent="0.3">
      <c r="A3055" s="3" t="s">
        <v>11</v>
      </c>
      <c r="B3055" s="4">
        <v>795231</v>
      </c>
      <c r="C3055" s="3" t="s">
        <v>22</v>
      </c>
      <c r="D3055" s="7">
        <v>6.7500000000000004E-2</v>
      </c>
      <c r="E3055" s="7">
        <f t="shared" si="303"/>
        <v>5.6250000000000007E-3</v>
      </c>
      <c r="F3055" s="5">
        <v>45258</v>
      </c>
      <c r="G3055" s="5">
        <v>2958465</v>
      </c>
      <c r="H3055" s="8">
        <f t="shared" si="304"/>
        <v>2913207</v>
      </c>
      <c r="I3055" s="5">
        <v>2958465</v>
      </c>
      <c r="J3055" s="5">
        <v>45259</v>
      </c>
      <c r="K3055" s="8">
        <f t="shared" si="305"/>
        <v>1</v>
      </c>
      <c r="L3055" s="6">
        <v>867.98</v>
      </c>
      <c r="M3055" s="9">
        <f t="shared" si="302"/>
        <v>4.882387500000001</v>
      </c>
      <c r="N3055" s="6">
        <v>867.98</v>
      </c>
      <c r="O3055" s="6">
        <v>8.3800000000000008</v>
      </c>
    </row>
    <row r="3056" spans="1:15" ht="18.75" hidden="1" customHeight="1" thickBot="1" x14ac:dyDescent="0.3">
      <c r="A3056" s="3" t="s">
        <v>11</v>
      </c>
      <c r="B3056" s="4">
        <v>165916</v>
      </c>
      <c r="C3056" s="3" t="s">
        <v>22</v>
      </c>
      <c r="D3056" s="7">
        <v>6.7500000000000004E-2</v>
      </c>
      <c r="E3056" s="7">
        <f t="shared" si="303"/>
        <v>5.6250000000000007E-3</v>
      </c>
      <c r="F3056" s="5">
        <v>45331</v>
      </c>
      <c r="G3056" s="5">
        <v>2958465</v>
      </c>
      <c r="H3056" s="8">
        <f t="shared" si="304"/>
        <v>2913134</v>
      </c>
      <c r="I3056" s="5">
        <v>2958465</v>
      </c>
      <c r="J3056" s="5">
        <v>45334</v>
      </c>
      <c r="K3056" s="8">
        <f t="shared" si="305"/>
        <v>3</v>
      </c>
      <c r="L3056" s="6">
        <v>237.37</v>
      </c>
      <c r="M3056" s="9">
        <f t="shared" si="302"/>
        <v>1.3352062500000001</v>
      </c>
      <c r="N3056" s="6">
        <v>237.37</v>
      </c>
      <c r="O3056" s="6">
        <v>237.37</v>
      </c>
    </row>
    <row r="3057" spans="1:15" ht="18.75" hidden="1" customHeight="1" thickBot="1" x14ac:dyDescent="0.3">
      <c r="A3057" s="3" t="s">
        <v>11</v>
      </c>
      <c r="B3057" s="4">
        <v>215517</v>
      </c>
      <c r="C3057" s="3" t="s">
        <v>22</v>
      </c>
      <c r="D3057" s="7">
        <v>6.7500000000000004E-2</v>
      </c>
      <c r="E3057" s="7">
        <f t="shared" si="303"/>
        <v>5.6250000000000007E-3</v>
      </c>
      <c r="F3057" s="5">
        <v>45054</v>
      </c>
      <c r="G3057" s="5">
        <v>2958465</v>
      </c>
      <c r="H3057" s="8">
        <f t="shared" si="304"/>
        <v>2913411</v>
      </c>
      <c r="I3057" s="5">
        <v>2958465</v>
      </c>
      <c r="J3057" s="5">
        <v>45055</v>
      </c>
      <c r="K3057" s="8">
        <f t="shared" si="305"/>
        <v>1</v>
      </c>
      <c r="L3057" s="6">
        <v>1039.96</v>
      </c>
      <c r="M3057" s="9">
        <f t="shared" si="302"/>
        <v>5.8497750000000011</v>
      </c>
      <c r="N3057" s="6">
        <v>1039.96</v>
      </c>
      <c r="O3057" s="6">
        <v>0</v>
      </c>
    </row>
    <row r="3058" spans="1:15" ht="18.75" hidden="1" customHeight="1" thickBot="1" x14ac:dyDescent="0.3">
      <c r="A3058" s="3" t="s">
        <v>11</v>
      </c>
      <c r="B3058" s="4">
        <v>471078</v>
      </c>
      <c r="C3058" s="3" t="s">
        <v>15</v>
      </c>
      <c r="D3058" s="7">
        <v>0.1</v>
      </c>
      <c r="E3058" s="7">
        <f t="shared" si="303"/>
        <v>8.3333333333333332E-3</v>
      </c>
      <c r="F3058" s="5">
        <v>44753</v>
      </c>
      <c r="G3058" s="5">
        <v>2958465</v>
      </c>
      <c r="H3058" s="8">
        <f t="shared" si="304"/>
        <v>2913712</v>
      </c>
      <c r="I3058" s="5">
        <v>2958465</v>
      </c>
      <c r="J3058" s="5">
        <v>44754</v>
      </c>
      <c r="K3058" s="8">
        <f t="shared" si="305"/>
        <v>1</v>
      </c>
      <c r="L3058" s="6">
        <v>619.72</v>
      </c>
      <c r="M3058" s="9">
        <f t="shared" si="302"/>
        <v>5.1643333333333334</v>
      </c>
      <c r="N3058" s="6">
        <v>619.72</v>
      </c>
      <c r="O3058" s="6">
        <v>192.97</v>
      </c>
    </row>
    <row r="3059" spans="1:15" ht="18.75" hidden="1" customHeight="1" thickBot="1" x14ac:dyDescent="0.3">
      <c r="A3059" s="3" t="s">
        <v>11</v>
      </c>
      <c r="B3059" s="4">
        <v>576544</v>
      </c>
      <c r="C3059" s="3" t="s">
        <v>22</v>
      </c>
      <c r="D3059" s="7">
        <v>9.5000000000000001E-2</v>
      </c>
      <c r="E3059" s="7">
        <f t="shared" si="303"/>
        <v>7.9166666666666673E-3</v>
      </c>
      <c r="F3059" s="5">
        <v>44881</v>
      </c>
      <c r="G3059" s="5">
        <v>2958465</v>
      </c>
      <c r="H3059" s="8">
        <f t="shared" si="304"/>
        <v>2913584</v>
      </c>
      <c r="I3059" s="5">
        <v>2958465</v>
      </c>
      <c r="J3059" s="5">
        <v>44882</v>
      </c>
      <c r="K3059" s="8">
        <f t="shared" si="305"/>
        <v>1</v>
      </c>
      <c r="L3059" s="6">
        <v>521.79999999999995</v>
      </c>
      <c r="M3059" s="9">
        <f t="shared" si="302"/>
        <v>4.1309166666666668</v>
      </c>
      <c r="N3059" s="6">
        <v>521.79999999999995</v>
      </c>
      <c r="O3059" s="6">
        <v>521.79999999999995</v>
      </c>
    </row>
    <row r="3060" spans="1:15" ht="18.75" hidden="1" customHeight="1" thickBot="1" x14ac:dyDescent="0.3">
      <c r="A3060" s="3" t="s">
        <v>11</v>
      </c>
      <c r="B3060" s="4">
        <v>502458</v>
      </c>
      <c r="C3060" s="3" t="s">
        <v>22</v>
      </c>
      <c r="D3060" s="7">
        <v>6.7500000000000004E-2</v>
      </c>
      <c r="E3060" s="7">
        <f t="shared" si="303"/>
        <v>5.6250000000000007E-3</v>
      </c>
      <c r="F3060" s="5">
        <v>45481</v>
      </c>
      <c r="G3060" s="5">
        <v>2958465</v>
      </c>
      <c r="H3060" s="8">
        <f t="shared" si="304"/>
        <v>2912984</v>
      </c>
      <c r="I3060" s="5">
        <v>2958465</v>
      </c>
      <c r="J3060" s="5">
        <v>45483</v>
      </c>
      <c r="K3060" s="8">
        <f t="shared" si="305"/>
        <v>2</v>
      </c>
      <c r="L3060" s="6">
        <v>1553.33</v>
      </c>
      <c r="M3060" s="9">
        <f t="shared" si="302"/>
        <v>8.7374812500000001</v>
      </c>
      <c r="N3060" s="6">
        <v>1553.33</v>
      </c>
      <c r="O3060" s="6">
        <v>32.79</v>
      </c>
    </row>
    <row r="3061" spans="1:15" ht="18.75" hidden="1" customHeight="1" thickBot="1" x14ac:dyDescent="0.3">
      <c r="A3061" s="3" t="s">
        <v>11</v>
      </c>
      <c r="B3061" s="4">
        <v>807130</v>
      </c>
      <c r="C3061" s="3" t="s">
        <v>22</v>
      </c>
      <c r="D3061" s="7">
        <v>9.2499999999999999E-2</v>
      </c>
      <c r="E3061" s="7">
        <f t="shared" si="303"/>
        <v>7.7083333333333335E-3</v>
      </c>
      <c r="F3061" s="5">
        <v>44810</v>
      </c>
      <c r="G3061" s="5">
        <v>2958465</v>
      </c>
      <c r="H3061" s="8">
        <f t="shared" si="304"/>
        <v>2913655</v>
      </c>
      <c r="I3061" s="5">
        <v>2958465</v>
      </c>
      <c r="J3061" s="5">
        <v>44811</v>
      </c>
      <c r="K3061" s="8">
        <f t="shared" si="305"/>
        <v>1</v>
      </c>
      <c r="L3061" s="6">
        <v>3230.11</v>
      </c>
      <c r="M3061" s="9">
        <f t="shared" si="302"/>
        <v>24.898764583333335</v>
      </c>
      <c r="N3061" s="6">
        <v>3230.11</v>
      </c>
      <c r="O3061" s="6">
        <v>1754.15</v>
      </c>
    </row>
    <row r="3062" spans="1:15" ht="18.75" hidden="1" customHeight="1" thickBot="1" x14ac:dyDescent="0.3">
      <c r="A3062" s="3" t="s">
        <v>11</v>
      </c>
      <c r="B3062" s="4">
        <v>573996</v>
      </c>
      <c r="C3062" s="3" t="s">
        <v>22</v>
      </c>
      <c r="D3062" s="7">
        <v>0.1125</v>
      </c>
      <c r="E3062" s="7">
        <f t="shared" si="303"/>
        <v>9.3749999999999997E-3</v>
      </c>
      <c r="F3062" s="5">
        <v>44753</v>
      </c>
      <c r="G3062" s="5">
        <v>2958465</v>
      </c>
      <c r="H3062" s="8">
        <f t="shared" si="304"/>
        <v>2913712</v>
      </c>
      <c r="I3062" s="5">
        <v>2958465</v>
      </c>
      <c r="J3062" s="5">
        <v>44754</v>
      </c>
      <c r="K3062" s="8">
        <f t="shared" si="305"/>
        <v>1</v>
      </c>
      <c r="L3062" s="6">
        <v>1721260</v>
      </c>
      <c r="M3062" s="9">
        <f t="shared" si="302"/>
        <v>16136.8125</v>
      </c>
      <c r="N3062" s="6">
        <v>1721.26</v>
      </c>
      <c r="O3062" s="6">
        <v>1721.26</v>
      </c>
    </row>
    <row r="3063" spans="1:15" ht="18.75" hidden="1" customHeight="1" thickBot="1" x14ac:dyDescent="0.3">
      <c r="A3063" s="3" t="s">
        <v>11</v>
      </c>
      <c r="B3063" s="4">
        <v>933176</v>
      </c>
      <c r="C3063" s="3" t="s">
        <v>22</v>
      </c>
      <c r="D3063" s="7">
        <v>6.7500000000000004E-2</v>
      </c>
      <c r="E3063" s="7">
        <f t="shared" si="303"/>
        <v>5.6250000000000007E-3</v>
      </c>
      <c r="F3063" s="5">
        <v>45453</v>
      </c>
      <c r="G3063" s="5">
        <v>2958465</v>
      </c>
      <c r="H3063" s="8">
        <f t="shared" si="304"/>
        <v>2913012</v>
      </c>
      <c r="I3063" s="5">
        <v>2958465</v>
      </c>
      <c r="J3063" s="5">
        <v>45454</v>
      </c>
      <c r="K3063" s="8">
        <f t="shared" si="305"/>
        <v>1</v>
      </c>
      <c r="L3063" s="6">
        <v>415.88</v>
      </c>
      <c r="M3063" s="9">
        <f t="shared" si="302"/>
        <v>2.3393250000000001</v>
      </c>
      <c r="N3063" s="6">
        <v>415.88</v>
      </c>
      <c r="O3063" s="6">
        <v>0</v>
      </c>
    </row>
    <row r="3064" spans="1:15" ht="18.75" hidden="1" customHeight="1" thickBot="1" x14ac:dyDescent="0.3">
      <c r="A3064" s="3" t="s">
        <v>11</v>
      </c>
      <c r="B3064" s="4">
        <v>133092</v>
      </c>
      <c r="C3064" s="3" t="s">
        <v>22</v>
      </c>
      <c r="D3064" s="7">
        <v>9.2499999999999999E-2</v>
      </c>
      <c r="E3064" s="7">
        <f t="shared" si="303"/>
        <v>7.7083333333333335E-3</v>
      </c>
      <c r="F3064" s="5">
        <v>44810</v>
      </c>
      <c r="G3064" s="5">
        <v>2958465</v>
      </c>
      <c r="H3064" s="8">
        <f t="shared" si="304"/>
        <v>2913655</v>
      </c>
      <c r="I3064" s="5">
        <v>2958465</v>
      </c>
      <c r="J3064" s="5">
        <v>44811</v>
      </c>
      <c r="K3064" s="8">
        <f t="shared" si="305"/>
        <v>1</v>
      </c>
      <c r="L3064" s="6">
        <v>674.41</v>
      </c>
      <c r="M3064" s="9">
        <f t="shared" si="302"/>
        <v>5.1985770833333333</v>
      </c>
      <c r="N3064" s="6">
        <v>674.41</v>
      </c>
      <c r="O3064" s="6">
        <v>674.41</v>
      </c>
    </row>
    <row r="3065" spans="1:15" ht="18.75" hidden="1" customHeight="1" thickBot="1" x14ac:dyDescent="0.3">
      <c r="A3065" s="3" t="s">
        <v>11</v>
      </c>
      <c r="B3065" s="4">
        <v>637344</v>
      </c>
      <c r="C3065" s="3" t="s">
        <v>22</v>
      </c>
      <c r="D3065" s="7">
        <v>6.7500000000000004E-2</v>
      </c>
      <c r="E3065" s="7">
        <f t="shared" si="303"/>
        <v>5.6250000000000007E-3</v>
      </c>
      <c r="F3065" s="5">
        <v>45243</v>
      </c>
      <c r="G3065" s="5">
        <v>2958465</v>
      </c>
      <c r="H3065" s="8">
        <f t="shared" si="304"/>
        <v>2913222</v>
      </c>
      <c r="I3065" s="5">
        <v>2958465</v>
      </c>
      <c r="J3065" s="5">
        <v>45244</v>
      </c>
      <c r="K3065" s="8">
        <f t="shared" si="305"/>
        <v>1</v>
      </c>
      <c r="L3065" s="6">
        <v>642.44000000000005</v>
      </c>
      <c r="M3065" s="9">
        <f t="shared" si="302"/>
        <v>3.6137250000000005</v>
      </c>
      <c r="N3065" s="6">
        <v>642.44000000000005</v>
      </c>
      <c r="O3065" s="6">
        <v>0</v>
      </c>
    </row>
    <row r="3066" spans="1:15" ht="18.75" hidden="1" customHeight="1" thickBot="1" x14ac:dyDescent="0.3">
      <c r="A3066" s="3" t="s">
        <v>11</v>
      </c>
      <c r="B3066" s="4">
        <v>89294</v>
      </c>
      <c r="C3066" s="3" t="s">
        <v>22</v>
      </c>
      <c r="D3066" s="7">
        <v>6.7500000000000004E-2</v>
      </c>
      <c r="E3066" s="7">
        <f t="shared" si="303"/>
        <v>5.6250000000000007E-3</v>
      </c>
      <c r="F3066" s="5">
        <v>45425</v>
      </c>
      <c r="G3066" s="5">
        <v>2958465</v>
      </c>
      <c r="H3066" s="8">
        <f t="shared" si="304"/>
        <v>2913040</v>
      </c>
      <c r="I3066" s="5">
        <v>2958465</v>
      </c>
      <c r="J3066" s="5">
        <v>45426</v>
      </c>
      <c r="K3066" s="8">
        <f t="shared" si="305"/>
        <v>1</v>
      </c>
      <c r="L3066" s="6">
        <v>2063.56</v>
      </c>
      <c r="M3066" s="9">
        <f t="shared" si="302"/>
        <v>11.607525000000001</v>
      </c>
      <c r="N3066" s="6">
        <v>2063.56</v>
      </c>
      <c r="O3066" s="6">
        <v>1385.13</v>
      </c>
    </row>
    <row r="3067" spans="1:15" ht="18.75" hidden="1" customHeight="1" thickBot="1" x14ac:dyDescent="0.3">
      <c r="A3067" s="3" t="s">
        <v>11</v>
      </c>
      <c r="B3067" s="4">
        <v>980174</v>
      </c>
      <c r="C3067" s="3" t="s">
        <v>22</v>
      </c>
      <c r="D3067" s="7">
        <v>7.7499999999999999E-2</v>
      </c>
      <c r="E3067" s="7">
        <f t="shared" si="303"/>
        <v>6.4583333333333333E-3</v>
      </c>
      <c r="F3067" s="5">
        <v>44881</v>
      </c>
      <c r="G3067" s="5">
        <v>2958465</v>
      </c>
      <c r="H3067" s="8">
        <f t="shared" si="304"/>
        <v>2913584</v>
      </c>
      <c r="I3067" s="5">
        <v>2958465</v>
      </c>
      <c r="J3067" s="5">
        <v>44882</v>
      </c>
      <c r="K3067" s="8">
        <f t="shared" si="305"/>
        <v>1</v>
      </c>
      <c r="L3067" s="6">
        <v>639.01</v>
      </c>
      <c r="M3067" s="9">
        <f t="shared" si="302"/>
        <v>4.1269395833333329</v>
      </c>
      <c r="N3067" s="6">
        <v>639.01</v>
      </c>
      <c r="O3067" s="6">
        <v>39.26</v>
      </c>
    </row>
    <row r="3068" spans="1:15" ht="18.75" hidden="1" customHeight="1" thickBot="1" x14ac:dyDescent="0.3">
      <c r="A3068" s="3" t="s">
        <v>11</v>
      </c>
      <c r="B3068" s="4">
        <v>116170</v>
      </c>
      <c r="C3068" s="3" t="s">
        <v>22</v>
      </c>
      <c r="D3068" s="7">
        <v>8.5000000000000006E-2</v>
      </c>
      <c r="E3068" s="7">
        <f t="shared" si="303"/>
        <v>7.0833333333333338E-3</v>
      </c>
      <c r="F3068" s="5">
        <v>44839</v>
      </c>
      <c r="G3068" s="5">
        <v>2958465</v>
      </c>
      <c r="H3068" s="8">
        <f t="shared" si="304"/>
        <v>2913626</v>
      </c>
      <c r="I3068" s="5">
        <v>2958465</v>
      </c>
      <c r="J3068" s="5">
        <v>44840</v>
      </c>
      <c r="K3068" s="8">
        <f t="shared" si="305"/>
        <v>1</v>
      </c>
      <c r="L3068" s="6">
        <v>621.96</v>
      </c>
      <c r="M3068" s="9">
        <f t="shared" si="302"/>
        <v>4.4055500000000007</v>
      </c>
      <c r="N3068" s="6">
        <v>621.96</v>
      </c>
      <c r="O3068" s="6">
        <v>0</v>
      </c>
    </row>
    <row r="3069" spans="1:15" ht="18.75" hidden="1" customHeight="1" thickBot="1" x14ac:dyDescent="0.3">
      <c r="A3069" s="3" t="s">
        <v>11</v>
      </c>
      <c r="B3069" s="4">
        <v>524154</v>
      </c>
      <c r="C3069" s="3" t="s">
        <v>22</v>
      </c>
      <c r="D3069" s="7">
        <v>7.0000000000000007E-2</v>
      </c>
      <c r="E3069" s="7">
        <f t="shared" si="303"/>
        <v>5.8333333333333336E-3</v>
      </c>
      <c r="F3069" s="5">
        <v>45002</v>
      </c>
      <c r="G3069" s="5">
        <v>2958465</v>
      </c>
      <c r="H3069" s="8">
        <f t="shared" si="304"/>
        <v>2913463</v>
      </c>
      <c r="I3069" s="5">
        <v>2958465</v>
      </c>
      <c r="J3069" s="5">
        <v>45005</v>
      </c>
      <c r="K3069" s="8">
        <f t="shared" si="305"/>
        <v>3</v>
      </c>
      <c r="L3069" s="6">
        <v>656.13</v>
      </c>
      <c r="M3069" s="9">
        <f t="shared" si="302"/>
        <v>3.8274250000000003</v>
      </c>
      <c r="N3069" s="6">
        <v>656.13</v>
      </c>
      <c r="O3069" s="6">
        <v>0</v>
      </c>
    </row>
    <row r="3070" spans="1:15" ht="18.75" hidden="1" customHeight="1" thickBot="1" x14ac:dyDescent="0.3">
      <c r="A3070" s="3" t="s">
        <v>11</v>
      </c>
      <c r="B3070" s="4">
        <v>532898</v>
      </c>
      <c r="C3070" s="3" t="s">
        <v>22</v>
      </c>
      <c r="D3070" s="7">
        <v>6.7500000000000004E-2</v>
      </c>
      <c r="E3070" s="7">
        <f t="shared" si="303"/>
        <v>5.6250000000000007E-3</v>
      </c>
      <c r="F3070" s="5">
        <v>45078</v>
      </c>
      <c r="G3070" s="5">
        <v>2958465</v>
      </c>
      <c r="H3070" s="8">
        <f t="shared" si="304"/>
        <v>2913387</v>
      </c>
      <c r="I3070" s="5">
        <v>2958465</v>
      </c>
      <c r="J3070" s="5">
        <v>45079</v>
      </c>
      <c r="K3070" s="8">
        <f t="shared" si="305"/>
        <v>1</v>
      </c>
      <c r="L3070" s="6">
        <v>2174.16</v>
      </c>
      <c r="M3070" s="9">
        <f t="shared" si="302"/>
        <v>12.229650000000001</v>
      </c>
      <c r="N3070" s="6">
        <v>2174.16</v>
      </c>
      <c r="O3070" s="6">
        <v>898.31</v>
      </c>
    </row>
    <row r="3071" spans="1:15" ht="18.75" hidden="1" customHeight="1" thickBot="1" x14ac:dyDescent="0.3">
      <c r="A3071" s="3" t="s">
        <v>11</v>
      </c>
      <c r="B3071" s="4">
        <v>910209</v>
      </c>
      <c r="C3071" s="3" t="s">
        <v>22</v>
      </c>
      <c r="D3071" s="7">
        <v>7.7499999999999999E-2</v>
      </c>
      <c r="E3071" s="7">
        <f t="shared" si="303"/>
        <v>6.4583333333333333E-3</v>
      </c>
      <c r="F3071" s="5">
        <v>44881</v>
      </c>
      <c r="G3071" s="5">
        <v>2958465</v>
      </c>
      <c r="H3071" s="8">
        <f t="shared" si="304"/>
        <v>2913584</v>
      </c>
      <c r="I3071" s="5">
        <v>2958465</v>
      </c>
      <c r="J3071" s="5">
        <v>44882</v>
      </c>
      <c r="K3071" s="8">
        <f t="shared" si="305"/>
        <v>1</v>
      </c>
      <c r="L3071" s="6">
        <v>1290.03</v>
      </c>
      <c r="M3071" s="9">
        <f t="shared" si="302"/>
        <v>8.33144375</v>
      </c>
      <c r="N3071" s="6">
        <v>1290.03</v>
      </c>
      <c r="O3071" s="6">
        <v>0</v>
      </c>
    </row>
    <row r="3072" spans="1:15" ht="18.75" hidden="1" customHeight="1" thickBot="1" x14ac:dyDescent="0.3">
      <c r="A3072" s="3" t="s">
        <v>11</v>
      </c>
      <c r="B3072" s="4">
        <v>190702</v>
      </c>
      <c r="C3072" s="3" t="s">
        <v>22</v>
      </c>
      <c r="D3072" s="7">
        <v>7.0000000000000007E-2</v>
      </c>
      <c r="E3072" s="7">
        <f t="shared" si="303"/>
        <v>5.8333333333333336E-3</v>
      </c>
      <c r="F3072" s="5">
        <v>44973</v>
      </c>
      <c r="G3072" s="5">
        <v>2958465</v>
      </c>
      <c r="H3072" s="8">
        <f t="shared" si="304"/>
        <v>2913492</v>
      </c>
      <c r="I3072" s="5">
        <v>2958465</v>
      </c>
      <c r="J3072" s="5">
        <v>44978</v>
      </c>
      <c r="K3072" s="8">
        <f t="shared" si="305"/>
        <v>5</v>
      </c>
      <c r="L3072" s="6">
        <v>651.75</v>
      </c>
      <c r="M3072" s="9">
        <f t="shared" si="302"/>
        <v>3.8018750000000003</v>
      </c>
      <c r="N3072" s="6">
        <v>651.75</v>
      </c>
      <c r="O3072" s="6">
        <v>44.58</v>
      </c>
    </row>
    <row r="3073" spans="1:15" ht="18.75" hidden="1" customHeight="1" thickBot="1" x14ac:dyDescent="0.3">
      <c r="A3073" s="3" t="s">
        <v>11</v>
      </c>
      <c r="B3073" s="4">
        <v>762545</v>
      </c>
      <c r="C3073" s="3" t="s">
        <v>22</v>
      </c>
      <c r="D3073" s="7">
        <v>6.7500000000000004E-2</v>
      </c>
      <c r="E3073" s="7">
        <f t="shared" si="303"/>
        <v>5.6250000000000007E-3</v>
      </c>
      <c r="F3073" s="5">
        <v>45541</v>
      </c>
      <c r="G3073" s="5">
        <v>2958465</v>
      </c>
      <c r="H3073" s="8">
        <f t="shared" si="304"/>
        <v>2912924</v>
      </c>
      <c r="I3073" s="5">
        <v>2958465</v>
      </c>
      <c r="J3073" s="5">
        <v>45544</v>
      </c>
      <c r="K3073" s="8">
        <f t="shared" si="305"/>
        <v>3</v>
      </c>
      <c r="L3073" s="6">
        <v>637.66</v>
      </c>
      <c r="M3073" s="9">
        <f t="shared" si="302"/>
        <v>3.5868375000000001</v>
      </c>
      <c r="N3073" s="6">
        <v>637.66</v>
      </c>
      <c r="O3073" s="6">
        <v>100</v>
      </c>
    </row>
    <row r="3074" spans="1:15" ht="18.75" hidden="1" customHeight="1" thickBot="1" x14ac:dyDescent="0.3">
      <c r="A3074" s="3" t="s">
        <v>11</v>
      </c>
      <c r="B3074" s="4">
        <v>965359</v>
      </c>
      <c r="C3074" s="3" t="s">
        <v>22</v>
      </c>
      <c r="D3074" s="7">
        <v>7.7499999999999999E-2</v>
      </c>
      <c r="E3074" s="7">
        <f t="shared" si="303"/>
        <v>6.4583333333333333E-3</v>
      </c>
      <c r="F3074" s="5">
        <v>44881</v>
      </c>
      <c r="G3074" s="5">
        <v>2958465</v>
      </c>
      <c r="H3074" s="8">
        <f t="shared" si="304"/>
        <v>2913584</v>
      </c>
      <c r="I3074" s="5">
        <v>2958465</v>
      </c>
      <c r="J3074" s="5">
        <v>44882</v>
      </c>
      <c r="K3074" s="8">
        <f t="shared" si="305"/>
        <v>1</v>
      </c>
      <c r="L3074" s="6">
        <v>435.15</v>
      </c>
      <c r="M3074" s="9">
        <f t="shared" ref="M3074:M3137" si="306">-PMT(E3074,(H3074/30),L3074)</f>
        <v>2.8103437499999999</v>
      </c>
      <c r="N3074" s="6">
        <v>435.15</v>
      </c>
      <c r="O3074" s="6">
        <v>0</v>
      </c>
    </row>
    <row r="3075" spans="1:15" ht="18.75" hidden="1" customHeight="1" thickBot="1" x14ac:dyDescent="0.3">
      <c r="A3075" s="3" t="s">
        <v>11</v>
      </c>
      <c r="B3075" s="4">
        <v>504215</v>
      </c>
      <c r="C3075" s="3" t="s">
        <v>22</v>
      </c>
      <c r="D3075" s="7">
        <v>7.2499999999999995E-2</v>
      </c>
      <c r="E3075" s="7">
        <f t="shared" ref="E3075:E3138" si="307">D3075/12</f>
        <v>6.0416666666666665E-3</v>
      </c>
      <c r="F3075" s="5">
        <v>44935</v>
      </c>
      <c r="G3075" s="5">
        <v>2958465</v>
      </c>
      <c r="H3075" s="8">
        <f t="shared" ref="H3075:H3138" si="308">G3075-F3075</f>
        <v>2913530</v>
      </c>
      <c r="I3075" s="5">
        <v>2958465</v>
      </c>
      <c r="J3075" s="5">
        <v>44936</v>
      </c>
      <c r="K3075" s="8">
        <f t="shared" ref="K3075:K3138" si="309">J3075-F3075</f>
        <v>1</v>
      </c>
      <c r="L3075" s="6">
        <v>2295.8200000000002</v>
      </c>
      <c r="M3075" s="9">
        <f t="shared" si="306"/>
        <v>13.870579166666667</v>
      </c>
      <c r="N3075" s="6">
        <v>2295.8200000000002</v>
      </c>
      <c r="O3075" s="6">
        <v>91.45</v>
      </c>
    </row>
    <row r="3076" spans="1:15" ht="18.75" hidden="1" customHeight="1" thickBot="1" x14ac:dyDescent="0.3">
      <c r="A3076" s="3" t="s">
        <v>11</v>
      </c>
      <c r="B3076" s="4">
        <v>227790</v>
      </c>
      <c r="C3076" s="3" t="s">
        <v>22</v>
      </c>
      <c r="D3076" s="7">
        <v>7.2499999999999995E-2</v>
      </c>
      <c r="E3076" s="7">
        <f t="shared" si="307"/>
        <v>6.0416666666666665E-3</v>
      </c>
      <c r="F3076" s="5">
        <v>45699</v>
      </c>
      <c r="G3076" s="5">
        <v>2958465</v>
      </c>
      <c r="H3076" s="8">
        <f t="shared" si="308"/>
        <v>2912766</v>
      </c>
      <c r="I3076" s="5">
        <v>2958465</v>
      </c>
      <c r="J3076" s="5">
        <v>45700</v>
      </c>
      <c r="K3076" s="8">
        <f t="shared" si="309"/>
        <v>1</v>
      </c>
      <c r="L3076" s="6">
        <v>590.71</v>
      </c>
      <c r="M3076" s="9">
        <f t="shared" si="306"/>
        <v>3.5688729166666668</v>
      </c>
      <c r="N3076" s="6">
        <v>590.71</v>
      </c>
      <c r="O3076" s="6">
        <v>0</v>
      </c>
    </row>
    <row r="3077" spans="1:15" ht="18.75" hidden="1" customHeight="1" thickBot="1" x14ac:dyDescent="0.3">
      <c r="A3077" s="3" t="s">
        <v>11</v>
      </c>
      <c r="B3077" s="4">
        <v>919275</v>
      </c>
      <c r="C3077" s="3" t="s">
        <v>22</v>
      </c>
      <c r="D3077" s="7">
        <v>6.7500000000000004E-2</v>
      </c>
      <c r="E3077" s="7">
        <f t="shared" si="307"/>
        <v>5.6250000000000007E-3</v>
      </c>
      <c r="F3077" s="5">
        <v>45117</v>
      </c>
      <c r="G3077" s="5">
        <v>2958465</v>
      </c>
      <c r="H3077" s="8">
        <f t="shared" si="308"/>
        <v>2913348</v>
      </c>
      <c r="I3077" s="5">
        <v>2958465</v>
      </c>
      <c r="J3077" s="5">
        <v>45118</v>
      </c>
      <c r="K3077" s="8">
        <f t="shared" si="309"/>
        <v>1</v>
      </c>
      <c r="L3077" s="6">
        <v>621.19000000000005</v>
      </c>
      <c r="M3077" s="9">
        <f t="shared" si="306"/>
        <v>3.4941937500000009</v>
      </c>
      <c r="N3077" s="6">
        <v>621.19000000000005</v>
      </c>
      <c r="O3077" s="6">
        <v>69.569999999999993</v>
      </c>
    </row>
    <row r="3078" spans="1:15" ht="18.75" hidden="1" customHeight="1" thickBot="1" x14ac:dyDescent="0.3">
      <c r="A3078" s="3" t="s">
        <v>11</v>
      </c>
      <c r="B3078" s="4">
        <v>212533</v>
      </c>
      <c r="C3078" s="3" t="s">
        <v>22</v>
      </c>
      <c r="D3078" s="7">
        <v>7.7499999999999999E-2</v>
      </c>
      <c r="E3078" s="7">
        <f t="shared" si="307"/>
        <v>6.4583333333333333E-3</v>
      </c>
      <c r="F3078" s="5">
        <v>44908</v>
      </c>
      <c r="G3078" s="5">
        <v>2958465</v>
      </c>
      <c r="H3078" s="8">
        <f t="shared" si="308"/>
        <v>2913557</v>
      </c>
      <c r="I3078" s="5">
        <v>2958465</v>
      </c>
      <c r="J3078" s="5">
        <v>44909</v>
      </c>
      <c r="K3078" s="8">
        <f t="shared" si="309"/>
        <v>1</v>
      </c>
      <c r="L3078" s="6">
        <v>460</v>
      </c>
      <c r="M3078" s="9">
        <f t="shared" si="306"/>
        <v>2.9708333333333332</v>
      </c>
      <c r="N3078" s="6">
        <v>460</v>
      </c>
      <c r="O3078" s="6">
        <v>0</v>
      </c>
    </row>
    <row r="3079" spans="1:15" ht="18.75" hidden="1" customHeight="1" thickBot="1" x14ac:dyDescent="0.3">
      <c r="A3079" s="3" t="s">
        <v>11</v>
      </c>
      <c r="B3079" s="4">
        <v>82807</v>
      </c>
      <c r="C3079" s="3" t="s">
        <v>22</v>
      </c>
      <c r="D3079" s="7">
        <v>6.7500000000000004E-2</v>
      </c>
      <c r="E3079" s="7">
        <f t="shared" si="307"/>
        <v>5.6250000000000007E-3</v>
      </c>
      <c r="F3079" s="5">
        <v>45425</v>
      </c>
      <c r="G3079" s="5">
        <v>2958465</v>
      </c>
      <c r="H3079" s="8">
        <f t="shared" si="308"/>
        <v>2913040</v>
      </c>
      <c r="I3079" s="5">
        <v>2958465</v>
      </c>
      <c r="J3079" s="5">
        <v>45426</v>
      </c>
      <c r="K3079" s="8">
        <f t="shared" si="309"/>
        <v>1</v>
      </c>
      <c r="L3079" s="6">
        <v>875.71</v>
      </c>
      <c r="M3079" s="9">
        <f t="shared" si="306"/>
        <v>4.9258687500000011</v>
      </c>
      <c r="N3079" s="6">
        <v>875.71</v>
      </c>
      <c r="O3079" s="6">
        <v>47.13</v>
      </c>
    </row>
    <row r="3080" spans="1:15" ht="18.75" hidden="1" customHeight="1" thickBot="1" x14ac:dyDescent="0.3">
      <c r="A3080" s="3" t="s">
        <v>11</v>
      </c>
      <c r="B3080" s="4">
        <v>784896</v>
      </c>
      <c r="C3080" s="3" t="s">
        <v>22</v>
      </c>
      <c r="D3080" s="7">
        <v>6.7500000000000004E-2</v>
      </c>
      <c r="E3080" s="7">
        <f t="shared" si="307"/>
        <v>5.6250000000000007E-3</v>
      </c>
      <c r="F3080" s="5">
        <v>45331</v>
      </c>
      <c r="G3080" s="5">
        <v>2958465</v>
      </c>
      <c r="H3080" s="8">
        <f t="shared" si="308"/>
        <v>2913134</v>
      </c>
      <c r="I3080" s="5">
        <v>2958465</v>
      </c>
      <c r="J3080" s="5">
        <v>45334</v>
      </c>
      <c r="K3080" s="8">
        <f t="shared" si="309"/>
        <v>3</v>
      </c>
      <c r="L3080" s="6">
        <v>5426.34</v>
      </c>
      <c r="M3080" s="9">
        <f t="shared" si="306"/>
        <v>30.523162500000005</v>
      </c>
      <c r="N3080" s="6">
        <v>5426.34</v>
      </c>
      <c r="O3080" s="6">
        <v>4.8</v>
      </c>
    </row>
    <row r="3081" spans="1:15" ht="18.75" hidden="1" customHeight="1" thickBot="1" x14ac:dyDescent="0.3">
      <c r="A3081" s="3" t="s">
        <v>11</v>
      </c>
      <c r="B3081" s="4">
        <v>577109</v>
      </c>
      <c r="C3081" s="3" t="s">
        <v>22</v>
      </c>
      <c r="D3081" s="7">
        <v>7.0000000000000007E-2</v>
      </c>
      <c r="E3081" s="7">
        <f t="shared" si="307"/>
        <v>5.8333333333333336E-3</v>
      </c>
      <c r="F3081" s="5">
        <v>44973</v>
      </c>
      <c r="G3081" s="5">
        <v>2958465</v>
      </c>
      <c r="H3081" s="8">
        <f t="shared" si="308"/>
        <v>2913492</v>
      </c>
      <c r="I3081" s="5">
        <v>2958465</v>
      </c>
      <c r="J3081" s="5">
        <v>44978</v>
      </c>
      <c r="K3081" s="8">
        <f t="shared" si="309"/>
        <v>5</v>
      </c>
      <c r="L3081" s="6">
        <v>2231.86</v>
      </c>
      <c r="M3081" s="9">
        <f t="shared" si="306"/>
        <v>13.019183333333334</v>
      </c>
      <c r="N3081" s="6">
        <v>2231.86</v>
      </c>
      <c r="O3081" s="6">
        <v>0</v>
      </c>
    </row>
    <row r="3082" spans="1:15" ht="18.75" hidden="1" customHeight="1" thickBot="1" x14ac:dyDescent="0.3">
      <c r="A3082" s="3" t="s">
        <v>11</v>
      </c>
      <c r="B3082" s="4">
        <v>261879</v>
      </c>
      <c r="C3082" s="3" t="s">
        <v>22</v>
      </c>
      <c r="D3082" s="7">
        <v>7.0000000000000007E-2</v>
      </c>
      <c r="E3082" s="7">
        <f t="shared" si="307"/>
        <v>5.8333333333333336E-3</v>
      </c>
      <c r="F3082" s="5">
        <v>44973</v>
      </c>
      <c r="G3082" s="5">
        <v>2958465</v>
      </c>
      <c r="H3082" s="8">
        <f t="shared" si="308"/>
        <v>2913492</v>
      </c>
      <c r="I3082" s="5">
        <v>2958465</v>
      </c>
      <c r="J3082" s="5">
        <v>44978</v>
      </c>
      <c r="K3082" s="8">
        <f t="shared" si="309"/>
        <v>5</v>
      </c>
      <c r="L3082" s="6">
        <v>2233.89</v>
      </c>
      <c r="M3082" s="9">
        <f t="shared" si="306"/>
        <v>13.031025</v>
      </c>
      <c r="N3082" s="6">
        <v>2233.89</v>
      </c>
      <c r="O3082" s="6">
        <v>0</v>
      </c>
    </row>
    <row r="3083" spans="1:15" ht="18.75" hidden="1" customHeight="1" thickBot="1" x14ac:dyDescent="0.3">
      <c r="A3083" s="3" t="s">
        <v>11</v>
      </c>
      <c r="B3083" s="4">
        <v>549025</v>
      </c>
      <c r="C3083" s="3" t="s">
        <v>22</v>
      </c>
      <c r="D3083" s="7">
        <v>7.0000000000000007E-2</v>
      </c>
      <c r="E3083" s="7">
        <f t="shared" si="307"/>
        <v>5.8333333333333336E-3</v>
      </c>
      <c r="F3083" s="5">
        <v>44973</v>
      </c>
      <c r="G3083" s="5">
        <v>2958465</v>
      </c>
      <c r="H3083" s="8">
        <f t="shared" si="308"/>
        <v>2913492</v>
      </c>
      <c r="I3083" s="5">
        <v>2958465</v>
      </c>
      <c r="J3083" s="5">
        <v>44978</v>
      </c>
      <c r="K3083" s="8">
        <f t="shared" si="309"/>
        <v>5</v>
      </c>
      <c r="L3083" s="6">
        <v>2248.9499999999998</v>
      </c>
      <c r="M3083" s="9">
        <f t="shared" si="306"/>
        <v>13.118874999999999</v>
      </c>
      <c r="N3083" s="6">
        <v>2248.9499999999998</v>
      </c>
      <c r="O3083" s="6">
        <v>0</v>
      </c>
    </row>
    <row r="3084" spans="1:15" ht="18.75" hidden="1" customHeight="1" thickBot="1" x14ac:dyDescent="0.3">
      <c r="A3084" s="3" t="s">
        <v>11</v>
      </c>
      <c r="B3084" s="4">
        <v>402672</v>
      </c>
      <c r="C3084" s="3" t="s">
        <v>22</v>
      </c>
      <c r="D3084" s="7">
        <v>7.2499999999999995E-2</v>
      </c>
      <c r="E3084" s="7">
        <f t="shared" si="307"/>
        <v>6.0416666666666665E-3</v>
      </c>
      <c r="F3084" s="5">
        <v>44935</v>
      </c>
      <c r="G3084" s="5">
        <v>2958465</v>
      </c>
      <c r="H3084" s="8">
        <f t="shared" si="308"/>
        <v>2913530</v>
      </c>
      <c r="I3084" s="5">
        <v>2958465</v>
      </c>
      <c r="J3084" s="5">
        <v>44936</v>
      </c>
      <c r="K3084" s="8">
        <f t="shared" si="309"/>
        <v>1</v>
      </c>
      <c r="L3084" s="6">
        <v>1036.21</v>
      </c>
      <c r="M3084" s="9">
        <f t="shared" si="306"/>
        <v>6.2604354166666667</v>
      </c>
      <c r="N3084" s="6">
        <v>1036.21</v>
      </c>
      <c r="O3084" s="6">
        <v>66.709999999999994</v>
      </c>
    </row>
    <row r="3085" spans="1:15" ht="18.75" hidden="1" customHeight="1" thickBot="1" x14ac:dyDescent="0.3">
      <c r="A3085" s="3" t="s">
        <v>11</v>
      </c>
      <c r="B3085" s="4">
        <v>751977</v>
      </c>
      <c r="C3085" s="3" t="s">
        <v>22</v>
      </c>
      <c r="D3085" s="7">
        <v>6.7500000000000004E-2</v>
      </c>
      <c r="E3085" s="7">
        <f t="shared" si="307"/>
        <v>5.6250000000000007E-3</v>
      </c>
      <c r="F3085" s="5">
        <v>45098</v>
      </c>
      <c r="G3085" s="5">
        <v>2958465</v>
      </c>
      <c r="H3085" s="8">
        <f t="shared" si="308"/>
        <v>2913367</v>
      </c>
      <c r="I3085" s="5">
        <v>2958465</v>
      </c>
      <c r="J3085" s="5">
        <v>45099</v>
      </c>
      <c r="K3085" s="8">
        <f t="shared" si="309"/>
        <v>1</v>
      </c>
      <c r="L3085" s="6">
        <v>870.01</v>
      </c>
      <c r="M3085" s="9">
        <f t="shared" si="306"/>
        <v>4.8938062500000008</v>
      </c>
      <c r="N3085" s="6">
        <v>870.01</v>
      </c>
      <c r="O3085" s="6">
        <v>0</v>
      </c>
    </row>
    <row r="3086" spans="1:15" ht="18.75" hidden="1" customHeight="1" thickBot="1" x14ac:dyDescent="0.3">
      <c r="A3086" s="3" t="s">
        <v>11</v>
      </c>
      <c r="B3086" s="4">
        <v>306659</v>
      </c>
      <c r="C3086" s="3" t="s">
        <v>22</v>
      </c>
      <c r="D3086" s="7">
        <v>8.5000000000000006E-2</v>
      </c>
      <c r="E3086" s="7">
        <f t="shared" si="307"/>
        <v>7.0833333333333338E-3</v>
      </c>
      <c r="F3086" s="5">
        <v>44848</v>
      </c>
      <c r="G3086" s="5">
        <v>2958465</v>
      </c>
      <c r="H3086" s="8">
        <f t="shared" si="308"/>
        <v>2913617</v>
      </c>
      <c r="I3086" s="5">
        <v>2958465</v>
      </c>
      <c r="J3086" s="5">
        <v>44883</v>
      </c>
      <c r="K3086" s="8">
        <f t="shared" si="309"/>
        <v>35</v>
      </c>
      <c r="L3086" s="6">
        <v>705.72</v>
      </c>
      <c r="M3086" s="9">
        <f t="shared" si="306"/>
        <v>4.9988500000000009</v>
      </c>
      <c r="N3086" s="6">
        <v>705.72</v>
      </c>
      <c r="O3086" s="6">
        <v>0</v>
      </c>
    </row>
    <row r="3087" spans="1:15" ht="18.75" hidden="1" customHeight="1" thickBot="1" x14ac:dyDescent="0.3">
      <c r="A3087" s="3" t="s">
        <v>11</v>
      </c>
      <c r="B3087" s="4">
        <v>72732</v>
      </c>
      <c r="C3087" s="3" t="s">
        <v>22</v>
      </c>
      <c r="D3087" s="7">
        <v>6.7500000000000004E-2</v>
      </c>
      <c r="E3087" s="7">
        <f t="shared" si="307"/>
        <v>5.6250000000000007E-3</v>
      </c>
      <c r="F3087" s="5">
        <v>45117</v>
      </c>
      <c r="G3087" s="5">
        <v>2958465</v>
      </c>
      <c r="H3087" s="8">
        <f t="shared" si="308"/>
        <v>2913348</v>
      </c>
      <c r="I3087" s="5">
        <v>2958465</v>
      </c>
      <c r="J3087" s="5">
        <v>45118</v>
      </c>
      <c r="K3087" s="8">
        <f t="shared" si="309"/>
        <v>1</v>
      </c>
      <c r="L3087" s="6">
        <v>394.98</v>
      </c>
      <c r="M3087" s="9">
        <f t="shared" si="306"/>
        <v>2.2217625000000005</v>
      </c>
      <c r="N3087" s="6">
        <v>394.98</v>
      </c>
      <c r="O3087" s="6">
        <v>0</v>
      </c>
    </row>
    <row r="3088" spans="1:15" ht="18.75" hidden="1" customHeight="1" thickBot="1" x14ac:dyDescent="0.3">
      <c r="A3088" s="3" t="s">
        <v>11</v>
      </c>
      <c r="B3088" s="4">
        <v>612428</v>
      </c>
      <c r="C3088" s="3" t="s">
        <v>22</v>
      </c>
      <c r="D3088" s="7">
        <v>8.5000000000000006E-2</v>
      </c>
      <c r="E3088" s="7">
        <f t="shared" si="307"/>
        <v>7.0833333333333338E-3</v>
      </c>
      <c r="F3088" s="5">
        <v>44848</v>
      </c>
      <c r="G3088" s="5">
        <v>2958465</v>
      </c>
      <c r="H3088" s="8">
        <f t="shared" si="308"/>
        <v>2913617</v>
      </c>
      <c r="I3088" s="5">
        <v>2958465</v>
      </c>
      <c r="J3088" s="5">
        <v>44883</v>
      </c>
      <c r="K3088" s="8">
        <f t="shared" si="309"/>
        <v>35</v>
      </c>
      <c r="L3088" s="6">
        <v>662.71</v>
      </c>
      <c r="M3088" s="9">
        <f t="shared" si="306"/>
        <v>4.6941958333333336</v>
      </c>
      <c r="N3088" s="6">
        <v>662.71</v>
      </c>
      <c r="O3088" s="6">
        <v>0</v>
      </c>
    </row>
    <row r="3089" spans="1:15" ht="18.75" hidden="1" customHeight="1" thickBot="1" x14ac:dyDescent="0.3">
      <c r="A3089" s="3" t="s">
        <v>11</v>
      </c>
      <c r="B3089" s="4">
        <v>945031</v>
      </c>
      <c r="C3089" s="3" t="s">
        <v>22</v>
      </c>
      <c r="D3089" s="7">
        <v>8.5000000000000006E-2</v>
      </c>
      <c r="E3089" s="7">
        <f t="shared" si="307"/>
        <v>7.0833333333333338E-3</v>
      </c>
      <c r="F3089" s="5">
        <v>45117</v>
      </c>
      <c r="G3089" s="5">
        <v>2958465</v>
      </c>
      <c r="H3089" s="8">
        <f t="shared" si="308"/>
        <v>2913348</v>
      </c>
      <c r="I3089" s="5">
        <v>2958465</v>
      </c>
      <c r="J3089" s="5">
        <v>45118</v>
      </c>
      <c r="K3089" s="8">
        <f t="shared" si="309"/>
        <v>1</v>
      </c>
      <c r="L3089" s="6">
        <v>113.05</v>
      </c>
      <c r="M3089" s="9">
        <f t="shared" si="306"/>
        <v>0.80077083333333332</v>
      </c>
      <c r="N3089" s="6">
        <v>113.05</v>
      </c>
      <c r="O3089" s="6">
        <v>110.25</v>
      </c>
    </row>
    <row r="3090" spans="1:15" ht="18.75" hidden="1" customHeight="1" thickBot="1" x14ac:dyDescent="0.3">
      <c r="A3090" s="3" t="s">
        <v>11</v>
      </c>
      <c r="B3090" s="4">
        <v>643576</v>
      </c>
      <c r="C3090" s="3" t="s">
        <v>22</v>
      </c>
      <c r="D3090" s="7">
        <v>7.4999999999999997E-2</v>
      </c>
      <c r="E3090" s="7">
        <f t="shared" si="307"/>
        <v>6.2499999999999995E-3</v>
      </c>
      <c r="F3090" s="5">
        <v>45209</v>
      </c>
      <c r="G3090" s="5">
        <v>2958465</v>
      </c>
      <c r="H3090" s="8">
        <f t="shared" si="308"/>
        <v>2913256</v>
      </c>
      <c r="I3090" s="5">
        <v>2958465</v>
      </c>
      <c r="J3090" s="5">
        <v>45210</v>
      </c>
      <c r="K3090" s="8">
        <f t="shared" si="309"/>
        <v>1</v>
      </c>
      <c r="L3090" s="6">
        <v>2233.52</v>
      </c>
      <c r="M3090" s="9">
        <f t="shared" si="306"/>
        <v>13.959499999999998</v>
      </c>
      <c r="N3090" s="6">
        <v>2233.52</v>
      </c>
      <c r="O3090" s="6">
        <v>2233.52</v>
      </c>
    </row>
    <row r="3091" spans="1:15" ht="18.75" hidden="1" customHeight="1" thickBot="1" x14ac:dyDescent="0.3">
      <c r="A3091" s="3" t="s">
        <v>11</v>
      </c>
      <c r="B3091" s="4">
        <v>987965</v>
      </c>
      <c r="C3091" s="3" t="s">
        <v>22</v>
      </c>
      <c r="D3091" s="7">
        <v>7.4999999999999997E-2</v>
      </c>
      <c r="E3091" s="7">
        <f t="shared" si="307"/>
        <v>6.2499999999999995E-3</v>
      </c>
      <c r="F3091" s="5">
        <v>45393</v>
      </c>
      <c r="G3091" s="5">
        <v>2958465</v>
      </c>
      <c r="H3091" s="8">
        <f t="shared" si="308"/>
        <v>2913072</v>
      </c>
      <c r="I3091" s="5">
        <v>2958465</v>
      </c>
      <c r="J3091" s="5">
        <v>45394</v>
      </c>
      <c r="K3091" s="8">
        <f t="shared" si="309"/>
        <v>1</v>
      </c>
      <c r="L3091" s="6">
        <v>596.20000000000005</v>
      </c>
      <c r="M3091" s="9">
        <f t="shared" si="306"/>
        <v>3.7262499999999998</v>
      </c>
      <c r="N3091" s="6">
        <v>596.20000000000005</v>
      </c>
      <c r="O3091" s="6">
        <v>596.20000000000005</v>
      </c>
    </row>
    <row r="3092" spans="1:15" ht="18.75" hidden="1" customHeight="1" thickBot="1" x14ac:dyDescent="0.3">
      <c r="A3092" s="3" t="s">
        <v>11</v>
      </c>
      <c r="B3092" s="4">
        <v>563091</v>
      </c>
      <c r="C3092" s="3" t="s">
        <v>22</v>
      </c>
      <c r="D3092" s="7">
        <v>0.14749999999999999</v>
      </c>
      <c r="E3092" s="7">
        <f t="shared" si="307"/>
        <v>1.2291666666666666E-2</v>
      </c>
      <c r="F3092" s="5">
        <v>45331</v>
      </c>
      <c r="G3092" s="5">
        <v>2958465</v>
      </c>
      <c r="H3092" s="8">
        <f t="shared" si="308"/>
        <v>2913134</v>
      </c>
      <c r="I3092" s="5">
        <v>2958465</v>
      </c>
      <c r="J3092" s="5">
        <v>45334</v>
      </c>
      <c r="K3092" s="8">
        <f t="shared" si="309"/>
        <v>3</v>
      </c>
      <c r="L3092" s="6">
        <v>5125.83</v>
      </c>
      <c r="M3092" s="9">
        <f t="shared" si="306"/>
        <v>63.004993749999997</v>
      </c>
      <c r="N3092" s="6">
        <v>5125.83</v>
      </c>
      <c r="O3092" s="6">
        <v>80.92</v>
      </c>
    </row>
    <row r="3093" spans="1:15" ht="18.75" hidden="1" customHeight="1" thickBot="1" x14ac:dyDescent="0.3">
      <c r="A3093" s="3" t="s">
        <v>11</v>
      </c>
      <c r="B3093" s="4">
        <v>642169</v>
      </c>
      <c r="C3093" s="3" t="s">
        <v>22</v>
      </c>
      <c r="D3093" s="7">
        <v>6.7500000000000004E-2</v>
      </c>
      <c r="E3093" s="7">
        <f t="shared" si="307"/>
        <v>5.6250000000000007E-3</v>
      </c>
      <c r="F3093" s="5">
        <v>45078</v>
      </c>
      <c r="G3093" s="5">
        <v>2958465</v>
      </c>
      <c r="H3093" s="8">
        <f t="shared" si="308"/>
        <v>2913387</v>
      </c>
      <c r="I3093" s="5">
        <v>2958465</v>
      </c>
      <c r="J3093" s="5">
        <v>45079</v>
      </c>
      <c r="K3093" s="8">
        <f t="shared" si="309"/>
        <v>1</v>
      </c>
      <c r="L3093" s="6">
        <v>1015.28</v>
      </c>
      <c r="M3093" s="9">
        <f t="shared" si="306"/>
        <v>5.7109500000000004</v>
      </c>
      <c r="N3093" s="6">
        <v>1015.28</v>
      </c>
      <c r="O3093" s="6">
        <v>0</v>
      </c>
    </row>
    <row r="3094" spans="1:15" ht="18.75" hidden="1" customHeight="1" thickBot="1" x14ac:dyDescent="0.3">
      <c r="A3094" s="3" t="s">
        <v>11</v>
      </c>
      <c r="B3094" s="4">
        <v>338523</v>
      </c>
      <c r="C3094" s="3" t="s">
        <v>22</v>
      </c>
      <c r="D3094" s="7">
        <v>0.08</v>
      </c>
      <c r="E3094" s="7">
        <f t="shared" si="307"/>
        <v>6.6666666666666671E-3</v>
      </c>
      <c r="F3094" s="5">
        <v>45265</v>
      </c>
      <c r="G3094" s="5">
        <v>2958465</v>
      </c>
      <c r="H3094" s="8">
        <f t="shared" si="308"/>
        <v>2913200</v>
      </c>
      <c r="I3094" s="5">
        <v>2958465</v>
      </c>
      <c r="J3094" s="5">
        <v>45266</v>
      </c>
      <c r="K3094" s="8">
        <f t="shared" si="309"/>
        <v>1</v>
      </c>
      <c r="L3094" s="6">
        <v>6851.2</v>
      </c>
      <c r="M3094" s="9">
        <f t="shared" si="306"/>
        <v>45.674666666666667</v>
      </c>
      <c r="N3094" s="6">
        <v>6851.2</v>
      </c>
      <c r="O3094" s="6">
        <v>6851.2</v>
      </c>
    </row>
    <row r="3095" spans="1:15" ht="18.75" hidden="1" customHeight="1" thickBot="1" x14ac:dyDescent="0.3">
      <c r="A3095" s="3" t="s">
        <v>11</v>
      </c>
      <c r="B3095" s="4">
        <v>430058</v>
      </c>
      <c r="C3095" s="3" t="s">
        <v>22</v>
      </c>
      <c r="D3095" s="7">
        <v>9.2499999999999999E-2</v>
      </c>
      <c r="E3095" s="7">
        <f t="shared" si="307"/>
        <v>7.7083333333333335E-3</v>
      </c>
      <c r="F3095" s="5">
        <v>44908</v>
      </c>
      <c r="G3095" s="5">
        <v>2958465</v>
      </c>
      <c r="H3095" s="8">
        <f t="shared" si="308"/>
        <v>2913557</v>
      </c>
      <c r="I3095" s="5">
        <v>2958465</v>
      </c>
      <c r="J3095" s="5">
        <v>44909</v>
      </c>
      <c r="K3095" s="8">
        <f t="shared" si="309"/>
        <v>1</v>
      </c>
      <c r="L3095" s="6">
        <v>597.13</v>
      </c>
      <c r="M3095" s="9">
        <f t="shared" si="306"/>
        <v>4.6028770833333335</v>
      </c>
      <c r="N3095" s="6">
        <v>597.13</v>
      </c>
      <c r="O3095" s="6">
        <v>597.13</v>
      </c>
    </row>
    <row r="3096" spans="1:15" ht="18.75" hidden="1" customHeight="1" thickBot="1" x14ac:dyDescent="0.3">
      <c r="A3096" s="3" t="s">
        <v>11</v>
      </c>
      <c r="B3096" s="4">
        <v>23131</v>
      </c>
      <c r="C3096" s="3" t="s">
        <v>22</v>
      </c>
      <c r="D3096" s="7">
        <v>8.5000000000000006E-2</v>
      </c>
      <c r="E3096" s="7">
        <f t="shared" si="307"/>
        <v>7.0833333333333338E-3</v>
      </c>
      <c r="F3096" s="5">
        <v>45362</v>
      </c>
      <c r="G3096" s="5">
        <v>2958465</v>
      </c>
      <c r="H3096" s="8">
        <f t="shared" si="308"/>
        <v>2913103</v>
      </c>
      <c r="I3096" s="5">
        <v>2958465</v>
      </c>
      <c r="J3096" s="5">
        <v>45363</v>
      </c>
      <c r="K3096" s="8">
        <f t="shared" si="309"/>
        <v>1</v>
      </c>
      <c r="L3096" s="6">
        <v>530.05999999999995</v>
      </c>
      <c r="M3096" s="9">
        <f t="shared" si="306"/>
        <v>3.7545916666666668</v>
      </c>
      <c r="N3096" s="6">
        <v>530.05999999999995</v>
      </c>
      <c r="O3096" s="6">
        <v>530.05999999999995</v>
      </c>
    </row>
    <row r="3097" spans="1:15" ht="18.75" hidden="1" customHeight="1" thickBot="1" x14ac:dyDescent="0.3">
      <c r="A3097" s="3" t="s">
        <v>11</v>
      </c>
      <c r="B3097" s="4">
        <v>354937</v>
      </c>
      <c r="C3097" s="3" t="s">
        <v>22</v>
      </c>
      <c r="D3097" s="7">
        <v>6.7500000000000004E-2</v>
      </c>
      <c r="E3097" s="7">
        <f t="shared" si="307"/>
        <v>5.6250000000000007E-3</v>
      </c>
      <c r="F3097" s="5">
        <v>45418</v>
      </c>
      <c r="G3097" s="5">
        <v>2958465</v>
      </c>
      <c r="H3097" s="8">
        <f t="shared" si="308"/>
        <v>2913047</v>
      </c>
      <c r="I3097" s="5">
        <v>2958465</v>
      </c>
      <c r="J3097" s="5">
        <v>45419</v>
      </c>
      <c r="K3097" s="8">
        <f t="shared" si="309"/>
        <v>1</v>
      </c>
      <c r="L3097" s="6">
        <v>915.87</v>
      </c>
      <c r="M3097" s="9">
        <f t="shared" si="306"/>
        <v>5.1517687500000005</v>
      </c>
      <c r="N3097" s="6">
        <v>915.87</v>
      </c>
      <c r="O3097" s="6">
        <v>0</v>
      </c>
    </row>
    <row r="3098" spans="1:15" ht="18.75" hidden="1" customHeight="1" thickBot="1" x14ac:dyDescent="0.3">
      <c r="A3098" s="3" t="s">
        <v>11</v>
      </c>
      <c r="B3098" s="4">
        <v>525048</v>
      </c>
      <c r="C3098" s="3" t="s">
        <v>22</v>
      </c>
      <c r="D3098" s="7">
        <v>8.5000000000000006E-2</v>
      </c>
      <c r="E3098" s="7">
        <f t="shared" si="307"/>
        <v>7.0833333333333338E-3</v>
      </c>
      <c r="F3098" s="5">
        <v>45026</v>
      </c>
      <c r="G3098" s="5">
        <v>2958465</v>
      </c>
      <c r="H3098" s="8">
        <f t="shared" si="308"/>
        <v>2913439</v>
      </c>
      <c r="I3098" s="5">
        <v>2958465</v>
      </c>
      <c r="J3098" s="5">
        <v>45027</v>
      </c>
      <c r="K3098" s="8">
        <f t="shared" si="309"/>
        <v>1</v>
      </c>
      <c r="L3098" s="6">
        <v>4850.2299999999996</v>
      </c>
      <c r="M3098" s="9">
        <f t="shared" si="306"/>
        <v>34.355795833333332</v>
      </c>
      <c r="N3098" s="6">
        <v>4850.2299999999996</v>
      </c>
      <c r="O3098" s="6">
        <v>4850.2299999999996</v>
      </c>
    </row>
    <row r="3099" spans="1:15" ht="18.75" hidden="1" customHeight="1" thickBot="1" x14ac:dyDescent="0.3">
      <c r="A3099" s="3" t="s">
        <v>11</v>
      </c>
      <c r="B3099" s="4">
        <v>83279</v>
      </c>
      <c r="C3099" s="3" t="s">
        <v>22</v>
      </c>
      <c r="D3099" s="7">
        <v>8.5000000000000006E-2</v>
      </c>
      <c r="E3099" s="7">
        <f t="shared" si="307"/>
        <v>7.0833333333333338E-3</v>
      </c>
      <c r="F3099" s="5">
        <v>45098</v>
      </c>
      <c r="G3099" s="5">
        <v>2958465</v>
      </c>
      <c r="H3099" s="8">
        <f t="shared" si="308"/>
        <v>2913367</v>
      </c>
      <c r="I3099" s="5">
        <v>2958465</v>
      </c>
      <c r="J3099" s="5">
        <v>45099</v>
      </c>
      <c r="K3099" s="8">
        <f t="shared" si="309"/>
        <v>1</v>
      </c>
      <c r="L3099" s="6">
        <v>874.48</v>
      </c>
      <c r="M3099" s="9">
        <f t="shared" si="306"/>
        <v>6.1942333333333339</v>
      </c>
      <c r="N3099" s="6">
        <v>874.48</v>
      </c>
      <c r="O3099" s="6">
        <v>874.48</v>
      </c>
    </row>
    <row r="3100" spans="1:15" ht="18.75" hidden="1" customHeight="1" thickBot="1" x14ac:dyDescent="0.3">
      <c r="A3100" s="3" t="s">
        <v>11</v>
      </c>
      <c r="B3100" s="4">
        <v>111848</v>
      </c>
      <c r="C3100" s="3" t="s">
        <v>22</v>
      </c>
      <c r="D3100" s="7">
        <v>6.7500000000000004E-2</v>
      </c>
      <c r="E3100" s="7">
        <f t="shared" si="307"/>
        <v>5.6250000000000007E-3</v>
      </c>
      <c r="F3100" s="5">
        <v>45526</v>
      </c>
      <c r="G3100" s="5">
        <v>2958465</v>
      </c>
      <c r="H3100" s="8">
        <f t="shared" si="308"/>
        <v>2912939</v>
      </c>
      <c r="I3100" s="5">
        <v>2958465</v>
      </c>
      <c r="J3100" s="5">
        <v>45527</v>
      </c>
      <c r="K3100" s="8">
        <f t="shared" si="309"/>
        <v>1</v>
      </c>
      <c r="L3100" s="6">
        <v>2552.7399999999998</v>
      </c>
      <c r="M3100" s="9">
        <f t="shared" si="306"/>
        <v>14.3591625</v>
      </c>
      <c r="N3100" s="6">
        <v>2552.7399999999998</v>
      </c>
      <c r="O3100" s="6">
        <v>262.36</v>
      </c>
    </row>
    <row r="3101" spans="1:15" ht="18.75" hidden="1" customHeight="1" thickBot="1" x14ac:dyDescent="0.3">
      <c r="A3101" s="3" t="s">
        <v>11</v>
      </c>
      <c r="B3101" s="4">
        <v>293280</v>
      </c>
      <c r="C3101" s="3" t="s">
        <v>22</v>
      </c>
      <c r="D3101" s="7">
        <v>7.2499999999999995E-2</v>
      </c>
      <c r="E3101" s="7">
        <f t="shared" si="307"/>
        <v>6.0416666666666665E-3</v>
      </c>
      <c r="F3101" s="5">
        <v>45875</v>
      </c>
      <c r="G3101" s="5">
        <v>2958465</v>
      </c>
      <c r="H3101" s="8">
        <f t="shared" si="308"/>
        <v>2912590</v>
      </c>
      <c r="I3101" s="5">
        <v>2958465</v>
      </c>
      <c r="J3101" s="5">
        <v>45876</v>
      </c>
      <c r="K3101" s="8">
        <f t="shared" si="309"/>
        <v>1</v>
      </c>
      <c r="L3101" s="6">
        <v>2613.1</v>
      </c>
      <c r="M3101" s="9">
        <f t="shared" si="306"/>
        <v>15.787479166666666</v>
      </c>
      <c r="N3101" s="6">
        <v>2613.1</v>
      </c>
      <c r="O3101" s="6">
        <v>1843.73</v>
      </c>
    </row>
    <row r="3102" spans="1:15" ht="18.75" hidden="1" customHeight="1" thickBot="1" x14ac:dyDescent="0.3">
      <c r="A3102" s="3" t="s">
        <v>11</v>
      </c>
      <c r="B3102" s="4">
        <v>795738</v>
      </c>
      <c r="C3102" s="3" t="s">
        <v>22</v>
      </c>
      <c r="D3102" s="7">
        <v>7.7499999999999999E-2</v>
      </c>
      <c r="E3102" s="7">
        <f t="shared" si="307"/>
        <v>6.4583333333333333E-3</v>
      </c>
      <c r="F3102" s="5">
        <v>44907</v>
      </c>
      <c r="G3102" s="5">
        <v>2958465</v>
      </c>
      <c r="H3102" s="8">
        <f t="shared" si="308"/>
        <v>2913558</v>
      </c>
      <c r="I3102" s="5">
        <v>2958465</v>
      </c>
      <c r="J3102" s="5">
        <v>44908</v>
      </c>
      <c r="K3102" s="8">
        <f t="shared" si="309"/>
        <v>1</v>
      </c>
      <c r="L3102" s="6">
        <v>730.42</v>
      </c>
      <c r="M3102" s="9">
        <f t="shared" si="306"/>
        <v>4.717295833333333</v>
      </c>
      <c r="N3102" s="6">
        <v>730.42</v>
      </c>
      <c r="O3102" s="6">
        <v>0</v>
      </c>
    </row>
    <row r="3103" spans="1:15" ht="18.75" hidden="1" customHeight="1" thickBot="1" x14ac:dyDescent="0.3">
      <c r="A3103" s="3" t="s">
        <v>11</v>
      </c>
      <c r="B3103" s="4">
        <v>618258</v>
      </c>
      <c r="C3103" s="3" t="s">
        <v>22</v>
      </c>
      <c r="D3103" s="7">
        <v>6.7500000000000004E-2</v>
      </c>
      <c r="E3103" s="7">
        <f t="shared" si="307"/>
        <v>5.6250000000000007E-3</v>
      </c>
      <c r="F3103" s="5">
        <v>45453</v>
      </c>
      <c r="G3103" s="5">
        <v>2958465</v>
      </c>
      <c r="H3103" s="8">
        <f t="shared" si="308"/>
        <v>2913012</v>
      </c>
      <c r="I3103" s="5">
        <v>2958465</v>
      </c>
      <c r="J3103" s="5">
        <v>45454</v>
      </c>
      <c r="K3103" s="8">
        <f t="shared" si="309"/>
        <v>1</v>
      </c>
      <c r="L3103" s="6">
        <v>3348.77</v>
      </c>
      <c r="M3103" s="9">
        <f t="shared" si="306"/>
        <v>18.836831250000003</v>
      </c>
      <c r="N3103" s="6">
        <v>3348.77</v>
      </c>
      <c r="O3103" s="6">
        <v>0</v>
      </c>
    </row>
    <row r="3104" spans="1:15" ht="18.75" hidden="1" customHeight="1" thickBot="1" x14ac:dyDescent="0.3">
      <c r="A3104" s="3" t="s">
        <v>11</v>
      </c>
      <c r="B3104" s="4">
        <v>235690</v>
      </c>
      <c r="C3104" s="3" t="s">
        <v>22</v>
      </c>
      <c r="D3104" s="7">
        <v>7.0000000000000007E-2</v>
      </c>
      <c r="E3104" s="7">
        <f t="shared" si="307"/>
        <v>5.8333333333333336E-3</v>
      </c>
      <c r="F3104" s="5">
        <v>45642</v>
      </c>
      <c r="G3104" s="5">
        <v>2958465</v>
      </c>
      <c r="H3104" s="8">
        <f t="shared" si="308"/>
        <v>2912823</v>
      </c>
      <c r="I3104" s="5">
        <v>2958465</v>
      </c>
      <c r="J3104" s="5">
        <v>45643</v>
      </c>
      <c r="K3104" s="8">
        <f t="shared" si="309"/>
        <v>1</v>
      </c>
      <c r="L3104" s="6">
        <v>2427.0300000000002</v>
      </c>
      <c r="M3104" s="9">
        <f t="shared" si="306"/>
        <v>14.157675000000001</v>
      </c>
      <c r="N3104" s="6">
        <v>2427.0300000000002</v>
      </c>
      <c r="O3104" s="6">
        <v>78.099999999999994</v>
      </c>
    </row>
    <row r="3105" spans="1:15" ht="18.75" hidden="1" customHeight="1" thickBot="1" x14ac:dyDescent="0.3">
      <c r="A3105" s="3" t="s">
        <v>11</v>
      </c>
      <c r="B3105" s="4">
        <v>223473</v>
      </c>
      <c r="C3105" s="3" t="s">
        <v>22</v>
      </c>
      <c r="D3105" s="7">
        <v>0.08</v>
      </c>
      <c r="E3105" s="7">
        <f t="shared" si="307"/>
        <v>6.6666666666666671E-3</v>
      </c>
      <c r="F3105" s="5">
        <v>45642</v>
      </c>
      <c r="G3105" s="5">
        <v>2958465</v>
      </c>
      <c r="H3105" s="8">
        <f t="shared" si="308"/>
        <v>2912823</v>
      </c>
      <c r="I3105" s="5">
        <v>2958465</v>
      </c>
      <c r="J3105" s="5">
        <v>45643</v>
      </c>
      <c r="K3105" s="8">
        <f t="shared" si="309"/>
        <v>1</v>
      </c>
      <c r="L3105" s="6">
        <v>2064.9499999999998</v>
      </c>
      <c r="M3105" s="9">
        <f t="shared" si="306"/>
        <v>13.766333333333334</v>
      </c>
      <c r="N3105" s="6">
        <v>2064.9499999999998</v>
      </c>
      <c r="O3105" s="6">
        <v>2064.9499999999998</v>
      </c>
    </row>
    <row r="3106" spans="1:15" ht="18.75" hidden="1" customHeight="1" thickBot="1" x14ac:dyDescent="0.3">
      <c r="A3106" s="3" t="s">
        <v>11</v>
      </c>
      <c r="B3106" s="4">
        <v>237391</v>
      </c>
      <c r="C3106" s="3" t="s">
        <v>22</v>
      </c>
      <c r="D3106" s="7">
        <v>7.2499999999999995E-2</v>
      </c>
      <c r="E3106" s="7">
        <f t="shared" si="307"/>
        <v>6.0416666666666665E-3</v>
      </c>
      <c r="F3106" s="5">
        <v>45699</v>
      </c>
      <c r="G3106" s="5">
        <v>2958465</v>
      </c>
      <c r="H3106" s="8">
        <f t="shared" si="308"/>
        <v>2912766</v>
      </c>
      <c r="I3106" s="5">
        <v>2958465</v>
      </c>
      <c r="J3106" s="5">
        <v>45700</v>
      </c>
      <c r="K3106" s="8">
        <f t="shared" si="309"/>
        <v>1</v>
      </c>
      <c r="L3106" s="6">
        <v>3103.49</v>
      </c>
      <c r="M3106" s="9">
        <f t="shared" si="306"/>
        <v>18.750252083333333</v>
      </c>
      <c r="N3106" s="6">
        <v>3103.49</v>
      </c>
      <c r="O3106" s="6">
        <v>454.79</v>
      </c>
    </row>
    <row r="3107" spans="1:15" ht="18.75" hidden="1" customHeight="1" thickBot="1" x14ac:dyDescent="0.3">
      <c r="A3107" s="3" t="s">
        <v>11</v>
      </c>
      <c r="B3107" s="4">
        <v>56890</v>
      </c>
      <c r="C3107" s="3" t="s">
        <v>22</v>
      </c>
      <c r="D3107" s="7">
        <v>6.7500000000000004E-2</v>
      </c>
      <c r="E3107" s="7">
        <f t="shared" si="307"/>
        <v>5.6250000000000007E-3</v>
      </c>
      <c r="F3107" s="5">
        <v>45481</v>
      </c>
      <c r="G3107" s="5">
        <v>2958465</v>
      </c>
      <c r="H3107" s="8">
        <f t="shared" si="308"/>
        <v>2912984</v>
      </c>
      <c r="I3107" s="5">
        <v>2958465</v>
      </c>
      <c r="J3107" s="5">
        <v>45483</v>
      </c>
      <c r="K3107" s="8">
        <f t="shared" si="309"/>
        <v>2</v>
      </c>
      <c r="L3107" s="6">
        <v>336.02</v>
      </c>
      <c r="M3107" s="9">
        <f t="shared" si="306"/>
        <v>1.8901125000000001</v>
      </c>
      <c r="N3107" s="6">
        <v>336.02</v>
      </c>
      <c r="O3107" s="6">
        <v>0</v>
      </c>
    </row>
    <row r="3108" spans="1:15" ht="18.75" hidden="1" customHeight="1" thickBot="1" x14ac:dyDescent="0.3">
      <c r="A3108" s="3" t="s">
        <v>11</v>
      </c>
      <c r="B3108" s="4">
        <v>479872</v>
      </c>
      <c r="C3108" s="3" t="s">
        <v>22</v>
      </c>
      <c r="D3108" s="7">
        <v>6.7500000000000004E-2</v>
      </c>
      <c r="E3108" s="7">
        <f t="shared" si="307"/>
        <v>5.6250000000000007E-3</v>
      </c>
      <c r="F3108" s="5">
        <v>45481</v>
      </c>
      <c r="G3108" s="5">
        <v>2958465</v>
      </c>
      <c r="H3108" s="8">
        <f t="shared" si="308"/>
        <v>2912984</v>
      </c>
      <c r="I3108" s="5">
        <v>2958465</v>
      </c>
      <c r="J3108" s="5">
        <v>45483</v>
      </c>
      <c r="K3108" s="8">
        <f t="shared" si="309"/>
        <v>2</v>
      </c>
      <c r="L3108" s="6">
        <v>590.34</v>
      </c>
      <c r="M3108" s="9">
        <f t="shared" si="306"/>
        <v>3.3206625000000005</v>
      </c>
      <c r="N3108" s="6">
        <v>590.34</v>
      </c>
      <c r="O3108" s="6">
        <v>0</v>
      </c>
    </row>
    <row r="3109" spans="1:15" ht="18.75" hidden="1" customHeight="1" thickBot="1" x14ac:dyDescent="0.3">
      <c r="A3109" s="3" t="s">
        <v>11</v>
      </c>
      <c r="B3109" s="4">
        <v>337238</v>
      </c>
      <c r="C3109" s="3" t="s">
        <v>22</v>
      </c>
      <c r="D3109" s="7">
        <v>6.7500000000000004E-2</v>
      </c>
      <c r="E3109" s="7">
        <f t="shared" si="307"/>
        <v>5.6250000000000007E-3</v>
      </c>
      <c r="F3109" s="5">
        <v>45541</v>
      </c>
      <c r="G3109" s="5">
        <v>2958465</v>
      </c>
      <c r="H3109" s="8">
        <f t="shared" si="308"/>
        <v>2912924</v>
      </c>
      <c r="I3109" s="5">
        <v>2958465</v>
      </c>
      <c r="J3109" s="5">
        <v>45544</v>
      </c>
      <c r="K3109" s="8">
        <f t="shared" si="309"/>
        <v>3</v>
      </c>
      <c r="L3109" s="6">
        <v>1308.76</v>
      </c>
      <c r="M3109" s="9">
        <f t="shared" si="306"/>
        <v>7.3617750000000006</v>
      </c>
      <c r="N3109" s="6">
        <v>1308.76</v>
      </c>
      <c r="O3109" s="6">
        <v>968.01</v>
      </c>
    </row>
    <row r="3110" spans="1:15" ht="18.75" hidden="1" customHeight="1" thickBot="1" x14ac:dyDescent="0.3">
      <c r="A3110" s="3" t="s">
        <v>11</v>
      </c>
      <c r="B3110" s="4">
        <v>260107</v>
      </c>
      <c r="C3110" s="3" t="s">
        <v>22</v>
      </c>
      <c r="D3110" s="7">
        <v>0.14749999999999999</v>
      </c>
      <c r="E3110" s="7">
        <f t="shared" si="307"/>
        <v>1.2291666666666666E-2</v>
      </c>
      <c r="F3110" s="5">
        <v>45789</v>
      </c>
      <c r="G3110" s="5">
        <v>2958465</v>
      </c>
      <c r="H3110" s="8">
        <f t="shared" si="308"/>
        <v>2912676</v>
      </c>
      <c r="I3110" s="5">
        <v>2958465</v>
      </c>
      <c r="J3110" s="5">
        <v>45790</v>
      </c>
      <c r="K3110" s="8">
        <f t="shared" si="309"/>
        <v>1</v>
      </c>
      <c r="L3110" s="6">
        <v>503.28</v>
      </c>
      <c r="M3110" s="9">
        <f t="shared" si="306"/>
        <v>6.1861499999999996</v>
      </c>
      <c r="N3110" s="6">
        <v>503.28</v>
      </c>
      <c r="O3110" s="6">
        <v>0</v>
      </c>
    </row>
    <row r="3111" spans="1:15" ht="18.75" hidden="1" customHeight="1" thickBot="1" x14ac:dyDescent="0.3">
      <c r="A3111" s="3" t="s">
        <v>11</v>
      </c>
      <c r="B3111" s="4">
        <v>740073</v>
      </c>
      <c r="C3111" s="3" t="s">
        <v>22</v>
      </c>
      <c r="D3111" s="7">
        <v>6.7500000000000004E-2</v>
      </c>
      <c r="E3111" s="7">
        <f t="shared" si="307"/>
        <v>5.6250000000000007E-3</v>
      </c>
      <c r="F3111" s="5">
        <v>45180</v>
      </c>
      <c r="G3111" s="5">
        <v>2958465</v>
      </c>
      <c r="H3111" s="8">
        <f t="shared" si="308"/>
        <v>2913285</v>
      </c>
      <c r="I3111" s="5">
        <v>2958465</v>
      </c>
      <c r="J3111" s="5">
        <v>45181</v>
      </c>
      <c r="K3111" s="8">
        <f t="shared" si="309"/>
        <v>1</v>
      </c>
      <c r="L3111" s="6">
        <v>1045.6400000000001</v>
      </c>
      <c r="M3111" s="9">
        <f t="shared" si="306"/>
        <v>5.8817250000000012</v>
      </c>
      <c r="N3111" s="6">
        <v>1045.6400000000001</v>
      </c>
      <c r="O3111" s="6">
        <v>0</v>
      </c>
    </row>
    <row r="3112" spans="1:15" ht="18.75" hidden="1" customHeight="1" thickBot="1" x14ac:dyDescent="0.3">
      <c r="A3112" s="3" t="s">
        <v>11</v>
      </c>
      <c r="B3112" s="4">
        <v>961473</v>
      </c>
      <c r="C3112" s="3" t="s">
        <v>22</v>
      </c>
      <c r="D3112" s="7">
        <v>6.7500000000000004E-2</v>
      </c>
      <c r="E3112" s="7">
        <f t="shared" si="307"/>
        <v>5.6250000000000007E-3</v>
      </c>
      <c r="F3112" s="5">
        <v>45145</v>
      </c>
      <c r="G3112" s="5">
        <v>2958465</v>
      </c>
      <c r="H3112" s="8">
        <f t="shared" si="308"/>
        <v>2913320</v>
      </c>
      <c r="I3112" s="5">
        <v>2958465</v>
      </c>
      <c r="J3112" s="5">
        <v>45146</v>
      </c>
      <c r="K3112" s="8">
        <f t="shared" si="309"/>
        <v>1</v>
      </c>
      <c r="L3112" s="6">
        <v>3548.81</v>
      </c>
      <c r="M3112" s="9">
        <f t="shared" si="306"/>
        <v>19.962056250000003</v>
      </c>
      <c r="N3112" s="6">
        <v>3548.81</v>
      </c>
      <c r="O3112" s="6">
        <v>212.06</v>
      </c>
    </row>
    <row r="3113" spans="1:15" ht="18.75" hidden="1" customHeight="1" thickBot="1" x14ac:dyDescent="0.3">
      <c r="A3113" s="3" t="s">
        <v>11</v>
      </c>
      <c r="B3113" s="4">
        <v>158627</v>
      </c>
      <c r="C3113" s="3" t="s">
        <v>22</v>
      </c>
      <c r="D3113" s="7">
        <v>6.7500000000000004E-2</v>
      </c>
      <c r="E3113" s="7">
        <f t="shared" si="307"/>
        <v>5.6250000000000007E-3</v>
      </c>
      <c r="F3113" s="5">
        <v>45026</v>
      </c>
      <c r="G3113" s="5">
        <v>2958465</v>
      </c>
      <c r="H3113" s="8">
        <f t="shared" si="308"/>
        <v>2913439</v>
      </c>
      <c r="I3113" s="5">
        <v>2958465</v>
      </c>
      <c r="J3113" s="5">
        <v>45027</v>
      </c>
      <c r="K3113" s="8">
        <f t="shared" si="309"/>
        <v>1</v>
      </c>
      <c r="L3113" s="6">
        <v>2244.31</v>
      </c>
      <c r="M3113" s="9">
        <f t="shared" si="306"/>
        <v>12.624243750000002</v>
      </c>
      <c r="N3113" s="6">
        <v>2244.31</v>
      </c>
      <c r="O3113" s="6">
        <v>0</v>
      </c>
    </row>
    <row r="3114" spans="1:15" ht="18.75" hidden="1" customHeight="1" thickBot="1" x14ac:dyDescent="0.3">
      <c r="A3114" s="3" t="s">
        <v>11</v>
      </c>
      <c r="B3114" s="4">
        <v>49358</v>
      </c>
      <c r="C3114" s="3" t="s">
        <v>22</v>
      </c>
      <c r="D3114" s="7">
        <v>6.7500000000000004E-2</v>
      </c>
      <c r="E3114" s="7">
        <f t="shared" si="307"/>
        <v>5.6250000000000007E-3</v>
      </c>
      <c r="F3114" s="5">
        <v>45117</v>
      </c>
      <c r="G3114" s="5">
        <v>2958465</v>
      </c>
      <c r="H3114" s="8">
        <f t="shared" si="308"/>
        <v>2913348</v>
      </c>
      <c r="I3114" s="5">
        <v>2958465</v>
      </c>
      <c r="J3114" s="5">
        <v>45118</v>
      </c>
      <c r="K3114" s="8">
        <f t="shared" si="309"/>
        <v>1</v>
      </c>
      <c r="L3114" s="6">
        <v>448.35</v>
      </c>
      <c r="M3114" s="9">
        <f t="shared" si="306"/>
        <v>2.5219687500000005</v>
      </c>
      <c r="N3114" s="6">
        <v>448.35</v>
      </c>
      <c r="O3114" s="6">
        <v>0</v>
      </c>
    </row>
    <row r="3115" spans="1:15" ht="18.75" hidden="1" customHeight="1" thickBot="1" x14ac:dyDescent="0.3">
      <c r="A3115" s="3" t="s">
        <v>11</v>
      </c>
      <c r="B3115" s="4">
        <v>423533</v>
      </c>
      <c r="C3115" s="3" t="s">
        <v>22</v>
      </c>
      <c r="D3115" s="7">
        <v>7.4999999999999997E-2</v>
      </c>
      <c r="E3115" s="7">
        <f t="shared" si="307"/>
        <v>6.2499999999999995E-3</v>
      </c>
      <c r="F3115" s="5">
        <v>45937</v>
      </c>
      <c r="G3115" s="5">
        <v>2958465</v>
      </c>
      <c r="H3115" s="8">
        <f t="shared" si="308"/>
        <v>2912528</v>
      </c>
      <c r="I3115" s="5">
        <v>2958465</v>
      </c>
      <c r="J3115" s="5">
        <v>45938</v>
      </c>
      <c r="K3115" s="8">
        <f t="shared" si="309"/>
        <v>1</v>
      </c>
      <c r="L3115" s="6">
        <v>2239.17</v>
      </c>
      <c r="M3115" s="9">
        <f t="shared" si="306"/>
        <v>13.9948125</v>
      </c>
      <c r="N3115" s="6">
        <v>2239.17</v>
      </c>
      <c r="O3115" s="6">
        <v>14.78</v>
      </c>
    </row>
    <row r="3116" spans="1:15" ht="18.75" hidden="1" customHeight="1" thickBot="1" x14ac:dyDescent="0.3">
      <c r="A3116" s="3" t="s">
        <v>11</v>
      </c>
      <c r="B3116" s="4">
        <v>481982</v>
      </c>
      <c r="C3116" s="3" t="s">
        <v>22</v>
      </c>
      <c r="D3116" s="7">
        <v>6.7500000000000004E-2</v>
      </c>
      <c r="E3116" s="7">
        <f t="shared" si="307"/>
        <v>5.6250000000000007E-3</v>
      </c>
      <c r="F3116" s="5">
        <v>45117</v>
      </c>
      <c r="G3116" s="5">
        <v>2958465</v>
      </c>
      <c r="H3116" s="8">
        <f t="shared" si="308"/>
        <v>2913348</v>
      </c>
      <c r="I3116" s="5">
        <v>2958465</v>
      </c>
      <c r="J3116" s="5">
        <v>45118</v>
      </c>
      <c r="K3116" s="8">
        <f t="shared" si="309"/>
        <v>1</v>
      </c>
      <c r="L3116" s="6">
        <v>619.41</v>
      </c>
      <c r="M3116" s="9">
        <f t="shared" si="306"/>
        <v>3.4841812500000002</v>
      </c>
      <c r="N3116" s="6">
        <v>619.41</v>
      </c>
      <c r="O3116" s="6">
        <v>515.26</v>
      </c>
    </row>
    <row r="3117" spans="1:15" ht="18.75" hidden="1" customHeight="1" thickBot="1" x14ac:dyDescent="0.3">
      <c r="A3117" s="3" t="s">
        <v>11</v>
      </c>
      <c r="B3117" s="4">
        <v>713857</v>
      </c>
      <c r="C3117" s="3" t="s">
        <v>22</v>
      </c>
      <c r="D3117" s="7">
        <v>0.08</v>
      </c>
      <c r="E3117" s="7">
        <f t="shared" si="307"/>
        <v>6.6666666666666671E-3</v>
      </c>
      <c r="F3117" s="5">
        <v>46006</v>
      </c>
      <c r="G3117" s="5">
        <v>2958465</v>
      </c>
      <c r="H3117" s="8">
        <f t="shared" si="308"/>
        <v>2912459</v>
      </c>
      <c r="I3117" s="5">
        <v>2958465</v>
      </c>
      <c r="J3117" s="5">
        <v>46007</v>
      </c>
      <c r="K3117" s="8">
        <f t="shared" si="309"/>
        <v>1</v>
      </c>
      <c r="L3117" s="6">
        <v>230.62</v>
      </c>
      <c r="M3117" s="9">
        <f t="shared" si="306"/>
        <v>1.5374666666666668</v>
      </c>
      <c r="N3117" s="6">
        <v>230.62</v>
      </c>
      <c r="O3117" s="6">
        <v>0</v>
      </c>
    </row>
    <row r="3118" spans="1:15" ht="18.75" hidden="1" customHeight="1" thickBot="1" x14ac:dyDescent="0.3">
      <c r="A3118" s="3" t="s">
        <v>11</v>
      </c>
      <c r="B3118" s="4">
        <v>327007</v>
      </c>
      <c r="C3118" s="3" t="s">
        <v>22</v>
      </c>
      <c r="D3118" s="7">
        <v>7.2499999999999995E-2</v>
      </c>
      <c r="E3118" s="7">
        <f t="shared" si="307"/>
        <v>6.0416666666666665E-3</v>
      </c>
      <c r="F3118" s="5">
        <v>45699</v>
      </c>
      <c r="G3118" s="5">
        <v>2958465</v>
      </c>
      <c r="H3118" s="8">
        <f t="shared" si="308"/>
        <v>2912766</v>
      </c>
      <c r="I3118" s="5">
        <v>2958465</v>
      </c>
      <c r="J3118" s="5">
        <v>45700</v>
      </c>
      <c r="K3118" s="8">
        <f t="shared" si="309"/>
        <v>1</v>
      </c>
      <c r="L3118" s="6">
        <v>710.91</v>
      </c>
      <c r="M3118" s="9">
        <f t="shared" si="306"/>
        <v>4.29508125</v>
      </c>
      <c r="N3118" s="6">
        <v>710.91</v>
      </c>
      <c r="O3118" s="6">
        <v>0</v>
      </c>
    </row>
    <row r="3119" spans="1:15" ht="18.75" hidden="1" customHeight="1" thickBot="1" x14ac:dyDescent="0.3">
      <c r="A3119" s="3" t="s">
        <v>11</v>
      </c>
      <c r="B3119" s="4">
        <v>380954</v>
      </c>
      <c r="C3119" s="3" t="s">
        <v>22</v>
      </c>
      <c r="D3119" s="7">
        <v>6.7500000000000004E-2</v>
      </c>
      <c r="E3119" s="7">
        <f t="shared" si="307"/>
        <v>5.6250000000000007E-3</v>
      </c>
      <c r="F3119" s="5">
        <v>45362</v>
      </c>
      <c r="G3119" s="5">
        <v>2958465</v>
      </c>
      <c r="H3119" s="8">
        <f t="shared" si="308"/>
        <v>2913103</v>
      </c>
      <c r="I3119" s="5">
        <v>2958465</v>
      </c>
      <c r="J3119" s="5">
        <v>45363</v>
      </c>
      <c r="K3119" s="8">
        <f t="shared" si="309"/>
        <v>1</v>
      </c>
      <c r="L3119" s="6">
        <v>721.45</v>
      </c>
      <c r="M3119" s="9">
        <f t="shared" si="306"/>
        <v>4.0581562500000006</v>
      </c>
      <c r="N3119" s="6">
        <v>721.45</v>
      </c>
      <c r="O3119" s="6">
        <v>0</v>
      </c>
    </row>
    <row r="3120" spans="1:15" ht="18.75" hidden="1" customHeight="1" thickBot="1" x14ac:dyDescent="0.3">
      <c r="A3120" s="3" t="s">
        <v>11</v>
      </c>
      <c r="B3120" s="4">
        <v>811010</v>
      </c>
      <c r="C3120" s="3" t="s">
        <v>22</v>
      </c>
      <c r="D3120" s="7">
        <v>7.0000000000000007E-2</v>
      </c>
      <c r="E3120" s="7">
        <f t="shared" si="307"/>
        <v>5.8333333333333336E-3</v>
      </c>
      <c r="F3120" s="5">
        <v>45002</v>
      </c>
      <c r="G3120" s="5">
        <v>2958465</v>
      </c>
      <c r="H3120" s="8">
        <f t="shared" si="308"/>
        <v>2913463</v>
      </c>
      <c r="I3120" s="5">
        <v>2958465</v>
      </c>
      <c r="J3120" s="5">
        <v>45005</v>
      </c>
      <c r="K3120" s="8">
        <f t="shared" si="309"/>
        <v>3</v>
      </c>
      <c r="L3120" s="6">
        <v>1693.72</v>
      </c>
      <c r="M3120" s="9">
        <f t="shared" si="306"/>
        <v>9.8800333333333334</v>
      </c>
      <c r="N3120" s="6">
        <v>1693.72</v>
      </c>
      <c r="O3120" s="6">
        <v>0</v>
      </c>
    </row>
    <row r="3121" spans="1:15" ht="18.75" hidden="1" customHeight="1" thickBot="1" x14ac:dyDescent="0.3">
      <c r="A3121" s="3" t="s">
        <v>11</v>
      </c>
      <c r="B3121" s="4">
        <v>603217</v>
      </c>
      <c r="C3121" s="3" t="s">
        <v>22</v>
      </c>
      <c r="D3121" s="7">
        <v>6.7500000000000004E-2</v>
      </c>
      <c r="E3121" s="7">
        <f t="shared" si="307"/>
        <v>5.6250000000000007E-3</v>
      </c>
      <c r="F3121" s="5">
        <v>45425</v>
      </c>
      <c r="G3121" s="5">
        <v>2958465</v>
      </c>
      <c r="H3121" s="8">
        <f t="shared" si="308"/>
        <v>2913040</v>
      </c>
      <c r="I3121" s="5">
        <v>2958465</v>
      </c>
      <c r="J3121" s="5">
        <v>45426</v>
      </c>
      <c r="K3121" s="8">
        <f t="shared" si="309"/>
        <v>1</v>
      </c>
      <c r="L3121" s="6">
        <v>752.63</v>
      </c>
      <c r="M3121" s="9">
        <f t="shared" si="306"/>
        <v>4.2335437500000008</v>
      </c>
      <c r="N3121" s="6">
        <v>752.63</v>
      </c>
      <c r="O3121" s="6">
        <v>0</v>
      </c>
    </row>
    <row r="3122" spans="1:15" ht="18.75" hidden="1" customHeight="1" thickBot="1" x14ac:dyDescent="0.3">
      <c r="A3122" s="3" t="s">
        <v>11</v>
      </c>
      <c r="B3122" s="4">
        <v>898400</v>
      </c>
      <c r="C3122" s="3" t="s">
        <v>22</v>
      </c>
      <c r="D3122" s="7">
        <v>6.7500000000000004E-2</v>
      </c>
      <c r="E3122" s="7">
        <f t="shared" si="307"/>
        <v>5.6250000000000007E-3</v>
      </c>
      <c r="F3122" s="5">
        <v>45145</v>
      </c>
      <c r="G3122" s="5">
        <v>2958465</v>
      </c>
      <c r="H3122" s="8">
        <f t="shared" si="308"/>
        <v>2913320</v>
      </c>
      <c r="I3122" s="5">
        <v>2958465</v>
      </c>
      <c r="J3122" s="5">
        <v>45146</v>
      </c>
      <c r="K3122" s="8">
        <f t="shared" si="309"/>
        <v>1</v>
      </c>
      <c r="L3122" s="6">
        <v>1170.06</v>
      </c>
      <c r="M3122" s="9">
        <f t="shared" si="306"/>
        <v>6.5815875000000004</v>
      </c>
      <c r="N3122" s="6">
        <v>1170.06</v>
      </c>
      <c r="O3122" s="6">
        <v>0</v>
      </c>
    </row>
    <row r="3123" spans="1:15" ht="18.75" hidden="1" customHeight="1" thickBot="1" x14ac:dyDescent="0.3">
      <c r="A3123" s="3" t="s">
        <v>11</v>
      </c>
      <c r="B3123" s="4">
        <v>464316</v>
      </c>
      <c r="C3123" s="3" t="s">
        <v>22</v>
      </c>
      <c r="D3123" s="7">
        <v>6.7500000000000004E-2</v>
      </c>
      <c r="E3123" s="7">
        <f t="shared" si="307"/>
        <v>5.6250000000000007E-3</v>
      </c>
      <c r="F3123" s="5">
        <v>45058</v>
      </c>
      <c r="G3123" s="5">
        <v>2958465</v>
      </c>
      <c r="H3123" s="8">
        <f t="shared" si="308"/>
        <v>2913407</v>
      </c>
      <c r="I3123" s="5">
        <v>2958465</v>
      </c>
      <c r="J3123" s="5">
        <v>45061</v>
      </c>
      <c r="K3123" s="8">
        <f t="shared" si="309"/>
        <v>3</v>
      </c>
      <c r="L3123" s="6">
        <v>750.32</v>
      </c>
      <c r="M3123" s="9">
        <f t="shared" si="306"/>
        <v>4.2205500000000011</v>
      </c>
      <c r="N3123" s="6">
        <v>750.32</v>
      </c>
      <c r="O3123" s="6">
        <v>400</v>
      </c>
    </row>
    <row r="3124" spans="1:15" ht="18.75" hidden="1" customHeight="1" thickBot="1" x14ac:dyDescent="0.3">
      <c r="A3124" s="3" t="s">
        <v>11</v>
      </c>
      <c r="B3124" s="4">
        <v>536246</v>
      </c>
      <c r="C3124" s="3" t="s">
        <v>22</v>
      </c>
      <c r="D3124" s="7">
        <v>6.7500000000000004E-2</v>
      </c>
      <c r="E3124" s="7">
        <f t="shared" si="307"/>
        <v>5.6250000000000007E-3</v>
      </c>
      <c r="F3124" s="5">
        <v>45308</v>
      </c>
      <c r="G3124" s="5">
        <v>2958465</v>
      </c>
      <c r="H3124" s="8">
        <f t="shared" si="308"/>
        <v>2913157</v>
      </c>
      <c r="I3124" s="5">
        <v>2958465</v>
      </c>
      <c r="J3124" s="5">
        <v>45310</v>
      </c>
      <c r="K3124" s="8">
        <f t="shared" si="309"/>
        <v>2</v>
      </c>
      <c r="L3124" s="6">
        <v>1200.25</v>
      </c>
      <c r="M3124" s="9">
        <f t="shared" si="306"/>
        <v>6.7514062500000005</v>
      </c>
      <c r="N3124" s="6">
        <v>1200.25</v>
      </c>
      <c r="O3124" s="6">
        <v>0</v>
      </c>
    </row>
    <row r="3125" spans="1:15" ht="18.75" hidden="1" customHeight="1" thickBot="1" x14ac:dyDescent="0.3">
      <c r="A3125" s="3" t="s">
        <v>11</v>
      </c>
      <c r="B3125" s="4">
        <v>542458</v>
      </c>
      <c r="C3125" s="3" t="s">
        <v>22</v>
      </c>
      <c r="D3125" s="7">
        <v>6.7500000000000004E-2</v>
      </c>
      <c r="E3125" s="7">
        <f t="shared" si="307"/>
        <v>5.6250000000000007E-3</v>
      </c>
      <c r="F3125" s="5">
        <v>45117</v>
      </c>
      <c r="G3125" s="5">
        <v>2958465</v>
      </c>
      <c r="H3125" s="8">
        <f t="shared" si="308"/>
        <v>2913348</v>
      </c>
      <c r="I3125" s="5">
        <v>2958465</v>
      </c>
      <c r="J3125" s="5">
        <v>45118</v>
      </c>
      <c r="K3125" s="8">
        <f t="shared" si="309"/>
        <v>1</v>
      </c>
      <c r="L3125" s="6">
        <v>889.54</v>
      </c>
      <c r="M3125" s="9">
        <f t="shared" si="306"/>
        <v>5.0036625000000008</v>
      </c>
      <c r="N3125" s="6">
        <v>889.54</v>
      </c>
      <c r="O3125" s="6">
        <v>0</v>
      </c>
    </row>
    <row r="3126" spans="1:15" ht="18.75" hidden="1" customHeight="1" thickBot="1" x14ac:dyDescent="0.3">
      <c r="A3126" s="3" t="s">
        <v>11</v>
      </c>
      <c r="B3126" s="4">
        <v>883611</v>
      </c>
      <c r="C3126" s="3" t="s">
        <v>22</v>
      </c>
      <c r="D3126" s="7">
        <v>8.5000000000000006E-2</v>
      </c>
      <c r="E3126" s="7">
        <f t="shared" si="307"/>
        <v>7.0833333333333338E-3</v>
      </c>
      <c r="F3126" s="5">
        <v>45026</v>
      </c>
      <c r="G3126" s="5">
        <v>2958465</v>
      </c>
      <c r="H3126" s="8">
        <f t="shared" si="308"/>
        <v>2913439</v>
      </c>
      <c r="I3126" s="5">
        <v>2958465</v>
      </c>
      <c r="J3126" s="5">
        <v>45027</v>
      </c>
      <c r="K3126" s="8">
        <f t="shared" si="309"/>
        <v>1</v>
      </c>
      <c r="L3126" s="6">
        <v>184.64</v>
      </c>
      <c r="M3126" s="9">
        <f t="shared" si="306"/>
        <v>1.3078666666666667</v>
      </c>
      <c r="N3126" s="6">
        <v>184.64</v>
      </c>
      <c r="O3126" s="6">
        <v>184.64</v>
      </c>
    </row>
    <row r="3127" spans="1:15" ht="18.75" hidden="1" customHeight="1" thickBot="1" x14ac:dyDescent="0.3">
      <c r="A3127" s="3" t="s">
        <v>11</v>
      </c>
      <c r="B3127" s="4">
        <v>922800</v>
      </c>
      <c r="C3127" s="3" t="s">
        <v>22</v>
      </c>
      <c r="D3127" s="7">
        <v>6.7500000000000004E-2</v>
      </c>
      <c r="E3127" s="7">
        <f t="shared" si="307"/>
        <v>5.6250000000000007E-3</v>
      </c>
      <c r="F3127" s="5">
        <v>45393</v>
      </c>
      <c r="G3127" s="5">
        <v>2958465</v>
      </c>
      <c r="H3127" s="8">
        <f t="shared" si="308"/>
        <v>2913072</v>
      </c>
      <c r="I3127" s="5">
        <v>2958465</v>
      </c>
      <c r="J3127" s="5">
        <v>45394</v>
      </c>
      <c r="K3127" s="8">
        <f t="shared" si="309"/>
        <v>1</v>
      </c>
      <c r="L3127" s="6">
        <v>1021.2</v>
      </c>
      <c r="M3127" s="9">
        <f t="shared" si="306"/>
        <v>5.744250000000001</v>
      </c>
      <c r="N3127" s="6">
        <v>1021.2</v>
      </c>
      <c r="O3127" s="6">
        <v>940.2</v>
      </c>
    </row>
    <row r="3128" spans="1:15" ht="18.75" hidden="1" customHeight="1" thickBot="1" x14ac:dyDescent="0.3">
      <c r="A3128" s="3" t="s">
        <v>11</v>
      </c>
      <c r="B3128" s="4">
        <v>820069</v>
      </c>
      <c r="C3128" s="3" t="s">
        <v>22</v>
      </c>
      <c r="D3128" s="7">
        <v>7.0000000000000007E-2</v>
      </c>
      <c r="E3128" s="7">
        <f t="shared" si="307"/>
        <v>5.8333333333333336E-3</v>
      </c>
      <c r="F3128" s="5">
        <v>45328</v>
      </c>
      <c r="G3128" s="5">
        <v>2958465</v>
      </c>
      <c r="H3128" s="8">
        <f t="shared" si="308"/>
        <v>2913137</v>
      </c>
      <c r="I3128" s="5">
        <v>2958465</v>
      </c>
      <c r="J3128" s="5">
        <v>45329</v>
      </c>
      <c r="K3128" s="8">
        <f t="shared" si="309"/>
        <v>1</v>
      </c>
      <c r="L3128" s="6">
        <v>1578.7</v>
      </c>
      <c r="M3128" s="9">
        <f t="shared" si="306"/>
        <v>9.209083333333334</v>
      </c>
      <c r="N3128" s="6">
        <v>1578.7</v>
      </c>
      <c r="O3128" s="6">
        <v>1578.7</v>
      </c>
    </row>
    <row r="3129" spans="1:15" ht="18.75" hidden="1" customHeight="1" thickBot="1" x14ac:dyDescent="0.3">
      <c r="A3129" s="3" t="s">
        <v>11</v>
      </c>
      <c r="B3129" s="4">
        <v>996032</v>
      </c>
      <c r="C3129" s="3" t="s">
        <v>22</v>
      </c>
      <c r="D3129" s="7">
        <v>6.7500000000000004E-2</v>
      </c>
      <c r="E3129" s="7">
        <f t="shared" si="307"/>
        <v>5.6250000000000007E-3</v>
      </c>
      <c r="F3129" s="5">
        <v>45331</v>
      </c>
      <c r="G3129" s="5">
        <v>2958465</v>
      </c>
      <c r="H3129" s="8">
        <f t="shared" si="308"/>
        <v>2913134</v>
      </c>
      <c r="I3129" s="5">
        <v>2958465</v>
      </c>
      <c r="J3129" s="5">
        <v>45334</v>
      </c>
      <c r="K3129" s="8">
        <f t="shared" si="309"/>
        <v>3</v>
      </c>
      <c r="L3129" s="6">
        <v>620.94000000000005</v>
      </c>
      <c r="M3129" s="9">
        <f t="shared" si="306"/>
        <v>3.4927875000000008</v>
      </c>
      <c r="N3129" s="6">
        <v>620.94000000000005</v>
      </c>
      <c r="O3129" s="6">
        <v>289.05</v>
      </c>
    </row>
    <row r="3130" spans="1:15" ht="18.75" hidden="1" customHeight="1" thickBot="1" x14ac:dyDescent="0.3">
      <c r="A3130" s="3" t="s">
        <v>11</v>
      </c>
      <c r="B3130" s="4">
        <v>887788</v>
      </c>
      <c r="C3130" s="3" t="s">
        <v>22</v>
      </c>
      <c r="D3130" s="7">
        <v>6.7500000000000004E-2</v>
      </c>
      <c r="E3130" s="7">
        <f t="shared" si="307"/>
        <v>5.6250000000000007E-3</v>
      </c>
      <c r="F3130" s="5">
        <v>45026</v>
      </c>
      <c r="G3130" s="5">
        <v>2958465</v>
      </c>
      <c r="H3130" s="8">
        <f t="shared" si="308"/>
        <v>2913439</v>
      </c>
      <c r="I3130" s="5">
        <v>2958465</v>
      </c>
      <c r="J3130" s="5">
        <v>45027</v>
      </c>
      <c r="K3130" s="8">
        <f t="shared" si="309"/>
        <v>1</v>
      </c>
      <c r="L3130" s="6">
        <v>888.59</v>
      </c>
      <c r="M3130" s="9">
        <f t="shared" si="306"/>
        <v>4.998318750000001</v>
      </c>
      <c r="N3130" s="6">
        <v>888.59</v>
      </c>
      <c r="O3130" s="6">
        <v>0</v>
      </c>
    </row>
    <row r="3131" spans="1:15" ht="18.75" hidden="1" customHeight="1" thickBot="1" x14ac:dyDescent="0.3">
      <c r="A3131" s="3" t="s">
        <v>11</v>
      </c>
      <c r="B3131" s="4">
        <v>526012</v>
      </c>
      <c r="C3131" s="3" t="s">
        <v>22</v>
      </c>
      <c r="D3131" s="7">
        <v>6.7500000000000004E-2</v>
      </c>
      <c r="E3131" s="7">
        <f t="shared" si="307"/>
        <v>5.6250000000000007E-3</v>
      </c>
      <c r="F3131" s="5">
        <v>45098</v>
      </c>
      <c r="G3131" s="5">
        <v>2958465</v>
      </c>
      <c r="H3131" s="8">
        <f t="shared" si="308"/>
        <v>2913367</v>
      </c>
      <c r="I3131" s="5">
        <v>2958465</v>
      </c>
      <c r="J3131" s="5">
        <v>45099</v>
      </c>
      <c r="K3131" s="8">
        <f t="shared" si="309"/>
        <v>1</v>
      </c>
      <c r="L3131" s="6">
        <v>715.89</v>
      </c>
      <c r="M3131" s="9">
        <f t="shared" si="306"/>
        <v>4.0268812500000006</v>
      </c>
      <c r="N3131" s="6">
        <v>715.89</v>
      </c>
      <c r="O3131" s="6">
        <v>0</v>
      </c>
    </row>
    <row r="3132" spans="1:15" ht="18.75" hidden="1" customHeight="1" thickBot="1" x14ac:dyDescent="0.3">
      <c r="A3132" s="3" t="s">
        <v>11</v>
      </c>
      <c r="B3132" s="4">
        <v>178768</v>
      </c>
      <c r="C3132" s="3" t="s">
        <v>22</v>
      </c>
      <c r="D3132" s="7">
        <v>6.7500000000000004E-2</v>
      </c>
      <c r="E3132" s="7">
        <f t="shared" si="307"/>
        <v>5.6250000000000007E-3</v>
      </c>
      <c r="F3132" s="5">
        <v>45481</v>
      </c>
      <c r="G3132" s="5">
        <v>2958465</v>
      </c>
      <c r="H3132" s="8">
        <f t="shared" si="308"/>
        <v>2912984</v>
      </c>
      <c r="I3132" s="5">
        <v>2958465</v>
      </c>
      <c r="J3132" s="5">
        <v>45483</v>
      </c>
      <c r="K3132" s="8">
        <f t="shared" si="309"/>
        <v>2</v>
      </c>
      <c r="L3132" s="6">
        <v>507.98</v>
      </c>
      <c r="M3132" s="9">
        <f t="shared" si="306"/>
        <v>2.8573875000000006</v>
      </c>
      <c r="N3132" s="6">
        <v>507.98</v>
      </c>
      <c r="O3132" s="6">
        <v>0</v>
      </c>
    </row>
    <row r="3133" spans="1:15" ht="18.75" hidden="1" customHeight="1" thickBot="1" x14ac:dyDescent="0.3">
      <c r="A3133" s="3" t="s">
        <v>11</v>
      </c>
      <c r="B3133" s="4">
        <v>162175</v>
      </c>
      <c r="C3133" s="3" t="s">
        <v>22</v>
      </c>
      <c r="D3133" s="7">
        <v>7.2499999999999995E-2</v>
      </c>
      <c r="E3133" s="7">
        <f t="shared" si="307"/>
        <v>6.0416666666666665E-3</v>
      </c>
      <c r="F3133" s="5">
        <v>45723</v>
      </c>
      <c r="G3133" s="5">
        <v>2958465</v>
      </c>
      <c r="H3133" s="8">
        <f t="shared" si="308"/>
        <v>2912742</v>
      </c>
      <c r="I3133" s="5">
        <v>2958465</v>
      </c>
      <c r="J3133" s="5">
        <v>45726</v>
      </c>
      <c r="K3133" s="8">
        <f t="shared" si="309"/>
        <v>3</v>
      </c>
      <c r="L3133" s="6">
        <v>829.52</v>
      </c>
      <c r="M3133" s="9">
        <f t="shared" si="306"/>
        <v>5.011683333333333</v>
      </c>
      <c r="N3133" s="6">
        <v>829.52</v>
      </c>
      <c r="O3133" s="6">
        <v>0</v>
      </c>
    </row>
    <row r="3134" spans="1:15" ht="18.75" hidden="1" customHeight="1" thickBot="1" x14ac:dyDescent="0.3">
      <c r="A3134" s="3" t="s">
        <v>11</v>
      </c>
      <c r="B3134" s="4">
        <v>567262</v>
      </c>
      <c r="C3134" s="3" t="s">
        <v>22</v>
      </c>
      <c r="D3134" s="7">
        <v>8.5000000000000006E-2</v>
      </c>
      <c r="E3134" s="7">
        <f t="shared" si="307"/>
        <v>7.0833333333333338E-3</v>
      </c>
      <c r="F3134" s="5">
        <v>45145</v>
      </c>
      <c r="G3134" s="5">
        <v>2958465</v>
      </c>
      <c r="H3134" s="8">
        <f t="shared" si="308"/>
        <v>2913320</v>
      </c>
      <c r="I3134" s="5">
        <v>2958465</v>
      </c>
      <c r="J3134" s="5">
        <v>45146</v>
      </c>
      <c r="K3134" s="8">
        <f t="shared" si="309"/>
        <v>1</v>
      </c>
      <c r="L3134" s="6">
        <v>1725.04</v>
      </c>
      <c r="M3134" s="9">
        <f t="shared" si="306"/>
        <v>12.219033333333334</v>
      </c>
      <c r="N3134" s="6">
        <v>1725.04</v>
      </c>
      <c r="O3134" s="6">
        <v>1725.04</v>
      </c>
    </row>
    <row r="3135" spans="1:15" ht="18.75" hidden="1" customHeight="1" thickBot="1" x14ac:dyDescent="0.3">
      <c r="A3135" s="3" t="s">
        <v>11</v>
      </c>
      <c r="B3135" s="4">
        <v>941948</v>
      </c>
      <c r="C3135" s="3" t="s">
        <v>22</v>
      </c>
      <c r="D3135" s="7">
        <v>6.7500000000000004E-2</v>
      </c>
      <c r="E3135" s="7">
        <f t="shared" si="307"/>
        <v>5.6250000000000007E-3</v>
      </c>
      <c r="F3135" s="5">
        <v>45481</v>
      </c>
      <c r="G3135" s="5">
        <v>2958465</v>
      </c>
      <c r="H3135" s="8">
        <f t="shared" si="308"/>
        <v>2912984</v>
      </c>
      <c r="I3135" s="5">
        <v>2958465</v>
      </c>
      <c r="J3135" s="5">
        <v>45483</v>
      </c>
      <c r="K3135" s="8">
        <f t="shared" si="309"/>
        <v>2</v>
      </c>
      <c r="L3135" s="6">
        <v>538.15</v>
      </c>
      <c r="M3135" s="9">
        <f t="shared" si="306"/>
        <v>3.0270937500000001</v>
      </c>
      <c r="N3135" s="6">
        <v>538.15</v>
      </c>
      <c r="O3135" s="6">
        <v>0</v>
      </c>
    </row>
    <row r="3136" spans="1:15" ht="18.75" hidden="1" customHeight="1" thickBot="1" x14ac:dyDescent="0.3">
      <c r="A3136" s="3" t="s">
        <v>11</v>
      </c>
      <c r="B3136" s="4">
        <v>611435</v>
      </c>
      <c r="C3136" s="3" t="s">
        <v>22</v>
      </c>
      <c r="D3136" s="7">
        <v>7.2499999999999995E-2</v>
      </c>
      <c r="E3136" s="7">
        <f t="shared" si="307"/>
        <v>6.0416666666666665E-3</v>
      </c>
      <c r="F3136" s="5">
        <v>45819</v>
      </c>
      <c r="G3136" s="5">
        <v>2958465</v>
      </c>
      <c r="H3136" s="8">
        <f t="shared" si="308"/>
        <v>2912646</v>
      </c>
      <c r="I3136" s="5">
        <v>2958465</v>
      </c>
      <c r="J3136" s="5">
        <v>45820</v>
      </c>
      <c r="K3136" s="8">
        <f t="shared" si="309"/>
        <v>1</v>
      </c>
      <c r="L3136" s="6">
        <v>598.39</v>
      </c>
      <c r="M3136" s="9">
        <f t="shared" si="306"/>
        <v>3.6152729166666666</v>
      </c>
      <c r="N3136" s="6">
        <v>598.39</v>
      </c>
      <c r="O3136" s="6">
        <v>0</v>
      </c>
    </row>
    <row r="3137" spans="1:15" ht="18.75" hidden="1" customHeight="1" thickBot="1" x14ac:dyDescent="0.3">
      <c r="A3137" s="3" t="s">
        <v>11</v>
      </c>
      <c r="B3137" s="4">
        <v>702766</v>
      </c>
      <c r="C3137" s="3" t="s">
        <v>22</v>
      </c>
      <c r="D3137" s="7">
        <v>6.7500000000000004E-2</v>
      </c>
      <c r="E3137" s="7">
        <f t="shared" si="307"/>
        <v>5.6250000000000007E-3</v>
      </c>
      <c r="F3137" s="5">
        <v>45098</v>
      </c>
      <c r="G3137" s="5">
        <v>2958465</v>
      </c>
      <c r="H3137" s="8">
        <f t="shared" si="308"/>
        <v>2913367</v>
      </c>
      <c r="I3137" s="5">
        <v>2958465</v>
      </c>
      <c r="J3137" s="5">
        <v>45099</v>
      </c>
      <c r="K3137" s="8">
        <f t="shared" si="309"/>
        <v>1</v>
      </c>
      <c r="L3137" s="6">
        <v>695.87</v>
      </c>
      <c r="M3137" s="9">
        <f t="shared" si="306"/>
        <v>3.9142687500000006</v>
      </c>
      <c r="N3137" s="6">
        <v>695.87</v>
      </c>
      <c r="O3137" s="6">
        <v>0</v>
      </c>
    </row>
    <row r="3138" spans="1:15" ht="18.75" hidden="1" customHeight="1" thickBot="1" x14ac:dyDescent="0.3">
      <c r="A3138" s="3" t="s">
        <v>11</v>
      </c>
      <c r="B3138" s="4">
        <v>32336</v>
      </c>
      <c r="C3138" s="3" t="s">
        <v>22</v>
      </c>
      <c r="D3138" s="7">
        <v>6.7500000000000004E-2</v>
      </c>
      <c r="E3138" s="7">
        <f t="shared" si="307"/>
        <v>5.6250000000000007E-3</v>
      </c>
      <c r="F3138" s="5">
        <v>45117</v>
      </c>
      <c r="G3138" s="5">
        <v>2958465</v>
      </c>
      <c r="H3138" s="8">
        <f t="shared" si="308"/>
        <v>2913348</v>
      </c>
      <c r="I3138" s="5">
        <v>2958465</v>
      </c>
      <c r="J3138" s="5">
        <v>45118</v>
      </c>
      <c r="K3138" s="8">
        <f t="shared" si="309"/>
        <v>1</v>
      </c>
      <c r="L3138" s="6">
        <v>645.63</v>
      </c>
      <c r="M3138" s="9">
        <f t="shared" ref="M3138:M3201" si="310">-PMT(E3138,(H3138/30),L3138)</f>
        <v>3.6316687500000002</v>
      </c>
      <c r="N3138" s="6">
        <v>645.63</v>
      </c>
      <c r="O3138" s="6">
        <v>0</v>
      </c>
    </row>
    <row r="3139" spans="1:15" ht="18.75" hidden="1" customHeight="1" thickBot="1" x14ac:dyDescent="0.3">
      <c r="A3139" s="3" t="s">
        <v>11</v>
      </c>
      <c r="B3139" s="4">
        <v>164330</v>
      </c>
      <c r="C3139" s="3" t="s">
        <v>22</v>
      </c>
      <c r="D3139" s="7">
        <v>6.7500000000000004E-2</v>
      </c>
      <c r="E3139" s="7">
        <f t="shared" ref="E3139:E3202" si="311">D3139/12</f>
        <v>5.6250000000000007E-3</v>
      </c>
      <c r="F3139" s="5">
        <v>45308</v>
      </c>
      <c r="G3139" s="5">
        <v>2958465</v>
      </c>
      <c r="H3139" s="8">
        <f t="shared" ref="H3139:H3202" si="312">G3139-F3139</f>
        <v>2913157</v>
      </c>
      <c r="I3139" s="5">
        <v>2958465</v>
      </c>
      <c r="J3139" s="5">
        <v>45310</v>
      </c>
      <c r="K3139" s="8">
        <f t="shared" ref="K3139:K3202" si="313">J3139-F3139</f>
        <v>2</v>
      </c>
      <c r="L3139" s="6">
        <v>2955.82</v>
      </c>
      <c r="M3139" s="9">
        <f t="shared" si="310"/>
        <v>16.626487500000003</v>
      </c>
      <c r="N3139" s="6">
        <v>2955.82</v>
      </c>
      <c r="O3139" s="6">
        <v>212.34</v>
      </c>
    </row>
    <row r="3140" spans="1:15" ht="18.75" hidden="1" customHeight="1" thickBot="1" x14ac:dyDescent="0.3">
      <c r="A3140" s="3" t="s">
        <v>11</v>
      </c>
      <c r="B3140" s="4">
        <v>689302</v>
      </c>
      <c r="C3140" s="3" t="s">
        <v>22</v>
      </c>
      <c r="D3140" s="7">
        <v>6.7500000000000004E-2</v>
      </c>
      <c r="E3140" s="7">
        <f t="shared" si="311"/>
        <v>5.6250000000000007E-3</v>
      </c>
      <c r="F3140" s="5">
        <v>45098</v>
      </c>
      <c r="G3140" s="5">
        <v>2958465</v>
      </c>
      <c r="H3140" s="8">
        <f t="shared" si="312"/>
        <v>2913367</v>
      </c>
      <c r="I3140" s="5">
        <v>2958465</v>
      </c>
      <c r="J3140" s="5">
        <v>45099</v>
      </c>
      <c r="K3140" s="8">
        <f t="shared" si="313"/>
        <v>1</v>
      </c>
      <c r="L3140" s="6">
        <v>637.57000000000005</v>
      </c>
      <c r="M3140" s="9">
        <f t="shared" si="310"/>
        <v>3.5863312500000006</v>
      </c>
      <c r="N3140" s="6">
        <v>637.57000000000005</v>
      </c>
      <c r="O3140" s="6">
        <v>0</v>
      </c>
    </row>
    <row r="3141" spans="1:15" ht="18.75" hidden="1" customHeight="1" thickBot="1" x14ac:dyDescent="0.3">
      <c r="A3141" s="3" t="s">
        <v>11</v>
      </c>
      <c r="B3141" s="4">
        <v>361190</v>
      </c>
      <c r="C3141" s="3" t="s">
        <v>22</v>
      </c>
      <c r="D3141" s="7">
        <v>7.2499999999999995E-2</v>
      </c>
      <c r="E3141" s="7">
        <f t="shared" si="311"/>
        <v>6.0416666666666665E-3</v>
      </c>
      <c r="F3141" s="5">
        <v>44935</v>
      </c>
      <c r="G3141" s="5">
        <v>2958465</v>
      </c>
      <c r="H3141" s="8">
        <f t="shared" si="312"/>
        <v>2913530</v>
      </c>
      <c r="I3141" s="5">
        <v>2958465</v>
      </c>
      <c r="J3141" s="5">
        <v>44936</v>
      </c>
      <c r="K3141" s="8">
        <f t="shared" si="313"/>
        <v>1</v>
      </c>
      <c r="L3141" s="6">
        <v>10632.68</v>
      </c>
      <c r="M3141" s="9">
        <f t="shared" si="310"/>
        <v>64.239108333333334</v>
      </c>
      <c r="N3141" s="6">
        <v>10632.68</v>
      </c>
      <c r="O3141" s="6">
        <v>10582.68</v>
      </c>
    </row>
    <row r="3142" spans="1:15" ht="18.75" hidden="1" customHeight="1" thickBot="1" x14ac:dyDescent="0.3">
      <c r="A3142" s="3" t="s">
        <v>11</v>
      </c>
      <c r="B3142" s="4">
        <v>943632</v>
      </c>
      <c r="C3142" s="3" t="s">
        <v>22</v>
      </c>
      <c r="D3142" s="7">
        <v>6.7500000000000004E-2</v>
      </c>
      <c r="E3142" s="7">
        <f t="shared" si="311"/>
        <v>5.6250000000000007E-3</v>
      </c>
      <c r="F3142" s="5">
        <v>45362</v>
      </c>
      <c r="G3142" s="5">
        <v>2958465</v>
      </c>
      <c r="H3142" s="8">
        <f t="shared" si="312"/>
        <v>2913103</v>
      </c>
      <c r="I3142" s="5">
        <v>2958465</v>
      </c>
      <c r="J3142" s="5">
        <v>45363</v>
      </c>
      <c r="K3142" s="8">
        <f t="shared" si="313"/>
        <v>1</v>
      </c>
      <c r="L3142" s="6">
        <v>616.21</v>
      </c>
      <c r="M3142" s="9">
        <f t="shared" si="310"/>
        <v>3.4661812500000004</v>
      </c>
      <c r="N3142" s="6">
        <v>616.21</v>
      </c>
      <c r="O3142" s="6">
        <v>505.27</v>
      </c>
    </row>
    <row r="3143" spans="1:15" ht="18.75" hidden="1" customHeight="1" thickBot="1" x14ac:dyDescent="0.3">
      <c r="A3143" s="3" t="s">
        <v>11</v>
      </c>
      <c r="B3143" s="4">
        <v>614376</v>
      </c>
      <c r="C3143" s="3" t="s">
        <v>22</v>
      </c>
      <c r="D3143" s="7">
        <v>6.7500000000000004E-2</v>
      </c>
      <c r="E3143" s="7">
        <f t="shared" si="311"/>
        <v>5.6250000000000007E-3</v>
      </c>
      <c r="F3143" s="5">
        <v>45328</v>
      </c>
      <c r="G3143" s="5">
        <v>2958465</v>
      </c>
      <c r="H3143" s="8">
        <f t="shared" si="312"/>
        <v>2913137</v>
      </c>
      <c r="I3143" s="5">
        <v>2958465</v>
      </c>
      <c r="J3143" s="5">
        <v>46036</v>
      </c>
      <c r="K3143" s="8">
        <f t="shared" si="313"/>
        <v>708</v>
      </c>
      <c r="L3143" s="6">
        <v>1999.44</v>
      </c>
      <c r="M3143" s="9">
        <f t="shared" si="310"/>
        <v>11.246850000000002</v>
      </c>
      <c r="N3143" s="6">
        <v>1999.44</v>
      </c>
      <c r="O3143" s="6">
        <v>157.71</v>
      </c>
    </row>
    <row r="3144" spans="1:15" ht="18.75" hidden="1" customHeight="1" thickBot="1" x14ac:dyDescent="0.3">
      <c r="A3144" s="3" t="s">
        <v>11</v>
      </c>
      <c r="B3144" s="4">
        <v>916409</v>
      </c>
      <c r="C3144" s="3" t="s">
        <v>22</v>
      </c>
      <c r="D3144" s="7">
        <v>6.7500000000000004E-2</v>
      </c>
      <c r="E3144" s="7">
        <f t="shared" si="311"/>
        <v>5.6250000000000007E-3</v>
      </c>
      <c r="F3144" s="5">
        <v>45098</v>
      </c>
      <c r="G3144" s="5">
        <v>2958465</v>
      </c>
      <c r="H3144" s="8">
        <f t="shared" si="312"/>
        <v>2913367</v>
      </c>
      <c r="I3144" s="5">
        <v>2958465</v>
      </c>
      <c r="J3144" s="5">
        <v>45099</v>
      </c>
      <c r="K3144" s="8">
        <f t="shared" si="313"/>
        <v>1</v>
      </c>
      <c r="L3144" s="6">
        <v>1192.6600000000001</v>
      </c>
      <c r="M3144" s="9">
        <f t="shared" si="310"/>
        <v>6.7087125000000016</v>
      </c>
      <c r="N3144" s="6">
        <v>1192.6600000000001</v>
      </c>
      <c r="O3144" s="6">
        <v>0</v>
      </c>
    </row>
    <row r="3145" spans="1:15" ht="18.75" hidden="1" customHeight="1" thickBot="1" x14ac:dyDescent="0.3">
      <c r="A3145" s="3" t="s">
        <v>11</v>
      </c>
      <c r="B3145" s="4">
        <v>152810</v>
      </c>
      <c r="C3145" s="3" t="s">
        <v>22</v>
      </c>
      <c r="D3145" s="7">
        <v>6.7500000000000004E-2</v>
      </c>
      <c r="E3145" s="7">
        <f t="shared" si="311"/>
        <v>5.6250000000000007E-3</v>
      </c>
      <c r="F3145" s="5">
        <v>45541</v>
      </c>
      <c r="G3145" s="5">
        <v>2958465</v>
      </c>
      <c r="H3145" s="8">
        <f t="shared" si="312"/>
        <v>2912924</v>
      </c>
      <c r="I3145" s="5">
        <v>2958465</v>
      </c>
      <c r="J3145" s="5">
        <v>45544</v>
      </c>
      <c r="K3145" s="8">
        <f t="shared" si="313"/>
        <v>3</v>
      </c>
      <c r="L3145" s="6">
        <v>1801.64</v>
      </c>
      <c r="M3145" s="9">
        <f t="shared" si="310"/>
        <v>10.134225000000002</v>
      </c>
      <c r="N3145" s="6">
        <v>1801.64</v>
      </c>
      <c r="O3145" s="6">
        <v>0</v>
      </c>
    </row>
    <row r="3146" spans="1:15" ht="18.75" hidden="1" customHeight="1" thickBot="1" x14ac:dyDescent="0.3">
      <c r="A3146" s="3" t="s">
        <v>11</v>
      </c>
      <c r="B3146" s="4">
        <v>784793</v>
      </c>
      <c r="C3146" s="3" t="s">
        <v>22</v>
      </c>
      <c r="D3146" s="7">
        <v>6.7500000000000004E-2</v>
      </c>
      <c r="E3146" s="7">
        <f t="shared" si="311"/>
        <v>5.6250000000000007E-3</v>
      </c>
      <c r="F3146" s="5">
        <v>45098</v>
      </c>
      <c r="G3146" s="5">
        <v>2958465</v>
      </c>
      <c r="H3146" s="8">
        <f t="shared" si="312"/>
        <v>2913367</v>
      </c>
      <c r="I3146" s="5">
        <v>2958465</v>
      </c>
      <c r="J3146" s="5">
        <v>45099</v>
      </c>
      <c r="K3146" s="8">
        <f t="shared" si="313"/>
        <v>1</v>
      </c>
      <c r="L3146" s="6">
        <v>659.37</v>
      </c>
      <c r="M3146" s="9">
        <f t="shared" si="310"/>
        <v>3.7089562500000004</v>
      </c>
      <c r="N3146" s="6">
        <v>659.37</v>
      </c>
      <c r="O3146" s="6">
        <v>0</v>
      </c>
    </row>
    <row r="3147" spans="1:15" ht="18.75" hidden="1" customHeight="1" thickBot="1" x14ac:dyDescent="0.3">
      <c r="A3147" s="3" t="s">
        <v>11</v>
      </c>
      <c r="B3147" s="4">
        <v>83897</v>
      </c>
      <c r="C3147" s="3" t="s">
        <v>22</v>
      </c>
      <c r="D3147" s="7">
        <v>7.7499999999999999E-2</v>
      </c>
      <c r="E3147" s="7">
        <f t="shared" si="311"/>
        <v>6.4583333333333333E-3</v>
      </c>
      <c r="F3147" s="5">
        <v>45642</v>
      </c>
      <c r="G3147" s="5">
        <v>2958465</v>
      </c>
      <c r="H3147" s="8">
        <f t="shared" si="312"/>
        <v>2912823</v>
      </c>
      <c r="I3147" s="5">
        <v>2958465</v>
      </c>
      <c r="J3147" s="5">
        <v>45643</v>
      </c>
      <c r="K3147" s="8">
        <f t="shared" si="313"/>
        <v>1</v>
      </c>
      <c r="L3147" s="6">
        <v>614.62</v>
      </c>
      <c r="M3147" s="9">
        <f t="shared" si="310"/>
        <v>3.9694208333333334</v>
      </c>
      <c r="N3147" s="6">
        <v>614.62</v>
      </c>
      <c r="O3147" s="6">
        <v>614.62</v>
      </c>
    </row>
    <row r="3148" spans="1:15" ht="18.75" hidden="1" customHeight="1" thickBot="1" x14ac:dyDescent="0.3">
      <c r="A3148" s="3" t="s">
        <v>11</v>
      </c>
      <c r="B3148" s="4">
        <v>120085</v>
      </c>
      <c r="C3148" s="3" t="s">
        <v>22</v>
      </c>
      <c r="D3148" s="7">
        <v>6.7500000000000004E-2</v>
      </c>
      <c r="E3148" s="7">
        <f t="shared" si="311"/>
        <v>5.6250000000000007E-3</v>
      </c>
      <c r="F3148" s="5">
        <v>45265</v>
      </c>
      <c r="G3148" s="5">
        <v>2958465</v>
      </c>
      <c r="H3148" s="8">
        <f t="shared" si="312"/>
        <v>2913200</v>
      </c>
      <c r="I3148" s="5">
        <v>2958465</v>
      </c>
      <c r="J3148" s="5">
        <v>45266</v>
      </c>
      <c r="K3148" s="8">
        <f t="shared" si="313"/>
        <v>1</v>
      </c>
      <c r="L3148" s="6">
        <v>594.29</v>
      </c>
      <c r="M3148" s="9">
        <f t="shared" si="310"/>
        <v>3.34288125</v>
      </c>
      <c r="N3148" s="6">
        <v>594.29</v>
      </c>
      <c r="O3148" s="6">
        <v>594.29</v>
      </c>
    </row>
    <row r="3149" spans="1:15" ht="18.75" hidden="1" customHeight="1" thickBot="1" x14ac:dyDescent="0.3">
      <c r="A3149" s="3" t="s">
        <v>11</v>
      </c>
      <c r="B3149" s="4">
        <v>846516</v>
      </c>
      <c r="C3149" s="3" t="s">
        <v>22</v>
      </c>
      <c r="D3149" s="7">
        <v>7.2499999999999995E-2</v>
      </c>
      <c r="E3149" s="7">
        <f t="shared" si="311"/>
        <v>6.0416666666666665E-3</v>
      </c>
      <c r="F3149" s="5">
        <v>45723</v>
      </c>
      <c r="G3149" s="5">
        <v>2958465</v>
      </c>
      <c r="H3149" s="8">
        <f t="shared" si="312"/>
        <v>2912742</v>
      </c>
      <c r="I3149" s="5">
        <v>2958465</v>
      </c>
      <c r="J3149" s="5">
        <v>45726</v>
      </c>
      <c r="K3149" s="8">
        <f t="shared" si="313"/>
        <v>3</v>
      </c>
      <c r="L3149" s="6">
        <v>7124.98</v>
      </c>
      <c r="M3149" s="9">
        <f t="shared" si="310"/>
        <v>43.046754166666666</v>
      </c>
      <c r="N3149" s="6">
        <v>7124.98</v>
      </c>
      <c r="O3149" s="6">
        <v>1175</v>
      </c>
    </row>
    <row r="3150" spans="1:15" ht="18.75" hidden="1" customHeight="1" thickBot="1" x14ac:dyDescent="0.3">
      <c r="A3150" s="3" t="s">
        <v>11</v>
      </c>
      <c r="B3150" s="4">
        <v>248638</v>
      </c>
      <c r="C3150" s="3" t="s">
        <v>22</v>
      </c>
      <c r="D3150" s="7">
        <v>7.2499999999999995E-2</v>
      </c>
      <c r="E3150" s="7">
        <f t="shared" si="311"/>
        <v>6.0416666666666665E-3</v>
      </c>
      <c r="F3150" s="5">
        <v>45673</v>
      </c>
      <c r="G3150" s="5">
        <v>2958465</v>
      </c>
      <c r="H3150" s="8">
        <f t="shared" si="312"/>
        <v>2912792</v>
      </c>
      <c r="I3150" s="5">
        <v>2958465</v>
      </c>
      <c r="J3150" s="5">
        <v>45674</v>
      </c>
      <c r="K3150" s="8">
        <f t="shared" si="313"/>
        <v>1</v>
      </c>
      <c r="L3150" s="6">
        <v>798.71</v>
      </c>
      <c r="M3150" s="9">
        <f t="shared" si="310"/>
        <v>4.8255395833333337</v>
      </c>
      <c r="N3150" s="6">
        <v>798.71</v>
      </c>
      <c r="O3150" s="6">
        <v>82.15</v>
      </c>
    </row>
    <row r="3151" spans="1:15" ht="18.75" hidden="1" customHeight="1" thickBot="1" x14ac:dyDescent="0.3">
      <c r="A3151" s="3" t="s">
        <v>11</v>
      </c>
      <c r="B3151" s="4">
        <v>493253</v>
      </c>
      <c r="C3151" s="3" t="s">
        <v>22</v>
      </c>
      <c r="D3151" s="7">
        <v>6.7500000000000004E-2</v>
      </c>
      <c r="E3151" s="7">
        <f t="shared" si="311"/>
        <v>5.6250000000000007E-3</v>
      </c>
      <c r="F3151" s="5">
        <v>45243</v>
      </c>
      <c r="G3151" s="5">
        <v>2958465</v>
      </c>
      <c r="H3151" s="8">
        <f t="shared" si="312"/>
        <v>2913222</v>
      </c>
      <c r="I3151" s="5">
        <v>2958465</v>
      </c>
      <c r="J3151" s="5">
        <v>45244</v>
      </c>
      <c r="K3151" s="8">
        <f t="shared" si="313"/>
        <v>1</v>
      </c>
      <c r="L3151" s="6">
        <v>660.96</v>
      </c>
      <c r="M3151" s="9">
        <f t="shared" si="310"/>
        <v>3.7179000000000006</v>
      </c>
      <c r="N3151" s="6">
        <v>660.96</v>
      </c>
      <c r="O3151" s="6">
        <v>62.78</v>
      </c>
    </row>
    <row r="3152" spans="1:15" ht="18.75" hidden="1" customHeight="1" thickBot="1" x14ac:dyDescent="0.3">
      <c r="A3152" s="3" t="s">
        <v>11</v>
      </c>
      <c r="B3152" s="4">
        <v>799435</v>
      </c>
      <c r="C3152" s="3" t="s">
        <v>22</v>
      </c>
      <c r="D3152" s="7">
        <v>6.7500000000000004E-2</v>
      </c>
      <c r="E3152" s="7">
        <f t="shared" si="311"/>
        <v>5.6250000000000007E-3</v>
      </c>
      <c r="F3152" s="5">
        <v>45481</v>
      </c>
      <c r="G3152" s="5">
        <v>2958465</v>
      </c>
      <c r="H3152" s="8">
        <f t="shared" si="312"/>
        <v>2912984</v>
      </c>
      <c r="I3152" s="5">
        <v>2958465</v>
      </c>
      <c r="J3152" s="5">
        <v>45483</v>
      </c>
      <c r="K3152" s="8">
        <f t="shared" si="313"/>
        <v>2</v>
      </c>
      <c r="L3152" s="6">
        <v>2058.84</v>
      </c>
      <c r="M3152" s="9">
        <f t="shared" si="310"/>
        <v>11.580975000000002</v>
      </c>
      <c r="N3152" s="6">
        <v>2058.84</v>
      </c>
      <c r="O3152" s="6">
        <v>934.09</v>
      </c>
    </row>
    <row r="3153" spans="1:15" ht="18.75" hidden="1" customHeight="1" thickBot="1" x14ac:dyDescent="0.3">
      <c r="A3153" s="3" t="s">
        <v>11</v>
      </c>
      <c r="B3153" s="4">
        <v>211307</v>
      </c>
      <c r="C3153" s="3" t="s">
        <v>22</v>
      </c>
      <c r="D3153" s="7">
        <v>8.5000000000000006E-2</v>
      </c>
      <c r="E3153" s="7">
        <f t="shared" si="311"/>
        <v>7.0833333333333338E-3</v>
      </c>
      <c r="F3153" s="5">
        <v>45393</v>
      </c>
      <c r="G3153" s="5">
        <v>2958465</v>
      </c>
      <c r="H3153" s="8">
        <f t="shared" si="312"/>
        <v>2913072</v>
      </c>
      <c r="I3153" s="5">
        <v>2958465</v>
      </c>
      <c r="J3153" s="5">
        <v>45394</v>
      </c>
      <c r="K3153" s="8">
        <f t="shared" si="313"/>
        <v>1</v>
      </c>
      <c r="L3153" s="6">
        <v>1111.3</v>
      </c>
      <c r="M3153" s="9">
        <f t="shared" si="310"/>
        <v>7.8717083333333333</v>
      </c>
      <c r="N3153" s="6">
        <v>1111.3</v>
      </c>
      <c r="O3153" s="6">
        <v>1111.3</v>
      </c>
    </row>
    <row r="3154" spans="1:15" ht="18.75" hidden="1" customHeight="1" thickBot="1" x14ac:dyDescent="0.3">
      <c r="A3154" s="3" t="s">
        <v>11</v>
      </c>
      <c r="B3154" s="4">
        <v>96346</v>
      </c>
      <c r="C3154" s="3" t="s">
        <v>22</v>
      </c>
      <c r="D3154" s="7">
        <v>6.7500000000000004E-2</v>
      </c>
      <c r="E3154" s="7">
        <f t="shared" si="311"/>
        <v>5.6250000000000007E-3</v>
      </c>
      <c r="F3154" s="5">
        <v>45258</v>
      </c>
      <c r="G3154" s="5">
        <v>2958465</v>
      </c>
      <c r="H3154" s="8">
        <f t="shared" si="312"/>
        <v>2913207</v>
      </c>
      <c r="I3154" s="5">
        <v>2958465</v>
      </c>
      <c r="J3154" s="5">
        <v>45259</v>
      </c>
      <c r="K3154" s="8">
        <f t="shared" si="313"/>
        <v>1</v>
      </c>
      <c r="L3154" s="6">
        <v>641.39</v>
      </c>
      <c r="M3154" s="9">
        <f t="shared" si="310"/>
        <v>3.6078187500000003</v>
      </c>
      <c r="N3154" s="6">
        <v>641.39</v>
      </c>
      <c r="O3154" s="6">
        <v>0</v>
      </c>
    </row>
    <row r="3155" spans="1:15" ht="18.75" hidden="1" customHeight="1" thickBot="1" x14ac:dyDescent="0.3">
      <c r="A3155" s="3" t="s">
        <v>11</v>
      </c>
      <c r="B3155" s="4">
        <v>790931</v>
      </c>
      <c r="C3155" s="3" t="s">
        <v>22</v>
      </c>
      <c r="D3155" s="7">
        <v>7.0000000000000007E-2</v>
      </c>
      <c r="E3155" s="7">
        <f t="shared" si="311"/>
        <v>5.8333333333333336E-3</v>
      </c>
      <c r="F3155" s="5">
        <v>45642</v>
      </c>
      <c r="G3155" s="5">
        <v>2958465</v>
      </c>
      <c r="H3155" s="8">
        <f t="shared" si="312"/>
        <v>2912823</v>
      </c>
      <c r="I3155" s="5">
        <v>2958465</v>
      </c>
      <c r="J3155" s="5">
        <v>45643</v>
      </c>
      <c r="K3155" s="8">
        <f t="shared" si="313"/>
        <v>1</v>
      </c>
      <c r="L3155" s="6">
        <v>660.15</v>
      </c>
      <c r="M3155" s="9">
        <f t="shared" si="310"/>
        <v>3.8508749999999998</v>
      </c>
      <c r="N3155" s="6">
        <v>660.15</v>
      </c>
      <c r="O3155" s="6">
        <v>0</v>
      </c>
    </row>
    <row r="3156" spans="1:15" ht="18.75" hidden="1" customHeight="1" thickBot="1" x14ac:dyDescent="0.3">
      <c r="A3156" s="3" t="s">
        <v>11</v>
      </c>
      <c r="B3156" s="4">
        <v>514694</v>
      </c>
      <c r="C3156" s="3" t="s">
        <v>22</v>
      </c>
      <c r="D3156" s="7">
        <v>0.08</v>
      </c>
      <c r="E3156" s="7">
        <f t="shared" si="311"/>
        <v>6.6666666666666671E-3</v>
      </c>
      <c r="F3156" s="5">
        <v>45308</v>
      </c>
      <c r="G3156" s="5">
        <v>2958465</v>
      </c>
      <c r="H3156" s="8">
        <f t="shared" si="312"/>
        <v>2913157</v>
      </c>
      <c r="I3156" s="5">
        <v>2958465</v>
      </c>
      <c r="J3156" s="5">
        <v>45310</v>
      </c>
      <c r="K3156" s="8">
        <f t="shared" si="313"/>
        <v>2</v>
      </c>
      <c r="L3156" s="6">
        <v>2234.41</v>
      </c>
      <c r="M3156" s="9">
        <f t="shared" si="310"/>
        <v>14.896066666666666</v>
      </c>
      <c r="N3156" s="6">
        <v>2234.41</v>
      </c>
      <c r="O3156" s="6">
        <v>2234.41</v>
      </c>
    </row>
    <row r="3157" spans="1:15" ht="18.75" hidden="1" customHeight="1" thickBot="1" x14ac:dyDescent="0.3">
      <c r="A3157" s="3" t="s">
        <v>11</v>
      </c>
      <c r="B3157" s="4">
        <v>79954</v>
      </c>
      <c r="C3157" s="3" t="s">
        <v>22</v>
      </c>
      <c r="D3157" s="7">
        <v>0.08</v>
      </c>
      <c r="E3157" s="7">
        <f t="shared" si="311"/>
        <v>6.6666666666666671E-3</v>
      </c>
      <c r="F3157" s="5">
        <v>45699</v>
      </c>
      <c r="G3157" s="5">
        <v>2958465</v>
      </c>
      <c r="H3157" s="8">
        <f t="shared" si="312"/>
        <v>2912766</v>
      </c>
      <c r="I3157" s="5">
        <v>2958465</v>
      </c>
      <c r="J3157" s="5">
        <v>45700</v>
      </c>
      <c r="K3157" s="8">
        <f t="shared" si="313"/>
        <v>1</v>
      </c>
      <c r="L3157" s="6">
        <v>3275.25</v>
      </c>
      <c r="M3157" s="9">
        <f t="shared" si="310"/>
        <v>21.835000000000001</v>
      </c>
      <c r="N3157" s="6">
        <v>3275.25</v>
      </c>
      <c r="O3157" s="6">
        <v>3275.25</v>
      </c>
    </row>
    <row r="3158" spans="1:15" ht="18.75" hidden="1" customHeight="1" thickBot="1" x14ac:dyDescent="0.3">
      <c r="A3158" s="3" t="s">
        <v>11</v>
      </c>
      <c r="B3158" s="4">
        <v>121399</v>
      </c>
      <c r="C3158" s="3" t="s">
        <v>22</v>
      </c>
      <c r="D3158" s="7">
        <v>0.08</v>
      </c>
      <c r="E3158" s="7">
        <f t="shared" si="311"/>
        <v>6.6666666666666671E-3</v>
      </c>
      <c r="F3158" s="5">
        <v>46006</v>
      </c>
      <c r="G3158" s="5">
        <v>2958465</v>
      </c>
      <c r="H3158" s="8">
        <f t="shared" si="312"/>
        <v>2912459</v>
      </c>
      <c r="I3158" s="5">
        <v>2958465</v>
      </c>
      <c r="J3158" s="5">
        <v>46007</v>
      </c>
      <c r="K3158" s="8">
        <f t="shared" si="313"/>
        <v>1</v>
      </c>
      <c r="L3158" s="6">
        <v>1087.75</v>
      </c>
      <c r="M3158" s="9">
        <f t="shared" si="310"/>
        <v>7.2516666666666669</v>
      </c>
      <c r="N3158" s="6">
        <v>1087.75</v>
      </c>
      <c r="O3158" s="6">
        <v>0</v>
      </c>
    </row>
    <row r="3159" spans="1:15" ht="18.75" hidden="1" customHeight="1" thickBot="1" x14ac:dyDescent="0.3">
      <c r="A3159" s="3" t="s">
        <v>11</v>
      </c>
      <c r="B3159" s="4">
        <v>492825</v>
      </c>
      <c r="C3159" s="3" t="s">
        <v>22</v>
      </c>
      <c r="D3159" s="7">
        <v>7.2499999999999995E-2</v>
      </c>
      <c r="E3159" s="7">
        <f t="shared" si="311"/>
        <v>6.0416666666666665E-3</v>
      </c>
      <c r="F3159" s="5">
        <v>45723</v>
      </c>
      <c r="G3159" s="5">
        <v>2958465</v>
      </c>
      <c r="H3159" s="8">
        <f t="shared" si="312"/>
        <v>2912742</v>
      </c>
      <c r="I3159" s="5">
        <v>2958465</v>
      </c>
      <c r="J3159" s="5">
        <v>45726</v>
      </c>
      <c r="K3159" s="8">
        <f t="shared" si="313"/>
        <v>3</v>
      </c>
      <c r="L3159" s="6">
        <v>626.29999999999995</v>
      </c>
      <c r="M3159" s="9">
        <f t="shared" si="310"/>
        <v>3.7838958333333328</v>
      </c>
      <c r="N3159" s="6">
        <v>626.29999999999995</v>
      </c>
      <c r="O3159" s="6">
        <v>289.95</v>
      </c>
    </row>
    <row r="3160" spans="1:15" ht="18.75" hidden="1" customHeight="1" thickBot="1" x14ac:dyDescent="0.3">
      <c r="A3160" s="3" t="s">
        <v>11</v>
      </c>
      <c r="B3160" s="4">
        <v>935212</v>
      </c>
      <c r="C3160" s="3" t="s">
        <v>22</v>
      </c>
      <c r="D3160" s="7">
        <v>7.2499999999999995E-2</v>
      </c>
      <c r="E3160" s="7">
        <f t="shared" si="311"/>
        <v>6.0416666666666665E-3</v>
      </c>
      <c r="F3160" s="5">
        <v>45915</v>
      </c>
      <c r="G3160" s="5">
        <v>2958465</v>
      </c>
      <c r="H3160" s="8">
        <f t="shared" si="312"/>
        <v>2912550</v>
      </c>
      <c r="I3160" s="5">
        <v>2958465</v>
      </c>
      <c r="J3160" s="5">
        <v>45917</v>
      </c>
      <c r="K3160" s="8">
        <f t="shared" si="313"/>
        <v>2</v>
      </c>
      <c r="L3160" s="6">
        <v>1031.6600000000001</v>
      </c>
      <c r="M3160" s="9">
        <f t="shared" si="310"/>
        <v>6.2329458333333339</v>
      </c>
      <c r="N3160" s="6">
        <v>1031.6600000000001</v>
      </c>
      <c r="O3160" s="6">
        <v>579.45000000000005</v>
      </c>
    </row>
    <row r="3161" spans="1:15" ht="18.75" hidden="1" customHeight="1" thickBot="1" x14ac:dyDescent="0.3">
      <c r="A3161" s="3" t="s">
        <v>11</v>
      </c>
      <c r="B3161" s="4">
        <v>187386</v>
      </c>
      <c r="C3161" s="3" t="s">
        <v>22</v>
      </c>
      <c r="D3161" s="7">
        <v>7.2499999999999995E-2</v>
      </c>
      <c r="E3161" s="7">
        <f t="shared" si="311"/>
        <v>6.0416666666666665E-3</v>
      </c>
      <c r="F3161" s="5">
        <v>45699</v>
      </c>
      <c r="G3161" s="5">
        <v>2958465</v>
      </c>
      <c r="H3161" s="8">
        <f t="shared" si="312"/>
        <v>2912766</v>
      </c>
      <c r="I3161" s="5">
        <v>2958465</v>
      </c>
      <c r="J3161" s="5">
        <v>45700</v>
      </c>
      <c r="K3161" s="8">
        <f t="shared" si="313"/>
        <v>1</v>
      </c>
      <c r="L3161" s="6">
        <v>1586.56</v>
      </c>
      <c r="M3161" s="9">
        <f t="shared" si="310"/>
        <v>9.5854666666666652</v>
      </c>
      <c r="N3161" s="6">
        <v>1586.56</v>
      </c>
      <c r="O3161" s="6">
        <v>515.1</v>
      </c>
    </row>
    <row r="3162" spans="1:15" ht="18.75" hidden="1" customHeight="1" thickBot="1" x14ac:dyDescent="0.3">
      <c r="A3162" s="3" t="s">
        <v>11</v>
      </c>
      <c r="B3162" s="4">
        <v>623265</v>
      </c>
      <c r="C3162" s="3" t="s">
        <v>22</v>
      </c>
      <c r="D3162" s="7">
        <v>7.2499999999999995E-2</v>
      </c>
      <c r="E3162" s="7">
        <f t="shared" si="311"/>
        <v>6.0416666666666665E-3</v>
      </c>
      <c r="F3162" s="5">
        <v>45723</v>
      </c>
      <c r="G3162" s="5">
        <v>2958465</v>
      </c>
      <c r="H3162" s="8">
        <f t="shared" si="312"/>
        <v>2912742</v>
      </c>
      <c r="I3162" s="5">
        <v>2958465</v>
      </c>
      <c r="J3162" s="5">
        <v>45726</v>
      </c>
      <c r="K3162" s="8">
        <f t="shared" si="313"/>
        <v>3</v>
      </c>
      <c r="L3162" s="6">
        <v>617.62</v>
      </c>
      <c r="M3162" s="9">
        <f t="shared" si="310"/>
        <v>3.7314541666666665</v>
      </c>
      <c r="N3162" s="6">
        <v>617.62</v>
      </c>
      <c r="O3162" s="6">
        <v>41.1</v>
      </c>
    </row>
    <row r="3163" spans="1:15" ht="18.75" hidden="1" customHeight="1" thickBot="1" x14ac:dyDescent="0.3">
      <c r="A3163" s="3" t="s">
        <v>11</v>
      </c>
      <c r="B3163" s="4">
        <v>798855</v>
      </c>
      <c r="C3163" s="3" t="s">
        <v>22</v>
      </c>
      <c r="D3163" s="7">
        <v>8.5000000000000006E-2</v>
      </c>
      <c r="E3163" s="7">
        <f t="shared" si="311"/>
        <v>7.0833333333333338E-3</v>
      </c>
      <c r="F3163" s="5">
        <v>45425</v>
      </c>
      <c r="G3163" s="5">
        <v>2958465</v>
      </c>
      <c r="H3163" s="8">
        <f t="shared" si="312"/>
        <v>2913040</v>
      </c>
      <c r="I3163" s="5">
        <v>2958465</v>
      </c>
      <c r="J3163" s="5">
        <v>45426</v>
      </c>
      <c r="K3163" s="8">
        <f t="shared" si="313"/>
        <v>1</v>
      </c>
      <c r="L3163" s="6">
        <v>10579.97</v>
      </c>
      <c r="M3163" s="9">
        <f t="shared" si="310"/>
        <v>74.941454166666674</v>
      </c>
      <c r="N3163" s="6">
        <v>10579.97</v>
      </c>
      <c r="O3163" s="6">
        <v>10579.97</v>
      </c>
    </row>
    <row r="3164" spans="1:15" ht="18.75" hidden="1" customHeight="1" thickBot="1" x14ac:dyDescent="0.3">
      <c r="A3164" s="3" t="s">
        <v>11</v>
      </c>
      <c r="B3164" s="4">
        <v>854034</v>
      </c>
      <c r="C3164" s="3" t="s">
        <v>22</v>
      </c>
      <c r="D3164" s="7">
        <v>6.7500000000000004E-2</v>
      </c>
      <c r="E3164" s="7">
        <f t="shared" si="311"/>
        <v>5.6250000000000007E-3</v>
      </c>
      <c r="F3164" s="5">
        <v>45418</v>
      </c>
      <c r="G3164" s="5">
        <v>2958465</v>
      </c>
      <c r="H3164" s="8">
        <f t="shared" si="312"/>
        <v>2913047</v>
      </c>
      <c r="I3164" s="5">
        <v>2958465</v>
      </c>
      <c r="J3164" s="5">
        <v>45419</v>
      </c>
      <c r="K3164" s="8">
        <f t="shared" si="313"/>
        <v>1</v>
      </c>
      <c r="L3164" s="6">
        <v>1776.03</v>
      </c>
      <c r="M3164" s="9">
        <f t="shared" si="310"/>
        <v>9.9901687500000005</v>
      </c>
      <c r="N3164" s="6">
        <v>1776.03</v>
      </c>
      <c r="O3164" s="6">
        <v>0</v>
      </c>
    </row>
    <row r="3165" spans="1:15" ht="18.75" hidden="1" customHeight="1" thickBot="1" x14ac:dyDescent="0.3">
      <c r="A3165" s="3" t="s">
        <v>11</v>
      </c>
      <c r="B3165" s="4">
        <v>294426</v>
      </c>
      <c r="C3165" s="3" t="s">
        <v>22</v>
      </c>
      <c r="D3165" s="7">
        <v>6.7500000000000004E-2</v>
      </c>
      <c r="E3165" s="7">
        <f t="shared" si="311"/>
        <v>5.6250000000000007E-3</v>
      </c>
      <c r="F3165" s="5">
        <v>45331</v>
      </c>
      <c r="G3165" s="5">
        <v>2958465</v>
      </c>
      <c r="H3165" s="8">
        <f t="shared" si="312"/>
        <v>2913134</v>
      </c>
      <c r="I3165" s="5">
        <v>2958465</v>
      </c>
      <c r="J3165" s="5">
        <v>45334</v>
      </c>
      <c r="K3165" s="8">
        <f t="shared" si="313"/>
        <v>3</v>
      </c>
      <c r="L3165" s="6">
        <v>642.66</v>
      </c>
      <c r="M3165" s="9">
        <f t="shared" si="310"/>
        <v>3.6149625000000003</v>
      </c>
      <c r="N3165" s="6">
        <v>642.66</v>
      </c>
      <c r="O3165" s="6">
        <v>0</v>
      </c>
    </row>
    <row r="3166" spans="1:15" ht="18.75" hidden="1" customHeight="1" thickBot="1" x14ac:dyDescent="0.3">
      <c r="A3166" s="3" t="s">
        <v>11</v>
      </c>
      <c r="B3166" s="4">
        <v>271889</v>
      </c>
      <c r="C3166" s="3" t="s">
        <v>22</v>
      </c>
      <c r="D3166" s="7">
        <v>6.7500000000000004E-2</v>
      </c>
      <c r="E3166" s="7">
        <f t="shared" si="311"/>
        <v>5.6250000000000007E-3</v>
      </c>
      <c r="F3166" s="5">
        <v>45454</v>
      </c>
      <c r="G3166" s="5">
        <v>2958465</v>
      </c>
      <c r="H3166" s="8">
        <f t="shared" si="312"/>
        <v>2913011</v>
      </c>
      <c r="I3166" s="5">
        <v>2958465</v>
      </c>
      <c r="J3166" s="5">
        <v>45455</v>
      </c>
      <c r="K3166" s="8">
        <f t="shared" si="313"/>
        <v>1</v>
      </c>
      <c r="L3166" s="6">
        <v>602.39</v>
      </c>
      <c r="M3166" s="9">
        <f t="shared" si="310"/>
        <v>3.3884437500000004</v>
      </c>
      <c r="N3166" s="6">
        <v>602.39</v>
      </c>
      <c r="O3166" s="6">
        <v>0</v>
      </c>
    </row>
    <row r="3167" spans="1:15" ht="18.75" hidden="1" customHeight="1" thickBot="1" x14ac:dyDescent="0.3">
      <c r="A3167" s="3" t="s">
        <v>11</v>
      </c>
      <c r="B3167" s="4">
        <v>367117</v>
      </c>
      <c r="C3167" s="3" t="s">
        <v>22</v>
      </c>
      <c r="D3167" s="7">
        <v>6.7500000000000004E-2</v>
      </c>
      <c r="E3167" s="7">
        <f t="shared" si="311"/>
        <v>5.6250000000000007E-3</v>
      </c>
      <c r="F3167" s="5">
        <v>45454</v>
      </c>
      <c r="G3167" s="5">
        <v>2958465</v>
      </c>
      <c r="H3167" s="8">
        <f t="shared" si="312"/>
        <v>2913011</v>
      </c>
      <c r="I3167" s="5">
        <v>2958465</v>
      </c>
      <c r="J3167" s="5">
        <v>45455</v>
      </c>
      <c r="K3167" s="8">
        <f t="shared" si="313"/>
        <v>1</v>
      </c>
      <c r="L3167" s="6">
        <v>402.73</v>
      </c>
      <c r="M3167" s="9">
        <f t="shared" si="310"/>
        <v>2.2653562500000004</v>
      </c>
      <c r="N3167" s="6">
        <v>402.73</v>
      </c>
      <c r="O3167" s="6">
        <v>0</v>
      </c>
    </row>
    <row r="3168" spans="1:15" ht="18.75" hidden="1" customHeight="1" thickBot="1" x14ac:dyDescent="0.3">
      <c r="A3168" s="3" t="s">
        <v>11</v>
      </c>
      <c r="B3168" s="4">
        <v>191890</v>
      </c>
      <c r="C3168" s="3" t="s">
        <v>22</v>
      </c>
      <c r="D3168" s="7">
        <v>6.7500000000000004E-2</v>
      </c>
      <c r="E3168" s="7">
        <f t="shared" si="311"/>
        <v>5.6250000000000007E-3</v>
      </c>
      <c r="F3168" s="5">
        <v>45265</v>
      </c>
      <c r="G3168" s="5">
        <v>2958465</v>
      </c>
      <c r="H3168" s="8">
        <f t="shared" si="312"/>
        <v>2913200</v>
      </c>
      <c r="I3168" s="5">
        <v>2958465</v>
      </c>
      <c r="J3168" s="5">
        <v>45266</v>
      </c>
      <c r="K3168" s="8">
        <f t="shared" si="313"/>
        <v>1</v>
      </c>
      <c r="L3168" s="6">
        <v>2215.9899999999998</v>
      </c>
      <c r="M3168" s="9">
        <f t="shared" si="310"/>
        <v>12.46494375</v>
      </c>
      <c r="N3168" s="6">
        <v>2215.9899999999998</v>
      </c>
      <c r="O3168" s="6">
        <v>210.22</v>
      </c>
    </row>
    <row r="3169" spans="1:15" ht="18.75" hidden="1" customHeight="1" thickBot="1" x14ac:dyDescent="0.3">
      <c r="A3169" s="3" t="s">
        <v>11</v>
      </c>
      <c r="B3169" s="4">
        <v>757316</v>
      </c>
      <c r="C3169" s="3" t="s">
        <v>22</v>
      </c>
      <c r="D3169" s="7">
        <v>6.7500000000000004E-2</v>
      </c>
      <c r="E3169" s="7">
        <f t="shared" si="311"/>
        <v>5.6250000000000007E-3</v>
      </c>
      <c r="F3169" s="5">
        <v>45541</v>
      </c>
      <c r="G3169" s="5">
        <v>2958465</v>
      </c>
      <c r="H3169" s="8">
        <f t="shared" si="312"/>
        <v>2912924</v>
      </c>
      <c r="I3169" s="5">
        <v>2958465</v>
      </c>
      <c r="J3169" s="5">
        <v>45544</v>
      </c>
      <c r="K3169" s="8">
        <f t="shared" si="313"/>
        <v>3</v>
      </c>
      <c r="L3169" s="6">
        <v>631.55999999999995</v>
      </c>
      <c r="M3169" s="9">
        <f t="shared" si="310"/>
        <v>3.5525250000000002</v>
      </c>
      <c r="N3169" s="6">
        <v>631.55999999999995</v>
      </c>
      <c r="O3169" s="6">
        <v>150</v>
      </c>
    </row>
    <row r="3170" spans="1:15" ht="18.75" hidden="1" customHeight="1" thickBot="1" x14ac:dyDescent="0.3">
      <c r="A3170" s="3" t="s">
        <v>11</v>
      </c>
      <c r="B3170" s="4">
        <v>731226</v>
      </c>
      <c r="C3170" s="3" t="s">
        <v>22</v>
      </c>
      <c r="D3170" s="7">
        <v>6.7500000000000004E-2</v>
      </c>
      <c r="E3170" s="7">
        <f t="shared" si="311"/>
        <v>5.6250000000000007E-3</v>
      </c>
      <c r="F3170" s="5">
        <v>45258</v>
      </c>
      <c r="G3170" s="5">
        <v>2958465</v>
      </c>
      <c r="H3170" s="8">
        <f t="shared" si="312"/>
        <v>2913207</v>
      </c>
      <c r="I3170" s="5">
        <v>2958465</v>
      </c>
      <c r="J3170" s="5">
        <v>45259</v>
      </c>
      <c r="K3170" s="8">
        <f t="shared" si="313"/>
        <v>1</v>
      </c>
      <c r="L3170" s="6">
        <v>752.51</v>
      </c>
      <c r="M3170" s="9">
        <f t="shared" si="310"/>
        <v>4.2328687500000006</v>
      </c>
      <c r="N3170" s="6">
        <v>752.51</v>
      </c>
      <c r="O3170" s="6">
        <v>0</v>
      </c>
    </row>
    <row r="3171" spans="1:15" ht="18.75" hidden="1" customHeight="1" thickBot="1" x14ac:dyDescent="0.3">
      <c r="A3171" s="3" t="s">
        <v>11</v>
      </c>
      <c r="B3171" s="4">
        <v>348287</v>
      </c>
      <c r="C3171" s="3" t="s">
        <v>22</v>
      </c>
      <c r="D3171" s="7">
        <v>6.7500000000000004E-2</v>
      </c>
      <c r="E3171" s="7">
        <f t="shared" si="311"/>
        <v>5.6250000000000007E-3</v>
      </c>
      <c r="F3171" s="5">
        <v>45331</v>
      </c>
      <c r="G3171" s="5">
        <v>2958465</v>
      </c>
      <c r="H3171" s="8">
        <f t="shared" si="312"/>
        <v>2913134</v>
      </c>
      <c r="I3171" s="5">
        <v>2958465</v>
      </c>
      <c r="J3171" s="5">
        <v>45334</v>
      </c>
      <c r="K3171" s="8">
        <f t="shared" si="313"/>
        <v>3</v>
      </c>
      <c r="L3171" s="6">
        <v>476.38</v>
      </c>
      <c r="M3171" s="9">
        <f t="shared" si="310"/>
        <v>2.6796375000000001</v>
      </c>
      <c r="N3171" s="6">
        <v>476.38</v>
      </c>
      <c r="O3171" s="6">
        <v>196.25</v>
      </c>
    </row>
    <row r="3172" spans="1:15" ht="18.75" hidden="1" customHeight="1" thickBot="1" x14ac:dyDescent="0.3">
      <c r="A3172" s="3" t="s">
        <v>11</v>
      </c>
      <c r="B3172" s="4">
        <v>335496</v>
      </c>
      <c r="C3172" s="3" t="s">
        <v>22</v>
      </c>
      <c r="D3172" s="7">
        <v>6.7500000000000004E-2</v>
      </c>
      <c r="E3172" s="7">
        <f t="shared" si="311"/>
        <v>5.6250000000000007E-3</v>
      </c>
      <c r="F3172" s="5">
        <v>45454</v>
      </c>
      <c r="G3172" s="5">
        <v>2958465</v>
      </c>
      <c r="H3172" s="8">
        <f t="shared" si="312"/>
        <v>2913011</v>
      </c>
      <c r="I3172" s="5">
        <v>2958465</v>
      </c>
      <c r="J3172" s="5">
        <v>45455</v>
      </c>
      <c r="K3172" s="8">
        <f t="shared" si="313"/>
        <v>1</v>
      </c>
      <c r="L3172" s="6">
        <v>591.66</v>
      </c>
      <c r="M3172" s="9">
        <f t="shared" si="310"/>
        <v>3.3280875000000001</v>
      </c>
      <c r="N3172" s="6">
        <v>591.66</v>
      </c>
      <c r="O3172" s="6">
        <v>0</v>
      </c>
    </row>
    <row r="3173" spans="1:15" ht="18.75" hidden="1" customHeight="1" thickBot="1" x14ac:dyDescent="0.3">
      <c r="A3173" s="3" t="s">
        <v>11</v>
      </c>
      <c r="B3173" s="4">
        <v>579581</v>
      </c>
      <c r="C3173" s="3" t="s">
        <v>22</v>
      </c>
      <c r="D3173" s="7">
        <v>7.0000000000000007E-2</v>
      </c>
      <c r="E3173" s="7">
        <f t="shared" si="311"/>
        <v>5.8333333333333336E-3</v>
      </c>
      <c r="F3173" s="5">
        <v>45642</v>
      </c>
      <c r="G3173" s="5">
        <v>2958465</v>
      </c>
      <c r="H3173" s="8">
        <f t="shared" si="312"/>
        <v>2912823</v>
      </c>
      <c r="I3173" s="5">
        <v>2958465</v>
      </c>
      <c r="J3173" s="5">
        <v>45643</v>
      </c>
      <c r="K3173" s="8">
        <f t="shared" si="313"/>
        <v>1</v>
      </c>
      <c r="L3173" s="6">
        <v>4417.1099999999997</v>
      </c>
      <c r="M3173" s="9">
        <f t="shared" si="310"/>
        <v>25.766475</v>
      </c>
      <c r="N3173" s="6">
        <v>4417.1099999999997</v>
      </c>
      <c r="O3173" s="6">
        <v>0</v>
      </c>
    </row>
    <row r="3174" spans="1:15" ht="18.75" hidden="1" customHeight="1" thickBot="1" x14ac:dyDescent="0.3">
      <c r="A3174" s="3" t="s">
        <v>11</v>
      </c>
      <c r="B3174" s="4">
        <v>344603</v>
      </c>
      <c r="C3174" s="3" t="s">
        <v>22</v>
      </c>
      <c r="D3174" s="7">
        <v>6.7500000000000004E-2</v>
      </c>
      <c r="E3174" s="7">
        <f t="shared" si="311"/>
        <v>5.6250000000000007E-3</v>
      </c>
      <c r="F3174" s="5">
        <v>45362</v>
      </c>
      <c r="G3174" s="5">
        <v>2958465</v>
      </c>
      <c r="H3174" s="8">
        <f t="shared" si="312"/>
        <v>2913103</v>
      </c>
      <c r="I3174" s="5">
        <v>2958465</v>
      </c>
      <c r="J3174" s="5">
        <v>45363</v>
      </c>
      <c r="K3174" s="8">
        <f t="shared" si="313"/>
        <v>1</v>
      </c>
      <c r="L3174" s="6">
        <v>553.42999999999995</v>
      </c>
      <c r="M3174" s="9">
        <f t="shared" si="310"/>
        <v>3.1130437500000001</v>
      </c>
      <c r="N3174" s="6">
        <v>553.42999999999995</v>
      </c>
      <c r="O3174" s="6">
        <v>327.23</v>
      </c>
    </row>
    <row r="3175" spans="1:15" ht="18.75" hidden="1" customHeight="1" thickBot="1" x14ac:dyDescent="0.3">
      <c r="A3175" s="3" t="s">
        <v>11</v>
      </c>
      <c r="B3175" s="4">
        <v>617121</v>
      </c>
      <c r="C3175" s="3" t="s">
        <v>22</v>
      </c>
      <c r="D3175" s="7">
        <v>6.7500000000000004E-2</v>
      </c>
      <c r="E3175" s="7">
        <f t="shared" si="311"/>
        <v>5.6250000000000007E-3</v>
      </c>
      <c r="F3175" s="5">
        <v>45280</v>
      </c>
      <c r="G3175" s="5">
        <v>2958465</v>
      </c>
      <c r="H3175" s="8">
        <f t="shared" si="312"/>
        <v>2913185</v>
      </c>
      <c r="I3175" s="5">
        <v>2958465</v>
      </c>
      <c r="J3175" s="5">
        <v>45286</v>
      </c>
      <c r="K3175" s="8">
        <f t="shared" si="313"/>
        <v>6</v>
      </c>
      <c r="L3175" s="6">
        <v>20917.509999999998</v>
      </c>
      <c r="M3175" s="9">
        <f t="shared" si="310"/>
        <v>117.66099375</v>
      </c>
      <c r="N3175" s="6">
        <v>20917.509999999998</v>
      </c>
      <c r="O3175" s="6">
        <v>0</v>
      </c>
    </row>
    <row r="3176" spans="1:15" ht="18.75" hidden="1" customHeight="1" thickBot="1" x14ac:dyDescent="0.3">
      <c r="A3176" s="3" t="s">
        <v>11</v>
      </c>
      <c r="B3176" s="4">
        <v>801867</v>
      </c>
      <c r="C3176" s="3" t="s">
        <v>22</v>
      </c>
      <c r="D3176" s="7">
        <v>6.7500000000000004E-2</v>
      </c>
      <c r="E3176" s="7">
        <f t="shared" si="311"/>
        <v>5.6250000000000007E-3</v>
      </c>
      <c r="F3176" s="5">
        <v>45587</v>
      </c>
      <c r="G3176" s="5">
        <v>2958465</v>
      </c>
      <c r="H3176" s="8">
        <f t="shared" si="312"/>
        <v>2912878</v>
      </c>
      <c r="I3176" s="5">
        <v>2958465</v>
      </c>
      <c r="J3176" s="5">
        <v>45588</v>
      </c>
      <c r="K3176" s="8">
        <f t="shared" si="313"/>
        <v>1</v>
      </c>
      <c r="L3176" s="6">
        <v>433.88</v>
      </c>
      <c r="M3176" s="9">
        <f t="shared" si="310"/>
        <v>2.4405750000000004</v>
      </c>
      <c r="N3176" s="6">
        <v>433.88</v>
      </c>
      <c r="O3176" s="6">
        <v>0</v>
      </c>
    </row>
    <row r="3177" spans="1:15" ht="18.75" hidden="1" customHeight="1" thickBot="1" x14ac:dyDescent="0.3">
      <c r="A3177" s="3" t="s">
        <v>11</v>
      </c>
      <c r="B3177" s="4">
        <v>221378</v>
      </c>
      <c r="C3177" s="3" t="s">
        <v>22</v>
      </c>
      <c r="D3177" s="7">
        <v>6.7500000000000004E-2</v>
      </c>
      <c r="E3177" s="7">
        <f t="shared" si="311"/>
        <v>5.6250000000000007E-3</v>
      </c>
      <c r="F3177" s="5">
        <v>45331</v>
      </c>
      <c r="G3177" s="5">
        <v>2958465</v>
      </c>
      <c r="H3177" s="8">
        <f t="shared" si="312"/>
        <v>2913134</v>
      </c>
      <c r="I3177" s="5">
        <v>2958465</v>
      </c>
      <c r="J3177" s="5">
        <v>45334</v>
      </c>
      <c r="K3177" s="8">
        <f t="shared" si="313"/>
        <v>3</v>
      </c>
      <c r="L3177" s="6">
        <v>629.39</v>
      </c>
      <c r="M3177" s="9">
        <f t="shared" si="310"/>
        <v>3.5403187500000004</v>
      </c>
      <c r="N3177" s="6">
        <v>629.39</v>
      </c>
      <c r="O3177" s="6">
        <v>0</v>
      </c>
    </row>
    <row r="3178" spans="1:15" ht="18.75" hidden="1" customHeight="1" thickBot="1" x14ac:dyDescent="0.3">
      <c r="A3178" s="3" t="s">
        <v>11</v>
      </c>
      <c r="B3178" s="4">
        <v>493152</v>
      </c>
      <c r="C3178" s="3" t="s">
        <v>22</v>
      </c>
      <c r="D3178" s="7">
        <v>6.7500000000000004E-2</v>
      </c>
      <c r="E3178" s="7">
        <f t="shared" si="311"/>
        <v>5.6250000000000007E-3</v>
      </c>
      <c r="F3178" s="5">
        <v>45308</v>
      </c>
      <c r="G3178" s="5">
        <v>2958465</v>
      </c>
      <c r="H3178" s="8">
        <f t="shared" si="312"/>
        <v>2913157</v>
      </c>
      <c r="I3178" s="5">
        <v>2958465</v>
      </c>
      <c r="J3178" s="5">
        <v>45310</v>
      </c>
      <c r="K3178" s="8">
        <f t="shared" si="313"/>
        <v>2</v>
      </c>
      <c r="L3178" s="6">
        <v>630.08000000000004</v>
      </c>
      <c r="M3178" s="9">
        <f t="shared" si="310"/>
        <v>3.5442000000000005</v>
      </c>
      <c r="N3178" s="6">
        <v>630.08000000000004</v>
      </c>
      <c r="O3178" s="6">
        <v>0</v>
      </c>
    </row>
    <row r="3179" spans="1:15" ht="18.75" hidden="1" customHeight="1" thickBot="1" x14ac:dyDescent="0.3">
      <c r="A3179" s="3" t="s">
        <v>11</v>
      </c>
      <c r="B3179" s="4">
        <v>796601</v>
      </c>
      <c r="C3179" s="3" t="s">
        <v>22</v>
      </c>
      <c r="D3179" s="7">
        <v>7.2499999999999995E-2</v>
      </c>
      <c r="E3179" s="7">
        <f t="shared" si="311"/>
        <v>6.0416666666666665E-3</v>
      </c>
      <c r="F3179" s="5">
        <v>45673</v>
      </c>
      <c r="G3179" s="5">
        <v>2958465</v>
      </c>
      <c r="H3179" s="8">
        <f t="shared" si="312"/>
        <v>2912792</v>
      </c>
      <c r="I3179" s="5">
        <v>2958465</v>
      </c>
      <c r="J3179" s="5">
        <v>45674</v>
      </c>
      <c r="K3179" s="8">
        <f t="shared" si="313"/>
        <v>1</v>
      </c>
      <c r="L3179" s="6">
        <v>665.66</v>
      </c>
      <c r="M3179" s="9">
        <f t="shared" si="310"/>
        <v>4.0216958333333332</v>
      </c>
      <c r="N3179" s="6">
        <v>665.66</v>
      </c>
      <c r="O3179" s="6">
        <v>126.52</v>
      </c>
    </row>
    <row r="3180" spans="1:15" ht="18.75" hidden="1" customHeight="1" thickBot="1" x14ac:dyDescent="0.3">
      <c r="A3180" s="3" t="s">
        <v>11</v>
      </c>
      <c r="B3180" s="4">
        <v>368043</v>
      </c>
      <c r="C3180" s="3" t="s">
        <v>22</v>
      </c>
      <c r="D3180" s="7">
        <v>7.2499999999999995E-2</v>
      </c>
      <c r="E3180" s="7">
        <f t="shared" si="311"/>
        <v>6.0416666666666665E-3</v>
      </c>
      <c r="F3180" s="5">
        <v>45819</v>
      </c>
      <c r="G3180" s="5">
        <v>2958465</v>
      </c>
      <c r="H3180" s="8">
        <f t="shared" si="312"/>
        <v>2912646</v>
      </c>
      <c r="I3180" s="5">
        <v>2958465</v>
      </c>
      <c r="J3180" s="5">
        <v>45820</v>
      </c>
      <c r="K3180" s="8">
        <f t="shared" si="313"/>
        <v>1</v>
      </c>
      <c r="L3180" s="6">
        <v>588.82000000000005</v>
      </c>
      <c r="M3180" s="9">
        <f t="shared" si="310"/>
        <v>3.557454166666667</v>
      </c>
      <c r="N3180" s="6">
        <v>588.82000000000005</v>
      </c>
      <c r="O3180" s="6">
        <v>588.82000000000005</v>
      </c>
    </row>
    <row r="3181" spans="1:15" ht="18.75" hidden="1" customHeight="1" thickBot="1" x14ac:dyDescent="0.3">
      <c r="A3181" s="3" t="s">
        <v>11</v>
      </c>
      <c r="B3181" s="4">
        <v>245250</v>
      </c>
      <c r="C3181" s="3" t="s">
        <v>22</v>
      </c>
      <c r="D3181" s="7">
        <v>7.4999999999999997E-2</v>
      </c>
      <c r="E3181" s="7">
        <f t="shared" si="311"/>
        <v>6.2499999999999995E-3</v>
      </c>
      <c r="F3181" s="5">
        <v>45937</v>
      </c>
      <c r="G3181" s="5">
        <v>2958465</v>
      </c>
      <c r="H3181" s="8">
        <f t="shared" si="312"/>
        <v>2912528</v>
      </c>
      <c r="I3181" s="5">
        <v>2958465</v>
      </c>
      <c r="J3181" s="5">
        <v>45938</v>
      </c>
      <c r="K3181" s="8">
        <f t="shared" si="313"/>
        <v>1</v>
      </c>
      <c r="L3181" s="6">
        <v>2231.4</v>
      </c>
      <c r="M3181" s="9">
        <f t="shared" si="310"/>
        <v>13.946249999999999</v>
      </c>
      <c r="N3181" s="6">
        <v>2231.4</v>
      </c>
      <c r="O3181" s="6">
        <v>0</v>
      </c>
    </row>
    <row r="3182" spans="1:15" ht="18.75" hidden="1" customHeight="1" thickBot="1" x14ac:dyDescent="0.3">
      <c r="A3182" s="3" t="s">
        <v>11</v>
      </c>
      <c r="B3182" s="4">
        <v>356809</v>
      </c>
      <c r="C3182" s="3" t="s">
        <v>22</v>
      </c>
      <c r="D3182" s="7">
        <v>6.7500000000000004E-2</v>
      </c>
      <c r="E3182" s="7">
        <f t="shared" si="311"/>
        <v>5.6250000000000007E-3</v>
      </c>
      <c r="F3182" s="5">
        <v>45418</v>
      </c>
      <c r="G3182" s="5">
        <v>2958465</v>
      </c>
      <c r="H3182" s="8">
        <f t="shared" si="312"/>
        <v>2913047</v>
      </c>
      <c r="I3182" s="5">
        <v>2958465</v>
      </c>
      <c r="J3182" s="5">
        <v>45419</v>
      </c>
      <c r="K3182" s="8">
        <f t="shared" si="313"/>
        <v>1</v>
      </c>
      <c r="L3182" s="6">
        <v>1092.55</v>
      </c>
      <c r="M3182" s="9">
        <f t="shared" si="310"/>
        <v>6.1455937500000006</v>
      </c>
      <c r="N3182" s="6">
        <v>1092.55</v>
      </c>
      <c r="O3182" s="6">
        <v>0</v>
      </c>
    </row>
    <row r="3183" spans="1:15" ht="18.75" hidden="1" customHeight="1" thickBot="1" x14ac:dyDescent="0.3">
      <c r="A3183" s="3" t="s">
        <v>11</v>
      </c>
      <c r="B3183" s="4">
        <v>303079</v>
      </c>
      <c r="C3183" s="3" t="s">
        <v>22</v>
      </c>
      <c r="D3183" s="7">
        <v>6.7500000000000004E-2</v>
      </c>
      <c r="E3183" s="7">
        <f t="shared" si="311"/>
        <v>5.6250000000000007E-3</v>
      </c>
      <c r="F3183" s="5">
        <v>45541</v>
      </c>
      <c r="G3183" s="5">
        <v>2958465</v>
      </c>
      <c r="H3183" s="8">
        <f t="shared" si="312"/>
        <v>2912924</v>
      </c>
      <c r="I3183" s="5">
        <v>2958465</v>
      </c>
      <c r="J3183" s="5">
        <v>45544</v>
      </c>
      <c r="K3183" s="8">
        <f t="shared" si="313"/>
        <v>3</v>
      </c>
      <c r="L3183" s="6">
        <v>642.9</v>
      </c>
      <c r="M3183" s="9">
        <f t="shared" si="310"/>
        <v>3.6163125000000003</v>
      </c>
      <c r="N3183" s="6">
        <v>642.9</v>
      </c>
      <c r="O3183" s="6">
        <v>0</v>
      </c>
    </row>
    <row r="3184" spans="1:15" ht="18.75" hidden="1" customHeight="1" thickBot="1" x14ac:dyDescent="0.3">
      <c r="A3184" s="3" t="s">
        <v>11</v>
      </c>
      <c r="B3184" s="4">
        <v>493302</v>
      </c>
      <c r="C3184" s="3" t="s">
        <v>22</v>
      </c>
      <c r="D3184" s="7">
        <v>0.08</v>
      </c>
      <c r="E3184" s="7">
        <f t="shared" si="311"/>
        <v>6.6666666666666671E-3</v>
      </c>
      <c r="F3184" s="5">
        <v>45642</v>
      </c>
      <c r="G3184" s="5">
        <v>2958465</v>
      </c>
      <c r="H3184" s="8">
        <f t="shared" si="312"/>
        <v>2912823</v>
      </c>
      <c r="I3184" s="5">
        <v>2958465</v>
      </c>
      <c r="J3184" s="5">
        <v>45643</v>
      </c>
      <c r="K3184" s="8">
        <f t="shared" si="313"/>
        <v>1</v>
      </c>
      <c r="L3184" s="6">
        <v>8563.58</v>
      </c>
      <c r="M3184" s="9">
        <f t="shared" si="310"/>
        <v>57.090533333333333</v>
      </c>
      <c r="N3184" s="6">
        <v>8563.58</v>
      </c>
      <c r="O3184" s="6">
        <v>8563.58</v>
      </c>
    </row>
    <row r="3185" spans="1:15" ht="18.75" hidden="1" customHeight="1" thickBot="1" x14ac:dyDescent="0.3">
      <c r="A3185" s="3" t="s">
        <v>11</v>
      </c>
      <c r="B3185" s="4">
        <v>473365</v>
      </c>
      <c r="C3185" s="3" t="s">
        <v>22</v>
      </c>
      <c r="D3185" s="7">
        <v>6.7500000000000004E-2</v>
      </c>
      <c r="E3185" s="7">
        <f t="shared" si="311"/>
        <v>5.6250000000000007E-3</v>
      </c>
      <c r="F3185" s="5">
        <v>45454</v>
      </c>
      <c r="G3185" s="5">
        <v>2958465</v>
      </c>
      <c r="H3185" s="8">
        <f t="shared" si="312"/>
        <v>2913011</v>
      </c>
      <c r="I3185" s="5">
        <v>2958465</v>
      </c>
      <c r="J3185" s="5">
        <v>45455</v>
      </c>
      <c r="K3185" s="8">
        <f t="shared" si="313"/>
        <v>1</v>
      </c>
      <c r="L3185" s="6">
        <v>628.52</v>
      </c>
      <c r="M3185" s="9">
        <f t="shared" si="310"/>
        <v>3.5354250000000005</v>
      </c>
      <c r="N3185" s="6">
        <v>628.52</v>
      </c>
      <c r="O3185" s="6">
        <v>0</v>
      </c>
    </row>
    <row r="3186" spans="1:15" ht="18.75" hidden="1" customHeight="1" thickBot="1" x14ac:dyDescent="0.3">
      <c r="A3186" s="3" t="s">
        <v>11</v>
      </c>
      <c r="B3186" s="4">
        <v>689363</v>
      </c>
      <c r="C3186" s="3" t="s">
        <v>22</v>
      </c>
      <c r="D3186" s="7">
        <v>6.7500000000000004E-2</v>
      </c>
      <c r="E3186" s="7">
        <f t="shared" si="311"/>
        <v>5.6250000000000007E-3</v>
      </c>
      <c r="F3186" s="5">
        <v>45454</v>
      </c>
      <c r="G3186" s="5">
        <v>2958465</v>
      </c>
      <c r="H3186" s="8">
        <f t="shared" si="312"/>
        <v>2913011</v>
      </c>
      <c r="I3186" s="5">
        <v>2958465</v>
      </c>
      <c r="J3186" s="5">
        <v>45455</v>
      </c>
      <c r="K3186" s="8">
        <f t="shared" si="313"/>
        <v>1</v>
      </c>
      <c r="L3186" s="6">
        <v>625.35</v>
      </c>
      <c r="M3186" s="9">
        <f t="shared" si="310"/>
        <v>3.5175937500000005</v>
      </c>
      <c r="N3186" s="6">
        <v>625.35</v>
      </c>
      <c r="O3186" s="6">
        <v>625.35</v>
      </c>
    </row>
    <row r="3187" spans="1:15" ht="18.75" hidden="1" customHeight="1" thickBot="1" x14ac:dyDescent="0.3">
      <c r="A3187" s="3" t="s">
        <v>11</v>
      </c>
      <c r="B3187" s="4">
        <v>915605</v>
      </c>
      <c r="C3187" s="3" t="s">
        <v>22</v>
      </c>
      <c r="D3187" s="7">
        <v>7.2499999999999995E-2</v>
      </c>
      <c r="E3187" s="7">
        <f t="shared" si="311"/>
        <v>6.0416666666666665E-3</v>
      </c>
      <c r="F3187" s="5">
        <v>45887</v>
      </c>
      <c r="G3187" s="5">
        <v>2958465</v>
      </c>
      <c r="H3187" s="8">
        <f t="shared" si="312"/>
        <v>2912578</v>
      </c>
      <c r="I3187" s="5">
        <v>2958465</v>
      </c>
      <c r="J3187" s="5">
        <v>45889</v>
      </c>
      <c r="K3187" s="8">
        <f t="shared" si="313"/>
        <v>2</v>
      </c>
      <c r="L3187" s="6">
        <v>172.24</v>
      </c>
      <c r="M3187" s="9">
        <f t="shared" si="310"/>
        <v>1.0406166666666667</v>
      </c>
      <c r="N3187" s="6">
        <v>172.24</v>
      </c>
      <c r="O3187" s="6">
        <v>0</v>
      </c>
    </row>
    <row r="3188" spans="1:15" ht="18.75" hidden="1" customHeight="1" thickBot="1" x14ac:dyDescent="0.3">
      <c r="A3188" s="3" t="s">
        <v>11</v>
      </c>
      <c r="B3188" s="4">
        <v>75764</v>
      </c>
      <c r="C3188" s="3" t="s">
        <v>22</v>
      </c>
      <c r="D3188" s="7">
        <v>6.7500000000000004E-2</v>
      </c>
      <c r="E3188" s="7">
        <f t="shared" si="311"/>
        <v>5.6250000000000007E-3</v>
      </c>
      <c r="F3188" s="5">
        <v>45587</v>
      </c>
      <c r="G3188" s="5">
        <v>2958465</v>
      </c>
      <c r="H3188" s="8">
        <f t="shared" si="312"/>
        <v>2912878</v>
      </c>
      <c r="I3188" s="5">
        <v>2958465</v>
      </c>
      <c r="J3188" s="5">
        <v>45588</v>
      </c>
      <c r="K3188" s="8">
        <f t="shared" si="313"/>
        <v>1</v>
      </c>
      <c r="L3188" s="6">
        <v>512.23</v>
      </c>
      <c r="M3188" s="9">
        <f t="shared" si="310"/>
        <v>2.8812937500000007</v>
      </c>
      <c r="N3188" s="6">
        <v>512.23</v>
      </c>
      <c r="O3188" s="6">
        <v>431.04</v>
      </c>
    </row>
    <row r="3189" spans="1:15" ht="18.75" hidden="1" customHeight="1" thickBot="1" x14ac:dyDescent="0.3">
      <c r="A3189" s="3" t="s">
        <v>11</v>
      </c>
      <c r="B3189" s="4">
        <v>613000</v>
      </c>
      <c r="C3189" s="3" t="s">
        <v>22</v>
      </c>
      <c r="D3189" s="7">
        <v>7.7499999999999999E-2</v>
      </c>
      <c r="E3189" s="7">
        <f t="shared" si="311"/>
        <v>6.4583333333333333E-3</v>
      </c>
      <c r="F3189" s="5">
        <v>45971</v>
      </c>
      <c r="G3189" s="5">
        <v>2958465</v>
      </c>
      <c r="H3189" s="8">
        <f t="shared" si="312"/>
        <v>2912494</v>
      </c>
      <c r="I3189" s="5">
        <v>2958465</v>
      </c>
      <c r="J3189" s="5">
        <v>45973</v>
      </c>
      <c r="K3189" s="8">
        <f t="shared" si="313"/>
        <v>2</v>
      </c>
      <c r="L3189" s="6">
        <v>603.59</v>
      </c>
      <c r="M3189" s="9">
        <f t="shared" si="310"/>
        <v>3.8981854166666667</v>
      </c>
      <c r="N3189" s="6">
        <v>603.59</v>
      </c>
      <c r="O3189" s="6">
        <v>0</v>
      </c>
    </row>
    <row r="3190" spans="1:15" ht="18.75" hidden="1" customHeight="1" thickBot="1" x14ac:dyDescent="0.3">
      <c r="A3190" s="3" t="s">
        <v>11</v>
      </c>
      <c r="B3190" s="4">
        <v>799469</v>
      </c>
      <c r="C3190" s="3" t="s">
        <v>22</v>
      </c>
      <c r="D3190" s="7">
        <v>6.7500000000000004E-2</v>
      </c>
      <c r="E3190" s="7">
        <f t="shared" si="311"/>
        <v>5.6250000000000007E-3</v>
      </c>
      <c r="F3190" s="5">
        <v>45454</v>
      </c>
      <c r="G3190" s="5">
        <v>2958465</v>
      </c>
      <c r="H3190" s="8">
        <f t="shared" si="312"/>
        <v>2913011</v>
      </c>
      <c r="I3190" s="5">
        <v>2958465</v>
      </c>
      <c r="J3190" s="5">
        <v>45455</v>
      </c>
      <c r="K3190" s="8">
        <f t="shared" si="313"/>
        <v>1</v>
      </c>
      <c r="L3190" s="6">
        <v>721.61</v>
      </c>
      <c r="M3190" s="9">
        <f t="shared" si="310"/>
        <v>4.0590562500000003</v>
      </c>
      <c r="N3190" s="6">
        <v>721.61</v>
      </c>
      <c r="O3190" s="6">
        <v>0</v>
      </c>
    </row>
    <row r="3191" spans="1:15" ht="18.75" hidden="1" customHeight="1" thickBot="1" x14ac:dyDescent="0.3">
      <c r="A3191" s="3" t="s">
        <v>11</v>
      </c>
      <c r="B3191" s="4">
        <v>865874</v>
      </c>
      <c r="C3191" s="3" t="s">
        <v>22</v>
      </c>
      <c r="D3191" s="7">
        <v>7.0000000000000007E-2</v>
      </c>
      <c r="E3191" s="7">
        <f t="shared" si="311"/>
        <v>5.8333333333333336E-3</v>
      </c>
      <c r="F3191" s="5">
        <v>45609</v>
      </c>
      <c r="G3191" s="5">
        <v>2958465</v>
      </c>
      <c r="H3191" s="8">
        <f t="shared" si="312"/>
        <v>2912856</v>
      </c>
      <c r="I3191" s="5">
        <v>2958465</v>
      </c>
      <c r="J3191" s="5">
        <v>45610</v>
      </c>
      <c r="K3191" s="8">
        <f t="shared" si="313"/>
        <v>1</v>
      </c>
      <c r="L3191" s="6">
        <v>9383.4</v>
      </c>
      <c r="M3191" s="9">
        <f t="shared" si="310"/>
        <v>54.736499999999999</v>
      </c>
      <c r="N3191" s="6">
        <v>9383.4</v>
      </c>
      <c r="O3191" s="6">
        <v>2225</v>
      </c>
    </row>
    <row r="3192" spans="1:15" ht="18.75" hidden="1" customHeight="1" thickBot="1" x14ac:dyDescent="0.3">
      <c r="A3192" s="3" t="s">
        <v>11</v>
      </c>
      <c r="B3192" s="4">
        <v>415550</v>
      </c>
      <c r="C3192" s="3" t="s">
        <v>22</v>
      </c>
      <c r="D3192" s="7">
        <v>0.08</v>
      </c>
      <c r="E3192" s="7">
        <f t="shared" si="311"/>
        <v>6.6666666666666671E-3</v>
      </c>
      <c r="F3192" s="5">
        <v>46063</v>
      </c>
      <c r="G3192" s="5">
        <v>2958465</v>
      </c>
      <c r="H3192" s="8">
        <f t="shared" si="312"/>
        <v>2912402</v>
      </c>
      <c r="I3192" s="5">
        <v>2958465</v>
      </c>
      <c r="J3192" s="5">
        <v>46064</v>
      </c>
      <c r="K3192" s="8">
        <f t="shared" si="313"/>
        <v>1</v>
      </c>
      <c r="L3192" s="6">
        <v>482.22</v>
      </c>
      <c r="M3192" s="9">
        <f t="shared" si="310"/>
        <v>3.2148000000000003</v>
      </c>
      <c r="N3192" s="6">
        <v>482.22</v>
      </c>
      <c r="O3192" s="6">
        <v>0</v>
      </c>
    </row>
    <row r="3193" spans="1:15" ht="18.75" hidden="1" customHeight="1" thickBot="1" x14ac:dyDescent="0.3">
      <c r="A3193" s="3" t="s">
        <v>11</v>
      </c>
      <c r="B3193" s="4">
        <v>353687</v>
      </c>
      <c r="C3193" s="3" t="s">
        <v>22</v>
      </c>
      <c r="D3193" s="7">
        <v>7.2499999999999995E-2</v>
      </c>
      <c r="E3193" s="7">
        <f t="shared" si="311"/>
        <v>6.0416666666666665E-3</v>
      </c>
      <c r="F3193" s="5">
        <v>45852</v>
      </c>
      <c r="G3193" s="5">
        <v>2958465</v>
      </c>
      <c r="H3193" s="8">
        <f t="shared" si="312"/>
        <v>2912613</v>
      </c>
      <c r="I3193" s="5">
        <v>2958465</v>
      </c>
      <c r="J3193" s="5">
        <v>45853</v>
      </c>
      <c r="K3193" s="8">
        <f t="shared" si="313"/>
        <v>1</v>
      </c>
      <c r="L3193" s="6">
        <v>3086.91</v>
      </c>
      <c r="M3193" s="9">
        <f t="shared" si="310"/>
        <v>18.650081249999999</v>
      </c>
      <c r="N3193" s="6">
        <v>3086.91</v>
      </c>
      <c r="O3193" s="6">
        <v>0</v>
      </c>
    </row>
    <row r="3194" spans="1:15" ht="18.75" hidden="1" customHeight="1" thickBot="1" x14ac:dyDescent="0.3">
      <c r="A3194" s="3" t="s">
        <v>11</v>
      </c>
      <c r="B3194" s="4">
        <v>103018</v>
      </c>
      <c r="C3194" s="3" t="s">
        <v>22</v>
      </c>
      <c r="D3194" s="7">
        <v>6.7500000000000004E-2</v>
      </c>
      <c r="E3194" s="7">
        <f t="shared" si="311"/>
        <v>5.6250000000000007E-3</v>
      </c>
      <c r="F3194" s="5">
        <v>45453</v>
      </c>
      <c r="G3194" s="5">
        <v>2958465</v>
      </c>
      <c r="H3194" s="8">
        <f t="shared" si="312"/>
        <v>2913012</v>
      </c>
      <c r="I3194" s="5">
        <v>2958465</v>
      </c>
      <c r="J3194" s="5">
        <v>45454</v>
      </c>
      <c r="K3194" s="8">
        <f t="shared" si="313"/>
        <v>1</v>
      </c>
      <c r="L3194" s="6">
        <v>4173.24</v>
      </c>
      <c r="M3194" s="9">
        <f t="shared" si="310"/>
        <v>23.474475000000002</v>
      </c>
      <c r="N3194" s="6">
        <v>4173.24</v>
      </c>
      <c r="O3194" s="6">
        <v>0</v>
      </c>
    </row>
    <row r="3195" spans="1:15" ht="18.75" hidden="1" customHeight="1" thickBot="1" x14ac:dyDescent="0.3">
      <c r="A3195" s="3" t="s">
        <v>11</v>
      </c>
      <c r="B3195" s="4">
        <v>421586</v>
      </c>
      <c r="C3195" s="3" t="s">
        <v>22</v>
      </c>
      <c r="D3195" s="7">
        <v>6.7500000000000004E-2</v>
      </c>
      <c r="E3195" s="7">
        <f t="shared" si="311"/>
        <v>5.6250000000000007E-3</v>
      </c>
      <c r="F3195" s="5">
        <v>45393</v>
      </c>
      <c r="G3195" s="5">
        <v>2958465</v>
      </c>
      <c r="H3195" s="8">
        <f t="shared" si="312"/>
        <v>2913072</v>
      </c>
      <c r="I3195" s="5">
        <v>2958465</v>
      </c>
      <c r="J3195" s="5">
        <v>45394</v>
      </c>
      <c r="K3195" s="8">
        <f t="shared" si="313"/>
        <v>1</v>
      </c>
      <c r="L3195" s="6">
        <v>625.44000000000005</v>
      </c>
      <c r="M3195" s="9">
        <f t="shared" si="310"/>
        <v>3.5181000000000009</v>
      </c>
      <c r="N3195" s="6">
        <v>625.44000000000005</v>
      </c>
      <c r="O3195" s="6">
        <v>0</v>
      </c>
    </row>
    <row r="3196" spans="1:15" ht="18.75" hidden="1" customHeight="1" thickBot="1" x14ac:dyDescent="0.3">
      <c r="A3196" s="3" t="s">
        <v>11</v>
      </c>
      <c r="B3196" s="4">
        <v>556684</v>
      </c>
      <c r="C3196" s="3" t="s">
        <v>22</v>
      </c>
      <c r="D3196" s="7">
        <v>0.08</v>
      </c>
      <c r="E3196" s="7">
        <f t="shared" si="311"/>
        <v>6.6666666666666671E-3</v>
      </c>
      <c r="F3196" s="5">
        <v>46063</v>
      </c>
      <c r="G3196" s="5">
        <v>2958465</v>
      </c>
      <c r="H3196" s="8">
        <f t="shared" si="312"/>
        <v>2912402</v>
      </c>
      <c r="I3196" s="5">
        <v>2958465</v>
      </c>
      <c r="J3196" s="5">
        <v>46064</v>
      </c>
      <c r="K3196" s="8">
        <f t="shared" si="313"/>
        <v>1</v>
      </c>
      <c r="L3196" s="6">
        <v>2206.62</v>
      </c>
      <c r="M3196" s="9">
        <f t="shared" si="310"/>
        <v>14.710800000000001</v>
      </c>
      <c r="N3196" s="6">
        <v>2206.62</v>
      </c>
      <c r="O3196" s="6">
        <v>400</v>
      </c>
    </row>
    <row r="3197" spans="1:15" ht="18.75" hidden="1" customHeight="1" thickBot="1" x14ac:dyDescent="0.3">
      <c r="A3197" s="3" t="s">
        <v>11</v>
      </c>
      <c r="B3197" s="4">
        <v>163962</v>
      </c>
      <c r="C3197" s="3" t="s">
        <v>22</v>
      </c>
      <c r="D3197" s="7">
        <v>6.7500000000000004E-2</v>
      </c>
      <c r="E3197" s="7">
        <f t="shared" si="311"/>
        <v>5.6250000000000007E-3</v>
      </c>
      <c r="F3197" s="5">
        <v>45587</v>
      </c>
      <c r="G3197" s="5">
        <v>2958465</v>
      </c>
      <c r="H3197" s="8">
        <f t="shared" si="312"/>
        <v>2912878</v>
      </c>
      <c r="I3197" s="5">
        <v>2958465</v>
      </c>
      <c r="J3197" s="5">
        <v>45588</v>
      </c>
      <c r="K3197" s="8">
        <f t="shared" si="313"/>
        <v>1</v>
      </c>
      <c r="L3197" s="6">
        <v>643.25</v>
      </c>
      <c r="M3197" s="9">
        <f t="shared" si="310"/>
        <v>3.6182812500000003</v>
      </c>
      <c r="N3197" s="6">
        <v>643.25</v>
      </c>
      <c r="O3197" s="6">
        <v>0</v>
      </c>
    </row>
    <row r="3198" spans="1:15" ht="18.75" hidden="1" customHeight="1" thickBot="1" x14ac:dyDescent="0.3">
      <c r="A3198" s="3" t="s">
        <v>11</v>
      </c>
      <c r="B3198" s="4">
        <v>278088</v>
      </c>
      <c r="C3198" s="3" t="s">
        <v>22</v>
      </c>
      <c r="D3198" s="7">
        <v>7.2499999999999995E-2</v>
      </c>
      <c r="E3198" s="7">
        <f t="shared" si="311"/>
        <v>6.0416666666666665E-3</v>
      </c>
      <c r="F3198" s="5">
        <v>45887</v>
      </c>
      <c r="G3198" s="5">
        <v>2958465</v>
      </c>
      <c r="H3198" s="8">
        <f t="shared" si="312"/>
        <v>2912578</v>
      </c>
      <c r="I3198" s="5">
        <v>2958465</v>
      </c>
      <c r="J3198" s="5">
        <v>45889</v>
      </c>
      <c r="K3198" s="8">
        <f t="shared" si="313"/>
        <v>2</v>
      </c>
      <c r="L3198" s="6">
        <v>14873.22</v>
      </c>
      <c r="M3198" s="9">
        <f t="shared" si="310"/>
        <v>89.859037499999999</v>
      </c>
      <c r="N3198" s="6">
        <v>14873.22</v>
      </c>
      <c r="O3198" s="6">
        <v>352.19</v>
      </c>
    </row>
    <row r="3199" spans="1:15" ht="18.75" hidden="1" customHeight="1" thickBot="1" x14ac:dyDescent="0.3">
      <c r="A3199" s="3" t="s">
        <v>11</v>
      </c>
      <c r="B3199" s="4">
        <v>541857</v>
      </c>
      <c r="C3199" s="3" t="s">
        <v>22</v>
      </c>
      <c r="D3199" s="7">
        <v>7.2499999999999995E-2</v>
      </c>
      <c r="E3199" s="7">
        <f t="shared" si="311"/>
        <v>6.0416666666666665E-3</v>
      </c>
      <c r="F3199" s="5">
        <v>45852</v>
      </c>
      <c r="G3199" s="5">
        <v>2958465</v>
      </c>
      <c r="H3199" s="8">
        <f t="shared" si="312"/>
        <v>2912613</v>
      </c>
      <c r="I3199" s="5">
        <v>2958465</v>
      </c>
      <c r="J3199" s="5">
        <v>45853</v>
      </c>
      <c r="K3199" s="8">
        <f t="shared" si="313"/>
        <v>1</v>
      </c>
      <c r="L3199" s="6">
        <v>832.9</v>
      </c>
      <c r="M3199" s="9">
        <f t="shared" si="310"/>
        <v>5.0321041666666666</v>
      </c>
      <c r="N3199" s="6">
        <v>832.9</v>
      </c>
      <c r="O3199" s="6">
        <v>618.89</v>
      </c>
    </row>
    <row r="3200" spans="1:15" ht="18.75" hidden="1" customHeight="1" thickBot="1" x14ac:dyDescent="0.3">
      <c r="A3200" s="3" t="s">
        <v>11</v>
      </c>
      <c r="B3200" s="4">
        <v>580234</v>
      </c>
      <c r="C3200" s="3" t="s">
        <v>22</v>
      </c>
      <c r="D3200" s="7">
        <v>6.7500000000000004E-2</v>
      </c>
      <c r="E3200" s="7">
        <f t="shared" si="311"/>
        <v>5.6250000000000007E-3</v>
      </c>
      <c r="F3200" s="5">
        <v>45565</v>
      </c>
      <c r="G3200" s="5">
        <v>2958465</v>
      </c>
      <c r="H3200" s="8">
        <f t="shared" si="312"/>
        <v>2912900</v>
      </c>
      <c r="I3200" s="5">
        <v>2958465</v>
      </c>
      <c r="J3200" s="5">
        <v>45566</v>
      </c>
      <c r="K3200" s="8">
        <f t="shared" si="313"/>
        <v>1</v>
      </c>
      <c r="L3200" s="6">
        <v>3321.15</v>
      </c>
      <c r="M3200" s="9">
        <f t="shared" si="310"/>
        <v>18.681468750000004</v>
      </c>
      <c r="N3200" s="6">
        <v>3321.15</v>
      </c>
      <c r="O3200" s="6">
        <v>0</v>
      </c>
    </row>
    <row r="3201" spans="1:15" ht="18.75" hidden="1" customHeight="1" thickBot="1" x14ac:dyDescent="0.3">
      <c r="A3201" s="3" t="s">
        <v>11</v>
      </c>
      <c r="B3201" s="4">
        <v>972434</v>
      </c>
      <c r="C3201" s="3" t="s">
        <v>22</v>
      </c>
      <c r="D3201" s="7">
        <v>6.7500000000000004E-2</v>
      </c>
      <c r="E3201" s="7">
        <f t="shared" si="311"/>
        <v>5.6250000000000007E-3</v>
      </c>
      <c r="F3201" s="5">
        <v>45454</v>
      </c>
      <c r="G3201" s="5">
        <v>2958465</v>
      </c>
      <c r="H3201" s="8">
        <f t="shared" si="312"/>
        <v>2913011</v>
      </c>
      <c r="I3201" s="5">
        <v>2958465</v>
      </c>
      <c r="J3201" s="5">
        <v>45455</v>
      </c>
      <c r="K3201" s="8">
        <f t="shared" si="313"/>
        <v>1</v>
      </c>
      <c r="L3201" s="6">
        <v>712.67</v>
      </c>
      <c r="M3201" s="9">
        <f t="shared" si="310"/>
        <v>4.0087687500000007</v>
      </c>
      <c r="N3201" s="6">
        <v>712.67</v>
      </c>
      <c r="O3201" s="6">
        <v>0</v>
      </c>
    </row>
    <row r="3202" spans="1:15" ht="18.75" hidden="1" customHeight="1" thickBot="1" x14ac:dyDescent="0.3">
      <c r="A3202" s="3" t="s">
        <v>11</v>
      </c>
      <c r="B3202" s="4">
        <v>321339</v>
      </c>
      <c r="C3202" s="3" t="s">
        <v>22</v>
      </c>
      <c r="D3202" s="7">
        <v>7.7499999999999999E-2</v>
      </c>
      <c r="E3202" s="7">
        <f t="shared" si="311"/>
        <v>6.4583333333333333E-3</v>
      </c>
      <c r="F3202" s="5">
        <v>45971</v>
      </c>
      <c r="G3202" s="5">
        <v>2958465</v>
      </c>
      <c r="H3202" s="8">
        <f t="shared" si="312"/>
        <v>2912494</v>
      </c>
      <c r="I3202" s="5">
        <v>2958465</v>
      </c>
      <c r="J3202" s="5">
        <v>45973</v>
      </c>
      <c r="K3202" s="8">
        <f t="shared" si="313"/>
        <v>2</v>
      </c>
      <c r="L3202" s="6">
        <v>481.26</v>
      </c>
      <c r="M3202" s="9">
        <f t="shared" ref="M3202:M3265" si="314">-PMT(E3202,(H3202/30),L3202)</f>
        <v>3.1081374999999998</v>
      </c>
      <c r="N3202" s="6">
        <v>481.26</v>
      </c>
      <c r="O3202" s="6">
        <v>0</v>
      </c>
    </row>
    <row r="3203" spans="1:15" ht="18.75" hidden="1" customHeight="1" thickBot="1" x14ac:dyDescent="0.3">
      <c r="A3203" s="3" t="s">
        <v>11</v>
      </c>
      <c r="B3203" s="4">
        <v>36823</v>
      </c>
      <c r="C3203" s="3" t="s">
        <v>22</v>
      </c>
      <c r="D3203" s="7">
        <v>7.2499999999999995E-2</v>
      </c>
      <c r="E3203" s="7">
        <f t="shared" ref="E3203:E3266" si="315">D3203/12</f>
        <v>6.0416666666666665E-3</v>
      </c>
      <c r="F3203" s="5">
        <v>45887</v>
      </c>
      <c r="G3203" s="5">
        <v>2958465</v>
      </c>
      <c r="H3203" s="8">
        <f t="shared" ref="H3203:H3266" si="316">G3203-F3203</f>
        <v>2912578</v>
      </c>
      <c r="I3203" s="5">
        <v>2958465</v>
      </c>
      <c r="J3203" s="5">
        <v>45889</v>
      </c>
      <c r="K3203" s="8">
        <f t="shared" ref="K3203:K3266" si="317">J3203-F3203</f>
        <v>2</v>
      </c>
      <c r="L3203" s="6">
        <v>637.26</v>
      </c>
      <c r="M3203" s="9">
        <f t="shared" si="314"/>
        <v>3.8501124999999998</v>
      </c>
      <c r="N3203" s="6">
        <v>637.26</v>
      </c>
      <c r="O3203" s="6">
        <v>0</v>
      </c>
    </row>
    <row r="3204" spans="1:15" ht="18.75" hidden="1" customHeight="1" thickBot="1" x14ac:dyDescent="0.3">
      <c r="A3204" s="3" t="s">
        <v>11</v>
      </c>
      <c r="B3204" s="4">
        <v>144117</v>
      </c>
      <c r="C3204" s="3" t="s">
        <v>22</v>
      </c>
      <c r="D3204" s="7">
        <v>7.2499999999999995E-2</v>
      </c>
      <c r="E3204" s="7">
        <f t="shared" si="315"/>
        <v>6.0416666666666665E-3</v>
      </c>
      <c r="F3204" s="5">
        <v>45699</v>
      </c>
      <c r="G3204" s="5">
        <v>2958465</v>
      </c>
      <c r="H3204" s="8">
        <f t="shared" si="316"/>
        <v>2912766</v>
      </c>
      <c r="I3204" s="5">
        <v>2958465</v>
      </c>
      <c r="J3204" s="5">
        <v>45700</v>
      </c>
      <c r="K3204" s="8">
        <f t="shared" si="317"/>
        <v>1</v>
      </c>
      <c r="L3204" s="6">
        <v>632.98</v>
      </c>
      <c r="M3204" s="9">
        <f t="shared" si="314"/>
        <v>3.8242541666666665</v>
      </c>
      <c r="N3204" s="6">
        <v>632.98</v>
      </c>
      <c r="O3204" s="6">
        <v>0</v>
      </c>
    </row>
    <row r="3205" spans="1:15" ht="18.75" hidden="1" customHeight="1" thickBot="1" x14ac:dyDescent="0.3">
      <c r="A3205" s="3" t="s">
        <v>11</v>
      </c>
      <c r="B3205" s="4">
        <v>419977</v>
      </c>
      <c r="C3205" s="3" t="s">
        <v>22</v>
      </c>
      <c r="D3205" s="7">
        <v>6.7500000000000004E-2</v>
      </c>
      <c r="E3205" s="7">
        <f t="shared" si="315"/>
        <v>5.6250000000000007E-3</v>
      </c>
      <c r="F3205" s="5">
        <v>45393</v>
      </c>
      <c r="G3205" s="5">
        <v>2958465</v>
      </c>
      <c r="H3205" s="8">
        <f t="shared" si="316"/>
        <v>2913072</v>
      </c>
      <c r="I3205" s="5">
        <v>2958465</v>
      </c>
      <c r="J3205" s="5">
        <v>45394</v>
      </c>
      <c r="K3205" s="8">
        <f t="shared" si="317"/>
        <v>1</v>
      </c>
      <c r="L3205" s="6">
        <v>631.03</v>
      </c>
      <c r="M3205" s="9">
        <f t="shared" si="314"/>
        <v>3.5495437500000002</v>
      </c>
      <c r="N3205" s="6">
        <v>631.03</v>
      </c>
      <c r="O3205" s="6">
        <v>0</v>
      </c>
    </row>
    <row r="3206" spans="1:15" ht="18.75" hidden="1" customHeight="1" thickBot="1" x14ac:dyDescent="0.3">
      <c r="A3206" s="3" t="s">
        <v>11</v>
      </c>
      <c r="B3206" s="4">
        <v>500364</v>
      </c>
      <c r="C3206" s="3" t="s">
        <v>22</v>
      </c>
      <c r="D3206" s="7">
        <v>6.7500000000000004E-2</v>
      </c>
      <c r="E3206" s="7">
        <f t="shared" si="315"/>
        <v>5.6250000000000007E-3</v>
      </c>
      <c r="F3206" s="5">
        <v>45418</v>
      </c>
      <c r="G3206" s="5">
        <v>2958465</v>
      </c>
      <c r="H3206" s="8">
        <f t="shared" si="316"/>
        <v>2913047</v>
      </c>
      <c r="I3206" s="5">
        <v>2958465</v>
      </c>
      <c r="J3206" s="5">
        <v>45419</v>
      </c>
      <c r="K3206" s="8">
        <f t="shared" si="317"/>
        <v>1</v>
      </c>
      <c r="L3206" s="6">
        <v>3371.25</v>
      </c>
      <c r="M3206" s="9">
        <f t="shared" si="314"/>
        <v>18.963281250000001</v>
      </c>
      <c r="N3206" s="6">
        <v>3371.25</v>
      </c>
      <c r="O3206" s="6">
        <v>1004.88</v>
      </c>
    </row>
    <row r="3207" spans="1:15" ht="18.75" hidden="1" customHeight="1" thickBot="1" x14ac:dyDescent="0.3">
      <c r="A3207" s="3" t="s">
        <v>11</v>
      </c>
      <c r="B3207" s="4">
        <v>203781</v>
      </c>
      <c r="C3207" s="3" t="s">
        <v>22</v>
      </c>
      <c r="D3207" s="7">
        <v>7.2499999999999995E-2</v>
      </c>
      <c r="E3207" s="7">
        <f t="shared" si="315"/>
        <v>6.0416666666666665E-3</v>
      </c>
      <c r="F3207" s="5">
        <v>45852</v>
      </c>
      <c r="G3207" s="5">
        <v>2958465</v>
      </c>
      <c r="H3207" s="8">
        <f t="shared" si="316"/>
        <v>2912613</v>
      </c>
      <c r="I3207" s="5">
        <v>2958465</v>
      </c>
      <c r="J3207" s="5">
        <v>45853</v>
      </c>
      <c r="K3207" s="8">
        <f t="shared" si="317"/>
        <v>1</v>
      </c>
      <c r="L3207" s="6">
        <v>3317.76</v>
      </c>
      <c r="M3207" s="9">
        <f t="shared" si="314"/>
        <v>20.044800000000002</v>
      </c>
      <c r="N3207" s="6">
        <v>3317.76</v>
      </c>
      <c r="O3207" s="6">
        <v>224.67</v>
      </c>
    </row>
    <row r="3208" spans="1:15" ht="18.75" hidden="1" customHeight="1" thickBot="1" x14ac:dyDescent="0.3">
      <c r="A3208" s="3" t="s">
        <v>11</v>
      </c>
      <c r="B3208" s="4">
        <v>739492</v>
      </c>
      <c r="C3208" s="3" t="s">
        <v>22</v>
      </c>
      <c r="D3208" s="7">
        <v>6.7500000000000004E-2</v>
      </c>
      <c r="E3208" s="7">
        <f t="shared" si="315"/>
        <v>5.6250000000000007E-3</v>
      </c>
      <c r="F3208" s="5">
        <v>45526</v>
      </c>
      <c r="G3208" s="5">
        <v>2958465</v>
      </c>
      <c r="H3208" s="8">
        <f t="shared" si="316"/>
        <v>2912939</v>
      </c>
      <c r="I3208" s="5">
        <v>2958465</v>
      </c>
      <c r="J3208" s="5">
        <v>45527</v>
      </c>
      <c r="K3208" s="8">
        <f t="shared" si="317"/>
        <v>1</v>
      </c>
      <c r="L3208" s="6">
        <v>8310.2000000000007</v>
      </c>
      <c r="M3208" s="9">
        <f t="shared" si="314"/>
        <v>46.744875000000008</v>
      </c>
      <c r="N3208" s="6">
        <v>8310.2000000000007</v>
      </c>
      <c r="O3208" s="6">
        <v>567.72</v>
      </c>
    </row>
    <row r="3209" spans="1:15" ht="18.75" hidden="1" customHeight="1" thickBot="1" x14ac:dyDescent="0.3">
      <c r="A3209" s="3" t="s">
        <v>11</v>
      </c>
      <c r="B3209" s="4">
        <v>840117</v>
      </c>
      <c r="C3209" s="3" t="s">
        <v>22</v>
      </c>
      <c r="D3209" s="7">
        <v>7.7499999999999999E-2</v>
      </c>
      <c r="E3209" s="7">
        <f t="shared" si="315"/>
        <v>6.4583333333333333E-3</v>
      </c>
      <c r="F3209" s="5">
        <v>45971</v>
      </c>
      <c r="G3209" s="5">
        <v>2958465</v>
      </c>
      <c r="H3209" s="8">
        <f t="shared" si="316"/>
        <v>2912494</v>
      </c>
      <c r="I3209" s="5">
        <v>2958465</v>
      </c>
      <c r="J3209" s="5">
        <v>45973</v>
      </c>
      <c r="K3209" s="8">
        <f t="shared" si="317"/>
        <v>2</v>
      </c>
      <c r="L3209" s="6">
        <v>643.95000000000005</v>
      </c>
      <c r="M3209" s="9">
        <f t="shared" si="314"/>
        <v>4.15884375</v>
      </c>
      <c r="N3209" s="6">
        <v>643.95000000000005</v>
      </c>
      <c r="O3209" s="6">
        <v>0</v>
      </c>
    </row>
    <row r="3210" spans="1:15" ht="18.75" hidden="1" customHeight="1" thickBot="1" x14ac:dyDescent="0.3">
      <c r="A3210" s="3" t="s">
        <v>11</v>
      </c>
      <c r="B3210" s="4">
        <v>824903</v>
      </c>
      <c r="C3210" s="3" t="s">
        <v>22</v>
      </c>
      <c r="D3210" s="7">
        <v>0.08</v>
      </c>
      <c r="E3210" s="7">
        <f t="shared" si="315"/>
        <v>6.6666666666666671E-3</v>
      </c>
      <c r="F3210" s="5">
        <v>43494</v>
      </c>
      <c r="G3210" s="5">
        <v>2958465</v>
      </c>
      <c r="H3210" s="8">
        <f t="shared" si="316"/>
        <v>2914971</v>
      </c>
      <c r="I3210" s="5">
        <v>2958465</v>
      </c>
      <c r="J3210" s="5">
        <v>43495</v>
      </c>
      <c r="K3210" s="8">
        <f t="shared" si="317"/>
        <v>1</v>
      </c>
      <c r="L3210" s="6">
        <v>4179.78</v>
      </c>
      <c r="M3210" s="9">
        <f t="shared" si="314"/>
        <v>27.865200000000002</v>
      </c>
      <c r="N3210" s="6">
        <v>4179.78</v>
      </c>
      <c r="O3210" s="6">
        <v>1434.97</v>
      </c>
    </row>
    <row r="3211" spans="1:15" ht="18.75" hidden="1" customHeight="1" thickBot="1" x14ac:dyDescent="0.3">
      <c r="A3211" s="3" t="s">
        <v>11</v>
      </c>
      <c r="B3211" s="4">
        <v>437419</v>
      </c>
      <c r="C3211" s="3" t="s">
        <v>22</v>
      </c>
      <c r="D3211" s="7">
        <v>0.08</v>
      </c>
      <c r="E3211" s="7">
        <f t="shared" si="315"/>
        <v>6.6666666666666671E-3</v>
      </c>
      <c r="F3211" s="5">
        <v>46063</v>
      </c>
      <c r="G3211" s="5">
        <v>2958465</v>
      </c>
      <c r="H3211" s="8">
        <f t="shared" si="316"/>
        <v>2912402</v>
      </c>
      <c r="I3211" s="5">
        <v>2958465</v>
      </c>
      <c r="J3211" s="5">
        <v>46064</v>
      </c>
      <c r="K3211" s="8">
        <f t="shared" si="317"/>
        <v>1</v>
      </c>
      <c r="L3211" s="6">
        <v>7434.78</v>
      </c>
      <c r="M3211" s="9">
        <f t="shared" si="314"/>
        <v>49.565200000000004</v>
      </c>
      <c r="N3211" s="6">
        <v>7434.78</v>
      </c>
      <c r="O3211" s="6">
        <v>0</v>
      </c>
    </row>
    <row r="3212" spans="1:15" ht="18.75" hidden="1" customHeight="1" thickBot="1" x14ac:dyDescent="0.3">
      <c r="A3212" s="3" t="s">
        <v>11</v>
      </c>
      <c r="B3212" s="4">
        <v>839964</v>
      </c>
      <c r="C3212" s="3" t="s">
        <v>22</v>
      </c>
      <c r="D3212" s="7">
        <v>7.4999999999999997E-2</v>
      </c>
      <c r="E3212" s="7">
        <f t="shared" si="315"/>
        <v>6.2499999999999995E-3</v>
      </c>
      <c r="F3212" s="5">
        <v>45937</v>
      </c>
      <c r="G3212" s="5">
        <v>2958465</v>
      </c>
      <c r="H3212" s="8">
        <f t="shared" si="316"/>
        <v>2912528</v>
      </c>
      <c r="I3212" s="5">
        <v>2958465</v>
      </c>
      <c r="J3212" s="5">
        <v>45938</v>
      </c>
      <c r="K3212" s="8">
        <f t="shared" si="317"/>
        <v>1</v>
      </c>
      <c r="L3212" s="6">
        <v>15941.19</v>
      </c>
      <c r="M3212" s="9">
        <f t="shared" si="314"/>
        <v>99.632437499999995</v>
      </c>
      <c r="N3212" s="6">
        <v>15941.19</v>
      </c>
      <c r="O3212" s="6">
        <v>0</v>
      </c>
    </row>
    <row r="3213" spans="1:15" ht="18.75" hidden="1" customHeight="1" thickBot="1" x14ac:dyDescent="0.3">
      <c r="A3213" s="3" t="s">
        <v>11</v>
      </c>
      <c r="B3213" s="4">
        <v>171284</v>
      </c>
      <c r="C3213" s="3" t="s">
        <v>22</v>
      </c>
      <c r="D3213" s="7">
        <v>6.7500000000000004E-2</v>
      </c>
      <c r="E3213" s="7">
        <f t="shared" si="315"/>
        <v>5.6250000000000007E-3</v>
      </c>
      <c r="F3213" s="5">
        <v>45526</v>
      </c>
      <c r="G3213" s="5">
        <v>2958465</v>
      </c>
      <c r="H3213" s="8">
        <f t="shared" si="316"/>
        <v>2912939</v>
      </c>
      <c r="I3213" s="5">
        <v>2958465</v>
      </c>
      <c r="J3213" s="5">
        <v>45527</v>
      </c>
      <c r="K3213" s="8">
        <f t="shared" si="317"/>
        <v>1</v>
      </c>
      <c r="L3213" s="6">
        <v>624.98</v>
      </c>
      <c r="M3213" s="9">
        <f t="shared" si="314"/>
        <v>3.5155125000000007</v>
      </c>
      <c r="N3213" s="6">
        <v>624.98</v>
      </c>
      <c r="O3213" s="6">
        <v>0</v>
      </c>
    </row>
    <row r="3214" spans="1:15" ht="18.75" hidden="1" customHeight="1" thickBot="1" x14ac:dyDescent="0.3">
      <c r="A3214" s="3" t="s">
        <v>11</v>
      </c>
      <c r="B3214" s="4">
        <v>421851</v>
      </c>
      <c r="C3214" s="3" t="s">
        <v>22</v>
      </c>
      <c r="D3214" s="7">
        <v>0.08</v>
      </c>
      <c r="E3214" s="7">
        <f t="shared" si="315"/>
        <v>6.6666666666666671E-3</v>
      </c>
      <c r="F3214" s="5">
        <v>45673</v>
      </c>
      <c r="G3214" s="5">
        <v>2958465</v>
      </c>
      <c r="H3214" s="8">
        <f t="shared" si="316"/>
        <v>2912792</v>
      </c>
      <c r="I3214" s="5">
        <v>2958465</v>
      </c>
      <c r="J3214" s="5">
        <v>45674</v>
      </c>
      <c r="K3214" s="8">
        <f t="shared" si="317"/>
        <v>1</v>
      </c>
      <c r="L3214" s="6">
        <v>682.3</v>
      </c>
      <c r="M3214" s="9">
        <f t="shared" si="314"/>
        <v>4.5486666666666666</v>
      </c>
      <c r="N3214" s="6">
        <v>682.3</v>
      </c>
      <c r="O3214" s="6">
        <v>682.3</v>
      </c>
    </row>
    <row r="3215" spans="1:15" ht="18.75" hidden="1" customHeight="1" thickBot="1" x14ac:dyDescent="0.3">
      <c r="A3215" s="3" t="s">
        <v>11</v>
      </c>
      <c r="B3215" s="4">
        <v>331787</v>
      </c>
      <c r="C3215" s="3" t="s">
        <v>22</v>
      </c>
      <c r="D3215" s="7">
        <v>0.08</v>
      </c>
      <c r="E3215" s="7">
        <f t="shared" si="315"/>
        <v>6.6666666666666671E-3</v>
      </c>
      <c r="F3215" s="5">
        <v>45699</v>
      </c>
      <c r="G3215" s="5">
        <v>2958465</v>
      </c>
      <c r="H3215" s="8">
        <f t="shared" si="316"/>
        <v>2912766</v>
      </c>
      <c r="I3215" s="5">
        <v>2958465</v>
      </c>
      <c r="J3215" s="5">
        <v>45700</v>
      </c>
      <c r="K3215" s="8">
        <f t="shared" si="317"/>
        <v>1</v>
      </c>
      <c r="L3215" s="6">
        <v>2301.27</v>
      </c>
      <c r="M3215" s="9">
        <f t="shared" si="314"/>
        <v>15.341800000000001</v>
      </c>
      <c r="N3215" s="6">
        <v>2301.27</v>
      </c>
      <c r="O3215" s="6">
        <v>2301.27</v>
      </c>
    </row>
    <row r="3216" spans="1:15" ht="18.75" hidden="1" customHeight="1" thickBot="1" x14ac:dyDescent="0.3">
      <c r="A3216" s="3" t="s">
        <v>11</v>
      </c>
      <c r="B3216" s="4">
        <v>199983</v>
      </c>
      <c r="C3216" s="3" t="s">
        <v>22</v>
      </c>
      <c r="D3216" s="7">
        <v>7.4999999999999997E-2</v>
      </c>
      <c r="E3216" s="7">
        <f t="shared" si="315"/>
        <v>6.2499999999999995E-3</v>
      </c>
      <c r="F3216" s="5">
        <v>45947</v>
      </c>
      <c r="G3216" s="5">
        <v>2958465</v>
      </c>
      <c r="H3216" s="8">
        <f t="shared" si="316"/>
        <v>2912518</v>
      </c>
      <c r="I3216" s="5">
        <v>2958465</v>
      </c>
      <c r="J3216" s="5">
        <v>45950</v>
      </c>
      <c r="K3216" s="8">
        <f t="shared" si="317"/>
        <v>3</v>
      </c>
      <c r="L3216" s="6">
        <v>638.98</v>
      </c>
      <c r="M3216" s="9">
        <f t="shared" si="314"/>
        <v>3.9936249999999998</v>
      </c>
      <c r="N3216" s="6">
        <v>638.98</v>
      </c>
      <c r="O3216" s="6">
        <v>0</v>
      </c>
    </row>
    <row r="3217" spans="1:15" ht="18.75" hidden="1" customHeight="1" thickBot="1" x14ac:dyDescent="0.3">
      <c r="A3217" s="3" t="s">
        <v>11</v>
      </c>
      <c r="B3217" s="4">
        <v>347434</v>
      </c>
      <c r="C3217" s="3" t="s">
        <v>22</v>
      </c>
      <c r="D3217" s="7">
        <v>7.0000000000000007E-2</v>
      </c>
      <c r="E3217" s="7">
        <f t="shared" si="315"/>
        <v>5.8333333333333336E-3</v>
      </c>
      <c r="F3217" s="5">
        <v>45642</v>
      </c>
      <c r="G3217" s="5">
        <v>2958465</v>
      </c>
      <c r="H3217" s="8">
        <f t="shared" si="316"/>
        <v>2912823</v>
      </c>
      <c r="I3217" s="5">
        <v>2958465</v>
      </c>
      <c r="J3217" s="5">
        <v>45643</v>
      </c>
      <c r="K3217" s="8">
        <f t="shared" si="317"/>
        <v>1</v>
      </c>
      <c r="L3217" s="6">
        <v>1205.21</v>
      </c>
      <c r="M3217" s="9">
        <f t="shared" si="314"/>
        <v>7.0303916666666675</v>
      </c>
      <c r="N3217" s="6">
        <v>1205.21</v>
      </c>
      <c r="O3217" s="6">
        <v>0</v>
      </c>
    </row>
    <row r="3218" spans="1:15" ht="18.75" hidden="1" customHeight="1" thickBot="1" x14ac:dyDescent="0.3">
      <c r="A3218" s="3" t="s">
        <v>11</v>
      </c>
      <c r="B3218" s="4">
        <v>553611</v>
      </c>
      <c r="C3218" s="3" t="s">
        <v>22</v>
      </c>
      <c r="D3218" s="7">
        <v>0.08</v>
      </c>
      <c r="E3218" s="7">
        <f t="shared" si="315"/>
        <v>6.6666666666666671E-3</v>
      </c>
      <c r="F3218" s="5">
        <v>45673</v>
      </c>
      <c r="G3218" s="5">
        <v>2958465</v>
      </c>
      <c r="H3218" s="8">
        <f t="shared" si="316"/>
        <v>2912792</v>
      </c>
      <c r="I3218" s="5">
        <v>2958465</v>
      </c>
      <c r="J3218" s="5">
        <v>45674</v>
      </c>
      <c r="K3218" s="8">
        <f t="shared" si="317"/>
        <v>1</v>
      </c>
      <c r="L3218" s="6">
        <v>2209.88</v>
      </c>
      <c r="M3218" s="9">
        <f t="shared" si="314"/>
        <v>14.732533333333334</v>
      </c>
      <c r="N3218" s="6">
        <v>2209.88</v>
      </c>
      <c r="O3218" s="6">
        <v>2209.88</v>
      </c>
    </row>
    <row r="3219" spans="1:15" ht="18.75" hidden="1" customHeight="1" thickBot="1" x14ac:dyDescent="0.3">
      <c r="A3219" s="3" t="s">
        <v>11</v>
      </c>
      <c r="B3219" s="4">
        <v>195157</v>
      </c>
      <c r="C3219" s="3" t="s">
        <v>22</v>
      </c>
      <c r="D3219" s="7">
        <v>7.2499999999999995E-2</v>
      </c>
      <c r="E3219" s="7">
        <f t="shared" si="315"/>
        <v>6.0416666666666665E-3</v>
      </c>
      <c r="F3219" s="5">
        <v>45915</v>
      </c>
      <c r="G3219" s="5">
        <v>2958465</v>
      </c>
      <c r="H3219" s="8">
        <f t="shared" si="316"/>
        <v>2912550</v>
      </c>
      <c r="I3219" s="5">
        <v>2958465</v>
      </c>
      <c r="J3219" s="5">
        <v>46048</v>
      </c>
      <c r="K3219" s="8">
        <f t="shared" si="317"/>
        <v>133</v>
      </c>
      <c r="L3219" s="6">
        <v>2557.38</v>
      </c>
      <c r="M3219" s="9">
        <f t="shared" si="314"/>
        <v>15.4508375</v>
      </c>
      <c r="N3219" s="6">
        <v>2557.38</v>
      </c>
      <c r="O3219" s="6">
        <v>140.38999999999999</v>
      </c>
    </row>
    <row r="3220" spans="1:15" ht="18.75" hidden="1" customHeight="1" thickBot="1" x14ac:dyDescent="0.3">
      <c r="A3220" s="3" t="s">
        <v>11</v>
      </c>
      <c r="B3220" s="4">
        <v>793409</v>
      </c>
      <c r="C3220" s="3" t="s">
        <v>22</v>
      </c>
      <c r="D3220" s="7">
        <v>0.08</v>
      </c>
      <c r="E3220" s="7">
        <f t="shared" si="315"/>
        <v>6.6666666666666671E-3</v>
      </c>
      <c r="F3220" s="5">
        <v>46035</v>
      </c>
      <c r="G3220" s="5">
        <v>2958465</v>
      </c>
      <c r="H3220" s="8">
        <f t="shared" si="316"/>
        <v>2912430</v>
      </c>
      <c r="I3220" s="5">
        <v>2958465</v>
      </c>
      <c r="J3220" s="5">
        <v>46036</v>
      </c>
      <c r="K3220" s="8">
        <f t="shared" si="317"/>
        <v>1</v>
      </c>
      <c r="L3220" s="6">
        <v>5009.04</v>
      </c>
      <c r="M3220" s="9">
        <f t="shared" si="314"/>
        <v>33.393599999999999</v>
      </c>
      <c r="N3220" s="6">
        <v>5009.04</v>
      </c>
      <c r="O3220" s="6">
        <v>0</v>
      </c>
    </row>
    <row r="3221" spans="1:15" ht="18.75" hidden="1" customHeight="1" thickBot="1" x14ac:dyDescent="0.3">
      <c r="A3221" s="3" t="s">
        <v>11</v>
      </c>
      <c r="B3221" s="4">
        <v>546422</v>
      </c>
      <c r="C3221" s="3" t="s">
        <v>22</v>
      </c>
      <c r="D3221" s="7">
        <v>6.7500000000000004E-2</v>
      </c>
      <c r="E3221" s="7">
        <f t="shared" si="315"/>
        <v>5.6250000000000007E-3</v>
      </c>
      <c r="F3221" s="5">
        <v>45887</v>
      </c>
      <c r="G3221" s="5">
        <v>2958465</v>
      </c>
      <c r="H3221" s="8">
        <f t="shared" si="316"/>
        <v>2912578</v>
      </c>
      <c r="I3221" s="5">
        <v>2958465</v>
      </c>
      <c r="J3221" s="5">
        <v>45889</v>
      </c>
      <c r="K3221" s="8">
        <f t="shared" si="317"/>
        <v>2</v>
      </c>
      <c r="L3221" s="6">
        <v>682.88</v>
      </c>
      <c r="M3221" s="9">
        <f t="shared" si="314"/>
        <v>3.8412000000000006</v>
      </c>
      <c r="N3221" s="6">
        <v>682.88</v>
      </c>
      <c r="O3221" s="6">
        <v>0</v>
      </c>
    </row>
    <row r="3222" spans="1:15" ht="18.75" hidden="1" customHeight="1" thickBot="1" x14ac:dyDescent="0.3">
      <c r="A3222" s="3" t="s">
        <v>11</v>
      </c>
      <c r="B3222" s="4">
        <v>498570</v>
      </c>
      <c r="C3222" s="3" t="s">
        <v>22</v>
      </c>
      <c r="D3222" s="7">
        <v>7.0000000000000007E-2</v>
      </c>
      <c r="E3222" s="7">
        <f t="shared" si="315"/>
        <v>5.8333333333333336E-3</v>
      </c>
      <c r="F3222" s="5">
        <v>45642</v>
      </c>
      <c r="G3222" s="5">
        <v>2958465</v>
      </c>
      <c r="H3222" s="8">
        <f t="shared" si="316"/>
        <v>2912823</v>
      </c>
      <c r="I3222" s="5">
        <v>2958465</v>
      </c>
      <c r="J3222" s="5">
        <v>45643</v>
      </c>
      <c r="K3222" s="8">
        <f t="shared" si="317"/>
        <v>1</v>
      </c>
      <c r="L3222" s="6">
        <v>662.12</v>
      </c>
      <c r="M3222" s="9">
        <f t="shared" si="314"/>
        <v>3.8623666666666669</v>
      </c>
      <c r="N3222" s="6">
        <v>662.12</v>
      </c>
      <c r="O3222" s="6">
        <v>0</v>
      </c>
    </row>
    <row r="3223" spans="1:15" ht="18.75" hidden="1" customHeight="1" thickBot="1" x14ac:dyDescent="0.3">
      <c r="A3223" s="3" t="s">
        <v>11</v>
      </c>
      <c r="B3223" s="4">
        <v>518821</v>
      </c>
      <c r="C3223" s="3" t="s">
        <v>22</v>
      </c>
      <c r="D3223" s="7">
        <v>7.4999999999999997E-2</v>
      </c>
      <c r="E3223" s="7">
        <f t="shared" si="315"/>
        <v>6.2499999999999995E-3</v>
      </c>
      <c r="F3223" s="5">
        <v>45947</v>
      </c>
      <c r="G3223" s="5">
        <v>2958465</v>
      </c>
      <c r="H3223" s="8">
        <f t="shared" si="316"/>
        <v>2912518</v>
      </c>
      <c r="I3223" s="5">
        <v>2958465</v>
      </c>
      <c r="J3223" s="5">
        <v>45950</v>
      </c>
      <c r="K3223" s="8">
        <f t="shared" si="317"/>
        <v>3</v>
      </c>
      <c r="L3223" s="6">
        <v>652.01</v>
      </c>
      <c r="M3223" s="9">
        <f t="shared" si="314"/>
        <v>4.0750624999999996</v>
      </c>
      <c r="N3223" s="6">
        <v>652.01</v>
      </c>
      <c r="O3223" s="6">
        <v>0</v>
      </c>
    </row>
    <row r="3224" spans="1:15" ht="18.75" hidden="1" customHeight="1" thickBot="1" x14ac:dyDescent="0.3">
      <c r="A3224" s="3" t="s">
        <v>11</v>
      </c>
      <c r="B3224" s="4">
        <v>302257</v>
      </c>
      <c r="C3224" s="3" t="s">
        <v>22</v>
      </c>
      <c r="D3224" s="7">
        <v>0.08</v>
      </c>
      <c r="E3224" s="7">
        <f t="shared" si="315"/>
        <v>6.6666666666666671E-3</v>
      </c>
      <c r="F3224" s="5">
        <v>46006</v>
      </c>
      <c r="G3224" s="5">
        <v>2958465</v>
      </c>
      <c r="H3224" s="8">
        <f t="shared" si="316"/>
        <v>2912459</v>
      </c>
      <c r="I3224" s="5">
        <v>2958465</v>
      </c>
      <c r="J3224" s="5">
        <v>46007</v>
      </c>
      <c r="K3224" s="8">
        <f t="shared" si="317"/>
        <v>1</v>
      </c>
      <c r="L3224" s="6">
        <v>1109.6099999999999</v>
      </c>
      <c r="M3224" s="9">
        <f t="shared" si="314"/>
        <v>7.3974000000000002</v>
      </c>
      <c r="N3224" s="6">
        <v>1109.6099999999999</v>
      </c>
      <c r="O3224" s="6">
        <v>0</v>
      </c>
    </row>
    <row r="3225" spans="1:15" ht="18.75" hidden="1" customHeight="1" thickBot="1" x14ac:dyDescent="0.3">
      <c r="A3225" s="3" t="s">
        <v>11</v>
      </c>
      <c r="B3225" s="4">
        <v>332723</v>
      </c>
      <c r="C3225" s="3" t="s">
        <v>22</v>
      </c>
      <c r="D3225" s="7">
        <v>7.2499999999999995E-2</v>
      </c>
      <c r="E3225" s="7">
        <f t="shared" si="315"/>
        <v>6.0416666666666665E-3</v>
      </c>
      <c r="F3225" s="5">
        <v>45887</v>
      </c>
      <c r="G3225" s="5">
        <v>2958465</v>
      </c>
      <c r="H3225" s="8">
        <f t="shared" si="316"/>
        <v>2912578</v>
      </c>
      <c r="I3225" s="5">
        <v>2958465</v>
      </c>
      <c r="J3225" s="5">
        <v>45889</v>
      </c>
      <c r="K3225" s="8">
        <f t="shared" si="317"/>
        <v>2</v>
      </c>
      <c r="L3225" s="6">
        <v>523.02</v>
      </c>
      <c r="M3225" s="9">
        <f t="shared" si="314"/>
        <v>3.1599124999999999</v>
      </c>
      <c r="N3225" s="6">
        <v>523.02</v>
      </c>
      <c r="O3225" s="6">
        <v>523.02</v>
      </c>
    </row>
    <row r="3226" spans="1:15" ht="18.75" hidden="1" customHeight="1" thickBot="1" x14ac:dyDescent="0.3">
      <c r="A3226" s="3" t="s">
        <v>11</v>
      </c>
      <c r="B3226" s="4">
        <v>253190</v>
      </c>
      <c r="C3226" s="3" t="s">
        <v>22</v>
      </c>
      <c r="D3226" s="7">
        <v>0.08</v>
      </c>
      <c r="E3226" s="7">
        <f t="shared" si="315"/>
        <v>6.6666666666666671E-3</v>
      </c>
      <c r="F3226" s="5">
        <v>46063</v>
      </c>
      <c r="G3226" s="5">
        <v>2958465</v>
      </c>
      <c r="H3226" s="8">
        <f t="shared" si="316"/>
        <v>2912402</v>
      </c>
      <c r="I3226" s="5">
        <v>2958465</v>
      </c>
      <c r="J3226" s="5">
        <v>46064</v>
      </c>
      <c r="K3226" s="8">
        <f t="shared" si="317"/>
        <v>1</v>
      </c>
      <c r="L3226" s="6">
        <v>5246.15</v>
      </c>
      <c r="M3226" s="9">
        <f t="shared" si="314"/>
        <v>34.974333333333334</v>
      </c>
      <c r="N3226" s="6">
        <v>5246.15</v>
      </c>
      <c r="O3226" s="6">
        <v>0</v>
      </c>
    </row>
    <row r="3227" spans="1:15" ht="18.75" hidden="1" customHeight="1" thickBot="1" x14ac:dyDescent="0.3">
      <c r="A3227" s="3" t="s">
        <v>11</v>
      </c>
      <c r="B3227" s="4">
        <v>620207</v>
      </c>
      <c r="C3227" s="3" t="s">
        <v>22</v>
      </c>
      <c r="D3227" s="7">
        <v>0.08</v>
      </c>
      <c r="E3227" s="7">
        <f t="shared" si="315"/>
        <v>6.6666666666666671E-3</v>
      </c>
      <c r="F3227" s="5">
        <v>46035</v>
      </c>
      <c r="G3227" s="5">
        <v>2958465</v>
      </c>
      <c r="H3227" s="8">
        <f t="shared" si="316"/>
        <v>2912430</v>
      </c>
      <c r="I3227" s="5">
        <v>2958465</v>
      </c>
      <c r="J3227" s="5">
        <v>46036</v>
      </c>
      <c r="K3227" s="8">
        <f t="shared" si="317"/>
        <v>1</v>
      </c>
      <c r="L3227" s="6">
        <v>907.76</v>
      </c>
      <c r="M3227" s="9">
        <f t="shared" si="314"/>
        <v>6.0517333333333339</v>
      </c>
      <c r="N3227" s="6">
        <v>907.76</v>
      </c>
      <c r="O3227" s="6">
        <v>0</v>
      </c>
    </row>
    <row r="3228" spans="1:15" ht="18.75" hidden="1" customHeight="1" thickBot="1" x14ac:dyDescent="0.3">
      <c r="A3228" s="3" t="s">
        <v>11</v>
      </c>
      <c r="B3228" s="4">
        <v>632687</v>
      </c>
      <c r="C3228" s="3" t="s">
        <v>22</v>
      </c>
      <c r="D3228" s="7">
        <v>6.7500000000000004E-2</v>
      </c>
      <c r="E3228" s="7">
        <f t="shared" si="315"/>
        <v>5.6250000000000007E-3</v>
      </c>
      <c r="F3228" s="5">
        <v>45587</v>
      </c>
      <c r="G3228" s="5">
        <v>2958465</v>
      </c>
      <c r="H3228" s="8">
        <f t="shared" si="316"/>
        <v>2912878</v>
      </c>
      <c r="I3228" s="5">
        <v>2958465</v>
      </c>
      <c r="J3228" s="5">
        <v>45588</v>
      </c>
      <c r="K3228" s="8">
        <f t="shared" si="317"/>
        <v>1</v>
      </c>
      <c r="L3228" s="6">
        <v>639.02</v>
      </c>
      <c r="M3228" s="9">
        <f t="shared" si="314"/>
        <v>3.5944875000000005</v>
      </c>
      <c r="N3228" s="6">
        <v>639.02</v>
      </c>
      <c r="O3228" s="6">
        <v>0.04</v>
      </c>
    </row>
    <row r="3229" spans="1:15" ht="18.75" hidden="1" customHeight="1" thickBot="1" x14ac:dyDescent="0.3">
      <c r="A3229" s="3" t="s">
        <v>11</v>
      </c>
      <c r="B3229" s="4">
        <v>69230</v>
      </c>
      <c r="C3229" s="3" t="s">
        <v>22</v>
      </c>
      <c r="D3229" s="7">
        <v>6.7500000000000004E-2</v>
      </c>
      <c r="E3229" s="7">
        <f t="shared" si="315"/>
        <v>5.6250000000000007E-3</v>
      </c>
      <c r="F3229" s="5">
        <v>45511</v>
      </c>
      <c r="G3229" s="5">
        <v>2958465</v>
      </c>
      <c r="H3229" s="8">
        <f t="shared" si="316"/>
        <v>2912954</v>
      </c>
      <c r="I3229" s="5">
        <v>2958465</v>
      </c>
      <c r="J3229" s="5">
        <v>45512</v>
      </c>
      <c r="K3229" s="8">
        <f t="shared" si="317"/>
        <v>1</v>
      </c>
      <c r="L3229" s="6">
        <v>9741660</v>
      </c>
      <c r="M3229" s="9">
        <f t="shared" si="314"/>
        <v>54796.837500000009</v>
      </c>
      <c r="N3229" s="6">
        <v>9741.66</v>
      </c>
      <c r="O3229" s="6">
        <v>192.34</v>
      </c>
    </row>
    <row r="3230" spans="1:15" ht="18.75" hidden="1" customHeight="1" thickBot="1" x14ac:dyDescent="0.3">
      <c r="A3230" s="3" t="s">
        <v>11</v>
      </c>
      <c r="B3230" s="4">
        <v>117443</v>
      </c>
      <c r="C3230" s="3" t="s">
        <v>22</v>
      </c>
      <c r="D3230" s="7">
        <v>7.2499999999999995E-2</v>
      </c>
      <c r="E3230" s="7">
        <f t="shared" si="315"/>
        <v>6.0416666666666665E-3</v>
      </c>
      <c r="F3230" s="5">
        <v>45765</v>
      </c>
      <c r="G3230" s="5">
        <v>2958465</v>
      </c>
      <c r="H3230" s="8">
        <f t="shared" si="316"/>
        <v>2912700</v>
      </c>
      <c r="I3230" s="5">
        <v>2958465</v>
      </c>
      <c r="J3230" s="5">
        <v>45768</v>
      </c>
      <c r="K3230" s="8">
        <f t="shared" si="317"/>
        <v>3</v>
      </c>
      <c r="L3230" s="6">
        <v>653.71</v>
      </c>
      <c r="M3230" s="9">
        <f t="shared" si="314"/>
        <v>3.9494979166666666</v>
      </c>
      <c r="N3230" s="6">
        <v>653.71</v>
      </c>
      <c r="O3230" s="6">
        <v>0</v>
      </c>
    </row>
    <row r="3231" spans="1:15" ht="18.75" hidden="1" customHeight="1" thickBot="1" x14ac:dyDescent="0.3">
      <c r="A3231" s="3" t="s">
        <v>11</v>
      </c>
      <c r="B3231" s="4">
        <v>468636</v>
      </c>
      <c r="C3231" s="3" t="s">
        <v>22</v>
      </c>
      <c r="D3231" s="7">
        <v>0.08</v>
      </c>
      <c r="E3231" s="7">
        <f t="shared" si="315"/>
        <v>6.6666666666666671E-3</v>
      </c>
      <c r="F3231" s="5">
        <v>46035</v>
      </c>
      <c r="G3231" s="5">
        <v>2958465</v>
      </c>
      <c r="H3231" s="8">
        <f t="shared" si="316"/>
        <v>2912430</v>
      </c>
      <c r="I3231" s="5">
        <v>2958465</v>
      </c>
      <c r="J3231" s="5">
        <v>46036</v>
      </c>
      <c r="K3231" s="8">
        <f t="shared" si="317"/>
        <v>1</v>
      </c>
      <c r="L3231" s="6">
        <v>2697.1</v>
      </c>
      <c r="M3231" s="9">
        <f t="shared" si="314"/>
        <v>17.980666666666668</v>
      </c>
      <c r="N3231" s="6">
        <v>2697.1</v>
      </c>
      <c r="O3231" s="6">
        <v>102.32</v>
      </c>
    </row>
    <row r="3232" spans="1:15" ht="18.75" hidden="1" customHeight="1" thickBot="1" x14ac:dyDescent="0.3">
      <c r="A3232" s="3" t="s">
        <v>11</v>
      </c>
      <c r="B3232" s="4">
        <v>199101</v>
      </c>
      <c r="C3232" s="3" t="s">
        <v>22</v>
      </c>
      <c r="D3232" s="7">
        <v>0.08</v>
      </c>
      <c r="E3232" s="7">
        <f t="shared" si="315"/>
        <v>6.6666666666666671E-3</v>
      </c>
      <c r="F3232" s="5">
        <v>46063</v>
      </c>
      <c r="G3232" s="5">
        <v>2958465</v>
      </c>
      <c r="H3232" s="8">
        <f t="shared" si="316"/>
        <v>2912402</v>
      </c>
      <c r="I3232" s="5">
        <v>2958465</v>
      </c>
      <c r="J3232" s="5">
        <v>46064</v>
      </c>
      <c r="K3232" s="8">
        <f t="shared" si="317"/>
        <v>1</v>
      </c>
      <c r="L3232" s="6">
        <v>1178.71</v>
      </c>
      <c r="M3232" s="9">
        <f t="shared" si="314"/>
        <v>7.8580666666666676</v>
      </c>
      <c r="N3232" s="6">
        <v>1178.71</v>
      </c>
      <c r="O3232" s="6">
        <v>0</v>
      </c>
    </row>
    <row r="3233" spans="1:15" ht="18.75" hidden="1" customHeight="1" thickBot="1" x14ac:dyDescent="0.3">
      <c r="A3233" s="3" t="s">
        <v>11</v>
      </c>
      <c r="B3233" s="4">
        <v>730275</v>
      </c>
      <c r="C3233" s="3" t="s">
        <v>22</v>
      </c>
      <c r="D3233" s="7">
        <v>6.7500000000000004E-2</v>
      </c>
      <c r="E3233" s="7">
        <f t="shared" si="315"/>
        <v>5.6250000000000007E-3</v>
      </c>
      <c r="F3233" s="5">
        <v>45587</v>
      </c>
      <c r="G3233" s="5">
        <v>2958465</v>
      </c>
      <c r="H3233" s="8">
        <f t="shared" si="316"/>
        <v>2912878</v>
      </c>
      <c r="I3233" s="5">
        <v>2958465</v>
      </c>
      <c r="J3233" s="5">
        <v>45588</v>
      </c>
      <c r="K3233" s="8">
        <f t="shared" si="317"/>
        <v>1</v>
      </c>
      <c r="L3233" s="6">
        <v>544.22</v>
      </c>
      <c r="M3233" s="9">
        <f t="shared" si="314"/>
        <v>3.0612375000000007</v>
      </c>
      <c r="N3233" s="6">
        <v>544.22</v>
      </c>
      <c r="O3233" s="6">
        <v>510.09</v>
      </c>
    </row>
    <row r="3234" spans="1:15" ht="18.75" hidden="1" customHeight="1" thickBot="1" x14ac:dyDescent="0.3">
      <c r="A3234" s="3" t="s">
        <v>11</v>
      </c>
      <c r="B3234" s="4">
        <v>590789</v>
      </c>
      <c r="C3234" s="3" t="s">
        <v>22</v>
      </c>
      <c r="D3234" s="7">
        <v>0.08</v>
      </c>
      <c r="E3234" s="7">
        <f t="shared" si="315"/>
        <v>6.6666666666666671E-3</v>
      </c>
      <c r="F3234" s="5">
        <v>46035</v>
      </c>
      <c r="G3234" s="5">
        <v>2958465</v>
      </c>
      <c r="H3234" s="8">
        <f t="shared" si="316"/>
        <v>2912430</v>
      </c>
      <c r="I3234" s="5">
        <v>2958465</v>
      </c>
      <c r="J3234" s="5">
        <v>46036</v>
      </c>
      <c r="K3234" s="8">
        <f t="shared" si="317"/>
        <v>1</v>
      </c>
      <c r="L3234" s="6">
        <v>1755.32</v>
      </c>
      <c r="M3234" s="9">
        <f t="shared" si="314"/>
        <v>11.702133333333334</v>
      </c>
      <c r="N3234" s="6">
        <v>1755.32</v>
      </c>
      <c r="O3234" s="6">
        <v>0</v>
      </c>
    </row>
    <row r="3235" spans="1:15" ht="18.75" hidden="1" customHeight="1" thickBot="1" x14ac:dyDescent="0.3">
      <c r="A3235" s="3" t="s">
        <v>11</v>
      </c>
      <c r="B3235" s="4">
        <v>827253</v>
      </c>
      <c r="C3235" s="3" t="s">
        <v>22</v>
      </c>
      <c r="D3235" s="7">
        <v>0.08</v>
      </c>
      <c r="E3235" s="7">
        <f t="shared" si="315"/>
        <v>6.6666666666666671E-3</v>
      </c>
      <c r="F3235" s="5">
        <v>46035</v>
      </c>
      <c r="G3235" s="5">
        <v>2958465</v>
      </c>
      <c r="H3235" s="8">
        <f t="shared" si="316"/>
        <v>2912430</v>
      </c>
      <c r="I3235" s="5">
        <v>2958465</v>
      </c>
      <c r="J3235" s="5">
        <v>46036</v>
      </c>
      <c r="K3235" s="8">
        <f t="shared" si="317"/>
        <v>1</v>
      </c>
      <c r="L3235" s="6">
        <v>402.79</v>
      </c>
      <c r="M3235" s="9">
        <f t="shared" si="314"/>
        <v>2.6852666666666671</v>
      </c>
      <c r="N3235" s="6">
        <v>402.79</v>
      </c>
      <c r="O3235" s="6">
        <v>28.86</v>
      </c>
    </row>
    <row r="3236" spans="1:15" ht="18.75" hidden="1" customHeight="1" thickBot="1" x14ac:dyDescent="0.3">
      <c r="A3236" s="3" t="s">
        <v>11</v>
      </c>
      <c r="B3236" s="4">
        <v>30382</v>
      </c>
      <c r="C3236" s="3" t="s">
        <v>22</v>
      </c>
      <c r="D3236" s="7">
        <v>7.2499999999999995E-2</v>
      </c>
      <c r="E3236" s="7">
        <f t="shared" si="315"/>
        <v>6.0416666666666665E-3</v>
      </c>
      <c r="F3236" s="5">
        <v>45754</v>
      </c>
      <c r="G3236" s="5">
        <v>2958465</v>
      </c>
      <c r="H3236" s="8">
        <f t="shared" si="316"/>
        <v>2912711</v>
      </c>
      <c r="I3236" s="5">
        <v>2958465</v>
      </c>
      <c r="J3236" s="5">
        <v>45755</v>
      </c>
      <c r="K3236" s="8">
        <f t="shared" si="317"/>
        <v>1</v>
      </c>
      <c r="L3236" s="6">
        <v>517.66999999999996</v>
      </c>
      <c r="M3236" s="9">
        <f t="shared" si="314"/>
        <v>3.1275895833333331</v>
      </c>
      <c r="N3236" s="6">
        <v>517.66999999999996</v>
      </c>
      <c r="O3236" s="6">
        <v>0</v>
      </c>
    </row>
    <row r="3237" spans="1:15" ht="18.75" hidden="1" customHeight="1" thickBot="1" x14ac:dyDescent="0.3">
      <c r="A3237" s="3" t="s">
        <v>11</v>
      </c>
      <c r="B3237" s="4">
        <v>135904</v>
      </c>
      <c r="C3237" s="3" t="s">
        <v>22</v>
      </c>
      <c r="D3237" s="7">
        <v>7.2499999999999995E-2</v>
      </c>
      <c r="E3237" s="7">
        <f t="shared" si="315"/>
        <v>6.0416666666666665E-3</v>
      </c>
      <c r="F3237" s="5">
        <v>45673</v>
      </c>
      <c r="G3237" s="5">
        <v>2958465</v>
      </c>
      <c r="H3237" s="8">
        <f t="shared" si="316"/>
        <v>2912792</v>
      </c>
      <c r="I3237" s="5">
        <v>2958465</v>
      </c>
      <c r="J3237" s="5">
        <v>45674</v>
      </c>
      <c r="K3237" s="8">
        <f t="shared" si="317"/>
        <v>1</v>
      </c>
      <c r="L3237" s="6">
        <v>1154.21</v>
      </c>
      <c r="M3237" s="9">
        <f t="shared" si="314"/>
        <v>6.9733520833333333</v>
      </c>
      <c r="N3237" s="6">
        <v>1154.21</v>
      </c>
      <c r="O3237" s="6">
        <v>1152.77</v>
      </c>
    </row>
    <row r="3238" spans="1:15" ht="18.75" hidden="1" customHeight="1" thickBot="1" x14ac:dyDescent="0.3">
      <c r="A3238" s="3" t="s">
        <v>11</v>
      </c>
      <c r="B3238" s="4">
        <v>508691</v>
      </c>
      <c r="C3238" s="3" t="s">
        <v>22</v>
      </c>
      <c r="D3238" s="7">
        <v>7.2499999999999995E-2</v>
      </c>
      <c r="E3238" s="7">
        <f t="shared" si="315"/>
        <v>6.0416666666666665E-3</v>
      </c>
      <c r="F3238" s="5">
        <v>45699</v>
      </c>
      <c r="G3238" s="5">
        <v>2958465</v>
      </c>
      <c r="H3238" s="8">
        <f t="shared" si="316"/>
        <v>2912766</v>
      </c>
      <c r="I3238" s="5">
        <v>2958465</v>
      </c>
      <c r="J3238" s="5">
        <v>45700</v>
      </c>
      <c r="K3238" s="8">
        <f t="shared" si="317"/>
        <v>1</v>
      </c>
      <c r="L3238" s="6">
        <v>460.05</v>
      </c>
      <c r="M3238" s="9">
        <f t="shared" si="314"/>
        <v>2.7794687499999999</v>
      </c>
      <c r="N3238" s="6">
        <v>460.05</v>
      </c>
      <c r="O3238" s="6">
        <v>0</v>
      </c>
    </row>
    <row r="3239" spans="1:15" ht="18.75" hidden="1" customHeight="1" thickBot="1" x14ac:dyDescent="0.3">
      <c r="A3239" s="3" t="s">
        <v>11</v>
      </c>
      <c r="B3239" s="4">
        <v>896407</v>
      </c>
      <c r="C3239" s="3" t="s">
        <v>22</v>
      </c>
      <c r="D3239" s="7">
        <v>7.4999999999999997E-2</v>
      </c>
      <c r="E3239" s="7">
        <f t="shared" si="315"/>
        <v>6.2499999999999995E-3</v>
      </c>
      <c r="F3239" s="5">
        <v>45947</v>
      </c>
      <c r="G3239" s="5">
        <v>2958465</v>
      </c>
      <c r="H3239" s="8">
        <f t="shared" si="316"/>
        <v>2912518</v>
      </c>
      <c r="I3239" s="5">
        <v>2958465</v>
      </c>
      <c r="J3239" s="5">
        <v>45950</v>
      </c>
      <c r="K3239" s="8">
        <f t="shared" si="317"/>
        <v>3</v>
      </c>
      <c r="L3239" s="6">
        <v>654.19000000000005</v>
      </c>
      <c r="M3239" s="9">
        <f t="shared" si="314"/>
        <v>4.0886874999999998</v>
      </c>
      <c r="N3239" s="6">
        <v>654.19000000000005</v>
      </c>
      <c r="O3239" s="6">
        <v>0</v>
      </c>
    </row>
    <row r="3240" spans="1:15" ht="18.75" hidden="1" customHeight="1" thickBot="1" x14ac:dyDescent="0.3">
      <c r="A3240" s="3" t="s">
        <v>11</v>
      </c>
      <c r="B3240" s="4">
        <v>754179</v>
      </c>
      <c r="C3240" s="3" t="s">
        <v>22</v>
      </c>
      <c r="D3240" s="7">
        <v>6.7500000000000004E-2</v>
      </c>
      <c r="E3240" s="7">
        <f t="shared" si="315"/>
        <v>5.6250000000000007E-3</v>
      </c>
      <c r="F3240" s="5">
        <v>45453</v>
      </c>
      <c r="G3240" s="5">
        <v>2958465</v>
      </c>
      <c r="H3240" s="8">
        <f t="shared" si="316"/>
        <v>2913012</v>
      </c>
      <c r="I3240" s="5">
        <v>2958465</v>
      </c>
      <c r="J3240" s="5">
        <v>45454</v>
      </c>
      <c r="K3240" s="8">
        <f t="shared" si="317"/>
        <v>1</v>
      </c>
      <c r="L3240" s="6">
        <v>9503.89</v>
      </c>
      <c r="M3240" s="9">
        <f t="shared" si="314"/>
        <v>53.45938125</v>
      </c>
      <c r="N3240" s="6">
        <v>9503.89</v>
      </c>
      <c r="O3240" s="6">
        <v>0</v>
      </c>
    </row>
    <row r="3241" spans="1:15" ht="18.75" hidden="1" customHeight="1" thickBot="1" x14ac:dyDescent="0.3">
      <c r="A3241" s="3" t="s">
        <v>11</v>
      </c>
      <c r="B3241" s="4">
        <v>654929</v>
      </c>
      <c r="C3241" s="3" t="s">
        <v>22</v>
      </c>
      <c r="D3241" s="7">
        <v>7.7499999999999999E-2</v>
      </c>
      <c r="E3241" s="7">
        <f t="shared" si="315"/>
        <v>6.4583333333333333E-3</v>
      </c>
      <c r="F3241" s="5">
        <v>45971</v>
      </c>
      <c r="G3241" s="5">
        <v>2958465</v>
      </c>
      <c r="H3241" s="8">
        <f t="shared" si="316"/>
        <v>2912494</v>
      </c>
      <c r="I3241" s="5">
        <v>2958465</v>
      </c>
      <c r="J3241" s="5">
        <v>45973</v>
      </c>
      <c r="K3241" s="8">
        <f t="shared" si="317"/>
        <v>2</v>
      </c>
      <c r="L3241" s="6">
        <v>621.74</v>
      </c>
      <c r="M3241" s="9">
        <f t="shared" si="314"/>
        <v>4.0154041666666664</v>
      </c>
      <c r="N3241" s="6">
        <v>621.74</v>
      </c>
      <c r="O3241" s="6">
        <v>0</v>
      </c>
    </row>
    <row r="3242" spans="1:15" ht="18.75" hidden="1" customHeight="1" thickBot="1" x14ac:dyDescent="0.3">
      <c r="A3242" s="3" t="s">
        <v>11</v>
      </c>
      <c r="B3242" s="4">
        <v>382740</v>
      </c>
      <c r="C3242" s="3" t="s">
        <v>22</v>
      </c>
      <c r="D3242" s="7">
        <v>0.08</v>
      </c>
      <c r="E3242" s="7">
        <f t="shared" si="315"/>
        <v>6.6666666666666671E-3</v>
      </c>
      <c r="F3242" s="5">
        <v>45541</v>
      </c>
      <c r="G3242" s="5">
        <v>2958465</v>
      </c>
      <c r="H3242" s="8">
        <f t="shared" si="316"/>
        <v>2912924</v>
      </c>
      <c r="I3242" s="5">
        <v>2958465</v>
      </c>
      <c r="J3242" s="5">
        <v>45544</v>
      </c>
      <c r="K3242" s="8">
        <f t="shared" si="317"/>
        <v>3</v>
      </c>
      <c r="L3242" s="6">
        <v>2850.64</v>
      </c>
      <c r="M3242" s="9">
        <f t="shared" si="314"/>
        <v>19.004266666666666</v>
      </c>
      <c r="N3242" s="6">
        <v>2850.64</v>
      </c>
      <c r="O3242" s="6">
        <v>2850.64</v>
      </c>
    </row>
    <row r="3243" spans="1:15" ht="18.75" hidden="1" customHeight="1" thickBot="1" x14ac:dyDescent="0.3">
      <c r="A3243" s="3" t="s">
        <v>11</v>
      </c>
      <c r="B3243" s="4">
        <v>934506</v>
      </c>
      <c r="C3243" s="3" t="s">
        <v>22</v>
      </c>
      <c r="D3243" s="7">
        <v>7.2499999999999995E-2</v>
      </c>
      <c r="E3243" s="7">
        <f t="shared" si="315"/>
        <v>6.0416666666666665E-3</v>
      </c>
      <c r="F3243" s="5">
        <v>45723</v>
      </c>
      <c r="G3243" s="5">
        <v>2958465</v>
      </c>
      <c r="H3243" s="8">
        <f t="shared" si="316"/>
        <v>2912742</v>
      </c>
      <c r="I3243" s="5">
        <v>2958465</v>
      </c>
      <c r="J3243" s="5">
        <v>45726</v>
      </c>
      <c r="K3243" s="8">
        <f t="shared" si="317"/>
        <v>3</v>
      </c>
      <c r="L3243" s="6">
        <v>1114.6199999999999</v>
      </c>
      <c r="M3243" s="9">
        <f t="shared" si="314"/>
        <v>6.7341624999999992</v>
      </c>
      <c r="N3243" s="6">
        <v>1114.6199999999999</v>
      </c>
      <c r="O3243" s="6">
        <v>0</v>
      </c>
    </row>
    <row r="3244" spans="1:15" ht="18.75" hidden="1" customHeight="1" thickBot="1" x14ac:dyDescent="0.3">
      <c r="A3244" s="3" t="s">
        <v>11</v>
      </c>
      <c r="B3244" s="4">
        <v>286213</v>
      </c>
      <c r="C3244" s="3" t="s">
        <v>22</v>
      </c>
      <c r="D3244" s="7">
        <v>0.08</v>
      </c>
      <c r="E3244" s="7">
        <f t="shared" si="315"/>
        <v>6.6666666666666671E-3</v>
      </c>
      <c r="F3244" s="5">
        <v>46063</v>
      </c>
      <c r="G3244" s="5">
        <v>2958465</v>
      </c>
      <c r="H3244" s="8">
        <f t="shared" si="316"/>
        <v>2912402</v>
      </c>
      <c r="I3244" s="5">
        <v>2958465</v>
      </c>
      <c r="J3244" s="5">
        <v>46064</v>
      </c>
      <c r="K3244" s="8">
        <f t="shared" si="317"/>
        <v>1</v>
      </c>
      <c r="L3244" s="6">
        <v>3130.38</v>
      </c>
      <c r="M3244" s="9">
        <f t="shared" si="314"/>
        <v>20.869200000000003</v>
      </c>
      <c r="N3244" s="6">
        <v>3130.38</v>
      </c>
      <c r="O3244" s="6">
        <v>0</v>
      </c>
    </row>
    <row r="3245" spans="1:15" ht="18.75" hidden="1" customHeight="1" thickBot="1" x14ac:dyDescent="0.3">
      <c r="A3245" s="3" t="s">
        <v>11</v>
      </c>
      <c r="B3245" s="4">
        <v>731806</v>
      </c>
      <c r="C3245" s="3" t="s">
        <v>22</v>
      </c>
      <c r="D3245" s="7">
        <v>0.08</v>
      </c>
      <c r="E3245" s="7">
        <f t="shared" si="315"/>
        <v>6.6666666666666671E-3</v>
      </c>
      <c r="F3245" s="5">
        <v>46063</v>
      </c>
      <c r="G3245" s="5">
        <v>2958465</v>
      </c>
      <c r="H3245" s="8">
        <f t="shared" si="316"/>
        <v>2912402</v>
      </c>
      <c r="I3245" s="5">
        <v>2958465</v>
      </c>
      <c r="J3245" s="5">
        <v>46064</v>
      </c>
      <c r="K3245" s="8">
        <f t="shared" si="317"/>
        <v>1</v>
      </c>
      <c r="L3245" s="6">
        <v>180.33</v>
      </c>
      <c r="M3245" s="9">
        <f t="shared" si="314"/>
        <v>1.2022000000000002</v>
      </c>
      <c r="N3245" s="6">
        <v>180.33</v>
      </c>
      <c r="O3245" s="6">
        <v>0</v>
      </c>
    </row>
    <row r="3246" spans="1:15" ht="18.75" hidden="1" customHeight="1" thickBot="1" x14ac:dyDescent="0.3">
      <c r="A3246" s="3" t="s">
        <v>11</v>
      </c>
      <c r="B3246" s="4">
        <v>234774</v>
      </c>
      <c r="C3246" s="3" t="s">
        <v>22</v>
      </c>
      <c r="D3246" s="7">
        <v>7.2499999999999995E-2</v>
      </c>
      <c r="E3246" s="7">
        <f t="shared" si="315"/>
        <v>6.0416666666666665E-3</v>
      </c>
      <c r="F3246" s="5">
        <v>45723</v>
      </c>
      <c r="G3246" s="5">
        <v>2958465</v>
      </c>
      <c r="H3246" s="8">
        <f t="shared" si="316"/>
        <v>2912742</v>
      </c>
      <c r="I3246" s="5">
        <v>2958465</v>
      </c>
      <c r="J3246" s="5">
        <v>45726</v>
      </c>
      <c r="K3246" s="8">
        <f t="shared" si="317"/>
        <v>3</v>
      </c>
      <c r="L3246" s="6">
        <v>642.63</v>
      </c>
      <c r="M3246" s="9">
        <f t="shared" si="314"/>
        <v>3.8825562499999999</v>
      </c>
      <c r="N3246" s="6">
        <v>642.63</v>
      </c>
      <c r="O3246" s="6">
        <v>0</v>
      </c>
    </row>
    <row r="3247" spans="1:15" ht="18.75" hidden="1" customHeight="1" thickBot="1" x14ac:dyDescent="0.3">
      <c r="A3247" s="3" t="s">
        <v>11</v>
      </c>
      <c r="B3247" s="4">
        <v>395534</v>
      </c>
      <c r="C3247" s="3" t="s">
        <v>22</v>
      </c>
      <c r="D3247" s="7">
        <v>7.0000000000000007E-2</v>
      </c>
      <c r="E3247" s="7">
        <f t="shared" si="315"/>
        <v>5.8333333333333336E-3</v>
      </c>
      <c r="F3247" s="5">
        <v>45642</v>
      </c>
      <c r="G3247" s="5">
        <v>2958465</v>
      </c>
      <c r="H3247" s="8">
        <f t="shared" si="316"/>
        <v>2912823</v>
      </c>
      <c r="I3247" s="5">
        <v>2958465</v>
      </c>
      <c r="J3247" s="5">
        <v>45643</v>
      </c>
      <c r="K3247" s="8">
        <f t="shared" si="317"/>
        <v>1</v>
      </c>
      <c r="L3247" s="6">
        <v>655.44</v>
      </c>
      <c r="M3247" s="9">
        <f t="shared" si="314"/>
        <v>3.8234000000000004</v>
      </c>
      <c r="N3247" s="6">
        <v>655.44</v>
      </c>
      <c r="O3247" s="6">
        <v>0</v>
      </c>
    </row>
    <row r="3248" spans="1:15" ht="18.75" hidden="1" customHeight="1" thickBot="1" x14ac:dyDescent="0.3">
      <c r="A3248" s="3" t="s">
        <v>11</v>
      </c>
      <c r="B3248" s="4">
        <v>266238</v>
      </c>
      <c r="C3248" s="3" t="s">
        <v>22</v>
      </c>
      <c r="D3248" s="7">
        <v>7.2499999999999995E-2</v>
      </c>
      <c r="E3248" s="7">
        <f t="shared" si="315"/>
        <v>6.0416666666666665E-3</v>
      </c>
      <c r="F3248" s="5">
        <v>45699</v>
      </c>
      <c r="G3248" s="5">
        <v>2958465</v>
      </c>
      <c r="H3248" s="8">
        <f t="shared" si="316"/>
        <v>2912766</v>
      </c>
      <c r="I3248" s="5">
        <v>2958465</v>
      </c>
      <c r="J3248" s="5">
        <v>45700</v>
      </c>
      <c r="K3248" s="8">
        <f t="shared" si="317"/>
        <v>1</v>
      </c>
      <c r="L3248" s="6">
        <v>629.55999999999995</v>
      </c>
      <c r="M3248" s="9">
        <f t="shared" si="314"/>
        <v>3.8035916666666663</v>
      </c>
      <c r="N3248" s="6">
        <v>629.55999999999995</v>
      </c>
      <c r="O3248" s="6">
        <v>44.07</v>
      </c>
    </row>
    <row r="3249" spans="1:15" ht="18.75" hidden="1" customHeight="1" thickBot="1" x14ac:dyDescent="0.3">
      <c r="A3249" s="3" t="s">
        <v>11</v>
      </c>
      <c r="B3249" s="4">
        <v>170745</v>
      </c>
      <c r="C3249" s="3" t="s">
        <v>22</v>
      </c>
      <c r="D3249" s="7">
        <v>6.7500000000000004E-2</v>
      </c>
      <c r="E3249" s="7">
        <f t="shared" si="315"/>
        <v>5.6250000000000007E-3</v>
      </c>
      <c r="F3249" s="5">
        <v>45481</v>
      </c>
      <c r="G3249" s="5">
        <v>2958465</v>
      </c>
      <c r="H3249" s="8">
        <f t="shared" si="316"/>
        <v>2912984</v>
      </c>
      <c r="I3249" s="5">
        <v>2958465</v>
      </c>
      <c r="J3249" s="5">
        <v>45483</v>
      </c>
      <c r="K3249" s="8">
        <f t="shared" si="317"/>
        <v>2</v>
      </c>
      <c r="L3249" s="6">
        <v>633.20000000000005</v>
      </c>
      <c r="M3249" s="9">
        <f t="shared" si="314"/>
        <v>3.5617500000000009</v>
      </c>
      <c r="N3249" s="6">
        <v>633.20000000000005</v>
      </c>
      <c r="O3249" s="6">
        <v>0</v>
      </c>
    </row>
    <row r="3250" spans="1:15" ht="18.75" hidden="1" customHeight="1" thickBot="1" x14ac:dyDescent="0.3">
      <c r="A3250" s="3" t="s">
        <v>11</v>
      </c>
      <c r="B3250" s="4">
        <v>177165</v>
      </c>
      <c r="C3250" s="3" t="s">
        <v>22</v>
      </c>
      <c r="D3250" s="7">
        <v>7.2499999999999995E-2</v>
      </c>
      <c r="E3250" s="7">
        <f t="shared" si="315"/>
        <v>6.0416666666666665E-3</v>
      </c>
      <c r="F3250" s="5">
        <v>45723</v>
      </c>
      <c r="G3250" s="5">
        <v>2958465</v>
      </c>
      <c r="H3250" s="8">
        <f t="shared" si="316"/>
        <v>2912742</v>
      </c>
      <c r="I3250" s="5">
        <v>2958465</v>
      </c>
      <c r="J3250" s="5">
        <v>45726</v>
      </c>
      <c r="K3250" s="8">
        <f t="shared" si="317"/>
        <v>3</v>
      </c>
      <c r="L3250" s="6">
        <v>10341.34</v>
      </c>
      <c r="M3250" s="9">
        <f t="shared" si="314"/>
        <v>62.478929166666667</v>
      </c>
      <c r="N3250" s="6">
        <v>10341.34</v>
      </c>
      <c r="O3250" s="6">
        <v>0</v>
      </c>
    </row>
    <row r="3251" spans="1:15" ht="18.75" hidden="1" customHeight="1" thickBot="1" x14ac:dyDescent="0.3">
      <c r="A3251" s="3" t="s">
        <v>11</v>
      </c>
      <c r="B3251" s="4">
        <v>460169</v>
      </c>
      <c r="C3251" s="3" t="s">
        <v>22</v>
      </c>
      <c r="D3251" s="7">
        <v>0.08</v>
      </c>
      <c r="E3251" s="7">
        <f t="shared" si="315"/>
        <v>6.6666666666666671E-3</v>
      </c>
      <c r="F3251" s="5">
        <v>46006</v>
      </c>
      <c r="G3251" s="5">
        <v>2958465</v>
      </c>
      <c r="H3251" s="8">
        <f t="shared" si="316"/>
        <v>2912459</v>
      </c>
      <c r="I3251" s="5">
        <v>2958465</v>
      </c>
      <c r="J3251" s="5">
        <v>46007</v>
      </c>
      <c r="K3251" s="8">
        <f t="shared" si="317"/>
        <v>1</v>
      </c>
      <c r="L3251" s="6">
        <v>1535.85</v>
      </c>
      <c r="M3251" s="9">
        <f t="shared" si="314"/>
        <v>10.239000000000001</v>
      </c>
      <c r="N3251" s="6">
        <v>1535.85</v>
      </c>
      <c r="O3251" s="6">
        <v>0</v>
      </c>
    </row>
    <row r="3252" spans="1:15" ht="18.75" hidden="1" customHeight="1" thickBot="1" x14ac:dyDescent="0.3">
      <c r="A3252" s="3" t="s">
        <v>11</v>
      </c>
      <c r="B3252" s="4">
        <v>541599</v>
      </c>
      <c r="C3252" s="3" t="s">
        <v>22</v>
      </c>
      <c r="D3252" s="7">
        <v>7.2499999999999995E-2</v>
      </c>
      <c r="E3252" s="7">
        <f t="shared" si="315"/>
        <v>6.0416666666666665E-3</v>
      </c>
      <c r="F3252" s="5">
        <v>45916</v>
      </c>
      <c r="G3252" s="5">
        <v>2958465</v>
      </c>
      <c r="H3252" s="8">
        <f t="shared" si="316"/>
        <v>2912549</v>
      </c>
      <c r="I3252" s="5">
        <v>2958465</v>
      </c>
      <c r="J3252" s="5">
        <v>45917</v>
      </c>
      <c r="K3252" s="8">
        <f t="shared" si="317"/>
        <v>1</v>
      </c>
      <c r="L3252" s="6">
        <v>962.95</v>
      </c>
      <c r="M3252" s="9">
        <f t="shared" si="314"/>
        <v>5.8178229166666666</v>
      </c>
      <c r="N3252" s="6">
        <v>962.95</v>
      </c>
      <c r="O3252" s="6">
        <v>0</v>
      </c>
    </row>
    <row r="3253" spans="1:15" ht="18.75" hidden="1" customHeight="1" thickBot="1" x14ac:dyDescent="0.3">
      <c r="A3253" s="3" t="s">
        <v>11</v>
      </c>
      <c r="B3253" s="4">
        <v>730985</v>
      </c>
      <c r="C3253" s="3" t="s">
        <v>22</v>
      </c>
      <c r="D3253" s="7">
        <v>0.08</v>
      </c>
      <c r="E3253" s="7">
        <f t="shared" si="315"/>
        <v>6.6666666666666671E-3</v>
      </c>
      <c r="F3253" s="5">
        <v>46035</v>
      </c>
      <c r="G3253" s="5">
        <v>2958465</v>
      </c>
      <c r="H3253" s="8">
        <f t="shared" si="316"/>
        <v>2912430</v>
      </c>
      <c r="I3253" s="5">
        <v>2958465</v>
      </c>
      <c r="J3253" s="5">
        <v>46036</v>
      </c>
      <c r="K3253" s="8">
        <f t="shared" si="317"/>
        <v>1</v>
      </c>
      <c r="L3253" s="6">
        <v>755.33</v>
      </c>
      <c r="M3253" s="9">
        <f t="shared" si="314"/>
        <v>5.0355333333333343</v>
      </c>
      <c r="N3253" s="6">
        <v>755.33</v>
      </c>
      <c r="O3253" s="6">
        <v>0</v>
      </c>
    </row>
    <row r="3254" spans="1:15" ht="18.75" hidden="1" customHeight="1" thickBot="1" x14ac:dyDescent="0.3">
      <c r="A3254" s="3" t="s">
        <v>11</v>
      </c>
      <c r="B3254" s="4">
        <v>759116</v>
      </c>
      <c r="C3254" s="3" t="s">
        <v>22</v>
      </c>
      <c r="D3254" s="7">
        <v>7.7499999999999999E-2</v>
      </c>
      <c r="E3254" s="7">
        <f t="shared" si="315"/>
        <v>6.4583333333333333E-3</v>
      </c>
      <c r="F3254" s="5">
        <v>45642</v>
      </c>
      <c r="G3254" s="5">
        <v>2958465</v>
      </c>
      <c r="H3254" s="8">
        <f t="shared" si="316"/>
        <v>2912823</v>
      </c>
      <c r="I3254" s="5">
        <v>2958465</v>
      </c>
      <c r="J3254" s="5">
        <v>45643</v>
      </c>
      <c r="K3254" s="8">
        <f t="shared" si="317"/>
        <v>1</v>
      </c>
      <c r="L3254" s="6">
        <v>2069.38</v>
      </c>
      <c r="M3254" s="9">
        <f t="shared" si="314"/>
        <v>13.364745833333334</v>
      </c>
      <c r="N3254" s="6">
        <v>2069.38</v>
      </c>
      <c r="O3254" s="6">
        <v>2069.38</v>
      </c>
    </row>
    <row r="3255" spans="1:15" ht="18.75" hidden="1" customHeight="1" thickBot="1" x14ac:dyDescent="0.3">
      <c r="A3255" s="3" t="s">
        <v>11</v>
      </c>
      <c r="B3255" s="4">
        <v>834539</v>
      </c>
      <c r="C3255" s="3" t="s">
        <v>22</v>
      </c>
      <c r="D3255" s="7">
        <v>7.2499999999999995E-2</v>
      </c>
      <c r="E3255" s="7">
        <f t="shared" si="315"/>
        <v>6.0416666666666665E-3</v>
      </c>
      <c r="F3255" s="5">
        <v>45723</v>
      </c>
      <c r="G3255" s="5">
        <v>2958465</v>
      </c>
      <c r="H3255" s="8">
        <f t="shared" si="316"/>
        <v>2912742</v>
      </c>
      <c r="I3255" s="5">
        <v>2958465</v>
      </c>
      <c r="J3255" s="5">
        <v>45726</v>
      </c>
      <c r="K3255" s="8">
        <f t="shared" si="317"/>
        <v>3</v>
      </c>
      <c r="L3255" s="6">
        <v>2478.0100000000002</v>
      </c>
      <c r="M3255" s="9">
        <f t="shared" si="314"/>
        <v>14.971310416666668</v>
      </c>
      <c r="N3255" s="6">
        <v>2478.0100000000002</v>
      </c>
      <c r="O3255" s="6">
        <v>0</v>
      </c>
    </row>
    <row r="3256" spans="1:15" ht="18.75" hidden="1" customHeight="1" thickBot="1" x14ac:dyDescent="0.3">
      <c r="A3256" s="3" t="s">
        <v>11</v>
      </c>
      <c r="B3256" s="4">
        <v>787625</v>
      </c>
      <c r="C3256" s="3" t="s">
        <v>22</v>
      </c>
      <c r="D3256" s="7">
        <v>7.2499999999999995E-2</v>
      </c>
      <c r="E3256" s="7">
        <f t="shared" si="315"/>
        <v>6.0416666666666665E-3</v>
      </c>
      <c r="F3256" s="5">
        <v>45916</v>
      </c>
      <c r="G3256" s="5">
        <v>2958465</v>
      </c>
      <c r="H3256" s="8">
        <f t="shared" si="316"/>
        <v>2912549</v>
      </c>
      <c r="I3256" s="5">
        <v>2958465</v>
      </c>
      <c r="J3256" s="5">
        <v>45917</v>
      </c>
      <c r="K3256" s="8">
        <f t="shared" si="317"/>
        <v>1</v>
      </c>
      <c r="L3256" s="6">
        <v>3116.25</v>
      </c>
      <c r="M3256" s="9">
        <f t="shared" si="314"/>
        <v>18.827343750000001</v>
      </c>
      <c r="N3256" s="6">
        <v>3116.25</v>
      </c>
      <c r="O3256" s="6">
        <v>43.17</v>
      </c>
    </row>
    <row r="3257" spans="1:15" ht="18.75" hidden="1" customHeight="1" thickBot="1" x14ac:dyDescent="0.3">
      <c r="A3257" s="3" t="s">
        <v>11</v>
      </c>
      <c r="B3257" s="4">
        <v>434970</v>
      </c>
      <c r="C3257" s="3" t="s">
        <v>22</v>
      </c>
      <c r="D3257" s="7">
        <v>7.2499999999999995E-2</v>
      </c>
      <c r="E3257" s="7">
        <f t="shared" si="315"/>
        <v>6.0416666666666665E-3</v>
      </c>
      <c r="F3257" s="5">
        <v>45916</v>
      </c>
      <c r="G3257" s="5">
        <v>2958465</v>
      </c>
      <c r="H3257" s="8">
        <f t="shared" si="316"/>
        <v>2912549</v>
      </c>
      <c r="I3257" s="5">
        <v>2958465</v>
      </c>
      <c r="J3257" s="5">
        <v>46043</v>
      </c>
      <c r="K3257" s="8">
        <f t="shared" si="317"/>
        <v>127</v>
      </c>
      <c r="L3257" s="6">
        <v>10574.67</v>
      </c>
      <c r="M3257" s="9">
        <f t="shared" si="314"/>
        <v>63.888631249999996</v>
      </c>
      <c r="N3257" s="6">
        <v>10574.67</v>
      </c>
      <c r="O3257" s="6">
        <v>864.23</v>
      </c>
    </row>
    <row r="3258" spans="1:15" ht="18.75" hidden="1" customHeight="1" thickBot="1" x14ac:dyDescent="0.3">
      <c r="A3258" s="3" t="s">
        <v>11</v>
      </c>
      <c r="B3258" s="4">
        <v>724610</v>
      </c>
      <c r="C3258" s="3" t="s">
        <v>22</v>
      </c>
      <c r="D3258" s="7">
        <v>7.7499999999999999E-2</v>
      </c>
      <c r="E3258" s="7">
        <f t="shared" si="315"/>
        <v>6.4583333333333333E-3</v>
      </c>
      <c r="F3258" s="5">
        <v>45971</v>
      </c>
      <c r="G3258" s="5">
        <v>2958465</v>
      </c>
      <c r="H3258" s="8">
        <f t="shared" si="316"/>
        <v>2912494</v>
      </c>
      <c r="I3258" s="5">
        <v>2958465</v>
      </c>
      <c r="J3258" s="5">
        <v>45973</v>
      </c>
      <c r="K3258" s="8">
        <f t="shared" si="317"/>
        <v>2</v>
      </c>
      <c r="L3258" s="6">
        <v>630.84</v>
      </c>
      <c r="M3258" s="9">
        <f t="shared" si="314"/>
        <v>4.0741750000000003</v>
      </c>
      <c r="N3258" s="6">
        <v>630.84</v>
      </c>
      <c r="O3258" s="6">
        <v>0</v>
      </c>
    </row>
    <row r="3259" spans="1:15" ht="18.75" hidden="1" customHeight="1" thickBot="1" x14ac:dyDescent="0.3">
      <c r="A3259" s="3" t="s">
        <v>11</v>
      </c>
      <c r="B3259" s="4">
        <v>207487</v>
      </c>
      <c r="C3259" s="3" t="s">
        <v>22</v>
      </c>
      <c r="D3259" s="7">
        <v>0.08</v>
      </c>
      <c r="E3259" s="7">
        <f t="shared" si="315"/>
        <v>6.6666666666666671E-3</v>
      </c>
      <c r="F3259" s="5">
        <v>46035</v>
      </c>
      <c r="G3259" s="5">
        <v>2958465</v>
      </c>
      <c r="H3259" s="8">
        <f t="shared" si="316"/>
        <v>2912430</v>
      </c>
      <c r="I3259" s="5">
        <v>2958465</v>
      </c>
      <c r="J3259" s="5">
        <v>46036</v>
      </c>
      <c r="K3259" s="8">
        <f t="shared" si="317"/>
        <v>1</v>
      </c>
      <c r="L3259" s="6">
        <v>649.62</v>
      </c>
      <c r="M3259" s="9">
        <f t="shared" si="314"/>
        <v>4.3308</v>
      </c>
      <c r="N3259" s="6">
        <v>649.62</v>
      </c>
      <c r="O3259" s="6">
        <v>0</v>
      </c>
    </row>
    <row r="3260" spans="1:15" ht="18.75" hidden="1" customHeight="1" thickBot="1" x14ac:dyDescent="0.3">
      <c r="A3260" s="3" t="s">
        <v>11</v>
      </c>
      <c r="B3260" s="4">
        <v>129656</v>
      </c>
      <c r="C3260" s="3" t="s">
        <v>22</v>
      </c>
      <c r="D3260" s="7">
        <v>7.4999999999999997E-2</v>
      </c>
      <c r="E3260" s="7">
        <f t="shared" si="315"/>
        <v>6.2499999999999995E-3</v>
      </c>
      <c r="F3260" s="5">
        <v>45937</v>
      </c>
      <c r="G3260" s="5">
        <v>2958465</v>
      </c>
      <c r="H3260" s="8">
        <f t="shared" si="316"/>
        <v>2912528</v>
      </c>
      <c r="I3260" s="5">
        <v>2958465</v>
      </c>
      <c r="J3260" s="5">
        <v>45938</v>
      </c>
      <c r="K3260" s="8">
        <f t="shared" si="317"/>
        <v>1</v>
      </c>
      <c r="L3260" s="6">
        <v>633.92999999999995</v>
      </c>
      <c r="M3260" s="9">
        <f t="shared" si="314"/>
        <v>3.9620624999999992</v>
      </c>
      <c r="N3260" s="6">
        <v>633.92999999999995</v>
      </c>
      <c r="O3260" s="6">
        <v>22.23</v>
      </c>
    </row>
    <row r="3261" spans="1:15" ht="18.75" hidden="1" customHeight="1" thickBot="1" x14ac:dyDescent="0.3">
      <c r="A3261" s="3" t="s">
        <v>11</v>
      </c>
      <c r="B3261" s="4">
        <v>989148</v>
      </c>
      <c r="C3261" s="3" t="s">
        <v>22</v>
      </c>
      <c r="D3261" s="7">
        <v>0.08</v>
      </c>
      <c r="E3261" s="7">
        <f t="shared" si="315"/>
        <v>6.6666666666666671E-3</v>
      </c>
      <c r="F3261" s="5">
        <v>46035</v>
      </c>
      <c r="G3261" s="5">
        <v>2958465</v>
      </c>
      <c r="H3261" s="8">
        <f t="shared" si="316"/>
        <v>2912430</v>
      </c>
      <c r="I3261" s="5">
        <v>2958465</v>
      </c>
      <c r="J3261" s="5">
        <v>46036</v>
      </c>
      <c r="K3261" s="8">
        <f t="shared" si="317"/>
        <v>1</v>
      </c>
      <c r="L3261" s="6">
        <v>71</v>
      </c>
      <c r="M3261" s="9">
        <f t="shared" si="314"/>
        <v>0.47333333333333338</v>
      </c>
      <c r="N3261" s="6">
        <v>71</v>
      </c>
      <c r="O3261" s="6">
        <v>0</v>
      </c>
    </row>
    <row r="3262" spans="1:15" ht="18.75" hidden="1" customHeight="1" thickBot="1" x14ac:dyDescent="0.3">
      <c r="A3262" s="3" t="s">
        <v>11</v>
      </c>
      <c r="B3262" s="4">
        <v>987900</v>
      </c>
      <c r="C3262" s="3" t="s">
        <v>22</v>
      </c>
      <c r="D3262" s="7">
        <v>7.2499999999999995E-2</v>
      </c>
      <c r="E3262" s="7">
        <f t="shared" si="315"/>
        <v>6.0416666666666665E-3</v>
      </c>
      <c r="F3262" s="5">
        <v>45673</v>
      </c>
      <c r="G3262" s="5">
        <v>2958465</v>
      </c>
      <c r="H3262" s="8">
        <f t="shared" si="316"/>
        <v>2912792</v>
      </c>
      <c r="I3262" s="5">
        <v>2958465</v>
      </c>
      <c r="J3262" s="5">
        <v>45674</v>
      </c>
      <c r="K3262" s="8">
        <f t="shared" si="317"/>
        <v>1</v>
      </c>
      <c r="L3262" s="6">
        <v>678.56</v>
      </c>
      <c r="M3262" s="9">
        <f t="shared" si="314"/>
        <v>4.0996333333333332</v>
      </c>
      <c r="N3262" s="6">
        <v>678.56</v>
      </c>
      <c r="O3262" s="6">
        <v>0</v>
      </c>
    </row>
    <row r="3263" spans="1:15" ht="18.75" hidden="1" customHeight="1" thickBot="1" x14ac:dyDescent="0.3">
      <c r="A3263" s="3" t="s">
        <v>11</v>
      </c>
      <c r="B3263" s="4">
        <v>673164</v>
      </c>
      <c r="C3263" s="3" t="s">
        <v>22</v>
      </c>
      <c r="D3263" s="7">
        <v>0.08</v>
      </c>
      <c r="E3263" s="7">
        <f t="shared" si="315"/>
        <v>6.6666666666666671E-3</v>
      </c>
      <c r="F3263" s="5">
        <v>46006</v>
      </c>
      <c r="G3263" s="5">
        <v>2958465</v>
      </c>
      <c r="H3263" s="8">
        <f t="shared" si="316"/>
        <v>2912459</v>
      </c>
      <c r="I3263" s="5">
        <v>2958465</v>
      </c>
      <c r="J3263" s="5">
        <v>46007</v>
      </c>
      <c r="K3263" s="8">
        <f t="shared" si="317"/>
        <v>1</v>
      </c>
      <c r="L3263" s="6">
        <v>604.78</v>
      </c>
      <c r="M3263" s="9">
        <f t="shared" si="314"/>
        <v>4.0318666666666667</v>
      </c>
      <c r="N3263" s="6">
        <v>604.78</v>
      </c>
      <c r="O3263" s="6">
        <v>0</v>
      </c>
    </row>
    <row r="3264" spans="1:15" ht="18.75" hidden="1" customHeight="1" thickBot="1" x14ac:dyDescent="0.3">
      <c r="A3264" s="3" t="s">
        <v>11</v>
      </c>
      <c r="B3264" s="4">
        <v>935046</v>
      </c>
      <c r="C3264" s="3" t="s">
        <v>22</v>
      </c>
      <c r="D3264" s="7">
        <v>0.08</v>
      </c>
      <c r="E3264" s="7">
        <f t="shared" si="315"/>
        <v>6.6666666666666671E-3</v>
      </c>
      <c r="F3264" s="5">
        <v>46006</v>
      </c>
      <c r="G3264" s="5">
        <v>2958465</v>
      </c>
      <c r="H3264" s="8">
        <f t="shared" si="316"/>
        <v>2912459</v>
      </c>
      <c r="I3264" s="5">
        <v>2958465</v>
      </c>
      <c r="J3264" s="5">
        <v>46007</v>
      </c>
      <c r="K3264" s="8">
        <f t="shared" si="317"/>
        <v>1</v>
      </c>
      <c r="L3264" s="6">
        <v>773.67</v>
      </c>
      <c r="M3264" s="9">
        <f t="shared" si="314"/>
        <v>5.1577999999999999</v>
      </c>
      <c r="N3264" s="6">
        <v>773.67</v>
      </c>
      <c r="O3264" s="6">
        <v>0</v>
      </c>
    </row>
    <row r="3265" spans="1:15" ht="18.75" hidden="1" customHeight="1" thickBot="1" x14ac:dyDescent="0.3">
      <c r="A3265" s="3" t="s">
        <v>11</v>
      </c>
      <c r="B3265" s="4">
        <v>369601</v>
      </c>
      <c r="C3265" s="3" t="s">
        <v>22</v>
      </c>
      <c r="D3265" s="7">
        <v>0.08</v>
      </c>
      <c r="E3265" s="7">
        <f t="shared" si="315"/>
        <v>6.6666666666666671E-3</v>
      </c>
      <c r="F3265" s="5">
        <v>46057</v>
      </c>
      <c r="G3265" s="5">
        <v>2958465</v>
      </c>
      <c r="H3265" s="8">
        <f t="shared" si="316"/>
        <v>2912408</v>
      </c>
      <c r="I3265" s="5">
        <v>2958465</v>
      </c>
      <c r="J3265" s="5">
        <v>46058</v>
      </c>
      <c r="K3265" s="8">
        <f t="shared" si="317"/>
        <v>1</v>
      </c>
      <c r="L3265" s="6">
        <v>1435.94</v>
      </c>
      <c r="M3265" s="9">
        <f t="shared" si="314"/>
        <v>9.5729333333333351</v>
      </c>
      <c r="N3265" s="6">
        <v>1435.94</v>
      </c>
      <c r="O3265" s="6">
        <v>0</v>
      </c>
    </row>
    <row r="3266" spans="1:15" ht="18.75" hidden="1" customHeight="1" thickBot="1" x14ac:dyDescent="0.3">
      <c r="A3266" s="3" t="s">
        <v>11</v>
      </c>
      <c r="B3266" s="4">
        <v>496959</v>
      </c>
      <c r="C3266" s="3" t="s">
        <v>22</v>
      </c>
      <c r="D3266" s="7">
        <v>6.7500000000000004E-2</v>
      </c>
      <c r="E3266" s="7">
        <f t="shared" si="315"/>
        <v>5.6250000000000007E-3</v>
      </c>
      <c r="F3266" s="5">
        <v>45699</v>
      </c>
      <c r="G3266" s="5">
        <v>2958465</v>
      </c>
      <c r="H3266" s="8">
        <f t="shared" si="316"/>
        <v>2912766</v>
      </c>
      <c r="I3266" s="5">
        <v>2958465</v>
      </c>
      <c r="J3266" s="5">
        <v>45700</v>
      </c>
      <c r="K3266" s="8">
        <f t="shared" si="317"/>
        <v>1</v>
      </c>
      <c r="L3266" s="6">
        <v>704.23</v>
      </c>
      <c r="M3266" s="9">
        <f t="shared" ref="M3266:M3329" si="318">-PMT(E3266,(H3266/30),L3266)</f>
        <v>3.9612937500000007</v>
      </c>
      <c r="N3266" s="6">
        <v>704.23</v>
      </c>
      <c r="O3266" s="6">
        <v>0</v>
      </c>
    </row>
    <row r="3267" spans="1:15" ht="18.75" hidden="1" customHeight="1" thickBot="1" x14ac:dyDescent="0.3">
      <c r="A3267" s="3" t="s">
        <v>11</v>
      </c>
      <c r="B3267" s="4">
        <v>887835</v>
      </c>
      <c r="C3267" s="3" t="s">
        <v>22</v>
      </c>
      <c r="D3267" s="7">
        <v>7.4999999999999997E-2</v>
      </c>
      <c r="E3267" s="7">
        <f t="shared" ref="E3267:E3330" si="319">D3267/12</f>
        <v>6.2499999999999995E-3</v>
      </c>
      <c r="F3267" s="5">
        <v>45947</v>
      </c>
      <c r="G3267" s="5">
        <v>2958465</v>
      </c>
      <c r="H3267" s="8">
        <f t="shared" ref="H3267:H3330" si="320">G3267-F3267</f>
        <v>2912518</v>
      </c>
      <c r="I3267" s="5">
        <v>2958465</v>
      </c>
      <c r="J3267" s="5">
        <v>45950</v>
      </c>
      <c r="K3267" s="8">
        <f t="shared" ref="K3267:K3330" si="321">J3267-F3267</f>
        <v>3</v>
      </c>
      <c r="L3267" s="6">
        <v>657.25</v>
      </c>
      <c r="M3267" s="9">
        <f t="shared" si="318"/>
        <v>4.1078124999999996</v>
      </c>
      <c r="N3267" s="6">
        <v>657.25</v>
      </c>
      <c r="O3267" s="6">
        <v>0</v>
      </c>
    </row>
    <row r="3268" spans="1:15" ht="18.75" hidden="1" customHeight="1" thickBot="1" x14ac:dyDescent="0.3">
      <c r="A3268" s="3" t="s">
        <v>11</v>
      </c>
      <c r="B3268" s="4">
        <v>29042</v>
      </c>
      <c r="C3268" s="3" t="s">
        <v>22</v>
      </c>
      <c r="D3268" s="7">
        <v>0.08</v>
      </c>
      <c r="E3268" s="7">
        <f t="shared" si="319"/>
        <v>6.6666666666666671E-3</v>
      </c>
      <c r="F3268" s="5">
        <v>46006</v>
      </c>
      <c r="G3268" s="5">
        <v>2958465</v>
      </c>
      <c r="H3268" s="8">
        <f t="shared" si="320"/>
        <v>2912459</v>
      </c>
      <c r="I3268" s="5">
        <v>2958465</v>
      </c>
      <c r="J3268" s="5">
        <v>46007</v>
      </c>
      <c r="K3268" s="8">
        <f t="shared" si="321"/>
        <v>1</v>
      </c>
      <c r="L3268" s="6">
        <v>654.16999999999996</v>
      </c>
      <c r="M3268" s="9">
        <f t="shared" si="318"/>
        <v>4.3611333333333331</v>
      </c>
      <c r="N3268" s="6">
        <v>654.16999999999996</v>
      </c>
      <c r="O3268" s="6">
        <v>0</v>
      </c>
    </row>
    <row r="3269" spans="1:15" ht="18.75" hidden="1" customHeight="1" thickBot="1" x14ac:dyDescent="0.3">
      <c r="A3269" s="3" t="s">
        <v>11</v>
      </c>
      <c r="B3269" s="4">
        <v>596933</v>
      </c>
      <c r="C3269" s="3" t="s">
        <v>22</v>
      </c>
      <c r="D3269" s="7">
        <v>7.2499999999999995E-2</v>
      </c>
      <c r="E3269" s="7">
        <f t="shared" si="319"/>
        <v>6.0416666666666665E-3</v>
      </c>
      <c r="F3269" s="5">
        <v>45819</v>
      </c>
      <c r="G3269" s="5">
        <v>2958465</v>
      </c>
      <c r="H3269" s="8">
        <f t="shared" si="320"/>
        <v>2912646</v>
      </c>
      <c r="I3269" s="5">
        <v>2958465</v>
      </c>
      <c r="J3269" s="5">
        <v>45820</v>
      </c>
      <c r="K3269" s="8">
        <f t="shared" si="321"/>
        <v>1</v>
      </c>
      <c r="L3269" s="6">
        <v>628.85</v>
      </c>
      <c r="M3269" s="9">
        <f t="shared" si="318"/>
        <v>3.7993020833333335</v>
      </c>
      <c r="N3269" s="6">
        <v>628.85</v>
      </c>
      <c r="O3269" s="6">
        <v>628.85</v>
      </c>
    </row>
    <row r="3270" spans="1:15" ht="18.75" hidden="1" customHeight="1" thickBot="1" x14ac:dyDescent="0.3">
      <c r="A3270" s="3" t="s">
        <v>11</v>
      </c>
      <c r="B3270" s="4">
        <v>857047</v>
      </c>
      <c r="C3270" s="3" t="s">
        <v>22</v>
      </c>
      <c r="D3270" s="7">
        <v>6.7500000000000004E-2</v>
      </c>
      <c r="E3270" s="7">
        <f t="shared" si="319"/>
        <v>5.6250000000000007E-3</v>
      </c>
      <c r="F3270" s="5">
        <v>45588</v>
      </c>
      <c r="G3270" s="5">
        <v>2958465</v>
      </c>
      <c r="H3270" s="8">
        <f t="shared" si="320"/>
        <v>2912877</v>
      </c>
      <c r="I3270" s="5">
        <v>2958465</v>
      </c>
      <c r="J3270" s="5">
        <v>45589</v>
      </c>
      <c r="K3270" s="8">
        <f t="shared" si="321"/>
        <v>1</v>
      </c>
      <c r="L3270" s="6">
        <v>655.05999999999995</v>
      </c>
      <c r="M3270" s="9">
        <f t="shared" si="318"/>
        <v>3.6847125000000003</v>
      </c>
      <c r="N3270" s="6">
        <v>655.05999999999995</v>
      </c>
      <c r="O3270" s="6">
        <v>0</v>
      </c>
    </row>
    <row r="3271" spans="1:15" ht="18.75" hidden="1" customHeight="1" thickBot="1" x14ac:dyDescent="0.3">
      <c r="A3271" s="3" t="s">
        <v>11</v>
      </c>
      <c r="B3271" s="4">
        <v>96923</v>
      </c>
      <c r="C3271" s="3" t="s">
        <v>22</v>
      </c>
      <c r="D3271" s="7">
        <v>0.08</v>
      </c>
      <c r="E3271" s="7">
        <f t="shared" si="319"/>
        <v>6.6666666666666671E-3</v>
      </c>
      <c r="F3271" s="5">
        <v>46035</v>
      </c>
      <c r="G3271" s="5">
        <v>2958465</v>
      </c>
      <c r="H3271" s="8">
        <f t="shared" si="320"/>
        <v>2912430</v>
      </c>
      <c r="I3271" s="5">
        <v>2958465</v>
      </c>
      <c r="J3271" s="5">
        <v>46036</v>
      </c>
      <c r="K3271" s="8">
        <f t="shared" si="321"/>
        <v>1</v>
      </c>
      <c r="L3271" s="6">
        <v>928.1</v>
      </c>
      <c r="M3271" s="9">
        <f t="shared" si="318"/>
        <v>6.187333333333334</v>
      </c>
      <c r="N3271" s="6">
        <v>928.1</v>
      </c>
      <c r="O3271" s="6">
        <v>0</v>
      </c>
    </row>
    <row r="3272" spans="1:15" ht="18.75" hidden="1" customHeight="1" thickBot="1" x14ac:dyDescent="0.3">
      <c r="A3272" s="3" t="s">
        <v>11</v>
      </c>
      <c r="B3272" s="4">
        <v>258</v>
      </c>
      <c r="C3272" s="3" t="s">
        <v>22</v>
      </c>
      <c r="D3272" s="7">
        <v>0.08</v>
      </c>
      <c r="E3272" s="7">
        <f t="shared" si="319"/>
        <v>6.6666666666666671E-3</v>
      </c>
      <c r="F3272" s="5">
        <v>46035</v>
      </c>
      <c r="G3272" s="5">
        <v>2958465</v>
      </c>
      <c r="H3272" s="8">
        <f t="shared" si="320"/>
        <v>2912430</v>
      </c>
      <c r="I3272" s="5">
        <v>2958465</v>
      </c>
      <c r="J3272" s="5">
        <v>46036</v>
      </c>
      <c r="K3272" s="8">
        <f t="shared" si="321"/>
        <v>1</v>
      </c>
      <c r="L3272" s="6">
        <v>6571.16</v>
      </c>
      <c r="M3272" s="9">
        <f t="shared" si="318"/>
        <v>43.807733333333339</v>
      </c>
      <c r="N3272" s="6">
        <v>6571.16</v>
      </c>
      <c r="O3272" s="6">
        <v>0</v>
      </c>
    </row>
    <row r="3273" spans="1:15" ht="18.75" hidden="1" customHeight="1" thickBot="1" x14ac:dyDescent="0.3">
      <c r="A3273" s="3" t="s">
        <v>11</v>
      </c>
      <c r="B3273" s="4">
        <v>510606</v>
      </c>
      <c r="C3273" s="3" t="s">
        <v>22</v>
      </c>
      <c r="D3273" s="7">
        <v>7.0000000000000007E-2</v>
      </c>
      <c r="E3273" s="7">
        <f t="shared" si="319"/>
        <v>5.8333333333333336E-3</v>
      </c>
      <c r="F3273" s="5">
        <v>45617</v>
      </c>
      <c r="G3273" s="5">
        <v>2958465</v>
      </c>
      <c r="H3273" s="8">
        <f t="shared" si="320"/>
        <v>2912848</v>
      </c>
      <c r="I3273" s="5">
        <v>2958465</v>
      </c>
      <c r="J3273" s="5">
        <v>45618</v>
      </c>
      <c r="K3273" s="8">
        <f t="shared" si="321"/>
        <v>1</v>
      </c>
      <c r="L3273" s="6">
        <v>1092.9100000000001</v>
      </c>
      <c r="M3273" s="9">
        <f t="shared" si="318"/>
        <v>6.3753083333333338</v>
      </c>
      <c r="N3273" s="6">
        <v>1092.9100000000001</v>
      </c>
      <c r="O3273" s="6">
        <v>0</v>
      </c>
    </row>
    <row r="3274" spans="1:15" ht="18.75" hidden="1" customHeight="1" thickBot="1" x14ac:dyDescent="0.3">
      <c r="A3274" s="3" t="s">
        <v>11</v>
      </c>
      <c r="B3274" s="4">
        <v>467221</v>
      </c>
      <c r="C3274" s="3" t="s">
        <v>22</v>
      </c>
      <c r="D3274" s="7">
        <v>7.7499999999999999E-2</v>
      </c>
      <c r="E3274" s="7">
        <f t="shared" si="319"/>
        <v>6.4583333333333333E-3</v>
      </c>
      <c r="F3274" s="5">
        <v>45723</v>
      </c>
      <c r="G3274" s="5">
        <v>2958465</v>
      </c>
      <c r="H3274" s="8">
        <f t="shared" si="320"/>
        <v>2912742</v>
      </c>
      <c r="I3274" s="5">
        <v>2958465</v>
      </c>
      <c r="J3274" s="5">
        <v>45726</v>
      </c>
      <c r="K3274" s="8">
        <f t="shared" si="321"/>
        <v>3</v>
      </c>
      <c r="L3274" s="6">
        <v>625.29</v>
      </c>
      <c r="M3274" s="9">
        <f t="shared" si="318"/>
        <v>4.0383312499999997</v>
      </c>
      <c r="N3274" s="6">
        <v>625.29</v>
      </c>
      <c r="O3274" s="6">
        <v>625.29</v>
      </c>
    </row>
    <row r="3275" spans="1:15" ht="18.75" hidden="1" customHeight="1" thickBot="1" x14ac:dyDescent="0.3">
      <c r="A3275" s="3" t="s">
        <v>11</v>
      </c>
      <c r="B3275" s="4">
        <v>726300</v>
      </c>
      <c r="C3275" s="3" t="s">
        <v>22</v>
      </c>
      <c r="D3275" s="7">
        <v>7.4999999999999997E-2</v>
      </c>
      <c r="E3275" s="7">
        <f t="shared" si="319"/>
        <v>6.2499999999999995E-3</v>
      </c>
      <c r="F3275" s="5">
        <v>45947</v>
      </c>
      <c r="G3275" s="5">
        <v>2958465</v>
      </c>
      <c r="H3275" s="8">
        <f t="shared" si="320"/>
        <v>2912518</v>
      </c>
      <c r="I3275" s="5">
        <v>2958465</v>
      </c>
      <c r="J3275" s="5">
        <v>45950</v>
      </c>
      <c r="K3275" s="8">
        <f t="shared" si="321"/>
        <v>3</v>
      </c>
      <c r="L3275" s="6">
        <v>678.44</v>
      </c>
      <c r="M3275" s="9">
        <f t="shared" si="318"/>
        <v>4.2402499999999996</v>
      </c>
      <c r="N3275" s="6">
        <v>678.44</v>
      </c>
      <c r="O3275" s="6">
        <v>0</v>
      </c>
    </row>
    <row r="3276" spans="1:15" ht="18.75" hidden="1" customHeight="1" thickBot="1" x14ac:dyDescent="0.3">
      <c r="A3276" s="3" t="s">
        <v>11</v>
      </c>
      <c r="B3276" s="4">
        <v>180202</v>
      </c>
      <c r="C3276" s="3" t="s">
        <v>22</v>
      </c>
      <c r="D3276" s="7">
        <v>7.2499999999999995E-2</v>
      </c>
      <c r="E3276" s="7">
        <f t="shared" si="319"/>
        <v>6.0416666666666665E-3</v>
      </c>
      <c r="F3276" s="5">
        <v>45916</v>
      </c>
      <c r="G3276" s="5">
        <v>2958465</v>
      </c>
      <c r="H3276" s="8">
        <f t="shared" si="320"/>
        <v>2912549</v>
      </c>
      <c r="I3276" s="5">
        <v>2958465</v>
      </c>
      <c r="J3276" s="5">
        <v>45917</v>
      </c>
      <c r="K3276" s="8">
        <f t="shared" si="321"/>
        <v>1</v>
      </c>
      <c r="L3276" s="6">
        <v>563.76</v>
      </c>
      <c r="M3276" s="9">
        <f t="shared" si="318"/>
        <v>3.40605</v>
      </c>
      <c r="N3276" s="6">
        <v>563.76</v>
      </c>
      <c r="O3276" s="6">
        <v>25.04</v>
      </c>
    </row>
    <row r="3277" spans="1:15" ht="18.75" hidden="1" customHeight="1" thickBot="1" x14ac:dyDescent="0.3">
      <c r="A3277" s="3" t="s">
        <v>11</v>
      </c>
      <c r="B3277" s="4">
        <v>242609</v>
      </c>
      <c r="C3277" s="3" t="s">
        <v>22</v>
      </c>
      <c r="D3277" s="7">
        <v>7.0000000000000007E-2</v>
      </c>
      <c r="E3277" s="7">
        <f t="shared" si="319"/>
        <v>5.8333333333333336E-3</v>
      </c>
      <c r="F3277" s="5">
        <v>45635</v>
      </c>
      <c r="G3277" s="5">
        <v>2958465</v>
      </c>
      <c r="H3277" s="8">
        <f t="shared" si="320"/>
        <v>2912830</v>
      </c>
      <c r="I3277" s="5">
        <v>2958465</v>
      </c>
      <c r="J3277" s="5">
        <v>45637</v>
      </c>
      <c r="K3277" s="8">
        <f t="shared" si="321"/>
        <v>2</v>
      </c>
      <c r="L3277" s="6">
        <v>3619.99</v>
      </c>
      <c r="M3277" s="9">
        <f t="shared" si="318"/>
        <v>21.116608333333332</v>
      </c>
      <c r="N3277" s="6">
        <v>3619.99</v>
      </c>
      <c r="O3277" s="6">
        <v>0</v>
      </c>
    </row>
    <row r="3278" spans="1:15" ht="18.75" hidden="1" customHeight="1" thickBot="1" x14ac:dyDescent="0.3">
      <c r="A3278" s="3" t="s">
        <v>11</v>
      </c>
      <c r="B3278" s="4">
        <v>433889</v>
      </c>
      <c r="C3278" s="3" t="s">
        <v>22</v>
      </c>
      <c r="D3278" s="7">
        <v>7.2499999999999995E-2</v>
      </c>
      <c r="E3278" s="7">
        <f t="shared" si="319"/>
        <v>6.0416666666666665E-3</v>
      </c>
      <c r="F3278" s="5">
        <v>45852</v>
      </c>
      <c r="G3278" s="5">
        <v>2958465</v>
      </c>
      <c r="H3278" s="8">
        <f t="shared" si="320"/>
        <v>2912613</v>
      </c>
      <c r="I3278" s="5">
        <v>2958465</v>
      </c>
      <c r="J3278" s="5">
        <v>45853</v>
      </c>
      <c r="K3278" s="8">
        <f t="shared" si="321"/>
        <v>1</v>
      </c>
      <c r="L3278" s="6">
        <v>649.91999999999996</v>
      </c>
      <c r="M3278" s="9">
        <f t="shared" si="318"/>
        <v>3.9265999999999996</v>
      </c>
      <c r="N3278" s="6">
        <v>649.91999999999996</v>
      </c>
      <c r="O3278" s="6">
        <v>649.91999999999996</v>
      </c>
    </row>
    <row r="3279" spans="1:15" ht="18.75" hidden="1" customHeight="1" thickBot="1" x14ac:dyDescent="0.3">
      <c r="A3279" s="3" t="s">
        <v>11</v>
      </c>
      <c r="B3279" s="4">
        <v>416061</v>
      </c>
      <c r="C3279" s="3" t="s">
        <v>22</v>
      </c>
      <c r="D3279" s="7">
        <v>7.7499999999999999E-2</v>
      </c>
      <c r="E3279" s="7">
        <f t="shared" si="319"/>
        <v>6.4583333333333333E-3</v>
      </c>
      <c r="F3279" s="5">
        <v>45978</v>
      </c>
      <c r="G3279" s="5">
        <v>2958465</v>
      </c>
      <c r="H3279" s="8">
        <f t="shared" si="320"/>
        <v>2912487</v>
      </c>
      <c r="I3279" s="5">
        <v>2958465</v>
      </c>
      <c r="J3279" s="5">
        <v>45979</v>
      </c>
      <c r="K3279" s="8">
        <f t="shared" si="321"/>
        <v>1</v>
      </c>
      <c r="L3279" s="6">
        <v>649.66999999999996</v>
      </c>
      <c r="M3279" s="9">
        <f t="shared" si="318"/>
        <v>4.1957854166666664</v>
      </c>
      <c r="N3279" s="6">
        <v>649.66999999999996</v>
      </c>
      <c r="O3279" s="6">
        <v>0</v>
      </c>
    </row>
    <row r="3280" spans="1:15" ht="18.75" hidden="1" customHeight="1" thickBot="1" x14ac:dyDescent="0.3">
      <c r="A3280" s="3" t="s">
        <v>11</v>
      </c>
      <c r="B3280" s="4">
        <v>684309</v>
      </c>
      <c r="C3280" s="3" t="s">
        <v>22</v>
      </c>
      <c r="D3280" s="7">
        <v>7.2499999999999995E-2</v>
      </c>
      <c r="E3280" s="7">
        <f t="shared" si="319"/>
        <v>6.0416666666666665E-3</v>
      </c>
      <c r="F3280" s="5">
        <v>45699</v>
      </c>
      <c r="G3280" s="5">
        <v>2958465</v>
      </c>
      <c r="H3280" s="8">
        <f t="shared" si="320"/>
        <v>2912766</v>
      </c>
      <c r="I3280" s="5">
        <v>2958465</v>
      </c>
      <c r="J3280" s="5">
        <v>45700</v>
      </c>
      <c r="K3280" s="8">
        <f t="shared" si="321"/>
        <v>1</v>
      </c>
      <c r="L3280" s="6">
        <v>258.73</v>
      </c>
      <c r="M3280" s="9">
        <f t="shared" si="318"/>
        <v>1.5631604166666668</v>
      </c>
      <c r="N3280" s="6">
        <v>258.73</v>
      </c>
      <c r="O3280" s="6">
        <v>0</v>
      </c>
    </row>
    <row r="3281" spans="1:16" ht="18.75" hidden="1" customHeight="1" thickBot="1" x14ac:dyDescent="0.3">
      <c r="A3281" s="3" t="s">
        <v>11</v>
      </c>
      <c r="B3281" s="4">
        <v>937584</v>
      </c>
      <c r="C3281" s="3" t="s">
        <v>22</v>
      </c>
      <c r="D3281" s="7">
        <v>0.08</v>
      </c>
      <c r="E3281" s="7">
        <f t="shared" si="319"/>
        <v>6.6666666666666671E-3</v>
      </c>
      <c r="F3281" s="5">
        <v>40893</v>
      </c>
      <c r="G3281" s="5">
        <v>2958465</v>
      </c>
      <c r="H3281" s="8">
        <f t="shared" si="320"/>
        <v>2917572</v>
      </c>
      <c r="I3281" s="5">
        <v>2958465</v>
      </c>
      <c r="J3281" s="5">
        <v>40900</v>
      </c>
      <c r="K3281" s="8">
        <f t="shared" si="321"/>
        <v>7</v>
      </c>
      <c r="L3281" s="6">
        <v>343</v>
      </c>
      <c r="M3281" s="9">
        <f t="shared" si="318"/>
        <v>2.2866666666666666</v>
      </c>
      <c r="N3281" s="6">
        <v>343</v>
      </c>
      <c r="O3281" s="6">
        <v>343</v>
      </c>
    </row>
    <row r="3282" spans="1:16" ht="18.75" hidden="1" customHeight="1" thickBot="1" x14ac:dyDescent="0.3">
      <c r="A3282" s="3" t="s">
        <v>24</v>
      </c>
      <c r="B3282" s="4">
        <v>862303</v>
      </c>
      <c r="C3282" s="3" t="s">
        <v>14</v>
      </c>
      <c r="D3282" s="7">
        <v>7.2499999999999995E-2</v>
      </c>
      <c r="E3282" s="7">
        <f t="shared" si="319"/>
        <v>6.0416666666666665E-3</v>
      </c>
      <c r="F3282" s="5">
        <v>38952</v>
      </c>
      <c r="G3282" s="5">
        <v>2958465</v>
      </c>
      <c r="H3282" s="8">
        <f t="shared" si="320"/>
        <v>2919513</v>
      </c>
      <c r="I3282" s="5">
        <v>42600</v>
      </c>
      <c r="J3282" s="5">
        <v>40814</v>
      </c>
      <c r="K3282" s="8">
        <f t="shared" si="321"/>
        <v>1862</v>
      </c>
      <c r="L3282" s="6">
        <v>10000</v>
      </c>
      <c r="M3282" s="9">
        <f t="shared" si="318"/>
        <v>60.416666666666664</v>
      </c>
      <c r="N3282" s="6">
        <v>10000</v>
      </c>
      <c r="O3282" s="6">
        <v>7967.65</v>
      </c>
    </row>
    <row r="3283" spans="1:16" ht="18.75" hidden="1" customHeight="1" thickBot="1" x14ac:dyDescent="0.3">
      <c r="A3283" s="3" t="s">
        <v>24</v>
      </c>
      <c r="B3283" s="4">
        <v>810571</v>
      </c>
      <c r="C3283" s="3" t="s">
        <v>14</v>
      </c>
      <c r="D3283" s="7">
        <v>7.0000000000000007E-2</v>
      </c>
      <c r="E3283" s="7">
        <f t="shared" si="319"/>
        <v>5.8333333333333336E-3</v>
      </c>
      <c r="F3283" s="5">
        <v>39258</v>
      </c>
      <c r="G3283" s="5">
        <v>2958465</v>
      </c>
      <c r="H3283" s="8">
        <f t="shared" si="320"/>
        <v>2919207</v>
      </c>
      <c r="I3283" s="5">
        <v>42906</v>
      </c>
      <c r="J3283" s="5">
        <v>40935</v>
      </c>
      <c r="K3283" s="8">
        <f t="shared" si="321"/>
        <v>1677</v>
      </c>
      <c r="L3283" s="6">
        <v>175000</v>
      </c>
      <c r="M3283" s="9">
        <f t="shared" si="318"/>
        <v>1020.8333333333334</v>
      </c>
      <c r="N3283" s="6">
        <v>89658.41</v>
      </c>
      <c r="O3283" s="6">
        <v>0</v>
      </c>
    </row>
    <row r="3284" spans="1:16" ht="18.75" hidden="1" customHeight="1" thickBot="1" x14ac:dyDescent="0.3">
      <c r="A3284" s="3" t="s">
        <v>24</v>
      </c>
      <c r="B3284" s="4">
        <v>619497</v>
      </c>
      <c r="C3284" s="3" t="s">
        <v>14</v>
      </c>
      <c r="D3284" s="7">
        <v>6.5000000000000002E-2</v>
      </c>
      <c r="E3284" s="7">
        <f t="shared" si="319"/>
        <v>5.4166666666666669E-3</v>
      </c>
      <c r="F3284" s="5">
        <v>39302</v>
      </c>
      <c r="G3284" s="5">
        <v>2958465</v>
      </c>
      <c r="H3284" s="8">
        <f t="shared" si="320"/>
        <v>2919163</v>
      </c>
      <c r="I3284" s="5">
        <v>42949</v>
      </c>
      <c r="J3284" s="5">
        <v>41354</v>
      </c>
      <c r="K3284" s="8">
        <f t="shared" si="321"/>
        <v>2052</v>
      </c>
      <c r="L3284" s="6">
        <v>60000</v>
      </c>
      <c r="M3284" s="9">
        <f t="shared" si="318"/>
        <v>325</v>
      </c>
      <c r="N3284" s="6">
        <v>59999.95</v>
      </c>
      <c r="O3284" s="6">
        <v>0</v>
      </c>
    </row>
    <row r="3285" spans="1:16" ht="18.75" hidden="1" customHeight="1" thickBot="1" x14ac:dyDescent="0.3">
      <c r="A3285" s="3" t="s">
        <v>24</v>
      </c>
      <c r="B3285" s="4">
        <v>622887</v>
      </c>
      <c r="C3285" s="3" t="s">
        <v>14</v>
      </c>
      <c r="D3285" s="7">
        <v>7.2499999999999995E-2</v>
      </c>
      <c r="E3285" s="7">
        <f t="shared" si="319"/>
        <v>6.0416666666666665E-3</v>
      </c>
      <c r="F3285" s="5">
        <v>39426</v>
      </c>
      <c r="G3285" s="5">
        <v>2958465</v>
      </c>
      <c r="H3285" s="8">
        <f t="shared" si="320"/>
        <v>2919039</v>
      </c>
      <c r="I3285" s="5">
        <v>43074</v>
      </c>
      <c r="J3285" s="5">
        <v>41080</v>
      </c>
      <c r="K3285" s="8">
        <f t="shared" si="321"/>
        <v>1654</v>
      </c>
      <c r="L3285" s="6">
        <v>25000</v>
      </c>
      <c r="M3285" s="9">
        <f t="shared" si="318"/>
        <v>151.04166666666666</v>
      </c>
      <c r="N3285" s="6">
        <v>24994.54</v>
      </c>
      <c r="O3285" s="6">
        <v>0.42</v>
      </c>
    </row>
    <row r="3286" spans="1:16" ht="18.75" hidden="1" customHeight="1" thickBot="1" x14ac:dyDescent="0.3">
      <c r="A3286" s="3" t="s">
        <v>24</v>
      </c>
      <c r="B3286" s="4">
        <v>15532</v>
      </c>
      <c r="C3286" s="3" t="s">
        <v>14</v>
      </c>
      <c r="D3286" s="7">
        <v>7.0000000000000007E-2</v>
      </c>
      <c r="E3286" s="7">
        <f t="shared" si="319"/>
        <v>5.8333333333333336E-3</v>
      </c>
      <c r="F3286" s="5">
        <v>39546</v>
      </c>
      <c r="G3286" s="5">
        <v>2958465</v>
      </c>
      <c r="H3286" s="8">
        <f t="shared" si="320"/>
        <v>2918919</v>
      </c>
      <c r="I3286" s="5">
        <v>41794</v>
      </c>
      <c r="J3286" s="5">
        <v>41820</v>
      </c>
      <c r="K3286" s="8">
        <f t="shared" si="321"/>
        <v>2274</v>
      </c>
      <c r="L3286" s="6">
        <v>180000</v>
      </c>
      <c r="M3286" s="9">
        <f t="shared" si="318"/>
        <v>1050</v>
      </c>
      <c r="N3286" s="6">
        <v>119106.62</v>
      </c>
      <c r="O3286" s="6">
        <v>28871.23</v>
      </c>
    </row>
    <row r="3287" spans="1:16" ht="18.75" hidden="1" customHeight="1" thickBot="1" x14ac:dyDescent="0.3">
      <c r="A3287" s="3" t="s">
        <v>24</v>
      </c>
      <c r="B3287" s="4">
        <v>206159</v>
      </c>
      <c r="C3287" s="3" t="s">
        <v>14</v>
      </c>
      <c r="D3287" s="7">
        <v>6.5000000000000002E-2</v>
      </c>
      <c r="E3287" s="7">
        <f t="shared" si="319"/>
        <v>5.4166666666666669E-3</v>
      </c>
      <c r="F3287" s="5">
        <v>39575</v>
      </c>
      <c r="G3287" s="5">
        <v>2958465</v>
      </c>
      <c r="H3287" s="8">
        <f t="shared" si="320"/>
        <v>2918890</v>
      </c>
      <c r="I3287" s="5">
        <v>43221</v>
      </c>
      <c r="J3287" s="5">
        <v>41261</v>
      </c>
      <c r="K3287" s="8">
        <f t="shared" si="321"/>
        <v>1686</v>
      </c>
      <c r="L3287" s="6">
        <v>48000</v>
      </c>
      <c r="M3287" s="9">
        <f t="shared" si="318"/>
        <v>260</v>
      </c>
      <c r="N3287" s="6">
        <v>47065.52</v>
      </c>
      <c r="O3287" s="6">
        <v>86.54</v>
      </c>
    </row>
    <row r="3288" spans="1:16" ht="18.75" customHeight="1" thickBot="1" x14ac:dyDescent="0.3">
      <c r="A3288" s="3" t="s">
        <v>24</v>
      </c>
      <c r="B3288" s="4">
        <v>473490</v>
      </c>
      <c r="C3288" s="3" t="s">
        <v>8</v>
      </c>
      <c r="D3288" s="18">
        <v>7.2499999999999995E-2</v>
      </c>
      <c r="E3288" s="21">
        <f t="shared" ref="E3288:E3291" si="322">(1+D3288)^(1/12)-1</f>
        <v>5.8497409526456767E-3</v>
      </c>
      <c r="F3288" s="5">
        <v>39232</v>
      </c>
      <c r="G3288" s="5">
        <v>44722</v>
      </c>
      <c r="H3288" s="16">
        <f t="shared" si="320"/>
        <v>5490</v>
      </c>
      <c r="I3288" s="5">
        <v>44722</v>
      </c>
      <c r="J3288" s="5">
        <v>41411</v>
      </c>
      <c r="K3288" s="16">
        <f t="shared" si="321"/>
        <v>2179</v>
      </c>
      <c r="L3288" s="13">
        <v>116922</v>
      </c>
      <c r="M3288" s="15">
        <f t="shared" si="318"/>
        <v>1042.4795454186933</v>
      </c>
      <c r="N3288" s="13">
        <v>57744.12</v>
      </c>
      <c r="O3288" s="13">
        <v>30427.03</v>
      </c>
      <c r="P3288" s="11">
        <f>IF((G3288)&gt;(ConstantDateCutoff),1,0)</f>
        <v>1</v>
      </c>
    </row>
    <row r="3289" spans="1:16" ht="18.75" customHeight="1" thickBot="1" x14ac:dyDescent="0.3">
      <c r="A3289" s="3" t="s">
        <v>24</v>
      </c>
      <c r="B3289" s="4">
        <v>422838</v>
      </c>
      <c r="C3289" s="3" t="s">
        <v>5</v>
      </c>
      <c r="D3289" s="18">
        <v>8.7499999999999994E-2</v>
      </c>
      <c r="E3289" s="21">
        <f t="shared" si="322"/>
        <v>7.0146116041400752E-3</v>
      </c>
      <c r="F3289" s="5">
        <v>39500</v>
      </c>
      <c r="G3289" s="5">
        <v>39866</v>
      </c>
      <c r="H3289" s="16">
        <f t="shared" si="320"/>
        <v>366</v>
      </c>
      <c r="I3289" s="5">
        <v>40330</v>
      </c>
      <c r="J3289" s="5">
        <v>40577</v>
      </c>
      <c r="K3289" s="16">
        <f t="shared" si="321"/>
        <v>1077</v>
      </c>
      <c r="L3289" s="13">
        <v>72209.42</v>
      </c>
      <c r="M3289" s="15">
        <f t="shared" si="318"/>
        <v>6196.3995290645935</v>
      </c>
      <c r="N3289" s="13">
        <v>72009.42</v>
      </c>
      <c r="O3289" s="13">
        <v>0</v>
      </c>
      <c r="P3289" s="11">
        <f>IF((G3289)&gt;(ConstantDateCutoff),1,0)</f>
        <v>0</v>
      </c>
    </row>
    <row r="3290" spans="1:16" ht="18.75" customHeight="1" thickBot="1" x14ac:dyDescent="0.3">
      <c r="A3290" s="3" t="s">
        <v>24</v>
      </c>
      <c r="B3290" s="4">
        <v>848147</v>
      </c>
      <c r="C3290" s="3" t="s">
        <v>7</v>
      </c>
      <c r="D3290" s="18">
        <v>7.2499999999999995E-2</v>
      </c>
      <c r="E3290" s="21">
        <f t="shared" si="322"/>
        <v>5.8497409526456767E-3</v>
      </c>
      <c r="F3290" s="5">
        <v>40585</v>
      </c>
      <c r="G3290" s="5">
        <v>40658</v>
      </c>
      <c r="H3290" s="16">
        <f t="shared" si="320"/>
        <v>73</v>
      </c>
      <c r="I3290" s="5">
        <v>43366</v>
      </c>
      <c r="J3290" s="5">
        <v>43412</v>
      </c>
      <c r="K3290" s="16">
        <f t="shared" si="321"/>
        <v>2827</v>
      </c>
      <c r="L3290" s="13">
        <v>50000</v>
      </c>
      <c r="M3290" s="15">
        <f t="shared" si="318"/>
        <v>20754.576318743839</v>
      </c>
      <c r="N3290" s="13">
        <v>31529.86</v>
      </c>
      <c r="O3290" s="13">
        <v>2500</v>
      </c>
      <c r="P3290" s="11">
        <f>IF((G3290)&gt;(ConstantDateCutoff),1,0)</f>
        <v>0</v>
      </c>
    </row>
    <row r="3291" spans="1:16" ht="18.75" customHeight="1" thickBot="1" x14ac:dyDescent="0.3">
      <c r="A3291" s="3" t="s">
        <v>24</v>
      </c>
      <c r="B3291" s="4">
        <v>101490</v>
      </c>
      <c r="C3291" s="3" t="s">
        <v>2</v>
      </c>
      <c r="D3291" s="18">
        <v>0.06</v>
      </c>
      <c r="E3291" s="21">
        <f t="shared" si="322"/>
        <v>4.8675505653430484E-3</v>
      </c>
      <c r="F3291" s="5">
        <v>40665</v>
      </c>
      <c r="G3291" s="5">
        <v>44696</v>
      </c>
      <c r="H3291" s="16">
        <f t="shared" si="320"/>
        <v>4031</v>
      </c>
      <c r="I3291" s="5">
        <v>44696</v>
      </c>
      <c r="J3291" s="5">
        <v>40815</v>
      </c>
      <c r="K3291" s="16">
        <f t="shared" si="321"/>
        <v>150</v>
      </c>
      <c r="L3291" s="13">
        <v>120000</v>
      </c>
      <c r="M3291" s="15">
        <f t="shared" si="318"/>
        <v>1218.8387367322962</v>
      </c>
      <c r="N3291" s="13">
        <v>120000</v>
      </c>
      <c r="O3291" s="13">
        <v>4000</v>
      </c>
      <c r="P3291" s="11">
        <f>IF((G3291)&gt;(ConstantDateCutoff),1,0)</f>
        <v>1</v>
      </c>
    </row>
    <row r="3292" spans="1:16" ht="18.75" hidden="1" customHeight="1" thickBot="1" x14ac:dyDescent="0.3">
      <c r="A3292" s="3" t="s">
        <v>24</v>
      </c>
      <c r="B3292" s="4">
        <v>763960</v>
      </c>
      <c r="C3292" s="3" t="s">
        <v>14</v>
      </c>
      <c r="D3292" s="7">
        <v>3.2500000000000001E-2</v>
      </c>
      <c r="E3292" s="7">
        <f t="shared" si="319"/>
        <v>2.7083333333333334E-3</v>
      </c>
      <c r="F3292" s="5">
        <v>41430</v>
      </c>
      <c r="G3292" s="5">
        <v>42887</v>
      </c>
      <c r="H3292" s="8">
        <f t="shared" si="320"/>
        <v>1457</v>
      </c>
      <c r="I3292" s="5">
        <v>48519</v>
      </c>
      <c r="J3292" s="5">
        <v>41436</v>
      </c>
      <c r="K3292" s="8">
        <f t="shared" si="321"/>
        <v>6</v>
      </c>
      <c r="L3292" s="6">
        <v>31490.400000000001</v>
      </c>
      <c r="M3292" s="9">
        <f t="shared" si="318"/>
        <v>692.84953507573857</v>
      </c>
      <c r="N3292" s="6">
        <v>31490.400000000001</v>
      </c>
      <c r="O3292" s="6">
        <v>16781.849999999999</v>
      </c>
    </row>
    <row r="3293" spans="1:16" ht="18.75" customHeight="1" thickBot="1" x14ac:dyDescent="0.3">
      <c r="A3293" s="3" t="s">
        <v>24</v>
      </c>
      <c r="B3293" s="4">
        <v>41568</v>
      </c>
      <c r="C3293" s="3" t="s">
        <v>18</v>
      </c>
      <c r="D3293" s="18">
        <v>0.1075</v>
      </c>
      <c r="E3293" s="21">
        <f t="shared" ref="E3293:E3310" si="323">(1+D3293)^(1/12)-1</f>
        <v>8.5450710394860963E-3</v>
      </c>
      <c r="F3293" s="5">
        <v>35258</v>
      </c>
      <c r="G3293" s="5">
        <v>37817</v>
      </c>
      <c r="H3293" s="16">
        <f t="shared" si="320"/>
        <v>2559</v>
      </c>
      <c r="I3293" s="5">
        <v>37845</v>
      </c>
      <c r="J3293" s="5">
        <v>36776</v>
      </c>
      <c r="K3293" s="16">
        <f t="shared" si="321"/>
        <v>1518</v>
      </c>
      <c r="L3293" s="13">
        <v>100000</v>
      </c>
      <c r="M3293" s="15">
        <f t="shared" si="318"/>
        <v>1655.8233711824478</v>
      </c>
      <c r="N3293" s="13">
        <v>500</v>
      </c>
      <c r="O3293" s="13">
        <v>8601.2000000000007</v>
      </c>
      <c r="P3293" s="11">
        <f t="shared" ref="P3293:P3310" si="324">IF((G3293)&gt;(ConstantDateCutoff),1,0)</f>
        <v>0</v>
      </c>
    </row>
    <row r="3294" spans="1:16" ht="18.75" customHeight="1" thickBot="1" x14ac:dyDescent="0.3">
      <c r="A3294" s="3" t="s">
        <v>24</v>
      </c>
      <c r="B3294" s="4">
        <v>16138</v>
      </c>
      <c r="C3294" s="3" t="s">
        <v>25</v>
      </c>
      <c r="D3294" s="18">
        <v>0.08</v>
      </c>
      <c r="E3294" s="21">
        <f t="shared" si="323"/>
        <v>6.4340301100034303E-3</v>
      </c>
      <c r="F3294" s="5">
        <v>35370</v>
      </c>
      <c r="G3294" s="5">
        <v>39036</v>
      </c>
      <c r="H3294" s="16">
        <f t="shared" si="320"/>
        <v>3666</v>
      </c>
      <c r="I3294" s="5">
        <v>39036</v>
      </c>
      <c r="J3294" s="5">
        <v>36445</v>
      </c>
      <c r="K3294" s="16">
        <f t="shared" si="321"/>
        <v>1075</v>
      </c>
      <c r="L3294" s="13">
        <v>33141.379999999997</v>
      </c>
      <c r="M3294" s="15">
        <f t="shared" si="318"/>
        <v>392.47962909431089</v>
      </c>
      <c r="N3294" s="13">
        <v>23182.37</v>
      </c>
      <c r="O3294" s="13">
        <v>0</v>
      </c>
      <c r="P3294" s="11">
        <f t="shared" si="324"/>
        <v>0</v>
      </c>
    </row>
    <row r="3295" spans="1:16" ht="18.75" customHeight="1" thickBot="1" x14ac:dyDescent="0.3">
      <c r="A3295" s="3" t="s">
        <v>24</v>
      </c>
      <c r="B3295" s="4">
        <v>566262</v>
      </c>
      <c r="C3295" s="3" t="s">
        <v>26</v>
      </c>
      <c r="D3295" s="18">
        <v>8.2500000000000004E-2</v>
      </c>
      <c r="E3295" s="21">
        <f t="shared" si="323"/>
        <v>6.6279668043680573E-3</v>
      </c>
      <c r="F3295" s="5">
        <v>36003</v>
      </c>
      <c r="G3295" s="5">
        <v>37827</v>
      </c>
      <c r="H3295" s="16">
        <f t="shared" si="320"/>
        <v>1824</v>
      </c>
      <c r="I3295" s="5">
        <v>37827</v>
      </c>
      <c r="J3295" s="5">
        <v>36893</v>
      </c>
      <c r="K3295" s="16">
        <f t="shared" si="321"/>
        <v>890</v>
      </c>
      <c r="L3295" s="13">
        <v>18695.79</v>
      </c>
      <c r="M3295" s="15">
        <f t="shared" si="318"/>
        <v>374.6084402564756</v>
      </c>
      <c r="N3295" s="13">
        <v>10000</v>
      </c>
      <c r="O3295" s="13">
        <v>0</v>
      </c>
      <c r="P3295" s="11">
        <f t="shared" si="324"/>
        <v>0</v>
      </c>
    </row>
    <row r="3296" spans="1:16" ht="18.75" customHeight="1" thickBot="1" x14ac:dyDescent="0.3">
      <c r="A3296" s="3" t="s">
        <v>24</v>
      </c>
      <c r="B3296" s="4">
        <v>462720</v>
      </c>
      <c r="C3296" s="3" t="s">
        <v>7</v>
      </c>
      <c r="D3296" s="18">
        <v>8.7499999999999994E-2</v>
      </c>
      <c r="E3296" s="21">
        <f t="shared" si="323"/>
        <v>7.0146116041400752E-3</v>
      </c>
      <c r="F3296" s="5">
        <v>36300</v>
      </c>
      <c r="G3296" s="5">
        <v>38883</v>
      </c>
      <c r="H3296" s="16">
        <f t="shared" si="320"/>
        <v>2583</v>
      </c>
      <c r="I3296" s="5">
        <v>38883</v>
      </c>
      <c r="J3296" s="5">
        <v>38016</v>
      </c>
      <c r="K3296" s="16">
        <f t="shared" si="321"/>
        <v>1716</v>
      </c>
      <c r="L3296" s="13">
        <v>71675</v>
      </c>
      <c r="M3296" s="15">
        <f t="shared" si="318"/>
        <v>1111.8298752325381</v>
      </c>
      <c r="N3296" s="13">
        <v>52441.75</v>
      </c>
      <c r="O3296" s="13">
        <v>302.82</v>
      </c>
      <c r="P3296" s="11">
        <f t="shared" si="324"/>
        <v>0</v>
      </c>
    </row>
    <row r="3297" spans="1:16" ht="18.75" customHeight="1" thickBot="1" x14ac:dyDescent="0.3">
      <c r="A3297" s="3" t="s">
        <v>24</v>
      </c>
      <c r="B3297" s="4">
        <v>506047</v>
      </c>
      <c r="C3297" s="3" t="s">
        <v>27</v>
      </c>
      <c r="D3297" s="18">
        <v>0.105</v>
      </c>
      <c r="E3297" s="21">
        <f t="shared" si="323"/>
        <v>8.355155683635207E-3</v>
      </c>
      <c r="F3297" s="5">
        <v>36847</v>
      </c>
      <c r="G3297" s="5">
        <v>37196</v>
      </c>
      <c r="H3297" s="16">
        <f t="shared" si="320"/>
        <v>349</v>
      </c>
      <c r="I3297" s="5">
        <v>37561</v>
      </c>
      <c r="J3297" s="5">
        <v>37972</v>
      </c>
      <c r="K3297" s="16">
        <f t="shared" si="321"/>
        <v>1125</v>
      </c>
      <c r="L3297" s="13">
        <v>80000</v>
      </c>
      <c r="M3297" s="15">
        <f t="shared" si="318"/>
        <v>7245.0762612777198</v>
      </c>
      <c r="N3297" s="13">
        <v>58000</v>
      </c>
      <c r="O3297" s="13">
        <v>0</v>
      </c>
      <c r="P3297" s="11">
        <f t="shared" si="324"/>
        <v>0</v>
      </c>
    </row>
    <row r="3298" spans="1:16" ht="18.75" customHeight="1" thickBot="1" x14ac:dyDescent="0.3">
      <c r="A3298" s="3" t="s">
        <v>24</v>
      </c>
      <c r="B3298" s="4">
        <v>984764</v>
      </c>
      <c r="C3298" s="3" t="s">
        <v>7</v>
      </c>
      <c r="D3298" s="18">
        <v>8.7499999999999994E-2</v>
      </c>
      <c r="E3298" s="21">
        <f t="shared" si="323"/>
        <v>7.0146116041400752E-3</v>
      </c>
      <c r="F3298" s="5">
        <v>36959</v>
      </c>
      <c r="G3298" s="5">
        <v>37330</v>
      </c>
      <c r="H3298" s="16">
        <f t="shared" si="320"/>
        <v>371</v>
      </c>
      <c r="I3298" s="5">
        <v>37330</v>
      </c>
      <c r="J3298" s="5">
        <v>37414</v>
      </c>
      <c r="K3298" s="16">
        <f t="shared" si="321"/>
        <v>455</v>
      </c>
      <c r="L3298" s="13">
        <v>174619.67</v>
      </c>
      <c r="M3298" s="15">
        <f t="shared" si="318"/>
        <v>14790.922303451254</v>
      </c>
      <c r="N3298" s="13">
        <v>116672.16</v>
      </c>
      <c r="O3298" s="13">
        <v>11357</v>
      </c>
      <c r="P3298" s="11">
        <f t="shared" si="324"/>
        <v>0</v>
      </c>
    </row>
    <row r="3299" spans="1:16" ht="18.75" customHeight="1" thickBot="1" x14ac:dyDescent="0.3">
      <c r="A3299" s="3" t="s">
        <v>24</v>
      </c>
      <c r="B3299" s="4">
        <v>255421</v>
      </c>
      <c r="C3299" s="3" t="s">
        <v>27</v>
      </c>
      <c r="D3299" s="18">
        <v>0.105</v>
      </c>
      <c r="E3299" s="21">
        <f t="shared" si="323"/>
        <v>8.355155683635207E-3</v>
      </c>
      <c r="F3299" s="5">
        <v>37187</v>
      </c>
      <c r="G3299" s="5">
        <v>37288</v>
      </c>
      <c r="H3299" s="16">
        <f t="shared" si="320"/>
        <v>101</v>
      </c>
      <c r="I3299" s="5">
        <v>37561</v>
      </c>
      <c r="J3299" s="5">
        <v>37973</v>
      </c>
      <c r="K3299" s="16">
        <f t="shared" si="321"/>
        <v>786</v>
      </c>
      <c r="L3299" s="13">
        <v>9000</v>
      </c>
      <c r="M3299" s="15">
        <f t="shared" si="318"/>
        <v>2722.1933550515118</v>
      </c>
      <c r="N3299" s="13">
        <v>8990</v>
      </c>
      <c r="O3299" s="13">
        <v>0</v>
      </c>
      <c r="P3299" s="11">
        <f t="shared" si="324"/>
        <v>0</v>
      </c>
    </row>
    <row r="3300" spans="1:16" ht="18.75" customHeight="1" thickBot="1" x14ac:dyDescent="0.3">
      <c r="A3300" s="3" t="s">
        <v>24</v>
      </c>
      <c r="B3300" s="4">
        <v>132496</v>
      </c>
      <c r="C3300" s="3" t="s">
        <v>7</v>
      </c>
      <c r="D3300" s="18">
        <v>8.8999999999999996E-2</v>
      </c>
      <c r="E3300" s="21">
        <f t="shared" si="323"/>
        <v>7.1302872999576827E-3</v>
      </c>
      <c r="F3300" s="5">
        <v>38541</v>
      </c>
      <c r="G3300" s="5">
        <v>38876</v>
      </c>
      <c r="H3300" s="16">
        <f t="shared" si="320"/>
        <v>335</v>
      </c>
      <c r="I3300" s="5">
        <v>43723</v>
      </c>
      <c r="J3300" s="5">
        <v>40812</v>
      </c>
      <c r="K3300" s="16">
        <f t="shared" si="321"/>
        <v>2271</v>
      </c>
      <c r="L3300" s="13">
        <v>190088</v>
      </c>
      <c r="M3300" s="15">
        <f t="shared" si="318"/>
        <v>17770.074163311816</v>
      </c>
      <c r="N3300" s="13">
        <v>74160</v>
      </c>
      <c r="O3300" s="13">
        <v>0</v>
      </c>
      <c r="P3300" s="11">
        <f t="shared" si="324"/>
        <v>0</v>
      </c>
    </row>
    <row r="3301" spans="1:16" ht="18.75" customHeight="1" thickBot="1" x14ac:dyDescent="0.3">
      <c r="A3301" s="3" t="s">
        <v>24</v>
      </c>
      <c r="B3301" s="4">
        <v>232240</v>
      </c>
      <c r="C3301" s="3" t="s">
        <v>28</v>
      </c>
      <c r="D3301" s="18">
        <v>8.5000000000000006E-2</v>
      </c>
      <c r="E3301" s="21">
        <f t="shared" si="323"/>
        <v>6.8214933659622723E-3</v>
      </c>
      <c r="F3301" s="5">
        <v>38530</v>
      </c>
      <c r="G3301" s="5">
        <v>40374</v>
      </c>
      <c r="H3301" s="16">
        <f t="shared" si="320"/>
        <v>1844</v>
      </c>
      <c r="I3301" s="5">
        <v>40374</v>
      </c>
      <c r="J3301" s="5">
        <v>41081</v>
      </c>
      <c r="K3301" s="16">
        <f t="shared" si="321"/>
        <v>2551</v>
      </c>
      <c r="L3301" s="13">
        <v>46383</v>
      </c>
      <c r="M3301" s="15">
        <f t="shared" si="318"/>
        <v>926.36160672463882</v>
      </c>
      <c r="N3301" s="13">
        <v>31916.86</v>
      </c>
      <c r="O3301" s="13">
        <v>15100</v>
      </c>
      <c r="P3301" s="11">
        <f t="shared" si="324"/>
        <v>0</v>
      </c>
    </row>
    <row r="3302" spans="1:16" ht="18.75" customHeight="1" thickBot="1" x14ac:dyDescent="0.3">
      <c r="A3302" s="3" t="s">
        <v>24</v>
      </c>
      <c r="B3302" s="4">
        <v>175396</v>
      </c>
      <c r="C3302" s="3" t="s">
        <v>5</v>
      </c>
      <c r="D3302" s="18">
        <v>0.09</v>
      </c>
      <c r="E3302" s="21">
        <f t="shared" si="323"/>
        <v>7.2073233161367156E-3</v>
      </c>
      <c r="F3302" s="5">
        <v>38685</v>
      </c>
      <c r="G3302" s="5">
        <v>40513</v>
      </c>
      <c r="H3302" s="16">
        <f t="shared" si="320"/>
        <v>1828</v>
      </c>
      <c r="I3302" s="5">
        <v>40513</v>
      </c>
      <c r="J3302" s="5">
        <v>40416</v>
      </c>
      <c r="K3302" s="16">
        <f t="shared" si="321"/>
        <v>1731</v>
      </c>
      <c r="L3302" s="13">
        <v>88870.13</v>
      </c>
      <c r="M3302" s="15">
        <f t="shared" si="318"/>
        <v>1807.27160866293</v>
      </c>
      <c r="N3302" s="13">
        <v>79043.100000000006</v>
      </c>
      <c r="O3302" s="13">
        <v>0</v>
      </c>
      <c r="P3302" s="11">
        <f t="shared" si="324"/>
        <v>0</v>
      </c>
    </row>
    <row r="3303" spans="1:16" ht="18.75" customHeight="1" thickBot="1" x14ac:dyDescent="0.3">
      <c r="A3303" s="3" t="s">
        <v>24</v>
      </c>
      <c r="B3303" s="4">
        <v>914061</v>
      </c>
      <c r="C3303" s="3" t="s">
        <v>28</v>
      </c>
      <c r="D3303" s="18">
        <v>0.09</v>
      </c>
      <c r="E3303" s="21">
        <f t="shared" si="323"/>
        <v>7.2073233161367156E-3</v>
      </c>
      <c r="F3303" s="5">
        <v>38730</v>
      </c>
      <c r="G3303" s="5">
        <v>40563</v>
      </c>
      <c r="H3303" s="16">
        <f t="shared" si="320"/>
        <v>1833</v>
      </c>
      <c r="I3303" s="5">
        <v>40594</v>
      </c>
      <c r="J3303" s="5">
        <v>40633</v>
      </c>
      <c r="K3303" s="16">
        <f t="shared" si="321"/>
        <v>1903</v>
      </c>
      <c r="L3303" s="13">
        <v>249203</v>
      </c>
      <c r="M3303" s="15">
        <f t="shared" si="318"/>
        <v>5056.7978029118922</v>
      </c>
      <c r="N3303" s="13">
        <v>49171.8</v>
      </c>
      <c r="O3303" s="13">
        <v>85528</v>
      </c>
      <c r="P3303" s="11">
        <f t="shared" si="324"/>
        <v>0</v>
      </c>
    </row>
    <row r="3304" spans="1:16" ht="18.75" hidden="1" customHeight="1" thickBot="1" x14ac:dyDescent="0.3">
      <c r="A3304" s="3" t="s">
        <v>24</v>
      </c>
      <c r="B3304" s="4">
        <v>220162</v>
      </c>
      <c r="C3304" s="3" t="s">
        <v>28</v>
      </c>
      <c r="D3304" s="18">
        <v>0</v>
      </c>
      <c r="E3304" s="21">
        <f t="shared" si="323"/>
        <v>0</v>
      </c>
      <c r="F3304" s="5">
        <v>38734</v>
      </c>
      <c r="G3304" s="5">
        <v>40558</v>
      </c>
      <c r="H3304" s="16">
        <f t="shared" si="320"/>
        <v>1824</v>
      </c>
      <c r="I3304" s="5">
        <v>41000</v>
      </c>
      <c r="J3304" s="5">
        <v>40704</v>
      </c>
      <c r="K3304" s="16">
        <f t="shared" si="321"/>
        <v>1970</v>
      </c>
      <c r="L3304" s="13">
        <v>240338</v>
      </c>
      <c r="M3304" s="15">
        <f t="shared" si="318"/>
        <v>3952.9276315789475</v>
      </c>
      <c r="N3304" s="13">
        <v>130000</v>
      </c>
      <c r="O3304" s="13">
        <v>1500</v>
      </c>
      <c r="P3304" s="11">
        <f t="shared" si="324"/>
        <v>0</v>
      </c>
    </row>
    <row r="3305" spans="1:16" ht="18.75" customHeight="1" thickBot="1" x14ac:dyDescent="0.3">
      <c r="A3305" s="3" t="s">
        <v>24</v>
      </c>
      <c r="B3305" s="4">
        <v>963457</v>
      </c>
      <c r="C3305" s="3" t="s">
        <v>28</v>
      </c>
      <c r="D3305" s="18">
        <v>8.7499999999999994E-2</v>
      </c>
      <c r="E3305" s="21">
        <f t="shared" si="323"/>
        <v>7.0146116041400752E-3</v>
      </c>
      <c r="F3305" s="5">
        <v>38737</v>
      </c>
      <c r="G3305" s="5">
        <v>40563</v>
      </c>
      <c r="H3305" s="16">
        <f t="shared" si="320"/>
        <v>1826</v>
      </c>
      <c r="I3305" s="5">
        <v>45250</v>
      </c>
      <c r="J3305" s="5">
        <v>42957</v>
      </c>
      <c r="K3305" s="16">
        <f t="shared" si="321"/>
        <v>4220</v>
      </c>
      <c r="L3305" s="13">
        <v>52784</v>
      </c>
      <c r="M3305" s="15">
        <f t="shared" si="318"/>
        <v>1068.4629320033655</v>
      </c>
      <c r="N3305" s="13">
        <v>17000</v>
      </c>
      <c r="O3305" s="13">
        <v>4968.74</v>
      </c>
      <c r="P3305" s="11">
        <f t="shared" si="324"/>
        <v>0</v>
      </c>
    </row>
    <row r="3306" spans="1:16" ht="18.75" customHeight="1" thickBot="1" x14ac:dyDescent="0.3">
      <c r="A3306" s="3" t="s">
        <v>24</v>
      </c>
      <c r="B3306" s="4">
        <v>277760</v>
      </c>
      <c r="C3306" s="3" t="s">
        <v>7</v>
      </c>
      <c r="D3306" s="18">
        <v>8.7499999999999994E-2</v>
      </c>
      <c r="E3306" s="21">
        <f t="shared" si="323"/>
        <v>7.0146116041400752E-3</v>
      </c>
      <c r="F3306" s="5">
        <v>38740</v>
      </c>
      <c r="G3306" s="5">
        <v>43125</v>
      </c>
      <c r="H3306" s="16">
        <f t="shared" si="320"/>
        <v>4385</v>
      </c>
      <c r="I3306" s="5">
        <v>43368</v>
      </c>
      <c r="J3306" s="5">
        <v>41274</v>
      </c>
      <c r="K3306" s="16">
        <f t="shared" si="321"/>
        <v>2534</v>
      </c>
      <c r="L3306" s="13">
        <v>328008.87</v>
      </c>
      <c r="M3306" s="15">
        <f t="shared" si="318"/>
        <v>3594.9404228354342</v>
      </c>
      <c r="N3306" s="13">
        <v>185657.78</v>
      </c>
      <c r="O3306" s="13">
        <v>32550</v>
      </c>
      <c r="P3306" s="11">
        <f t="shared" si="324"/>
        <v>1</v>
      </c>
    </row>
    <row r="3307" spans="1:16" ht="18.75" customHeight="1" thickBot="1" x14ac:dyDescent="0.3">
      <c r="A3307" s="3" t="s">
        <v>24</v>
      </c>
      <c r="B3307" s="4">
        <v>432590</v>
      </c>
      <c r="C3307" s="3" t="s">
        <v>7</v>
      </c>
      <c r="D3307" s="18">
        <v>8.7499999999999994E-2</v>
      </c>
      <c r="E3307" s="21">
        <f t="shared" si="323"/>
        <v>7.0146116041400752E-3</v>
      </c>
      <c r="F3307" s="5">
        <v>38811</v>
      </c>
      <c r="G3307" s="5">
        <v>39176</v>
      </c>
      <c r="H3307" s="16">
        <f t="shared" si="320"/>
        <v>365</v>
      </c>
      <c r="I3307" s="5">
        <v>40108</v>
      </c>
      <c r="J3307" s="5">
        <v>40445</v>
      </c>
      <c r="K3307" s="16">
        <f t="shared" si="321"/>
        <v>1634</v>
      </c>
      <c r="L3307" s="13">
        <v>295436</v>
      </c>
      <c r="M3307" s="15">
        <f t="shared" si="318"/>
        <v>25418.34751676059</v>
      </c>
      <c r="N3307" s="13">
        <v>198922.19</v>
      </c>
      <c r="O3307" s="13">
        <v>0</v>
      </c>
      <c r="P3307" s="11">
        <f t="shared" si="324"/>
        <v>0</v>
      </c>
    </row>
    <row r="3308" spans="1:16" ht="18.75" customHeight="1" thickBot="1" x14ac:dyDescent="0.3">
      <c r="A3308" s="3" t="s">
        <v>24</v>
      </c>
      <c r="B3308" s="4">
        <v>999392</v>
      </c>
      <c r="C3308" s="3" t="s">
        <v>5</v>
      </c>
      <c r="D3308" s="18">
        <v>7.7499999999999999E-2</v>
      </c>
      <c r="E3308" s="21">
        <f t="shared" si="323"/>
        <v>6.2396814612857288E-3</v>
      </c>
      <c r="F3308" s="5">
        <v>38846</v>
      </c>
      <c r="G3308" s="5">
        <v>39569</v>
      </c>
      <c r="H3308" s="16">
        <f t="shared" si="320"/>
        <v>723</v>
      </c>
      <c r="I3308" s="5">
        <v>40391</v>
      </c>
      <c r="J3308" s="5">
        <v>40787</v>
      </c>
      <c r="K3308" s="16">
        <f t="shared" si="321"/>
        <v>1941</v>
      </c>
      <c r="L3308" s="13">
        <v>2540000</v>
      </c>
      <c r="M3308" s="15">
        <f t="shared" si="318"/>
        <v>113844.974266829</v>
      </c>
      <c r="N3308" s="13">
        <v>971216.27</v>
      </c>
      <c r="O3308" s="13">
        <v>120000</v>
      </c>
      <c r="P3308" s="11">
        <f t="shared" si="324"/>
        <v>0</v>
      </c>
    </row>
    <row r="3309" spans="1:16" ht="18.75" customHeight="1" thickBot="1" x14ac:dyDescent="0.3">
      <c r="A3309" s="3" t="s">
        <v>24</v>
      </c>
      <c r="B3309" s="4">
        <v>147829</v>
      </c>
      <c r="C3309" s="3" t="s">
        <v>5</v>
      </c>
      <c r="D3309" s="18">
        <v>6.7500000000000004E-2</v>
      </c>
      <c r="E3309" s="21">
        <f t="shared" si="323"/>
        <v>5.4581304569467637E-3</v>
      </c>
      <c r="F3309" s="5">
        <v>38894</v>
      </c>
      <c r="G3309" s="5">
        <v>39259</v>
      </c>
      <c r="H3309" s="16">
        <f t="shared" si="320"/>
        <v>365</v>
      </c>
      <c r="I3309" s="5">
        <v>41451</v>
      </c>
      <c r="J3309" s="5">
        <v>41429</v>
      </c>
      <c r="K3309" s="16">
        <f t="shared" si="321"/>
        <v>2535</v>
      </c>
      <c r="L3309" s="13">
        <v>1664330</v>
      </c>
      <c r="M3309" s="15">
        <f t="shared" si="318"/>
        <v>141759.42409914263</v>
      </c>
      <c r="N3309" s="13">
        <v>998093.73</v>
      </c>
      <c r="O3309" s="13">
        <v>66790.539999999994</v>
      </c>
      <c r="P3309" s="11">
        <f t="shared" si="324"/>
        <v>0</v>
      </c>
    </row>
    <row r="3310" spans="1:16" ht="18.75" customHeight="1" thickBot="1" x14ac:dyDescent="0.3">
      <c r="A3310" s="3" t="s">
        <v>24</v>
      </c>
      <c r="B3310" s="4">
        <v>629034</v>
      </c>
      <c r="C3310" s="3" t="s">
        <v>27</v>
      </c>
      <c r="D3310" s="18">
        <v>0.10249999999999999</v>
      </c>
      <c r="E3310" s="21">
        <f t="shared" si="323"/>
        <v>8.1648460519010424E-3</v>
      </c>
      <c r="F3310" s="5">
        <v>38895</v>
      </c>
      <c r="G3310" s="5">
        <v>39071</v>
      </c>
      <c r="H3310" s="16">
        <f t="shared" si="320"/>
        <v>176</v>
      </c>
      <c r="I3310" s="5">
        <v>43570</v>
      </c>
      <c r="J3310" s="5">
        <v>39898</v>
      </c>
      <c r="K3310" s="16">
        <f t="shared" si="321"/>
        <v>1003</v>
      </c>
      <c r="L3310" s="13">
        <v>68076</v>
      </c>
      <c r="M3310" s="15">
        <f t="shared" si="318"/>
        <v>11931.29595990913</v>
      </c>
      <c r="N3310" s="13">
        <v>68076</v>
      </c>
      <c r="O3310" s="13">
        <v>0</v>
      </c>
      <c r="P3310" s="11">
        <f t="shared" si="324"/>
        <v>0</v>
      </c>
    </row>
    <row r="3311" spans="1:16" ht="18.75" hidden="1" customHeight="1" thickBot="1" x14ac:dyDescent="0.3">
      <c r="A3311" s="3" t="s">
        <v>24</v>
      </c>
      <c r="B3311" s="4">
        <v>67150</v>
      </c>
      <c r="C3311" s="3" t="s">
        <v>18</v>
      </c>
      <c r="D3311" s="7">
        <v>8.7499999999999994E-2</v>
      </c>
      <c r="E3311" s="7">
        <f t="shared" si="319"/>
        <v>7.2916666666666659E-3</v>
      </c>
      <c r="F3311" s="5">
        <v>39020</v>
      </c>
      <c r="G3311" s="5">
        <v>46553</v>
      </c>
      <c r="H3311" s="8">
        <f t="shared" si="320"/>
        <v>7533</v>
      </c>
      <c r="I3311" s="5">
        <v>46706</v>
      </c>
      <c r="J3311" s="5">
        <v>41817</v>
      </c>
      <c r="K3311" s="8">
        <f t="shared" si="321"/>
        <v>2797</v>
      </c>
      <c r="L3311" s="6">
        <v>550000</v>
      </c>
      <c r="M3311" s="9">
        <f t="shared" si="318"/>
        <v>4781.8849943810092</v>
      </c>
      <c r="N3311" s="6">
        <v>381175.67</v>
      </c>
      <c r="O3311" s="6">
        <v>52823.72</v>
      </c>
    </row>
    <row r="3312" spans="1:16" ht="18.75" customHeight="1" thickBot="1" x14ac:dyDescent="0.3">
      <c r="A3312" s="3" t="s">
        <v>24</v>
      </c>
      <c r="B3312" s="4">
        <v>635221</v>
      </c>
      <c r="C3312" s="3" t="s">
        <v>27</v>
      </c>
      <c r="D3312" s="18">
        <v>8.7499999999999994E-2</v>
      </c>
      <c r="E3312" s="21">
        <f t="shared" ref="E3312:E3329" si="325">(1+D3312)^(1/12)-1</f>
        <v>7.0146116041400752E-3</v>
      </c>
      <c r="F3312" s="5">
        <v>39064</v>
      </c>
      <c r="G3312" s="5">
        <v>42719</v>
      </c>
      <c r="H3312" s="16">
        <f t="shared" si="320"/>
        <v>3655</v>
      </c>
      <c r="I3312" s="5">
        <v>42719</v>
      </c>
      <c r="J3312" s="5">
        <v>39981</v>
      </c>
      <c r="K3312" s="16">
        <f t="shared" si="321"/>
        <v>917</v>
      </c>
      <c r="L3312" s="13">
        <v>58027</v>
      </c>
      <c r="M3312" s="15">
        <f t="shared" si="318"/>
        <v>710.01256747858383</v>
      </c>
      <c r="N3312" s="13">
        <v>46399.4</v>
      </c>
      <c r="O3312" s="13">
        <v>0</v>
      </c>
      <c r="P3312" s="11">
        <f t="shared" ref="P3312:P3329" si="326">IF((G3312)&gt;(ConstantDateCutoff),1,0)</f>
        <v>1</v>
      </c>
    </row>
    <row r="3313" spans="1:16" ht="18.75" customHeight="1" thickBot="1" x14ac:dyDescent="0.3">
      <c r="A3313" s="3" t="s">
        <v>24</v>
      </c>
      <c r="B3313" s="4">
        <v>980999</v>
      </c>
      <c r="C3313" s="3" t="s">
        <v>5</v>
      </c>
      <c r="D3313" s="18">
        <v>7.7499999999999999E-2</v>
      </c>
      <c r="E3313" s="21">
        <f t="shared" si="325"/>
        <v>6.2396814612857288E-3</v>
      </c>
      <c r="F3313" s="5">
        <v>39092</v>
      </c>
      <c r="G3313" s="5">
        <v>39483</v>
      </c>
      <c r="H3313" s="16">
        <f t="shared" si="320"/>
        <v>391</v>
      </c>
      <c r="I3313" s="5">
        <v>39818</v>
      </c>
      <c r="J3313" s="5">
        <v>40777</v>
      </c>
      <c r="K3313" s="16">
        <f t="shared" si="321"/>
        <v>1685</v>
      </c>
      <c r="L3313" s="13">
        <v>3860150</v>
      </c>
      <c r="M3313" s="15">
        <f t="shared" si="318"/>
        <v>309304.01276346867</v>
      </c>
      <c r="N3313" s="13">
        <v>1869572.74</v>
      </c>
      <c r="O3313" s="13">
        <v>0</v>
      </c>
      <c r="P3313" s="11">
        <f t="shared" si="326"/>
        <v>0</v>
      </c>
    </row>
    <row r="3314" spans="1:16" ht="18.75" customHeight="1" thickBot="1" x14ac:dyDescent="0.3">
      <c r="A3314" s="3" t="s">
        <v>24</v>
      </c>
      <c r="B3314" s="4">
        <v>385679</v>
      </c>
      <c r="C3314" s="3" t="s">
        <v>28</v>
      </c>
      <c r="D3314" s="18">
        <v>0.06</v>
      </c>
      <c r="E3314" s="21">
        <f t="shared" si="325"/>
        <v>4.8675505653430484E-3</v>
      </c>
      <c r="F3314" s="5">
        <v>39174</v>
      </c>
      <c r="G3314" s="5">
        <v>39540</v>
      </c>
      <c r="H3314" s="16">
        <f t="shared" si="320"/>
        <v>366</v>
      </c>
      <c r="I3314" s="5">
        <v>42461</v>
      </c>
      <c r="J3314" s="5">
        <v>42734</v>
      </c>
      <c r="K3314" s="16">
        <f t="shared" si="321"/>
        <v>3560</v>
      </c>
      <c r="L3314" s="13">
        <v>167200</v>
      </c>
      <c r="M3314" s="15">
        <f t="shared" si="318"/>
        <v>14149.190454207595</v>
      </c>
      <c r="N3314" s="13">
        <v>106566.34</v>
      </c>
      <c r="O3314" s="13">
        <v>715.28</v>
      </c>
      <c r="P3314" s="11">
        <f t="shared" si="326"/>
        <v>0</v>
      </c>
    </row>
    <row r="3315" spans="1:16" ht="18.75" customHeight="1" thickBot="1" x14ac:dyDescent="0.3">
      <c r="A3315" s="3" t="s">
        <v>24</v>
      </c>
      <c r="B3315" s="4">
        <v>690236</v>
      </c>
      <c r="C3315" s="3" t="s">
        <v>5</v>
      </c>
      <c r="D3315" s="18">
        <v>6.25E-2</v>
      </c>
      <c r="E3315" s="21">
        <f t="shared" si="325"/>
        <v>5.0648349497708356E-3</v>
      </c>
      <c r="F3315" s="5">
        <v>39192</v>
      </c>
      <c r="G3315" s="5">
        <v>39479</v>
      </c>
      <c r="H3315" s="16">
        <f t="shared" si="320"/>
        <v>287</v>
      </c>
      <c r="I3315" s="5">
        <v>40198</v>
      </c>
      <c r="J3315" s="5">
        <v>40393</v>
      </c>
      <c r="K3315" s="16">
        <f t="shared" si="321"/>
        <v>1201</v>
      </c>
      <c r="L3315" s="13">
        <v>362461</v>
      </c>
      <c r="M3315" s="15">
        <f t="shared" si="318"/>
        <v>38909.072808473844</v>
      </c>
      <c r="N3315" s="13">
        <v>362460.99</v>
      </c>
      <c r="O3315" s="13">
        <v>0</v>
      </c>
      <c r="P3315" s="11">
        <f t="shared" si="326"/>
        <v>0</v>
      </c>
    </row>
    <row r="3316" spans="1:16" ht="18.75" customHeight="1" thickBot="1" x14ac:dyDescent="0.3">
      <c r="A3316" s="3" t="s">
        <v>24</v>
      </c>
      <c r="B3316" s="4">
        <v>106989</v>
      </c>
      <c r="C3316" s="3" t="s">
        <v>5</v>
      </c>
      <c r="D3316" s="18">
        <v>8.7499999999999994E-2</v>
      </c>
      <c r="E3316" s="21">
        <f t="shared" si="325"/>
        <v>7.0146116041400752E-3</v>
      </c>
      <c r="F3316" s="5">
        <v>39205</v>
      </c>
      <c r="G3316" s="5">
        <v>39571</v>
      </c>
      <c r="H3316" s="16">
        <f t="shared" si="320"/>
        <v>366</v>
      </c>
      <c r="I3316" s="5">
        <v>40124</v>
      </c>
      <c r="J3316" s="5">
        <v>40436</v>
      </c>
      <c r="K3316" s="16">
        <f t="shared" si="321"/>
        <v>1231</v>
      </c>
      <c r="L3316" s="13">
        <v>240000</v>
      </c>
      <c r="M3316" s="15">
        <f t="shared" si="318"/>
        <v>20594.762940562359</v>
      </c>
      <c r="N3316" s="13">
        <v>121035.33</v>
      </c>
      <c r="O3316" s="13">
        <v>0</v>
      </c>
      <c r="P3316" s="11">
        <f t="shared" si="326"/>
        <v>0</v>
      </c>
    </row>
    <row r="3317" spans="1:16" ht="18.75" customHeight="1" thickBot="1" x14ac:dyDescent="0.3">
      <c r="A3317" s="3" t="s">
        <v>24</v>
      </c>
      <c r="B3317" s="4">
        <v>121828</v>
      </c>
      <c r="C3317" s="3" t="s">
        <v>5</v>
      </c>
      <c r="D3317" s="18">
        <v>7.7499999999999999E-2</v>
      </c>
      <c r="E3317" s="21">
        <f t="shared" si="325"/>
        <v>6.2396814612857288E-3</v>
      </c>
      <c r="F3317" s="5">
        <v>39199</v>
      </c>
      <c r="G3317" s="5">
        <v>39483</v>
      </c>
      <c r="H3317" s="16">
        <f t="shared" si="320"/>
        <v>284</v>
      </c>
      <c r="I3317" s="5">
        <v>39818</v>
      </c>
      <c r="J3317" s="5">
        <v>40982</v>
      </c>
      <c r="K3317" s="16">
        <f t="shared" si="321"/>
        <v>1783</v>
      </c>
      <c r="L3317" s="13">
        <v>339376.38</v>
      </c>
      <c r="M3317" s="15">
        <f t="shared" si="318"/>
        <v>37030.537727792122</v>
      </c>
      <c r="N3317" s="13">
        <v>213750</v>
      </c>
      <c r="O3317" s="13">
        <v>0</v>
      </c>
      <c r="P3317" s="11">
        <f t="shared" si="326"/>
        <v>0</v>
      </c>
    </row>
    <row r="3318" spans="1:16" ht="18.75" customHeight="1" thickBot="1" x14ac:dyDescent="0.3">
      <c r="A3318" s="3" t="s">
        <v>24</v>
      </c>
      <c r="B3318" s="4">
        <v>112966</v>
      </c>
      <c r="C3318" s="3" t="s">
        <v>17</v>
      </c>
      <c r="D3318" s="18">
        <v>7.7499999999999999E-2</v>
      </c>
      <c r="E3318" s="21">
        <f t="shared" si="325"/>
        <v>6.2396814612857288E-3</v>
      </c>
      <c r="F3318" s="5">
        <v>39232</v>
      </c>
      <c r="G3318" s="5">
        <v>39598</v>
      </c>
      <c r="H3318" s="16">
        <f t="shared" si="320"/>
        <v>366</v>
      </c>
      <c r="I3318" s="5">
        <v>39963</v>
      </c>
      <c r="J3318" s="5">
        <v>40176</v>
      </c>
      <c r="K3318" s="16">
        <f t="shared" si="321"/>
        <v>944</v>
      </c>
      <c r="L3318" s="13">
        <v>20470</v>
      </c>
      <c r="M3318" s="15">
        <f t="shared" si="318"/>
        <v>1747.768908163978</v>
      </c>
      <c r="N3318" s="13">
        <v>14000</v>
      </c>
      <c r="O3318" s="13">
        <v>8101.79</v>
      </c>
      <c r="P3318" s="11">
        <f t="shared" si="326"/>
        <v>0</v>
      </c>
    </row>
    <row r="3319" spans="1:16" ht="18.75" customHeight="1" thickBot="1" x14ac:dyDescent="0.3">
      <c r="A3319" s="3" t="s">
        <v>24</v>
      </c>
      <c r="B3319" s="4">
        <v>310218</v>
      </c>
      <c r="C3319" s="3" t="s">
        <v>5</v>
      </c>
      <c r="D3319" s="18">
        <v>8.3000000000000004E-2</v>
      </c>
      <c r="E3319" s="21">
        <f t="shared" si="325"/>
        <v>6.6667048692337083E-3</v>
      </c>
      <c r="F3319" s="5">
        <v>39303</v>
      </c>
      <c r="G3319" s="5">
        <v>39425</v>
      </c>
      <c r="H3319" s="16">
        <f t="shared" si="320"/>
        <v>122</v>
      </c>
      <c r="I3319" s="5">
        <v>42064</v>
      </c>
      <c r="J3319" s="5">
        <v>40347</v>
      </c>
      <c r="K3319" s="16">
        <f t="shared" si="321"/>
        <v>1044</v>
      </c>
      <c r="L3319" s="13">
        <v>250800</v>
      </c>
      <c r="M3319" s="15">
        <f t="shared" si="318"/>
        <v>62717.248169753635</v>
      </c>
      <c r="N3319" s="13">
        <v>250800</v>
      </c>
      <c r="O3319" s="13">
        <v>35550</v>
      </c>
      <c r="P3319" s="11">
        <f t="shared" si="326"/>
        <v>0</v>
      </c>
    </row>
    <row r="3320" spans="1:16" ht="18.75" customHeight="1" thickBot="1" x14ac:dyDescent="0.3">
      <c r="A3320" s="3" t="s">
        <v>24</v>
      </c>
      <c r="B3320" s="4">
        <v>307109</v>
      </c>
      <c r="C3320" s="3" t="s">
        <v>5</v>
      </c>
      <c r="D3320" s="18">
        <v>6.25E-2</v>
      </c>
      <c r="E3320" s="21">
        <f t="shared" si="325"/>
        <v>5.0648349497708356E-3</v>
      </c>
      <c r="F3320" s="5">
        <v>39358</v>
      </c>
      <c r="G3320" s="5">
        <v>39479</v>
      </c>
      <c r="H3320" s="16">
        <f t="shared" si="320"/>
        <v>121</v>
      </c>
      <c r="I3320" s="5">
        <v>40198</v>
      </c>
      <c r="J3320" s="5">
        <v>40171</v>
      </c>
      <c r="K3320" s="16">
        <f t="shared" si="321"/>
        <v>813</v>
      </c>
      <c r="L3320" s="13">
        <v>43700</v>
      </c>
      <c r="M3320" s="15">
        <f t="shared" si="318"/>
        <v>10973.168127798534</v>
      </c>
      <c r="N3320" s="13">
        <v>43317.53</v>
      </c>
      <c r="O3320" s="13">
        <v>3551.27</v>
      </c>
      <c r="P3320" s="11">
        <f t="shared" si="326"/>
        <v>0</v>
      </c>
    </row>
    <row r="3321" spans="1:16" ht="18.75" customHeight="1" thickBot="1" x14ac:dyDescent="0.3">
      <c r="A3321" s="3" t="s">
        <v>24</v>
      </c>
      <c r="B3321" s="4">
        <v>799639</v>
      </c>
      <c r="C3321" s="3" t="s">
        <v>7</v>
      </c>
      <c r="D3321" s="18">
        <v>8.8800000000000004E-2</v>
      </c>
      <c r="E3321" s="21">
        <f t="shared" si="325"/>
        <v>7.114872315682641E-3</v>
      </c>
      <c r="F3321" s="5">
        <v>39415</v>
      </c>
      <c r="G3321" s="5">
        <v>44910</v>
      </c>
      <c r="H3321" s="16">
        <f t="shared" si="320"/>
        <v>5495</v>
      </c>
      <c r="I3321" s="5">
        <v>44910</v>
      </c>
      <c r="J3321" s="5">
        <v>40176</v>
      </c>
      <c r="K3321" s="16">
        <f t="shared" si="321"/>
        <v>761</v>
      </c>
      <c r="L3321" s="13">
        <v>108483</v>
      </c>
      <c r="M3321" s="15">
        <f t="shared" si="318"/>
        <v>1061.5583737774421</v>
      </c>
      <c r="N3321" s="13">
        <v>80000</v>
      </c>
      <c r="O3321" s="13">
        <v>0</v>
      </c>
      <c r="P3321" s="11">
        <f t="shared" si="326"/>
        <v>1</v>
      </c>
    </row>
    <row r="3322" spans="1:16" ht="18.75" customHeight="1" thickBot="1" x14ac:dyDescent="0.3">
      <c r="A3322" s="3" t="s">
        <v>24</v>
      </c>
      <c r="B3322" s="4">
        <v>723409</v>
      </c>
      <c r="C3322" s="3" t="s">
        <v>5</v>
      </c>
      <c r="D3322" s="18">
        <v>8.7499999999999994E-2</v>
      </c>
      <c r="E3322" s="21">
        <f t="shared" si="325"/>
        <v>7.0146116041400752E-3</v>
      </c>
      <c r="F3322" s="5">
        <v>39419</v>
      </c>
      <c r="G3322" s="5">
        <v>39785</v>
      </c>
      <c r="H3322" s="16">
        <f t="shared" si="320"/>
        <v>366</v>
      </c>
      <c r="I3322" s="5">
        <v>40124</v>
      </c>
      <c r="J3322" s="5">
        <v>40436</v>
      </c>
      <c r="K3322" s="16">
        <f t="shared" si="321"/>
        <v>1017</v>
      </c>
      <c r="L3322" s="13">
        <v>159065</v>
      </c>
      <c r="M3322" s="15">
        <f t="shared" si="318"/>
        <v>13649.608196418967</v>
      </c>
      <c r="N3322" s="13">
        <v>83220.67</v>
      </c>
      <c r="O3322" s="13">
        <v>0</v>
      </c>
      <c r="P3322" s="11">
        <f t="shared" si="326"/>
        <v>0</v>
      </c>
    </row>
    <row r="3323" spans="1:16" ht="18.75" customHeight="1" thickBot="1" x14ac:dyDescent="0.3">
      <c r="A3323" s="3" t="s">
        <v>24</v>
      </c>
      <c r="B3323" s="4">
        <v>642316</v>
      </c>
      <c r="C3323" s="3" t="s">
        <v>7</v>
      </c>
      <c r="D3323" s="18">
        <v>8.7499999999999994E-2</v>
      </c>
      <c r="E3323" s="21">
        <f t="shared" si="325"/>
        <v>7.0146116041400752E-3</v>
      </c>
      <c r="F3323" s="5">
        <v>39447</v>
      </c>
      <c r="G3323" s="5">
        <v>39634</v>
      </c>
      <c r="H3323" s="16">
        <f t="shared" si="320"/>
        <v>187</v>
      </c>
      <c r="I3323" s="5">
        <v>40108</v>
      </c>
      <c r="J3323" s="5">
        <v>40669</v>
      </c>
      <c r="K3323" s="16">
        <f t="shared" si="321"/>
        <v>1222</v>
      </c>
      <c r="L3323" s="13">
        <v>742713</v>
      </c>
      <c r="M3323" s="15">
        <f t="shared" si="318"/>
        <v>122193.0710380806</v>
      </c>
      <c r="N3323" s="13">
        <v>332246.68</v>
      </c>
      <c r="O3323" s="13">
        <v>343867.97</v>
      </c>
      <c r="P3323" s="11">
        <f t="shared" si="326"/>
        <v>0</v>
      </c>
    </row>
    <row r="3324" spans="1:16" ht="18.75" customHeight="1" thickBot="1" x14ac:dyDescent="0.3">
      <c r="A3324" s="3" t="s">
        <v>24</v>
      </c>
      <c r="B3324" s="4">
        <v>744719</v>
      </c>
      <c r="C3324" s="3" t="s">
        <v>29</v>
      </c>
      <c r="D3324" s="18">
        <v>8.5699999999999998E-2</v>
      </c>
      <c r="E3324" s="21">
        <f t="shared" si="325"/>
        <v>6.8756075541336337E-3</v>
      </c>
      <c r="F3324" s="5">
        <v>39491</v>
      </c>
      <c r="G3324" s="5">
        <v>39644</v>
      </c>
      <c r="H3324" s="16">
        <f t="shared" si="320"/>
        <v>153</v>
      </c>
      <c r="I3324" s="5">
        <v>46858</v>
      </c>
      <c r="J3324" s="5">
        <v>40631</v>
      </c>
      <c r="K3324" s="16">
        <f t="shared" si="321"/>
        <v>1140</v>
      </c>
      <c r="L3324" s="13">
        <v>245700</v>
      </c>
      <c r="M3324" s="15">
        <f t="shared" si="318"/>
        <v>49191.490561084589</v>
      </c>
      <c r="N3324" s="13">
        <v>132562.84</v>
      </c>
      <c r="O3324" s="13">
        <v>625</v>
      </c>
      <c r="P3324" s="11">
        <f t="shared" si="326"/>
        <v>0</v>
      </c>
    </row>
    <row r="3325" spans="1:16" ht="18.75" customHeight="1" thickBot="1" x14ac:dyDescent="0.3">
      <c r="A3325" s="3" t="s">
        <v>24</v>
      </c>
      <c r="B3325" s="4">
        <v>420319</v>
      </c>
      <c r="C3325" s="3" t="s">
        <v>28</v>
      </c>
      <c r="D3325" s="18">
        <v>9.5000000000000001E-2</v>
      </c>
      <c r="E3325" s="21">
        <f t="shared" si="325"/>
        <v>7.5915342905825689E-3</v>
      </c>
      <c r="F3325" s="5">
        <v>39573</v>
      </c>
      <c r="G3325" s="5">
        <v>39938</v>
      </c>
      <c r="H3325" s="16">
        <f t="shared" si="320"/>
        <v>365</v>
      </c>
      <c r="I3325" s="5">
        <v>40451</v>
      </c>
      <c r="J3325" s="5">
        <v>40623</v>
      </c>
      <c r="K3325" s="16">
        <f t="shared" si="321"/>
        <v>1050</v>
      </c>
      <c r="L3325" s="13">
        <v>178445</v>
      </c>
      <c r="M3325" s="15">
        <f t="shared" si="318"/>
        <v>15410.035272708408</v>
      </c>
      <c r="N3325" s="13">
        <v>96867.36</v>
      </c>
      <c r="O3325" s="13">
        <v>35080.660000000003</v>
      </c>
      <c r="P3325" s="11">
        <f t="shared" si="326"/>
        <v>0</v>
      </c>
    </row>
    <row r="3326" spans="1:16" ht="18.75" customHeight="1" thickBot="1" x14ac:dyDescent="0.3">
      <c r="A3326" s="3" t="s">
        <v>24</v>
      </c>
      <c r="B3326" s="4">
        <v>757655</v>
      </c>
      <c r="C3326" s="3" t="s">
        <v>5</v>
      </c>
      <c r="D3326" s="18">
        <v>8.7499999999999994E-2</v>
      </c>
      <c r="E3326" s="21">
        <f t="shared" si="325"/>
        <v>7.0146116041400752E-3</v>
      </c>
      <c r="F3326" s="5">
        <v>39597</v>
      </c>
      <c r="G3326" s="5">
        <v>39965</v>
      </c>
      <c r="H3326" s="16">
        <f t="shared" si="320"/>
        <v>368</v>
      </c>
      <c r="I3326" s="5">
        <v>39965</v>
      </c>
      <c r="J3326" s="5">
        <v>40171</v>
      </c>
      <c r="K3326" s="16">
        <f t="shared" si="321"/>
        <v>574</v>
      </c>
      <c r="L3326" s="13">
        <v>91788</v>
      </c>
      <c r="M3326" s="15">
        <f t="shared" si="318"/>
        <v>7835.4596712356642</v>
      </c>
      <c r="N3326" s="13">
        <v>46788</v>
      </c>
      <c r="O3326" s="13">
        <v>0</v>
      </c>
      <c r="P3326" s="11">
        <f t="shared" si="326"/>
        <v>0</v>
      </c>
    </row>
    <row r="3327" spans="1:16" ht="18.75" customHeight="1" thickBot="1" x14ac:dyDescent="0.3">
      <c r="A3327" s="3" t="s">
        <v>24</v>
      </c>
      <c r="B3327" s="4">
        <v>758463</v>
      </c>
      <c r="C3327" s="3" t="s">
        <v>17</v>
      </c>
      <c r="D3327" s="18">
        <v>0.1</v>
      </c>
      <c r="E3327" s="21">
        <f t="shared" si="325"/>
        <v>7.9741404289037643E-3</v>
      </c>
      <c r="F3327" s="5">
        <v>39784</v>
      </c>
      <c r="G3327" s="5">
        <v>44301</v>
      </c>
      <c r="H3327" s="16">
        <f t="shared" si="320"/>
        <v>4517</v>
      </c>
      <c r="I3327" s="5">
        <v>41456</v>
      </c>
      <c r="J3327" s="5">
        <v>40361</v>
      </c>
      <c r="K3327" s="16">
        <f t="shared" si="321"/>
        <v>577</v>
      </c>
      <c r="L3327" s="13">
        <v>165957</v>
      </c>
      <c r="M3327" s="15">
        <f t="shared" si="318"/>
        <v>1897.1288325141684</v>
      </c>
      <c r="N3327" s="13">
        <v>95702.31</v>
      </c>
      <c r="O3327" s="13">
        <v>1782.16</v>
      </c>
      <c r="P3327" s="11">
        <f t="shared" si="326"/>
        <v>1</v>
      </c>
    </row>
    <row r="3328" spans="1:16" ht="18.75" customHeight="1" thickBot="1" x14ac:dyDescent="0.3">
      <c r="A3328" s="3" t="s">
        <v>24</v>
      </c>
      <c r="B3328" s="4">
        <v>856503</v>
      </c>
      <c r="C3328" s="3" t="s">
        <v>7</v>
      </c>
      <c r="D3328" s="18">
        <v>0.11</v>
      </c>
      <c r="E3328" s="21">
        <f t="shared" si="325"/>
        <v>8.7345938235519061E-3</v>
      </c>
      <c r="F3328" s="5">
        <v>39923</v>
      </c>
      <c r="G3328" s="5">
        <v>40106</v>
      </c>
      <c r="H3328" s="16">
        <f t="shared" si="320"/>
        <v>183</v>
      </c>
      <c r="I3328" s="5">
        <v>40106</v>
      </c>
      <c r="J3328" s="5">
        <v>40233</v>
      </c>
      <c r="K3328" s="16">
        <f t="shared" si="321"/>
        <v>310</v>
      </c>
      <c r="L3328" s="13">
        <v>76147.13</v>
      </c>
      <c r="M3328" s="15">
        <f t="shared" si="318"/>
        <v>12873.071936066508</v>
      </c>
      <c r="N3328" s="13">
        <v>50000</v>
      </c>
      <c r="O3328" s="13">
        <v>0</v>
      </c>
      <c r="P3328" s="11">
        <f t="shared" si="326"/>
        <v>0</v>
      </c>
    </row>
    <row r="3329" spans="1:16" ht="18.75" customHeight="1" thickBot="1" x14ac:dyDescent="0.3">
      <c r="A3329" s="3" t="s">
        <v>24</v>
      </c>
      <c r="B3329" s="4">
        <v>34207</v>
      </c>
      <c r="C3329" s="3" t="s">
        <v>17</v>
      </c>
      <c r="D3329" s="18">
        <v>0.1055</v>
      </c>
      <c r="E3329" s="21">
        <f t="shared" si="325"/>
        <v>8.3931702421828902E-3</v>
      </c>
      <c r="F3329" s="5">
        <v>39924</v>
      </c>
      <c r="G3329" s="5">
        <v>40107</v>
      </c>
      <c r="H3329" s="16">
        <f t="shared" si="320"/>
        <v>183</v>
      </c>
      <c r="I3329" s="5">
        <v>41414</v>
      </c>
      <c r="J3329" s="5">
        <v>40995</v>
      </c>
      <c r="K3329" s="16">
        <f t="shared" si="321"/>
        <v>1071</v>
      </c>
      <c r="L3329" s="13">
        <v>67779</v>
      </c>
      <c r="M3329" s="15">
        <f t="shared" si="318"/>
        <v>11444.733338422106</v>
      </c>
      <c r="N3329" s="13">
        <v>52733.83</v>
      </c>
      <c r="O3329" s="13">
        <v>12096.92</v>
      </c>
      <c r="P3329" s="11">
        <f t="shared" si="326"/>
        <v>0</v>
      </c>
    </row>
    <row r="3330" spans="1:16" ht="18.75" hidden="1" customHeight="1" thickBot="1" x14ac:dyDescent="0.3">
      <c r="A3330" s="3" t="s">
        <v>24</v>
      </c>
      <c r="B3330" s="4">
        <v>552352</v>
      </c>
      <c r="C3330" s="3" t="s">
        <v>18</v>
      </c>
      <c r="D3330" s="7">
        <v>0.1</v>
      </c>
      <c r="E3330" s="7">
        <f t="shared" si="319"/>
        <v>8.3333333333333332E-3</v>
      </c>
      <c r="F3330" s="5">
        <v>40218</v>
      </c>
      <c r="G3330" s="5">
        <v>47553</v>
      </c>
      <c r="H3330" s="8">
        <f t="shared" si="320"/>
        <v>7335</v>
      </c>
      <c r="I3330" s="5">
        <v>47553</v>
      </c>
      <c r="J3330" s="5">
        <v>41085</v>
      </c>
      <c r="K3330" s="8">
        <f t="shared" si="321"/>
        <v>867</v>
      </c>
      <c r="L3330" s="6">
        <v>475000</v>
      </c>
      <c r="M3330" s="9">
        <f t="shared" ref="M3330:M3393" si="327">-PMT(E3330,(H3330/30),L3330)</f>
        <v>4557.453379435774</v>
      </c>
      <c r="N3330" s="6">
        <v>454212.98</v>
      </c>
      <c r="O3330" s="6">
        <v>129.07</v>
      </c>
    </row>
    <row r="3331" spans="1:16" ht="18.75" hidden="1" customHeight="1" thickBot="1" x14ac:dyDescent="0.3">
      <c r="A3331" s="3" t="s">
        <v>24</v>
      </c>
      <c r="B3331" s="4">
        <v>772648</v>
      </c>
      <c r="C3331" s="3" t="s">
        <v>26</v>
      </c>
      <c r="D3331" s="7">
        <v>0</v>
      </c>
      <c r="E3331" s="7">
        <f t="shared" ref="E3331:E3394" si="328">D3331/12</f>
        <v>0</v>
      </c>
      <c r="F3331" s="5">
        <v>40627</v>
      </c>
      <c r="G3331" s="5">
        <v>46692</v>
      </c>
      <c r="H3331" s="8">
        <f t="shared" ref="H3331:H3394" si="329">G3331-F3331</f>
        <v>6065</v>
      </c>
      <c r="I3331" s="5">
        <v>44501</v>
      </c>
      <c r="J3331" s="5">
        <v>40627</v>
      </c>
      <c r="K3331" s="8">
        <f t="shared" ref="K3331:K3394" si="330">J3331-F3331</f>
        <v>0</v>
      </c>
      <c r="L3331" s="6">
        <v>10000</v>
      </c>
      <c r="M3331" s="9">
        <f t="shared" si="327"/>
        <v>49.464138499587804</v>
      </c>
      <c r="N3331" s="6">
        <v>10000</v>
      </c>
      <c r="O3331" s="6">
        <v>5200</v>
      </c>
    </row>
    <row r="3332" spans="1:16" ht="18.75" hidden="1" customHeight="1" thickBot="1" x14ac:dyDescent="0.3">
      <c r="A3332" s="3" t="s">
        <v>24</v>
      </c>
      <c r="B3332" s="4">
        <v>174783</v>
      </c>
      <c r="C3332" s="3" t="s">
        <v>7</v>
      </c>
      <c r="D3332" s="18">
        <v>0</v>
      </c>
      <c r="E3332" s="21">
        <f>(1+D3332)^(1/12)-1</f>
        <v>0</v>
      </c>
      <c r="F3332" s="5">
        <v>40984</v>
      </c>
      <c r="G3332" s="5">
        <v>42051</v>
      </c>
      <c r="H3332" s="16">
        <f t="shared" si="329"/>
        <v>1067</v>
      </c>
      <c r="I3332" s="5">
        <v>45367</v>
      </c>
      <c r="J3332" s="5">
        <v>40987</v>
      </c>
      <c r="K3332" s="16">
        <f t="shared" si="330"/>
        <v>3</v>
      </c>
      <c r="L3332" s="13">
        <v>143520.44</v>
      </c>
      <c r="M3332" s="15">
        <f t="shared" si="327"/>
        <v>4035.2513589503278</v>
      </c>
      <c r="N3332" s="13">
        <v>143520.44</v>
      </c>
      <c r="O3332" s="13">
        <v>143520.44</v>
      </c>
      <c r="P3332" s="11">
        <f>IF((G3332)&gt;(ConstantDateCutoff),1,0)</f>
        <v>1</v>
      </c>
    </row>
    <row r="3333" spans="1:16" ht="18.75" hidden="1" customHeight="1" thickBot="1" x14ac:dyDescent="0.3">
      <c r="A3333" s="3" t="s">
        <v>24</v>
      </c>
      <c r="B3333" s="4">
        <v>546265</v>
      </c>
      <c r="C3333" s="3" t="s">
        <v>30</v>
      </c>
      <c r="D3333" s="7">
        <v>3.7499999999999999E-2</v>
      </c>
      <c r="E3333" s="7">
        <f t="shared" si="328"/>
        <v>3.1249999999999997E-3</v>
      </c>
      <c r="F3333" s="5">
        <v>38776</v>
      </c>
      <c r="G3333" s="5">
        <v>2958465</v>
      </c>
      <c r="H3333" s="8">
        <f t="shared" si="329"/>
        <v>2919689</v>
      </c>
      <c r="I3333" s="5">
        <v>42429</v>
      </c>
      <c r="J3333" s="5">
        <v>40532</v>
      </c>
      <c r="K3333" s="8">
        <f t="shared" si="330"/>
        <v>1756</v>
      </c>
      <c r="L3333" s="6">
        <v>21250</v>
      </c>
      <c r="M3333" s="9">
        <f t="shared" si="327"/>
        <v>66.40625</v>
      </c>
      <c r="N3333" s="6">
        <v>21162.880000000001</v>
      </c>
      <c r="O3333" s="6">
        <v>21162.880000000001</v>
      </c>
      <c r="P3333" s="11">
        <f>IF((G3333)&gt;(ConstantDateCutoff),1,0)</f>
        <v>1</v>
      </c>
    </row>
    <row r="3334" spans="1:16" ht="18.75" customHeight="1" thickBot="1" x14ac:dyDescent="0.3">
      <c r="A3334" s="3" t="s">
        <v>24</v>
      </c>
      <c r="B3334" s="4">
        <v>565270</v>
      </c>
      <c r="C3334" s="3" t="s">
        <v>31</v>
      </c>
      <c r="D3334" s="18">
        <v>8.5000000000000006E-2</v>
      </c>
      <c r="E3334" s="21">
        <f t="shared" ref="E3334:E3336" si="331">(1+D3334)^(1/12)-1</f>
        <v>6.8214933659622723E-3</v>
      </c>
      <c r="F3334" s="5">
        <v>38839</v>
      </c>
      <c r="G3334" s="5">
        <v>40665</v>
      </c>
      <c r="H3334" s="16">
        <f t="shared" si="329"/>
        <v>1826</v>
      </c>
      <c r="I3334" s="5">
        <v>40665</v>
      </c>
      <c r="J3334" s="5">
        <v>41082</v>
      </c>
      <c r="K3334" s="16">
        <f t="shared" si="330"/>
        <v>2243</v>
      </c>
      <c r="L3334" s="13">
        <v>45899</v>
      </c>
      <c r="M3334" s="15">
        <f t="shared" si="327"/>
        <v>923.97569349717674</v>
      </c>
      <c r="N3334" s="13">
        <v>38092.47</v>
      </c>
      <c r="O3334" s="13">
        <v>0</v>
      </c>
      <c r="P3334" s="11">
        <f>IF((G3334)&gt;(ConstantDateCutoff),1,0)</f>
        <v>0</v>
      </c>
    </row>
    <row r="3335" spans="1:16" ht="18.75" customHeight="1" thickBot="1" x14ac:dyDescent="0.3">
      <c r="A3335" s="3" t="s">
        <v>24</v>
      </c>
      <c r="B3335" s="4">
        <v>331117</v>
      </c>
      <c r="C3335" s="3" t="s">
        <v>26</v>
      </c>
      <c r="D3335" s="18">
        <v>0.05</v>
      </c>
      <c r="E3335" s="21">
        <f t="shared" si="331"/>
        <v>4.0741237836483535E-3</v>
      </c>
      <c r="F3335" s="5">
        <v>38950</v>
      </c>
      <c r="G3335" s="5">
        <v>39223</v>
      </c>
      <c r="H3335" s="16">
        <f t="shared" si="329"/>
        <v>273</v>
      </c>
      <c r="I3335" s="5">
        <v>40558</v>
      </c>
      <c r="J3335" s="5">
        <v>40781</v>
      </c>
      <c r="K3335" s="16">
        <f t="shared" si="330"/>
        <v>1831</v>
      </c>
      <c r="L3335" s="13">
        <v>403000</v>
      </c>
      <c r="M3335" s="15">
        <f t="shared" si="327"/>
        <v>45201.864051620396</v>
      </c>
      <c r="N3335" s="13">
        <v>356385.35</v>
      </c>
      <c r="O3335" s="13">
        <v>0</v>
      </c>
      <c r="P3335" s="11">
        <f>IF((G3335)&gt;(ConstantDateCutoff),1,0)</f>
        <v>0</v>
      </c>
    </row>
    <row r="3336" spans="1:16" ht="18.75" customHeight="1" thickBot="1" x14ac:dyDescent="0.3">
      <c r="A3336" s="3" t="s">
        <v>24</v>
      </c>
      <c r="B3336" s="4">
        <v>7155</v>
      </c>
      <c r="C3336" s="3" t="s">
        <v>31</v>
      </c>
      <c r="D3336" s="18">
        <v>8.2500000000000004E-2</v>
      </c>
      <c r="E3336" s="21">
        <f t="shared" si="331"/>
        <v>6.6279668043680573E-3</v>
      </c>
      <c r="F3336" s="5">
        <v>38996</v>
      </c>
      <c r="G3336" s="5">
        <v>42663</v>
      </c>
      <c r="H3336" s="16">
        <f t="shared" si="329"/>
        <v>3667</v>
      </c>
      <c r="I3336" s="5">
        <v>42663</v>
      </c>
      <c r="J3336" s="5">
        <v>40891</v>
      </c>
      <c r="K3336" s="16">
        <f t="shared" si="330"/>
        <v>1895</v>
      </c>
      <c r="L3336" s="13">
        <v>13550</v>
      </c>
      <c r="M3336" s="15">
        <f t="shared" si="327"/>
        <v>162.10361068036701</v>
      </c>
      <c r="N3336" s="13">
        <v>8119.59</v>
      </c>
      <c r="O3336" s="13">
        <v>0</v>
      </c>
      <c r="P3336" s="11">
        <f>IF((G3336)&gt;(ConstantDateCutoff),1,0)</f>
        <v>1</v>
      </c>
    </row>
    <row r="3337" spans="1:16" ht="18.75" hidden="1" customHeight="1" thickBot="1" x14ac:dyDescent="0.3">
      <c r="A3337" s="3" t="s">
        <v>24</v>
      </c>
      <c r="B3337" s="4">
        <v>514109</v>
      </c>
      <c r="C3337" s="3" t="s">
        <v>14</v>
      </c>
      <c r="D3337" s="7">
        <v>3.7499999999999999E-2</v>
      </c>
      <c r="E3337" s="7">
        <f t="shared" si="328"/>
        <v>3.1249999999999997E-3</v>
      </c>
      <c r="F3337" s="5">
        <v>39153</v>
      </c>
      <c r="G3337" s="5">
        <v>2958465</v>
      </c>
      <c r="H3337" s="8">
        <f t="shared" si="329"/>
        <v>2919312</v>
      </c>
      <c r="I3337" s="5">
        <v>42810</v>
      </c>
      <c r="J3337" s="5">
        <v>41764</v>
      </c>
      <c r="K3337" s="8">
        <f t="shared" si="330"/>
        <v>2611</v>
      </c>
      <c r="L3337" s="6">
        <v>35000</v>
      </c>
      <c r="M3337" s="9">
        <f t="shared" si="327"/>
        <v>109.37499999999999</v>
      </c>
      <c r="N3337" s="6">
        <v>143049.84</v>
      </c>
      <c r="O3337" s="6">
        <v>16310.09</v>
      </c>
    </row>
    <row r="3338" spans="1:16" ht="18.75" customHeight="1" thickBot="1" x14ac:dyDescent="0.3">
      <c r="A3338" s="3" t="s">
        <v>24</v>
      </c>
      <c r="B3338" s="4">
        <v>449008</v>
      </c>
      <c r="C3338" s="3" t="s">
        <v>5</v>
      </c>
      <c r="D3338" s="18">
        <v>7.2999999999999995E-2</v>
      </c>
      <c r="E3338" s="21">
        <f t="shared" ref="E3338:E3355" si="332">(1+D3338)^(1/12)-1</f>
        <v>5.8888099067944122E-3</v>
      </c>
      <c r="F3338" s="5">
        <v>39192</v>
      </c>
      <c r="G3338" s="5">
        <v>39558</v>
      </c>
      <c r="H3338" s="16">
        <f t="shared" si="329"/>
        <v>366</v>
      </c>
      <c r="I3338" s="5">
        <v>39923</v>
      </c>
      <c r="J3338" s="5">
        <v>40344</v>
      </c>
      <c r="K3338" s="16">
        <f t="shared" si="330"/>
        <v>1152</v>
      </c>
      <c r="L3338" s="13">
        <v>500000</v>
      </c>
      <c r="M3338" s="15">
        <f t="shared" si="327"/>
        <v>42593.938100533087</v>
      </c>
      <c r="N3338" s="13">
        <v>333332</v>
      </c>
      <c r="O3338" s="13">
        <v>0</v>
      </c>
      <c r="P3338" s="11">
        <f t="shared" ref="P3338:P3355" si="333">IF((G3338)&gt;(ConstantDateCutoff),1,0)</f>
        <v>0</v>
      </c>
    </row>
    <row r="3339" spans="1:16" ht="18.75" customHeight="1" thickBot="1" x14ac:dyDescent="0.3">
      <c r="A3339" s="3" t="s">
        <v>24</v>
      </c>
      <c r="B3339" s="4">
        <v>340986</v>
      </c>
      <c r="C3339" s="3" t="s">
        <v>25</v>
      </c>
      <c r="D3339" s="18">
        <v>0.05</v>
      </c>
      <c r="E3339" s="21">
        <f t="shared" si="332"/>
        <v>4.0741237836483535E-3</v>
      </c>
      <c r="F3339" s="5">
        <v>39219</v>
      </c>
      <c r="G3339" s="5">
        <v>39280</v>
      </c>
      <c r="H3339" s="16">
        <f t="shared" si="329"/>
        <v>61</v>
      </c>
      <c r="I3339" s="5">
        <v>40558</v>
      </c>
      <c r="J3339" s="5">
        <v>40781</v>
      </c>
      <c r="K3339" s="16">
        <f t="shared" si="330"/>
        <v>1562</v>
      </c>
      <c r="L3339" s="13">
        <v>135990</v>
      </c>
      <c r="M3339" s="15">
        <f t="shared" si="327"/>
        <v>67293.876658638692</v>
      </c>
      <c r="N3339" s="13">
        <v>110985.01</v>
      </c>
      <c r="O3339" s="13">
        <v>0</v>
      </c>
      <c r="P3339" s="11">
        <f t="shared" si="333"/>
        <v>0</v>
      </c>
    </row>
    <row r="3340" spans="1:16" ht="18.75" customHeight="1" thickBot="1" x14ac:dyDescent="0.3">
      <c r="A3340" s="3" t="s">
        <v>24</v>
      </c>
      <c r="B3340" s="4">
        <v>949566</v>
      </c>
      <c r="C3340" s="3" t="s">
        <v>5</v>
      </c>
      <c r="D3340" s="18">
        <v>0.05</v>
      </c>
      <c r="E3340" s="21">
        <f t="shared" si="332"/>
        <v>4.0741237836483535E-3</v>
      </c>
      <c r="F3340" s="5">
        <v>39289</v>
      </c>
      <c r="G3340" s="5">
        <v>39655</v>
      </c>
      <c r="H3340" s="16">
        <f t="shared" si="329"/>
        <v>366</v>
      </c>
      <c r="I3340" s="5">
        <v>41518</v>
      </c>
      <c r="J3340" s="5">
        <v>41803</v>
      </c>
      <c r="K3340" s="16">
        <f t="shared" si="330"/>
        <v>2514</v>
      </c>
      <c r="L3340" s="13">
        <v>1600000</v>
      </c>
      <c r="M3340" s="15">
        <f t="shared" si="327"/>
        <v>134700.75887740593</v>
      </c>
      <c r="N3340" s="13">
        <v>601429.76000000001</v>
      </c>
      <c r="O3340" s="13">
        <v>496.53</v>
      </c>
      <c r="P3340" s="11">
        <f t="shared" si="333"/>
        <v>0</v>
      </c>
    </row>
    <row r="3341" spans="1:16" ht="18.75" customHeight="1" thickBot="1" x14ac:dyDescent="0.3">
      <c r="A3341" s="3" t="s">
        <v>24</v>
      </c>
      <c r="B3341" s="4">
        <v>907876</v>
      </c>
      <c r="C3341" s="3" t="s">
        <v>5</v>
      </c>
      <c r="D3341" s="18">
        <v>0.05</v>
      </c>
      <c r="E3341" s="21">
        <f t="shared" si="332"/>
        <v>4.0741237836483535E-3</v>
      </c>
      <c r="F3341" s="5">
        <v>40722</v>
      </c>
      <c r="G3341" s="5">
        <v>41085</v>
      </c>
      <c r="H3341" s="16">
        <f t="shared" si="329"/>
        <v>363</v>
      </c>
      <c r="I3341" s="5">
        <v>41085</v>
      </c>
      <c r="J3341" s="5">
        <v>40766</v>
      </c>
      <c r="K3341" s="16">
        <f t="shared" si="330"/>
        <v>44</v>
      </c>
      <c r="L3341" s="13">
        <v>566501.99</v>
      </c>
      <c r="M3341" s="15">
        <f t="shared" si="327"/>
        <v>48077.114927500661</v>
      </c>
      <c r="N3341" s="13">
        <v>566501.99</v>
      </c>
      <c r="O3341" s="13">
        <v>0</v>
      </c>
      <c r="P3341" s="11">
        <f t="shared" si="333"/>
        <v>0</v>
      </c>
    </row>
    <row r="3342" spans="1:16" ht="18.75" customHeight="1" thickBot="1" x14ac:dyDescent="0.3">
      <c r="A3342" s="3" t="s">
        <v>24</v>
      </c>
      <c r="B3342" s="4">
        <v>791130</v>
      </c>
      <c r="C3342" s="3" t="s">
        <v>7</v>
      </c>
      <c r="D3342" s="18">
        <v>8.2500000000000004E-2</v>
      </c>
      <c r="E3342" s="21">
        <f t="shared" si="332"/>
        <v>6.6279668043680573E-3</v>
      </c>
      <c r="F3342" s="5">
        <v>39575</v>
      </c>
      <c r="G3342" s="5">
        <v>43225</v>
      </c>
      <c r="H3342" s="16">
        <f t="shared" si="329"/>
        <v>3650</v>
      </c>
      <c r="I3342" s="5">
        <v>43225</v>
      </c>
      <c r="J3342" s="5">
        <v>41043</v>
      </c>
      <c r="K3342" s="16">
        <f t="shared" si="330"/>
        <v>1468</v>
      </c>
      <c r="L3342" s="13">
        <v>72342.5</v>
      </c>
      <c r="M3342" s="15">
        <f t="shared" si="327"/>
        <v>868.08060386892498</v>
      </c>
      <c r="N3342" s="13">
        <v>59515.66</v>
      </c>
      <c r="O3342" s="13">
        <v>0</v>
      </c>
      <c r="P3342" s="11">
        <f t="shared" si="333"/>
        <v>1</v>
      </c>
    </row>
    <row r="3343" spans="1:16" ht="18.75" customHeight="1" thickBot="1" x14ac:dyDescent="0.3">
      <c r="A3343" s="3" t="s">
        <v>24</v>
      </c>
      <c r="B3343" s="4">
        <v>553977</v>
      </c>
      <c r="C3343" s="3" t="s">
        <v>7</v>
      </c>
      <c r="D3343" s="18">
        <v>8.5999999999999993E-2</v>
      </c>
      <c r="E3343" s="21">
        <f t="shared" si="332"/>
        <v>6.8987895591279269E-3</v>
      </c>
      <c r="F3343" s="5">
        <v>36630</v>
      </c>
      <c r="G3343" s="5">
        <v>40283</v>
      </c>
      <c r="H3343" s="16">
        <f t="shared" si="329"/>
        <v>3653</v>
      </c>
      <c r="I3343" s="5">
        <v>40283</v>
      </c>
      <c r="J3343" s="5">
        <v>37783</v>
      </c>
      <c r="K3343" s="16">
        <f t="shared" si="330"/>
        <v>1153</v>
      </c>
      <c r="L3343" s="13">
        <v>321335</v>
      </c>
      <c r="M3343" s="15">
        <f t="shared" si="327"/>
        <v>3909.3199828148463</v>
      </c>
      <c r="N3343" s="13">
        <v>187960.95999999999</v>
      </c>
      <c r="O3343" s="13">
        <v>12223</v>
      </c>
      <c r="P3343" s="11">
        <f t="shared" si="333"/>
        <v>0</v>
      </c>
    </row>
    <row r="3344" spans="1:16" ht="18.75" customHeight="1" thickBot="1" x14ac:dyDescent="0.3">
      <c r="A3344" s="3" t="s">
        <v>24</v>
      </c>
      <c r="B3344" s="4">
        <v>340189</v>
      </c>
      <c r="C3344" s="3" t="s">
        <v>7</v>
      </c>
      <c r="D3344" s="18">
        <v>8.5000000000000006E-2</v>
      </c>
      <c r="E3344" s="21">
        <f t="shared" si="332"/>
        <v>6.8214933659622723E-3</v>
      </c>
      <c r="F3344" s="5">
        <v>36630</v>
      </c>
      <c r="G3344" s="5">
        <v>36996</v>
      </c>
      <c r="H3344" s="16">
        <f t="shared" si="329"/>
        <v>366</v>
      </c>
      <c r="I3344" s="5">
        <v>37361</v>
      </c>
      <c r="J3344" s="5">
        <v>37783</v>
      </c>
      <c r="K3344" s="16">
        <f t="shared" si="330"/>
        <v>1153</v>
      </c>
      <c r="L3344" s="13">
        <v>75000</v>
      </c>
      <c r="M3344" s="15">
        <f t="shared" si="327"/>
        <v>6427.8266038002212</v>
      </c>
      <c r="N3344" s="13">
        <v>75000</v>
      </c>
      <c r="O3344" s="13">
        <v>0</v>
      </c>
      <c r="P3344" s="11">
        <f t="shared" si="333"/>
        <v>0</v>
      </c>
    </row>
    <row r="3345" spans="1:16" ht="18.75" customHeight="1" thickBot="1" x14ac:dyDescent="0.3">
      <c r="A3345" s="3" t="s">
        <v>24</v>
      </c>
      <c r="B3345" s="4">
        <v>393013</v>
      </c>
      <c r="C3345" s="3" t="s">
        <v>7</v>
      </c>
      <c r="D3345" s="18">
        <v>8.1500000000000003E-2</v>
      </c>
      <c r="E3345" s="21">
        <f t="shared" si="332"/>
        <v>6.5504414442880687E-3</v>
      </c>
      <c r="F3345" s="5">
        <v>37851</v>
      </c>
      <c r="G3345" s="5">
        <v>43344</v>
      </c>
      <c r="H3345" s="16">
        <f t="shared" si="329"/>
        <v>5493</v>
      </c>
      <c r="I3345" s="5">
        <v>43344</v>
      </c>
      <c r="J3345" s="5">
        <v>40904</v>
      </c>
      <c r="K3345" s="16">
        <f t="shared" si="330"/>
        <v>3053</v>
      </c>
      <c r="L3345" s="13">
        <v>678396.91</v>
      </c>
      <c r="M3345" s="15">
        <f t="shared" si="327"/>
        <v>6371.5892653021483</v>
      </c>
      <c r="N3345" s="13">
        <v>498769.2</v>
      </c>
      <c r="O3345" s="13">
        <v>0</v>
      </c>
      <c r="P3345" s="11">
        <f t="shared" si="333"/>
        <v>1</v>
      </c>
    </row>
    <row r="3346" spans="1:16" ht="18.75" customHeight="1" thickBot="1" x14ac:dyDescent="0.3">
      <c r="A3346" s="3" t="s">
        <v>24</v>
      </c>
      <c r="B3346" s="4">
        <v>363451</v>
      </c>
      <c r="C3346" s="3" t="s">
        <v>8</v>
      </c>
      <c r="D3346" s="18">
        <v>5.5E-2</v>
      </c>
      <c r="E3346" s="21">
        <f t="shared" si="332"/>
        <v>4.471698917043021E-3</v>
      </c>
      <c r="F3346" s="5">
        <v>38489</v>
      </c>
      <c r="G3346" s="5">
        <v>38854</v>
      </c>
      <c r="H3346" s="16">
        <f t="shared" si="329"/>
        <v>365</v>
      </c>
      <c r="I3346" s="5">
        <v>40825</v>
      </c>
      <c r="J3346" s="5">
        <v>40448</v>
      </c>
      <c r="K3346" s="16">
        <f t="shared" si="330"/>
        <v>1959</v>
      </c>
      <c r="L3346" s="13">
        <v>72000</v>
      </c>
      <c r="M3346" s="15">
        <f t="shared" si="327"/>
        <v>6093.4672585199378</v>
      </c>
      <c r="N3346" s="13">
        <v>43200</v>
      </c>
      <c r="O3346" s="13">
        <v>0</v>
      </c>
      <c r="P3346" s="11">
        <f t="shared" si="333"/>
        <v>0</v>
      </c>
    </row>
    <row r="3347" spans="1:16" ht="18.75" customHeight="1" thickBot="1" x14ac:dyDescent="0.3">
      <c r="A3347" s="3" t="s">
        <v>24</v>
      </c>
      <c r="B3347" s="4">
        <v>710849</v>
      </c>
      <c r="C3347" s="3" t="s">
        <v>5</v>
      </c>
      <c r="D3347" s="18">
        <v>8.7499999999999994E-2</v>
      </c>
      <c r="E3347" s="21">
        <f t="shared" si="332"/>
        <v>7.0146116041400752E-3</v>
      </c>
      <c r="F3347" s="5">
        <v>38770</v>
      </c>
      <c r="G3347" s="5">
        <v>39135</v>
      </c>
      <c r="H3347" s="16">
        <f t="shared" si="329"/>
        <v>365</v>
      </c>
      <c r="I3347" s="5">
        <v>39753</v>
      </c>
      <c r="J3347" s="5">
        <v>39945</v>
      </c>
      <c r="K3347" s="16">
        <f t="shared" si="330"/>
        <v>1175</v>
      </c>
      <c r="L3347" s="13">
        <v>337460</v>
      </c>
      <c r="M3347" s="15">
        <f t="shared" si="327"/>
        <v>29033.955079970041</v>
      </c>
      <c r="N3347" s="13">
        <v>144125.99</v>
      </c>
      <c r="O3347" s="13">
        <v>0</v>
      </c>
      <c r="P3347" s="11">
        <f t="shared" si="333"/>
        <v>0</v>
      </c>
    </row>
    <row r="3348" spans="1:16" ht="18.75" customHeight="1" thickBot="1" x14ac:dyDescent="0.3">
      <c r="A3348" s="3" t="s">
        <v>24</v>
      </c>
      <c r="B3348" s="4">
        <v>619343</v>
      </c>
      <c r="C3348" s="3" t="s">
        <v>29</v>
      </c>
      <c r="D3348" s="18">
        <v>4.1200000000000001E-2</v>
      </c>
      <c r="E3348" s="21">
        <f t="shared" si="332"/>
        <v>3.3701574315379013E-3</v>
      </c>
      <c r="F3348" s="5">
        <v>38912</v>
      </c>
      <c r="G3348" s="5">
        <v>39022</v>
      </c>
      <c r="H3348" s="16">
        <f t="shared" si="329"/>
        <v>110</v>
      </c>
      <c r="I3348" s="5">
        <v>46388</v>
      </c>
      <c r="J3348" s="5">
        <v>41024</v>
      </c>
      <c r="K3348" s="16">
        <f t="shared" si="330"/>
        <v>2112</v>
      </c>
      <c r="L3348" s="13">
        <v>1540000</v>
      </c>
      <c r="M3348" s="15">
        <f t="shared" si="327"/>
        <v>423307.69297507009</v>
      </c>
      <c r="N3348" s="13">
        <v>816743.31</v>
      </c>
      <c r="O3348" s="13">
        <v>0</v>
      </c>
      <c r="P3348" s="11">
        <f t="shared" si="333"/>
        <v>0</v>
      </c>
    </row>
    <row r="3349" spans="1:16" ht="18.75" customHeight="1" thickBot="1" x14ac:dyDescent="0.3">
      <c r="A3349" s="3" t="s">
        <v>24</v>
      </c>
      <c r="B3349" s="4">
        <v>265500</v>
      </c>
      <c r="C3349" s="3" t="s">
        <v>27</v>
      </c>
      <c r="D3349" s="18">
        <v>8.5000000000000006E-2</v>
      </c>
      <c r="E3349" s="21">
        <f t="shared" si="332"/>
        <v>6.8214933659622723E-3</v>
      </c>
      <c r="F3349" s="5">
        <v>38987</v>
      </c>
      <c r="G3349" s="5">
        <v>39265</v>
      </c>
      <c r="H3349" s="16">
        <f t="shared" si="329"/>
        <v>278</v>
      </c>
      <c r="I3349" s="5">
        <v>39935</v>
      </c>
      <c r="J3349" s="5">
        <v>39797</v>
      </c>
      <c r="K3349" s="16">
        <f t="shared" si="330"/>
        <v>810</v>
      </c>
      <c r="L3349" s="13">
        <v>300000</v>
      </c>
      <c r="M3349" s="15">
        <f t="shared" si="327"/>
        <v>33518.362248994628</v>
      </c>
      <c r="N3349" s="13">
        <v>236662.69</v>
      </c>
      <c r="O3349" s="13">
        <v>6800</v>
      </c>
      <c r="P3349" s="11">
        <f t="shared" si="333"/>
        <v>0</v>
      </c>
    </row>
    <row r="3350" spans="1:16" ht="18.75" customHeight="1" thickBot="1" x14ac:dyDescent="0.3">
      <c r="A3350" s="3" t="s">
        <v>24</v>
      </c>
      <c r="B3350" s="4">
        <v>951167</v>
      </c>
      <c r="C3350" s="3" t="s">
        <v>5</v>
      </c>
      <c r="D3350" s="18">
        <v>8.2500000000000004E-2</v>
      </c>
      <c r="E3350" s="21">
        <f t="shared" si="332"/>
        <v>6.6279668043680573E-3</v>
      </c>
      <c r="F3350" s="5">
        <v>39112</v>
      </c>
      <c r="G3350" s="5">
        <v>39480</v>
      </c>
      <c r="H3350" s="16">
        <f t="shared" si="329"/>
        <v>368</v>
      </c>
      <c r="I3350" s="5">
        <v>39754</v>
      </c>
      <c r="J3350" s="5">
        <v>39926</v>
      </c>
      <c r="K3350" s="16">
        <f t="shared" si="330"/>
        <v>814</v>
      </c>
      <c r="L3350" s="13">
        <v>90373</v>
      </c>
      <c r="M3350" s="15">
        <f t="shared" si="327"/>
        <v>7695.2916654352221</v>
      </c>
      <c r="N3350" s="13">
        <v>43404.62</v>
      </c>
      <c r="O3350" s="13">
        <v>0</v>
      </c>
      <c r="P3350" s="11">
        <f t="shared" si="333"/>
        <v>0</v>
      </c>
    </row>
    <row r="3351" spans="1:16" ht="18.75" customHeight="1" thickBot="1" x14ac:dyDescent="0.3">
      <c r="A3351" s="3" t="s">
        <v>24</v>
      </c>
      <c r="B3351" s="4">
        <v>957848</v>
      </c>
      <c r="C3351" s="3" t="s">
        <v>28</v>
      </c>
      <c r="D3351" s="18">
        <v>0.1075</v>
      </c>
      <c r="E3351" s="21">
        <f t="shared" si="332"/>
        <v>8.5450710394860963E-3</v>
      </c>
      <c r="F3351" s="5">
        <v>39517</v>
      </c>
      <c r="G3351" s="5">
        <v>39731</v>
      </c>
      <c r="H3351" s="16">
        <f t="shared" si="329"/>
        <v>214</v>
      </c>
      <c r="I3351" s="5">
        <v>40339</v>
      </c>
      <c r="J3351" s="5">
        <v>40631</v>
      </c>
      <c r="K3351" s="16">
        <f t="shared" si="330"/>
        <v>1114</v>
      </c>
      <c r="L3351" s="13">
        <v>100500</v>
      </c>
      <c r="M3351" s="15">
        <f t="shared" si="327"/>
        <v>14582.62776945244</v>
      </c>
      <c r="N3351" s="13">
        <v>100500</v>
      </c>
      <c r="O3351" s="13">
        <v>34253.019999999997</v>
      </c>
      <c r="P3351" s="11">
        <f t="shared" si="333"/>
        <v>0</v>
      </c>
    </row>
    <row r="3352" spans="1:16" ht="18.75" customHeight="1" thickBot="1" x14ac:dyDescent="0.3">
      <c r="A3352" s="3" t="s">
        <v>24</v>
      </c>
      <c r="B3352" s="4">
        <v>376712</v>
      </c>
      <c r="C3352" s="3" t="s">
        <v>5</v>
      </c>
      <c r="D3352" s="18">
        <v>0.1</v>
      </c>
      <c r="E3352" s="21">
        <f t="shared" si="332"/>
        <v>7.9741404289037643E-3</v>
      </c>
      <c r="F3352" s="5">
        <v>39541</v>
      </c>
      <c r="G3352" s="5">
        <v>39762</v>
      </c>
      <c r="H3352" s="16">
        <f t="shared" si="329"/>
        <v>221</v>
      </c>
      <c r="I3352" s="5">
        <v>39913</v>
      </c>
      <c r="J3352" s="5">
        <v>40079</v>
      </c>
      <c r="K3352" s="16">
        <f t="shared" si="330"/>
        <v>538</v>
      </c>
      <c r="L3352" s="13">
        <v>44780</v>
      </c>
      <c r="M3352" s="15">
        <f t="shared" si="327"/>
        <v>6283.2192572868698</v>
      </c>
      <c r="N3352" s="13">
        <v>36244.36</v>
      </c>
      <c r="O3352" s="13">
        <v>0</v>
      </c>
      <c r="P3352" s="11">
        <f t="shared" si="333"/>
        <v>0</v>
      </c>
    </row>
    <row r="3353" spans="1:16" ht="18.75" customHeight="1" thickBot="1" x14ac:dyDescent="0.3">
      <c r="A3353" s="3" t="s">
        <v>24</v>
      </c>
      <c r="B3353" s="4">
        <v>271476</v>
      </c>
      <c r="C3353" s="3" t="s">
        <v>23</v>
      </c>
      <c r="D3353" s="18">
        <v>0.09</v>
      </c>
      <c r="E3353" s="21">
        <f t="shared" si="332"/>
        <v>7.2073233161367156E-3</v>
      </c>
      <c r="F3353" s="5">
        <v>39639</v>
      </c>
      <c r="G3353" s="5">
        <v>39999</v>
      </c>
      <c r="H3353" s="16">
        <f t="shared" si="329"/>
        <v>360</v>
      </c>
      <c r="I3353" s="5">
        <v>41557</v>
      </c>
      <c r="J3353" s="5">
        <v>40758</v>
      </c>
      <c r="K3353" s="16">
        <f t="shared" si="330"/>
        <v>1119</v>
      </c>
      <c r="L3353" s="13">
        <v>126878</v>
      </c>
      <c r="M3353" s="15">
        <f t="shared" si="327"/>
        <v>11075.014853313583</v>
      </c>
      <c r="N3353" s="13">
        <v>87210</v>
      </c>
      <c r="O3353" s="13">
        <v>0</v>
      </c>
      <c r="P3353" s="11">
        <f t="shared" si="333"/>
        <v>0</v>
      </c>
    </row>
    <row r="3354" spans="1:16" ht="18.75" customHeight="1" thickBot="1" x14ac:dyDescent="0.3">
      <c r="A3354" s="3" t="s">
        <v>24</v>
      </c>
      <c r="B3354" s="4">
        <v>544582</v>
      </c>
      <c r="C3354" s="3" t="s">
        <v>7</v>
      </c>
      <c r="D3354" s="18">
        <v>0.10249999999999999</v>
      </c>
      <c r="E3354" s="21">
        <f t="shared" si="332"/>
        <v>8.1648460519010424E-3</v>
      </c>
      <c r="F3354" s="5">
        <v>39811</v>
      </c>
      <c r="G3354" s="5">
        <v>40167</v>
      </c>
      <c r="H3354" s="16">
        <f t="shared" si="329"/>
        <v>356</v>
      </c>
      <c r="I3354" s="5">
        <v>40816</v>
      </c>
      <c r="J3354" s="5">
        <v>40988</v>
      </c>
      <c r="K3354" s="16">
        <f t="shared" si="330"/>
        <v>1177</v>
      </c>
      <c r="L3354" s="13">
        <v>80448</v>
      </c>
      <c r="M3354" s="15">
        <f t="shared" si="327"/>
        <v>7140.6682773311395</v>
      </c>
      <c r="N3354" s="13">
        <v>53948</v>
      </c>
      <c r="O3354" s="13">
        <v>0</v>
      </c>
      <c r="P3354" s="11">
        <f t="shared" si="333"/>
        <v>0</v>
      </c>
    </row>
    <row r="3355" spans="1:16" ht="18.75" customHeight="1" thickBot="1" x14ac:dyDescent="0.3">
      <c r="A3355" s="3" t="s">
        <v>24</v>
      </c>
      <c r="B3355" s="4">
        <v>73156</v>
      </c>
      <c r="C3355" s="3" t="s">
        <v>25</v>
      </c>
      <c r="D3355" s="18">
        <v>6.7500000000000004E-2</v>
      </c>
      <c r="E3355" s="21">
        <f t="shared" si="332"/>
        <v>5.4581304569467637E-3</v>
      </c>
      <c r="F3355" s="5">
        <v>40336</v>
      </c>
      <c r="G3355" s="5">
        <v>43997</v>
      </c>
      <c r="H3355" s="16">
        <f t="shared" si="329"/>
        <v>3661</v>
      </c>
      <c r="I3355" s="5">
        <v>44336</v>
      </c>
      <c r="J3355" s="5">
        <v>41912</v>
      </c>
      <c r="K3355" s="16">
        <f t="shared" si="330"/>
        <v>1576</v>
      </c>
      <c r="L3355" s="13">
        <v>38510.5</v>
      </c>
      <c r="M3355" s="15">
        <f t="shared" si="327"/>
        <v>433.08245094283131</v>
      </c>
      <c r="N3355" s="13">
        <v>25585.58</v>
      </c>
      <c r="O3355" s="13">
        <v>0</v>
      </c>
      <c r="P3355" s="11">
        <f t="shared" si="333"/>
        <v>1</v>
      </c>
    </row>
    <row r="3356" spans="1:16" ht="18.75" hidden="1" customHeight="1" thickBot="1" x14ac:dyDescent="0.3">
      <c r="A3356" s="3" t="s">
        <v>24</v>
      </c>
      <c r="B3356" s="4">
        <v>172505</v>
      </c>
      <c r="C3356" s="3" t="s">
        <v>32</v>
      </c>
      <c r="D3356" s="7">
        <v>4.9500000000000002E-2</v>
      </c>
      <c r="E3356" s="7">
        <f t="shared" si="328"/>
        <v>4.1250000000000002E-3</v>
      </c>
      <c r="F3356" s="5">
        <v>42055</v>
      </c>
      <c r="G3356" s="5">
        <v>49310</v>
      </c>
      <c r="H3356" s="8">
        <f t="shared" si="329"/>
        <v>7255</v>
      </c>
      <c r="I3356" s="5">
        <v>49310</v>
      </c>
      <c r="J3356" s="5">
        <v>43404</v>
      </c>
      <c r="K3356" s="8">
        <f t="shared" si="330"/>
        <v>1349</v>
      </c>
      <c r="L3356" s="6">
        <v>517540</v>
      </c>
      <c r="M3356" s="9">
        <f t="shared" si="327"/>
        <v>3386.1537746991503</v>
      </c>
      <c r="N3356" s="6">
        <v>432153.23</v>
      </c>
      <c r="O3356" s="6">
        <v>0</v>
      </c>
    </row>
    <row r="3357" spans="1:16" ht="18.75" hidden="1" customHeight="1" thickBot="1" x14ac:dyDescent="0.3">
      <c r="A3357" s="3" t="s">
        <v>24</v>
      </c>
      <c r="B3357" s="4">
        <v>488680</v>
      </c>
      <c r="C3357" s="3" t="s">
        <v>33</v>
      </c>
      <c r="D3357" s="7">
        <v>8.6999999999999994E-2</v>
      </c>
      <c r="E3357" s="7">
        <f t="shared" si="328"/>
        <v>7.2499999999999995E-3</v>
      </c>
      <c r="F3357" s="5">
        <v>42128</v>
      </c>
      <c r="G3357" s="5">
        <v>49433</v>
      </c>
      <c r="H3357" s="8">
        <f t="shared" si="329"/>
        <v>7305</v>
      </c>
      <c r="I3357" s="5">
        <v>49433</v>
      </c>
      <c r="J3357" s="5">
        <v>43257</v>
      </c>
      <c r="K3357" s="8">
        <f t="shared" si="330"/>
        <v>1129</v>
      </c>
      <c r="L3357" s="6">
        <v>68000</v>
      </c>
      <c r="M3357" s="9">
        <f t="shared" si="327"/>
        <v>595.56593071741179</v>
      </c>
      <c r="N3357" s="6">
        <v>57000</v>
      </c>
      <c r="O3357" s="6">
        <v>0</v>
      </c>
    </row>
    <row r="3358" spans="1:16" ht="18.75" hidden="1" customHeight="1" thickBot="1" x14ac:dyDescent="0.3">
      <c r="A3358" s="3" t="s">
        <v>24</v>
      </c>
      <c r="B3358" s="4">
        <v>356449</v>
      </c>
      <c r="C3358" s="3" t="s">
        <v>28</v>
      </c>
      <c r="D3358" s="7">
        <v>0.08</v>
      </c>
      <c r="E3358" s="7">
        <f t="shared" si="328"/>
        <v>6.6666666666666671E-3</v>
      </c>
      <c r="F3358" s="5">
        <v>44160</v>
      </c>
      <c r="G3358" s="5">
        <v>51465</v>
      </c>
      <c r="H3358" s="8">
        <f t="shared" si="329"/>
        <v>7305</v>
      </c>
      <c r="I3358" s="5">
        <v>51465</v>
      </c>
      <c r="J3358" s="5">
        <v>44165</v>
      </c>
      <c r="K3358" s="8">
        <f t="shared" si="330"/>
        <v>5</v>
      </c>
      <c r="L3358" s="6">
        <v>27691</v>
      </c>
      <c r="M3358" s="9">
        <f t="shared" si="327"/>
        <v>230.27061171954867</v>
      </c>
      <c r="N3358" s="6">
        <v>27691</v>
      </c>
      <c r="O3358" s="6">
        <v>6403.98</v>
      </c>
    </row>
    <row r="3359" spans="1:16" ht="18.75" hidden="1" customHeight="1" thickBot="1" x14ac:dyDescent="0.3">
      <c r="A3359" s="3" t="s">
        <v>24</v>
      </c>
      <c r="B3359" s="4">
        <v>199686</v>
      </c>
      <c r="C3359" s="3" t="s">
        <v>14</v>
      </c>
      <c r="D3359" s="7">
        <v>6.7500000000000004E-2</v>
      </c>
      <c r="E3359" s="7">
        <f t="shared" si="328"/>
        <v>5.6250000000000007E-3</v>
      </c>
      <c r="F3359" s="5">
        <v>39864</v>
      </c>
      <c r="G3359" s="5">
        <v>2958465</v>
      </c>
      <c r="H3359" s="8">
        <f t="shared" si="329"/>
        <v>2918601</v>
      </c>
      <c r="I3359" s="5">
        <v>43509</v>
      </c>
      <c r="J3359" s="5">
        <v>40668</v>
      </c>
      <c r="K3359" s="8">
        <f t="shared" si="330"/>
        <v>804</v>
      </c>
      <c r="L3359" s="6">
        <v>25000</v>
      </c>
      <c r="M3359" s="9">
        <f t="shared" si="327"/>
        <v>140.62500000000003</v>
      </c>
      <c r="N3359" s="6">
        <v>24995.32</v>
      </c>
      <c r="O3359" s="6">
        <v>0</v>
      </c>
    </row>
    <row r="3360" spans="1:16" ht="18.75" customHeight="1" thickBot="1" x14ac:dyDescent="0.3">
      <c r="A3360" s="3" t="s">
        <v>24</v>
      </c>
      <c r="B3360" s="4">
        <v>188000</v>
      </c>
      <c r="C3360" s="3" t="s">
        <v>5</v>
      </c>
      <c r="D3360" s="18">
        <v>8.7499999999999994E-2</v>
      </c>
      <c r="E3360" s="21">
        <f t="shared" ref="E3360:E3362" si="334">(1+D3360)^(1/12)-1</f>
        <v>7.0146116041400752E-3</v>
      </c>
      <c r="F3360" s="5">
        <v>38338</v>
      </c>
      <c r="G3360" s="5">
        <v>40894</v>
      </c>
      <c r="H3360" s="16">
        <f t="shared" si="329"/>
        <v>2556</v>
      </c>
      <c r="I3360" s="5">
        <v>39585</v>
      </c>
      <c r="J3360" s="5">
        <v>38881</v>
      </c>
      <c r="K3360" s="16">
        <f t="shared" si="330"/>
        <v>543</v>
      </c>
      <c r="L3360" s="13">
        <v>49095</v>
      </c>
      <c r="M3360" s="15">
        <f t="shared" si="327"/>
        <v>767.43370421818099</v>
      </c>
      <c r="N3360" s="13">
        <v>47430.559999999998</v>
      </c>
      <c r="O3360" s="13">
        <v>43430.57</v>
      </c>
      <c r="P3360" s="11">
        <f>IF((G3360)&gt;(ConstantDateCutoff),1,0)</f>
        <v>0</v>
      </c>
    </row>
    <row r="3361" spans="1:16" ht="18.75" customHeight="1" thickBot="1" x14ac:dyDescent="0.3">
      <c r="A3361" s="3" t="s">
        <v>24</v>
      </c>
      <c r="B3361" s="4">
        <v>929203</v>
      </c>
      <c r="C3361" s="3" t="s">
        <v>31</v>
      </c>
      <c r="D3361" s="18">
        <v>8.8599999999999998E-2</v>
      </c>
      <c r="E3361" s="21">
        <f t="shared" si="334"/>
        <v>7.0994547355973658E-3</v>
      </c>
      <c r="F3361" s="5">
        <v>39370</v>
      </c>
      <c r="G3361" s="5">
        <v>44849</v>
      </c>
      <c r="H3361" s="16">
        <f t="shared" si="329"/>
        <v>5479</v>
      </c>
      <c r="I3361" s="5">
        <v>44849</v>
      </c>
      <c r="J3361" s="5">
        <v>40835</v>
      </c>
      <c r="K3361" s="16">
        <f t="shared" si="330"/>
        <v>1465</v>
      </c>
      <c r="L3361" s="13">
        <v>146353</v>
      </c>
      <c r="M3361" s="15">
        <f t="shared" si="327"/>
        <v>1432.5795047063502</v>
      </c>
      <c r="N3361" s="13">
        <v>77700.570000000007</v>
      </c>
      <c r="O3361" s="13">
        <v>0</v>
      </c>
      <c r="P3361" s="11">
        <f>IF((G3361)&gt;(ConstantDateCutoff),1,0)</f>
        <v>1</v>
      </c>
    </row>
    <row r="3362" spans="1:16" ht="18.75" customHeight="1" thickBot="1" x14ac:dyDescent="0.3">
      <c r="A3362" s="3" t="s">
        <v>24</v>
      </c>
      <c r="B3362" s="4">
        <v>585650</v>
      </c>
      <c r="C3362" s="3" t="s">
        <v>28</v>
      </c>
      <c r="D3362" s="18">
        <v>0.115</v>
      </c>
      <c r="E3362" s="21">
        <f t="shared" si="334"/>
        <v>9.1124684369046083E-3</v>
      </c>
      <c r="F3362" s="5">
        <v>39976</v>
      </c>
      <c r="G3362" s="5">
        <v>41802</v>
      </c>
      <c r="H3362" s="16">
        <f t="shared" si="329"/>
        <v>1826</v>
      </c>
      <c r="I3362" s="5">
        <v>44091</v>
      </c>
      <c r="J3362" s="5">
        <v>41089</v>
      </c>
      <c r="K3362" s="16">
        <f t="shared" si="330"/>
        <v>1113</v>
      </c>
      <c r="L3362" s="13">
        <v>51091</v>
      </c>
      <c r="M3362" s="15">
        <f t="shared" si="327"/>
        <v>1097.30649145745</v>
      </c>
      <c r="N3362" s="13">
        <v>30600</v>
      </c>
      <c r="O3362" s="13">
        <v>2300</v>
      </c>
      <c r="P3362" s="11">
        <f>IF((G3362)&gt;(ConstantDateCutoff),1,0)</f>
        <v>0</v>
      </c>
    </row>
    <row r="3363" spans="1:16" ht="18.75" hidden="1" customHeight="1" thickBot="1" x14ac:dyDescent="0.3">
      <c r="A3363" s="3" t="s">
        <v>24</v>
      </c>
      <c r="B3363" s="4">
        <v>274715</v>
      </c>
      <c r="C3363" s="3" t="s">
        <v>32</v>
      </c>
      <c r="D3363" s="7">
        <v>7.2499999999999995E-2</v>
      </c>
      <c r="E3363" s="7">
        <f t="shared" si="328"/>
        <v>6.0416666666666665E-3</v>
      </c>
      <c r="F3363" s="5">
        <v>39211</v>
      </c>
      <c r="G3363" s="5">
        <v>46569</v>
      </c>
      <c r="H3363" s="8">
        <f t="shared" si="329"/>
        <v>7358</v>
      </c>
      <c r="I3363" s="5">
        <v>46569</v>
      </c>
      <c r="J3363" s="5">
        <v>41261</v>
      </c>
      <c r="K3363" s="8">
        <f t="shared" si="330"/>
        <v>2050</v>
      </c>
      <c r="L3363" s="6">
        <v>225000</v>
      </c>
      <c r="M3363" s="9">
        <f t="shared" si="327"/>
        <v>1761.3942112666534</v>
      </c>
      <c r="N3363" s="6">
        <v>232438.1</v>
      </c>
      <c r="O3363" s="6">
        <v>7041.84</v>
      </c>
    </row>
    <row r="3364" spans="1:16" ht="18.75" hidden="1" customHeight="1" thickBot="1" x14ac:dyDescent="0.3">
      <c r="A3364" s="3" t="s">
        <v>24</v>
      </c>
      <c r="B3364" s="4">
        <v>439329</v>
      </c>
      <c r="C3364" s="3" t="s">
        <v>14</v>
      </c>
      <c r="D3364" s="7">
        <v>7.0000000000000007E-2</v>
      </c>
      <c r="E3364" s="7">
        <f t="shared" si="328"/>
        <v>5.8333333333333336E-3</v>
      </c>
      <c r="F3364" s="5">
        <v>39555</v>
      </c>
      <c r="G3364" s="5">
        <v>2958465</v>
      </c>
      <c r="H3364" s="8">
        <f t="shared" si="329"/>
        <v>2918910</v>
      </c>
      <c r="I3364" s="5">
        <v>43190</v>
      </c>
      <c r="J3364" s="5">
        <v>40669</v>
      </c>
      <c r="K3364" s="8">
        <f t="shared" si="330"/>
        <v>1114</v>
      </c>
      <c r="L3364" s="6">
        <v>175000</v>
      </c>
      <c r="M3364" s="9">
        <f t="shared" si="327"/>
        <v>1020.8333333333334</v>
      </c>
      <c r="N3364" s="6">
        <v>174419.78</v>
      </c>
      <c r="O3364" s="6">
        <v>6453.28</v>
      </c>
    </row>
    <row r="3365" spans="1:16" ht="18.75" hidden="1" customHeight="1" thickBot="1" x14ac:dyDescent="0.3">
      <c r="A3365" s="3" t="s">
        <v>24</v>
      </c>
      <c r="B3365" s="4">
        <v>858574</v>
      </c>
      <c r="C3365" s="3" t="s">
        <v>34</v>
      </c>
      <c r="D3365" s="7">
        <v>5.2499999999999998E-2</v>
      </c>
      <c r="E3365" s="7">
        <f t="shared" si="328"/>
        <v>4.3749999999999995E-3</v>
      </c>
      <c r="F3365" s="5">
        <v>39598</v>
      </c>
      <c r="G3365" s="5">
        <v>2958465</v>
      </c>
      <c r="H3365" s="8">
        <f t="shared" si="329"/>
        <v>2918867</v>
      </c>
      <c r="I3365" s="5">
        <v>44256</v>
      </c>
      <c r="J3365" s="5">
        <v>41981</v>
      </c>
      <c r="K3365" s="8">
        <f t="shared" si="330"/>
        <v>2383</v>
      </c>
      <c r="L3365" s="6">
        <v>98000</v>
      </c>
      <c r="M3365" s="9">
        <f t="shared" si="327"/>
        <v>428.74999999999994</v>
      </c>
      <c r="N3365" s="6">
        <v>62800</v>
      </c>
      <c r="O3365" s="6">
        <v>19724.439999999999</v>
      </c>
    </row>
    <row r="3366" spans="1:16" ht="18.75" hidden="1" customHeight="1" thickBot="1" x14ac:dyDescent="0.3">
      <c r="A3366" s="3" t="s">
        <v>24</v>
      </c>
      <c r="B3366" s="4">
        <v>850603</v>
      </c>
      <c r="C3366" s="3" t="s">
        <v>14</v>
      </c>
      <c r="D3366" s="7">
        <v>7.0000000000000007E-2</v>
      </c>
      <c r="E3366" s="7">
        <f t="shared" si="328"/>
        <v>5.8333333333333336E-3</v>
      </c>
      <c r="F3366" s="5">
        <v>39749</v>
      </c>
      <c r="G3366" s="5">
        <v>2958465</v>
      </c>
      <c r="H3366" s="8">
        <f t="shared" si="329"/>
        <v>2918716</v>
      </c>
      <c r="I3366" s="5">
        <v>43393</v>
      </c>
      <c r="J3366" s="5">
        <v>40632</v>
      </c>
      <c r="K3366" s="8">
        <f t="shared" si="330"/>
        <v>883</v>
      </c>
      <c r="L3366" s="6">
        <v>40000</v>
      </c>
      <c r="M3366" s="9">
        <f t="shared" si="327"/>
        <v>233.33333333333334</v>
      </c>
      <c r="N3366" s="6">
        <v>39784.589999999997</v>
      </c>
      <c r="O3366" s="6">
        <v>4598.68</v>
      </c>
    </row>
    <row r="3367" spans="1:16" ht="18.75" customHeight="1" thickBot="1" x14ac:dyDescent="0.3">
      <c r="A3367" s="3" t="s">
        <v>24</v>
      </c>
      <c r="B3367" s="4">
        <v>182222</v>
      </c>
      <c r="C3367" s="3" t="s">
        <v>5</v>
      </c>
      <c r="D3367" s="18">
        <v>8.2500000000000004E-2</v>
      </c>
      <c r="E3367" s="21">
        <f t="shared" ref="E3367:E3386" si="335">(1+D3367)^(1/12)-1</f>
        <v>6.6279668043680573E-3</v>
      </c>
      <c r="F3367" s="5">
        <v>39251</v>
      </c>
      <c r="G3367" s="5">
        <v>39800</v>
      </c>
      <c r="H3367" s="16">
        <f t="shared" si="329"/>
        <v>549</v>
      </c>
      <c r="I3367" s="5">
        <v>40252</v>
      </c>
      <c r="J3367" s="5">
        <v>40368</v>
      </c>
      <c r="K3367" s="16">
        <f t="shared" si="330"/>
        <v>1117</v>
      </c>
      <c r="L3367" s="13">
        <v>1781595.76</v>
      </c>
      <c r="M3367" s="15">
        <f t="shared" si="327"/>
        <v>103700.3478083295</v>
      </c>
      <c r="N3367" s="13">
        <v>1117800.3600000001</v>
      </c>
      <c r="O3367" s="13">
        <v>0</v>
      </c>
      <c r="P3367" s="11">
        <f t="shared" ref="P3367:P3386" si="336">IF((G3367)&gt;(ConstantDateCutoff),1,0)</f>
        <v>0</v>
      </c>
    </row>
    <row r="3368" spans="1:16" ht="18.75" customHeight="1" thickBot="1" x14ac:dyDescent="0.3">
      <c r="A3368" s="3" t="s">
        <v>24</v>
      </c>
      <c r="B3368" s="4">
        <v>200069</v>
      </c>
      <c r="C3368" s="3" t="s">
        <v>28</v>
      </c>
      <c r="D3368" s="18">
        <v>0.11</v>
      </c>
      <c r="E3368" s="21">
        <f t="shared" si="335"/>
        <v>8.7345938235519061E-3</v>
      </c>
      <c r="F3368" s="5">
        <v>40151</v>
      </c>
      <c r="G3368" s="5">
        <v>42887</v>
      </c>
      <c r="H3368" s="16">
        <f t="shared" si="329"/>
        <v>2736</v>
      </c>
      <c r="I3368" s="5">
        <v>42887</v>
      </c>
      <c r="J3368" s="5">
        <v>40794</v>
      </c>
      <c r="K3368" s="16">
        <f t="shared" si="330"/>
        <v>643</v>
      </c>
      <c r="L3368" s="13">
        <v>83254</v>
      </c>
      <c r="M3368" s="15">
        <f t="shared" si="327"/>
        <v>1328.0156457480734</v>
      </c>
      <c r="N3368" s="13">
        <v>82725.13</v>
      </c>
      <c r="O3368" s="13">
        <v>0</v>
      </c>
      <c r="P3368" s="11">
        <f t="shared" si="336"/>
        <v>1</v>
      </c>
    </row>
    <row r="3369" spans="1:16" ht="18.75" customHeight="1" thickBot="1" x14ac:dyDescent="0.3">
      <c r="A3369" s="3" t="s">
        <v>24</v>
      </c>
      <c r="B3369" s="4">
        <v>328700</v>
      </c>
      <c r="C3369" s="3" t="s">
        <v>31</v>
      </c>
      <c r="D3369" s="18">
        <v>9.7500000000000003E-2</v>
      </c>
      <c r="E3369" s="21">
        <f t="shared" si="335"/>
        <v>7.7830370878799737E-3</v>
      </c>
      <c r="F3369" s="5">
        <v>40836</v>
      </c>
      <c r="G3369" s="5">
        <v>45214</v>
      </c>
      <c r="H3369" s="16">
        <f t="shared" si="329"/>
        <v>4378</v>
      </c>
      <c r="I3369" s="5">
        <v>45275</v>
      </c>
      <c r="J3369" s="5">
        <v>42985</v>
      </c>
      <c r="K3369" s="16">
        <f t="shared" si="330"/>
        <v>2149</v>
      </c>
      <c r="L3369" s="13">
        <v>71338</v>
      </c>
      <c r="M3369" s="15">
        <f t="shared" si="327"/>
        <v>819.61773433541953</v>
      </c>
      <c r="N3369" s="13">
        <v>63951.17</v>
      </c>
      <c r="O3369" s="13">
        <v>9843.4599999999991</v>
      </c>
      <c r="P3369" s="11">
        <f t="shared" si="336"/>
        <v>1</v>
      </c>
    </row>
    <row r="3370" spans="1:16" ht="18.75" customHeight="1" thickBot="1" x14ac:dyDescent="0.3">
      <c r="A3370" s="3" t="s">
        <v>24</v>
      </c>
      <c r="B3370" s="4">
        <v>868864</v>
      </c>
      <c r="C3370" s="3" t="s">
        <v>7</v>
      </c>
      <c r="D3370" s="18">
        <v>0.11</v>
      </c>
      <c r="E3370" s="21">
        <f t="shared" si="335"/>
        <v>8.7345938235519061E-3</v>
      </c>
      <c r="F3370" s="5">
        <v>31075</v>
      </c>
      <c r="G3370" s="5">
        <v>31440</v>
      </c>
      <c r="H3370" s="16">
        <f t="shared" si="329"/>
        <v>365</v>
      </c>
      <c r="I3370" s="5">
        <v>31440</v>
      </c>
      <c r="J3370" s="5">
        <v>31075</v>
      </c>
      <c r="K3370" s="16">
        <f t="shared" si="330"/>
        <v>0</v>
      </c>
      <c r="L3370" s="13">
        <v>8644.64</v>
      </c>
      <c r="M3370" s="15">
        <f t="shared" si="327"/>
        <v>752.03627174898963</v>
      </c>
      <c r="N3370" s="13">
        <v>8644.64</v>
      </c>
      <c r="O3370" s="13">
        <v>0</v>
      </c>
      <c r="P3370" s="11">
        <f t="shared" si="336"/>
        <v>0</v>
      </c>
    </row>
    <row r="3371" spans="1:16" ht="18.75" customHeight="1" thickBot="1" x14ac:dyDescent="0.3">
      <c r="A3371" s="3" t="s">
        <v>24</v>
      </c>
      <c r="B3371" s="4">
        <v>405194</v>
      </c>
      <c r="C3371" s="3" t="s">
        <v>7</v>
      </c>
      <c r="D3371" s="18">
        <v>0.14499999999999999</v>
      </c>
      <c r="E3371" s="21">
        <f t="shared" si="335"/>
        <v>1.1347621038123146E-2</v>
      </c>
      <c r="F3371" s="5">
        <v>31412</v>
      </c>
      <c r="G3371" s="5">
        <v>31443</v>
      </c>
      <c r="H3371" s="16">
        <f t="shared" si="329"/>
        <v>31</v>
      </c>
      <c r="I3371" s="5">
        <v>31443</v>
      </c>
      <c r="J3371" s="5">
        <v>32721</v>
      </c>
      <c r="K3371" s="16">
        <f t="shared" si="330"/>
        <v>1309</v>
      </c>
      <c r="L3371" s="13">
        <v>15114.92</v>
      </c>
      <c r="M3371" s="15">
        <f t="shared" si="327"/>
        <v>14796.104472677729</v>
      </c>
      <c r="N3371" s="13">
        <v>15114.92</v>
      </c>
      <c r="O3371" s="13">
        <v>0</v>
      </c>
      <c r="P3371" s="11">
        <f t="shared" si="336"/>
        <v>0</v>
      </c>
    </row>
    <row r="3372" spans="1:16" ht="18.75" customHeight="1" thickBot="1" x14ac:dyDescent="0.3">
      <c r="A3372" s="3" t="s">
        <v>24</v>
      </c>
      <c r="B3372" s="4">
        <v>992054</v>
      </c>
      <c r="C3372" s="3" t="s">
        <v>7</v>
      </c>
      <c r="D3372" s="18">
        <v>0.12</v>
      </c>
      <c r="E3372" s="21">
        <f t="shared" si="335"/>
        <v>9.4887929345830457E-3</v>
      </c>
      <c r="F3372" s="5">
        <v>28901</v>
      </c>
      <c r="G3372" s="5">
        <v>30362</v>
      </c>
      <c r="H3372" s="16">
        <f t="shared" si="329"/>
        <v>1461</v>
      </c>
      <c r="I3372" s="5">
        <v>30362</v>
      </c>
      <c r="J3372" s="5">
        <v>31267</v>
      </c>
      <c r="K3372" s="16">
        <f t="shared" si="330"/>
        <v>2366</v>
      </c>
      <c r="L3372" s="13">
        <v>39747.46</v>
      </c>
      <c r="M3372" s="15">
        <f t="shared" si="327"/>
        <v>1023.0180341849941</v>
      </c>
      <c r="N3372" s="13">
        <v>39747.46</v>
      </c>
      <c r="O3372" s="13">
        <v>0</v>
      </c>
      <c r="P3372" s="11">
        <f t="shared" si="336"/>
        <v>0</v>
      </c>
    </row>
    <row r="3373" spans="1:16" ht="18.75" customHeight="1" thickBot="1" x14ac:dyDescent="0.3">
      <c r="A3373" s="3" t="s">
        <v>24</v>
      </c>
      <c r="B3373" s="4">
        <v>655229</v>
      </c>
      <c r="C3373" s="3" t="s">
        <v>7</v>
      </c>
      <c r="D3373" s="18">
        <v>0.12</v>
      </c>
      <c r="E3373" s="21">
        <f t="shared" si="335"/>
        <v>9.4887929345830457E-3</v>
      </c>
      <c r="F3373" s="5">
        <v>29046</v>
      </c>
      <c r="G3373" s="5">
        <v>31603</v>
      </c>
      <c r="H3373" s="16">
        <f t="shared" si="329"/>
        <v>2557</v>
      </c>
      <c r="I3373" s="5">
        <v>31603</v>
      </c>
      <c r="J3373" s="5">
        <v>34400</v>
      </c>
      <c r="K3373" s="16">
        <f t="shared" si="330"/>
        <v>5354</v>
      </c>
      <c r="L3373" s="13">
        <v>100</v>
      </c>
      <c r="M3373" s="15">
        <f t="shared" si="327"/>
        <v>1.7162201386970832</v>
      </c>
      <c r="N3373" s="13">
        <v>100</v>
      </c>
      <c r="O3373" s="13">
        <v>0</v>
      </c>
      <c r="P3373" s="11">
        <f t="shared" si="336"/>
        <v>0</v>
      </c>
    </row>
    <row r="3374" spans="1:16" ht="18.75" customHeight="1" thickBot="1" x14ac:dyDescent="0.3">
      <c r="A3374" s="3" t="s">
        <v>24</v>
      </c>
      <c r="B3374" s="4">
        <v>649033</v>
      </c>
      <c r="C3374" s="3" t="s">
        <v>7</v>
      </c>
      <c r="D3374" s="18">
        <v>0.12</v>
      </c>
      <c r="E3374" s="21">
        <f t="shared" si="335"/>
        <v>9.4887929345830457E-3</v>
      </c>
      <c r="F3374" s="5">
        <v>29062</v>
      </c>
      <c r="G3374" s="5">
        <v>32715</v>
      </c>
      <c r="H3374" s="16">
        <f t="shared" si="329"/>
        <v>3653</v>
      </c>
      <c r="I3374" s="5">
        <v>32715</v>
      </c>
      <c r="J3374" s="5">
        <v>32745</v>
      </c>
      <c r="K3374" s="16">
        <f t="shared" si="330"/>
        <v>3683</v>
      </c>
      <c r="L3374" s="13">
        <v>61216.9</v>
      </c>
      <c r="M3374" s="15">
        <f t="shared" si="327"/>
        <v>850.03431911523376</v>
      </c>
      <c r="N3374" s="13">
        <v>61216.9</v>
      </c>
      <c r="O3374" s="13">
        <v>0</v>
      </c>
      <c r="P3374" s="11">
        <f t="shared" si="336"/>
        <v>0</v>
      </c>
    </row>
    <row r="3375" spans="1:16" ht="18.75" customHeight="1" thickBot="1" x14ac:dyDescent="0.3">
      <c r="A3375" s="3" t="s">
        <v>24</v>
      </c>
      <c r="B3375" s="4">
        <v>104433</v>
      </c>
      <c r="C3375" s="3" t="s">
        <v>7</v>
      </c>
      <c r="D3375" s="18">
        <v>0.17</v>
      </c>
      <c r="E3375" s="21">
        <f t="shared" si="335"/>
        <v>1.3169611131462311E-2</v>
      </c>
      <c r="F3375" s="5">
        <v>29810</v>
      </c>
      <c r="G3375" s="5">
        <v>30175</v>
      </c>
      <c r="H3375" s="16">
        <f t="shared" si="329"/>
        <v>365</v>
      </c>
      <c r="I3375" s="5">
        <v>30175</v>
      </c>
      <c r="J3375" s="5">
        <v>31135</v>
      </c>
      <c r="K3375" s="16">
        <f t="shared" si="330"/>
        <v>1325</v>
      </c>
      <c r="L3375" s="13">
        <v>24000</v>
      </c>
      <c r="M3375" s="15">
        <f t="shared" si="327"/>
        <v>2147.7899770038071</v>
      </c>
      <c r="N3375" s="13">
        <v>24000</v>
      </c>
      <c r="O3375" s="13">
        <v>0</v>
      </c>
      <c r="P3375" s="11">
        <f t="shared" si="336"/>
        <v>0</v>
      </c>
    </row>
    <row r="3376" spans="1:16" ht="18.75" customHeight="1" thickBot="1" x14ac:dyDescent="0.3">
      <c r="A3376" s="3" t="s">
        <v>24</v>
      </c>
      <c r="B3376" s="4">
        <v>384956</v>
      </c>
      <c r="C3376" s="3" t="s">
        <v>7</v>
      </c>
      <c r="D3376" s="18">
        <v>0.1</v>
      </c>
      <c r="E3376" s="21">
        <f t="shared" si="335"/>
        <v>7.9741404289037643E-3</v>
      </c>
      <c r="F3376" s="5">
        <v>32679</v>
      </c>
      <c r="G3376" s="5">
        <v>34309</v>
      </c>
      <c r="H3376" s="16">
        <f t="shared" si="329"/>
        <v>1630</v>
      </c>
      <c r="I3376" s="5">
        <v>34309</v>
      </c>
      <c r="J3376" s="5">
        <v>33945</v>
      </c>
      <c r="K3376" s="16">
        <f t="shared" si="330"/>
        <v>1266</v>
      </c>
      <c r="L3376" s="13">
        <v>75435.78</v>
      </c>
      <c r="M3376" s="15">
        <f t="shared" si="327"/>
        <v>1716.250154057414</v>
      </c>
      <c r="N3376" s="13">
        <v>65435.78</v>
      </c>
      <c r="O3376" s="13">
        <v>0</v>
      </c>
      <c r="P3376" s="11">
        <f t="shared" si="336"/>
        <v>0</v>
      </c>
    </row>
    <row r="3377" spans="1:16" ht="18.75" customHeight="1" thickBot="1" x14ac:dyDescent="0.3">
      <c r="A3377" s="3" t="s">
        <v>24</v>
      </c>
      <c r="B3377" s="4">
        <v>189394</v>
      </c>
      <c r="C3377" s="3" t="s">
        <v>7</v>
      </c>
      <c r="D3377" s="18">
        <v>0.1</v>
      </c>
      <c r="E3377" s="21">
        <f t="shared" si="335"/>
        <v>7.9741404289037643E-3</v>
      </c>
      <c r="F3377" s="5">
        <v>34816</v>
      </c>
      <c r="G3377" s="5">
        <v>39290</v>
      </c>
      <c r="H3377" s="16">
        <f t="shared" si="329"/>
        <v>4474</v>
      </c>
      <c r="I3377" s="5">
        <v>39290</v>
      </c>
      <c r="J3377" s="5">
        <v>36578</v>
      </c>
      <c r="K3377" s="16">
        <f t="shared" si="330"/>
        <v>1762</v>
      </c>
      <c r="L3377" s="13">
        <v>130000</v>
      </c>
      <c r="M3377" s="15">
        <f t="shared" si="327"/>
        <v>1493.5020318756356</v>
      </c>
      <c r="N3377" s="13">
        <v>15000.01</v>
      </c>
      <c r="O3377" s="13">
        <v>0</v>
      </c>
      <c r="P3377" s="11">
        <f t="shared" si="336"/>
        <v>0</v>
      </c>
    </row>
    <row r="3378" spans="1:16" ht="18.75" customHeight="1" thickBot="1" x14ac:dyDescent="0.3">
      <c r="A3378" s="3" t="s">
        <v>24</v>
      </c>
      <c r="B3378" s="4">
        <v>373311</v>
      </c>
      <c r="C3378" s="3" t="s">
        <v>7</v>
      </c>
      <c r="D3378" s="18">
        <v>0.11</v>
      </c>
      <c r="E3378" s="21">
        <f t="shared" si="335"/>
        <v>8.7345938235519061E-3</v>
      </c>
      <c r="F3378" s="5">
        <v>35690</v>
      </c>
      <c r="G3378" s="5">
        <v>37514</v>
      </c>
      <c r="H3378" s="16">
        <f t="shared" si="329"/>
        <v>1824</v>
      </c>
      <c r="I3378" s="5">
        <v>37514</v>
      </c>
      <c r="J3378" s="5">
        <v>40581</v>
      </c>
      <c r="K3378" s="16">
        <f t="shared" si="330"/>
        <v>4891</v>
      </c>
      <c r="L3378" s="13">
        <v>6663.47</v>
      </c>
      <c r="M3378" s="15">
        <f t="shared" si="327"/>
        <v>141.72856614980373</v>
      </c>
      <c r="N3378" s="13">
        <v>6663.47</v>
      </c>
      <c r="O3378" s="13">
        <v>0</v>
      </c>
      <c r="P3378" s="11">
        <f t="shared" si="336"/>
        <v>0</v>
      </c>
    </row>
    <row r="3379" spans="1:16" ht="18.75" customHeight="1" thickBot="1" x14ac:dyDescent="0.3">
      <c r="A3379" s="3" t="s">
        <v>24</v>
      </c>
      <c r="B3379" s="4">
        <v>265866</v>
      </c>
      <c r="C3379" s="3" t="s">
        <v>7</v>
      </c>
      <c r="D3379" s="18">
        <v>0.1</v>
      </c>
      <c r="E3379" s="21">
        <f t="shared" si="335"/>
        <v>7.9741404289037643E-3</v>
      </c>
      <c r="F3379" s="5">
        <v>36145</v>
      </c>
      <c r="G3379" s="5">
        <v>41517</v>
      </c>
      <c r="H3379" s="16">
        <f t="shared" si="329"/>
        <v>5372</v>
      </c>
      <c r="I3379" s="5">
        <v>41517</v>
      </c>
      <c r="J3379" s="5">
        <v>38805</v>
      </c>
      <c r="K3379" s="16">
        <f t="shared" si="330"/>
        <v>2660</v>
      </c>
      <c r="L3379" s="13">
        <v>22274.77</v>
      </c>
      <c r="M3379" s="15">
        <f t="shared" si="327"/>
        <v>234.07470324003842</v>
      </c>
      <c r="N3379" s="13">
        <v>22274.77</v>
      </c>
      <c r="O3379" s="13">
        <v>0</v>
      </c>
      <c r="P3379" s="11">
        <f t="shared" si="336"/>
        <v>0</v>
      </c>
    </row>
    <row r="3380" spans="1:16" ht="18.75" customHeight="1" thickBot="1" x14ac:dyDescent="0.3">
      <c r="A3380" s="3" t="s">
        <v>24</v>
      </c>
      <c r="B3380" s="4">
        <v>506446</v>
      </c>
      <c r="C3380" s="3" t="s">
        <v>7</v>
      </c>
      <c r="D3380" s="18">
        <v>0.105</v>
      </c>
      <c r="E3380" s="21">
        <f t="shared" si="335"/>
        <v>8.355155683635207E-3</v>
      </c>
      <c r="F3380" s="5">
        <v>36944</v>
      </c>
      <c r="G3380" s="5">
        <v>37278</v>
      </c>
      <c r="H3380" s="16">
        <f t="shared" si="329"/>
        <v>334</v>
      </c>
      <c r="I3380" s="5">
        <v>37278</v>
      </c>
      <c r="J3380" s="5">
        <v>37754</v>
      </c>
      <c r="K3380" s="16">
        <f t="shared" si="330"/>
        <v>810</v>
      </c>
      <c r="L3380" s="13">
        <v>68350</v>
      </c>
      <c r="M3380" s="15">
        <f t="shared" si="327"/>
        <v>6454.7783082428832</v>
      </c>
      <c r="N3380" s="13">
        <v>68350</v>
      </c>
      <c r="O3380" s="13">
        <v>0</v>
      </c>
      <c r="P3380" s="11">
        <f t="shared" si="336"/>
        <v>0</v>
      </c>
    </row>
    <row r="3381" spans="1:16" ht="18.75" customHeight="1" thickBot="1" x14ac:dyDescent="0.3">
      <c r="A3381" s="3" t="s">
        <v>24</v>
      </c>
      <c r="B3381" s="4">
        <v>601885</v>
      </c>
      <c r="C3381" s="3" t="s">
        <v>7</v>
      </c>
      <c r="D3381" s="18">
        <v>8.5000000000000006E-2</v>
      </c>
      <c r="E3381" s="21">
        <f t="shared" si="335"/>
        <v>6.8214933659622723E-3</v>
      </c>
      <c r="F3381" s="5">
        <v>38111</v>
      </c>
      <c r="G3381" s="5">
        <v>41947</v>
      </c>
      <c r="H3381" s="16">
        <f t="shared" si="329"/>
        <v>3836</v>
      </c>
      <c r="I3381" s="5">
        <v>41947</v>
      </c>
      <c r="J3381" s="5">
        <v>40827</v>
      </c>
      <c r="K3381" s="16">
        <f t="shared" si="330"/>
        <v>2716</v>
      </c>
      <c r="L3381" s="13">
        <v>81165.83</v>
      </c>
      <c r="M3381" s="15">
        <f t="shared" si="327"/>
        <v>953.37974422752177</v>
      </c>
      <c r="N3381" s="13">
        <v>81165.83</v>
      </c>
      <c r="O3381" s="13">
        <v>0</v>
      </c>
      <c r="P3381" s="11">
        <f t="shared" si="336"/>
        <v>0</v>
      </c>
    </row>
    <row r="3382" spans="1:16" ht="18.75" customHeight="1" thickBot="1" x14ac:dyDescent="0.3">
      <c r="A3382" s="3" t="s">
        <v>24</v>
      </c>
      <c r="B3382" s="4">
        <v>393273</v>
      </c>
      <c r="C3382" s="3" t="s">
        <v>7</v>
      </c>
      <c r="D3382" s="18">
        <v>0.09</v>
      </c>
      <c r="E3382" s="21">
        <f t="shared" si="335"/>
        <v>7.2073233161367156E-3</v>
      </c>
      <c r="F3382" s="5">
        <v>39475</v>
      </c>
      <c r="G3382" s="5">
        <v>40265</v>
      </c>
      <c r="H3382" s="16">
        <f t="shared" si="329"/>
        <v>790</v>
      </c>
      <c r="I3382" s="5">
        <v>40265</v>
      </c>
      <c r="J3382" s="5">
        <v>43322</v>
      </c>
      <c r="K3382" s="16">
        <f t="shared" si="330"/>
        <v>3847</v>
      </c>
      <c r="L3382" s="13">
        <v>68931.53</v>
      </c>
      <c r="M3382" s="15">
        <f t="shared" si="327"/>
        <v>2883.3055621438143</v>
      </c>
      <c r="N3382" s="13">
        <v>68931.53</v>
      </c>
      <c r="O3382" s="13">
        <v>0</v>
      </c>
      <c r="P3382" s="11">
        <f t="shared" si="336"/>
        <v>0</v>
      </c>
    </row>
    <row r="3383" spans="1:16" ht="18.75" customHeight="1" thickBot="1" x14ac:dyDescent="0.3">
      <c r="A3383" s="3" t="s">
        <v>24</v>
      </c>
      <c r="B3383" s="4">
        <v>4701</v>
      </c>
      <c r="C3383" s="3" t="s">
        <v>7</v>
      </c>
      <c r="D3383" s="18">
        <v>8.7499999999999994E-2</v>
      </c>
      <c r="E3383" s="21">
        <f t="shared" si="335"/>
        <v>7.0146116041400752E-3</v>
      </c>
      <c r="F3383" s="5">
        <v>39639</v>
      </c>
      <c r="G3383" s="5">
        <v>40308</v>
      </c>
      <c r="H3383" s="16">
        <f t="shared" si="329"/>
        <v>669</v>
      </c>
      <c r="I3383" s="5">
        <v>40308</v>
      </c>
      <c r="J3383" s="5">
        <v>40134</v>
      </c>
      <c r="K3383" s="16">
        <f t="shared" si="330"/>
        <v>495</v>
      </c>
      <c r="L3383" s="13">
        <v>25000</v>
      </c>
      <c r="M3383" s="15">
        <f t="shared" si="327"/>
        <v>1214.9633241871672</v>
      </c>
      <c r="N3383" s="13">
        <v>25000</v>
      </c>
      <c r="O3383" s="13">
        <v>0</v>
      </c>
      <c r="P3383" s="11">
        <f t="shared" si="336"/>
        <v>0</v>
      </c>
    </row>
    <row r="3384" spans="1:16" ht="18.75" customHeight="1" thickBot="1" x14ac:dyDescent="0.3">
      <c r="A3384" s="3" t="s">
        <v>24</v>
      </c>
      <c r="B3384" s="4">
        <v>943768</v>
      </c>
      <c r="C3384" s="3" t="s">
        <v>7</v>
      </c>
      <c r="D3384" s="18">
        <v>8.7499999999999994E-2</v>
      </c>
      <c r="E3384" s="21">
        <f t="shared" si="335"/>
        <v>7.0146116041400752E-3</v>
      </c>
      <c r="F3384" s="5">
        <v>39699</v>
      </c>
      <c r="G3384" s="5">
        <v>40429</v>
      </c>
      <c r="H3384" s="16">
        <f t="shared" si="329"/>
        <v>730</v>
      </c>
      <c r="I3384" s="5">
        <v>40429</v>
      </c>
      <c r="J3384" s="5">
        <v>40087</v>
      </c>
      <c r="K3384" s="16">
        <f t="shared" si="330"/>
        <v>388</v>
      </c>
      <c r="L3384" s="13">
        <v>223752.02</v>
      </c>
      <c r="M3384" s="15">
        <f t="shared" si="327"/>
        <v>10034.504870256987</v>
      </c>
      <c r="N3384" s="13">
        <v>223752.02</v>
      </c>
      <c r="O3384" s="13">
        <v>0</v>
      </c>
      <c r="P3384" s="11">
        <f t="shared" si="336"/>
        <v>0</v>
      </c>
    </row>
    <row r="3385" spans="1:16" ht="18.75" customHeight="1" thickBot="1" x14ac:dyDescent="0.3">
      <c r="A3385" s="3" t="s">
        <v>24</v>
      </c>
      <c r="B3385" s="4">
        <v>919869</v>
      </c>
      <c r="C3385" s="3" t="s">
        <v>7</v>
      </c>
      <c r="D3385" s="18">
        <v>0.06</v>
      </c>
      <c r="E3385" s="21">
        <f t="shared" si="335"/>
        <v>4.8675505653430484E-3</v>
      </c>
      <c r="F3385" s="5">
        <v>39932</v>
      </c>
      <c r="G3385" s="5">
        <v>43584</v>
      </c>
      <c r="H3385" s="16">
        <f t="shared" si="329"/>
        <v>3652</v>
      </c>
      <c r="I3385" s="5">
        <v>43584</v>
      </c>
      <c r="J3385" s="5">
        <v>43550</v>
      </c>
      <c r="K3385" s="16">
        <f t="shared" si="330"/>
        <v>3618</v>
      </c>
      <c r="L3385" s="13">
        <v>107797.53</v>
      </c>
      <c r="M3385" s="15">
        <f t="shared" si="327"/>
        <v>1175.7275708942886</v>
      </c>
      <c r="N3385" s="13">
        <v>107797.53</v>
      </c>
      <c r="O3385" s="13">
        <v>0</v>
      </c>
      <c r="P3385" s="11">
        <f t="shared" si="336"/>
        <v>1</v>
      </c>
    </row>
    <row r="3386" spans="1:16" ht="18.75" customHeight="1" thickBot="1" x14ac:dyDescent="0.3">
      <c r="A3386" s="3" t="s">
        <v>24</v>
      </c>
      <c r="B3386" s="4">
        <v>354857</v>
      </c>
      <c r="C3386" s="3" t="s">
        <v>7</v>
      </c>
      <c r="D3386" s="18">
        <v>0.08</v>
      </c>
      <c r="E3386" s="21">
        <f t="shared" si="335"/>
        <v>6.4340301100034303E-3</v>
      </c>
      <c r="F3386" s="5">
        <v>39994</v>
      </c>
      <c r="G3386" s="5">
        <v>41820</v>
      </c>
      <c r="H3386" s="16">
        <f t="shared" si="329"/>
        <v>1826</v>
      </c>
      <c r="I3386" s="5">
        <v>41820</v>
      </c>
      <c r="J3386" s="5">
        <v>40906</v>
      </c>
      <c r="K3386" s="16">
        <f t="shared" si="330"/>
        <v>912</v>
      </c>
      <c r="L3386" s="13">
        <v>150858</v>
      </c>
      <c r="M3386" s="15">
        <f t="shared" si="327"/>
        <v>3003.2715673034304</v>
      </c>
      <c r="N3386" s="13">
        <v>150858</v>
      </c>
      <c r="O3386" s="13">
        <v>150858</v>
      </c>
      <c r="P3386" s="11">
        <f t="shared" si="336"/>
        <v>0</v>
      </c>
    </row>
    <row r="3387" spans="1:16" ht="18.75" hidden="1" customHeight="1" thickBot="1" x14ac:dyDescent="0.3">
      <c r="A3387" s="3" t="s">
        <v>24</v>
      </c>
      <c r="B3387" s="4">
        <v>670494</v>
      </c>
      <c r="C3387" s="3" t="s">
        <v>14</v>
      </c>
      <c r="D3387" s="7">
        <v>7.2499999999999995E-2</v>
      </c>
      <c r="E3387" s="7">
        <f t="shared" si="328"/>
        <v>6.0416666666666665E-3</v>
      </c>
      <c r="F3387" s="5">
        <v>39183</v>
      </c>
      <c r="G3387" s="5">
        <v>2958465</v>
      </c>
      <c r="H3387" s="8">
        <f t="shared" si="329"/>
        <v>2919282</v>
      </c>
      <c r="I3387" s="5">
        <v>42840</v>
      </c>
      <c r="J3387" s="5">
        <v>40532</v>
      </c>
      <c r="K3387" s="8">
        <f t="shared" si="330"/>
        <v>1349</v>
      </c>
      <c r="L3387" s="6">
        <v>25000</v>
      </c>
      <c r="M3387" s="9">
        <f t="shared" si="327"/>
        <v>151.04166666666666</v>
      </c>
      <c r="N3387" s="6">
        <v>23937.23</v>
      </c>
      <c r="O3387" s="6">
        <v>0</v>
      </c>
    </row>
    <row r="3388" spans="1:16" ht="18.75" customHeight="1" thickBot="1" x14ac:dyDescent="0.3">
      <c r="A3388" s="3" t="s">
        <v>24</v>
      </c>
      <c r="B3388" s="4">
        <v>287459</v>
      </c>
      <c r="C3388" s="3" t="s">
        <v>7</v>
      </c>
      <c r="D3388" s="18">
        <v>0.06</v>
      </c>
      <c r="E3388" s="21">
        <f t="shared" ref="E3388:E3391" si="337">(1+D3388)^(1/12)-1</f>
        <v>4.8675505653430484E-3</v>
      </c>
      <c r="F3388" s="5">
        <v>42394</v>
      </c>
      <c r="G3388" s="5">
        <v>44221</v>
      </c>
      <c r="H3388" s="16">
        <f t="shared" si="329"/>
        <v>1827</v>
      </c>
      <c r="I3388" s="5">
        <v>44221</v>
      </c>
      <c r="J3388" s="5">
        <v>42607</v>
      </c>
      <c r="K3388" s="16">
        <f t="shared" si="330"/>
        <v>213</v>
      </c>
      <c r="L3388" s="13">
        <v>104040.89</v>
      </c>
      <c r="M3388" s="15">
        <f t="shared" si="327"/>
        <v>1978.2172233296114</v>
      </c>
      <c r="N3388" s="13">
        <v>104040.89</v>
      </c>
      <c r="O3388" s="13">
        <v>0</v>
      </c>
      <c r="P3388" s="11">
        <f>IF((G3388)&gt;(ConstantDateCutoff),1,0)</f>
        <v>1</v>
      </c>
    </row>
    <row r="3389" spans="1:16" ht="18.75" customHeight="1" thickBot="1" x14ac:dyDescent="0.3">
      <c r="A3389" s="3" t="s">
        <v>24</v>
      </c>
      <c r="B3389" s="4">
        <v>357000</v>
      </c>
      <c r="C3389" s="3" t="s">
        <v>18</v>
      </c>
      <c r="D3389" s="18">
        <v>8.7499999999999994E-2</v>
      </c>
      <c r="E3389" s="21">
        <f t="shared" si="337"/>
        <v>7.0146116041400752E-3</v>
      </c>
      <c r="F3389" s="5">
        <v>38965</v>
      </c>
      <c r="G3389" s="5">
        <v>44566</v>
      </c>
      <c r="H3389" s="16">
        <f t="shared" si="329"/>
        <v>5601</v>
      </c>
      <c r="I3389" s="5">
        <v>44566</v>
      </c>
      <c r="J3389" s="5">
        <v>41261</v>
      </c>
      <c r="K3389" s="16">
        <f t="shared" si="330"/>
        <v>2296</v>
      </c>
      <c r="L3389" s="13">
        <v>225000</v>
      </c>
      <c r="M3389" s="15">
        <f t="shared" si="327"/>
        <v>2165.4709129452986</v>
      </c>
      <c r="N3389" s="13">
        <v>188957.23</v>
      </c>
      <c r="O3389" s="13">
        <v>2500</v>
      </c>
      <c r="P3389" s="11">
        <f>IF((G3389)&gt;(ConstantDateCutoff),1,0)</f>
        <v>1</v>
      </c>
    </row>
    <row r="3390" spans="1:16" ht="18.75" customHeight="1" thickBot="1" x14ac:dyDescent="0.3">
      <c r="A3390" s="3" t="s">
        <v>24</v>
      </c>
      <c r="B3390" s="4">
        <v>306346</v>
      </c>
      <c r="C3390" s="3" t="s">
        <v>28</v>
      </c>
      <c r="D3390" s="18">
        <v>0.08</v>
      </c>
      <c r="E3390" s="21">
        <f t="shared" si="337"/>
        <v>6.4340301100034303E-3</v>
      </c>
      <c r="F3390" s="5">
        <v>39268</v>
      </c>
      <c r="G3390" s="5">
        <v>41091</v>
      </c>
      <c r="H3390" s="16">
        <f t="shared" si="329"/>
        <v>1823</v>
      </c>
      <c r="I3390" s="5">
        <v>44682</v>
      </c>
      <c r="J3390" s="5">
        <v>41414</v>
      </c>
      <c r="K3390" s="16">
        <f t="shared" si="330"/>
        <v>2146</v>
      </c>
      <c r="L3390" s="13">
        <v>243689.9</v>
      </c>
      <c r="M3390" s="15">
        <f t="shared" si="327"/>
        <v>4857.8897897774978</v>
      </c>
      <c r="N3390" s="13">
        <v>152120</v>
      </c>
      <c r="O3390" s="13">
        <v>0</v>
      </c>
      <c r="P3390" s="11">
        <f>IF((G3390)&gt;(ConstantDateCutoff),1,0)</f>
        <v>0</v>
      </c>
    </row>
    <row r="3391" spans="1:16" ht="18.75" customHeight="1" thickBot="1" x14ac:dyDescent="0.3">
      <c r="A3391" s="3" t="s">
        <v>24</v>
      </c>
      <c r="B3391" s="4">
        <v>889344</v>
      </c>
      <c r="C3391" s="3" t="s">
        <v>28</v>
      </c>
      <c r="D3391" s="18">
        <v>9.0499999999999997E-2</v>
      </c>
      <c r="E3391" s="21">
        <f t="shared" si="337"/>
        <v>7.2458170327041049E-3</v>
      </c>
      <c r="F3391" s="5">
        <v>40011</v>
      </c>
      <c r="G3391" s="5">
        <v>40375</v>
      </c>
      <c r="H3391" s="16">
        <f t="shared" si="329"/>
        <v>364</v>
      </c>
      <c r="I3391" s="5">
        <v>41183</v>
      </c>
      <c r="J3391" s="5">
        <v>41425</v>
      </c>
      <c r="K3391" s="16">
        <f t="shared" si="330"/>
        <v>1414</v>
      </c>
      <c r="L3391" s="13">
        <v>101135</v>
      </c>
      <c r="M3391" s="15">
        <f t="shared" si="327"/>
        <v>8737.2154836194877</v>
      </c>
      <c r="N3391" s="13">
        <v>54665.8</v>
      </c>
      <c r="O3391" s="13">
        <v>0</v>
      </c>
      <c r="P3391" s="11">
        <f>IF((G3391)&gt;(ConstantDateCutoff),1,0)</f>
        <v>0</v>
      </c>
    </row>
    <row r="3392" spans="1:16" ht="18.75" hidden="1" customHeight="1" thickBot="1" x14ac:dyDescent="0.3">
      <c r="A3392" s="3" t="s">
        <v>24</v>
      </c>
      <c r="B3392" s="4">
        <v>21673</v>
      </c>
      <c r="C3392" s="3" t="s">
        <v>14</v>
      </c>
      <c r="D3392" s="7">
        <v>6.7500000000000004E-2</v>
      </c>
      <c r="E3392" s="7">
        <f t="shared" si="328"/>
        <v>5.6250000000000007E-3</v>
      </c>
      <c r="F3392" s="5">
        <v>39127</v>
      </c>
      <c r="G3392" s="5">
        <v>42772</v>
      </c>
      <c r="H3392" s="8">
        <f t="shared" si="329"/>
        <v>3645</v>
      </c>
      <c r="I3392" s="5">
        <v>42772</v>
      </c>
      <c r="J3392" s="5">
        <v>41354</v>
      </c>
      <c r="K3392" s="8">
        <f t="shared" si="330"/>
        <v>2227</v>
      </c>
      <c r="L3392" s="6">
        <v>40000</v>
      </c>
      <c r="M3392" s="9">
        <f t="shared" si="327"/>
        <v>455.32387427768043</v>
      </c>
      <c r="N3392" s="6">
        <v>39372.400000000001</v>
      </c>
      <c r="O3392" s="6">
        <v>3193.2</v>
      </c>
    </row>
    <row r="3393" spans="1:16" ht="18.75" hidden="1" customHeight="1" thickBot="1" x14ac:dyDescent="0.3">
      <c r="A3393" s="3" t="s">
        <v>24</v>
      </c>
      <c r="B3393" s="4">
        <v>36165</v>
      </c>
      <c r="C3393" s="3" t="s">
        <v>14</v>
      </c>
      <c r="D3393" s="7">
        <v>7.2499999999999995E-2</v>
      </c>
      <c r="E3393" s="7">
        <f t="shared" si="328"/>
        <v>6.0416666666666665E-3</v>
      </c>
      <c r="F3393" s="5">
        <v>39637</v>
      </c>
      <c r="G3393" s="5">
        <v>43278</v>
      </c>
      <c r="H3393" s="8">
        <f t="shared" si="329"/>
        <v>3641</v>
      </c>
      <c r="I3393" s="5">
        <v>43278</v>
      </c>
      <c r="J3393" s="5">
        <v>40168</v>
      </c>
      <c r="K3393" s="8">
        <f t="shared" si="330"/>
        <v>531</v>
      </c>
      <c r="L3393" s="6">
        <v>47000</v>
      </c>
      <c r="M3393" s="9">
        <f t="shared" si="327"/>
        <v>547.55092213926639</v>
      </c>
      <c r="N3393" s="6">
        <v>46879.85</v>
      </c>
      <c r="O3393" s="6">
        <v>13148.33</v>
      </c>
    </row>
    <row r="3394" spans="1:16" ht="18.75" hidden="1" customHeight="1" thickBot="1" x14ac:dyDescent="0.3">
      <c r="A3394" s="3" t="s">
        <v>24</v>
      </c>
      <c r="B3394" s="4">
        <v>967725</v>
      </c>
      <c r="C3394" s="3" t="s">
        <v>21</v>
      </c>
      <c r="D3394" s="7">
        <v>6.7500000000000004E-2</v>
      </c>
      <c r="E3394" s="7">
        <f t="shared" si="328"/>
        <v>5.6250000000000007E-3</v>
      </c>
      <c r="F3394" s="5">
        <v>44827</v>
      </c>
      <c r="G3394" s="5">
        <v>52134</v>
      </c>
      <c r="H3394" s="8">
        <f t="shared" si="329"/>
        <v>7307</v>
      </c>
      <c r="I3394" s="5">
        <v>52134</v>
      </c>
      <c r="J3394" s="5">
        <v>45902</v>
      </c>
      <c r="K3394" s="8">
        <f t="shared" si="330"/>
        <v>1075</v>
      </c>
      <c r="L3394" s="6">
        <v>97000</v>
      </c>
      <c r="M3394" s="9">
        <f t="shared" ref="M3394:M3443" si="338">-PMT(E3394,(H3394/30),L3394)</f>
        <v>732.44978455482249</v>
      </c>
      <c r="N3394" s="6">
        <v>83063.570000000007</v>
      </c>
      <c r="O3394" s="6">
        <v>0</v>
      </c>
    </row>
    <row r="3395" spans="1:16" ht="18.75" customHeight="1" thickBot="1" x14ac:dyDescent="0.3">
      <c r="A3395" s="3" t="s">
        <v>24</v>
      </c>
      <c r="B3395" s="4">
        <v>772526</v>
      </c>
      <c r="C3395" s="3" t="s">
        <v>5</v>
      </c>
      <c r="D3395" s="18">
        <v>8.2500000000000004E-2</v>
      </c>
      <c r="E3395" s="21">
        <f t="shared" ref="E3395:E3412" si="339">(1+D3395)^(1/12)-1</f>
        <v>6.6279668043680573E-3</v>
      </c>
      <c r="F3395" s="5">
        <v>38673</v>
      </c>
      <c r="G3395" s="5">
        <v>39219</v>
      </c>
      <c r="H3395" s="16">
        <f t="shared" ref="H3395:H3443" si="340">G3395-F3395</f>
        <v>546</v>
      </c>
      <c r="I3395" s="5">
        <v>39585</v>
      </c>
      <c r="J3395" s="5">
        <v>39665</v>
      </c>
      <c r="K3395" s="16">
        <f t="shared" ref="K3395:K3443" si="341">J3395-F3395</f>
        <v>992</v>
      </c>
      <c r="L3395" s="13">
        <v>2563555</v>
      </c>
      <c r="M3395" s="15">
        <f t="shared" si="338"/>
        <v>149986.72278760679</v>
      </c>
      <c r="N3395" s="13">
        <v>1787166.71</v>
      </c>
      <c r="O3395" s="13">
        <v>2750</v>
      </c>
      <c r="P3395" s="11">
        <f t="shared" ref="P3395:P3413" si="342">IF((G3395)&gt;(ConstantDateCutoff),1,0)</f>
        <v>0</v>
      </c>
    </row>
    <row r="3396" spans="1:16" ht="18.75" customHeight="1" thickBot="1" x14ac:dyDescent="0.3">
      <c r="A3396" s="3" t="s">
        <v>24</v>
      </c>
      <c r="B3396" s="4">
        <v>848102</v>
      </c>
      <c r="C3396" s="3" t="s">
        <v>5</v>
      </c>
      <c r="D3396" s="18">
        <v>8.7499999999999994E-2</v>
      </c>
      <c r="E3396" s="21">
        <f t="shared" si="339"/>
        <v>7.0146116041400752E-3</v>
      </c>
      <c r="F3396" s="5">
        <v>38701</v>
      </c>
      <c r="G3396" s="5">
        <v>39248</v>
      </c>
      <c r="H3396" s="16">
        <f t="shared" si="340"/>
        <v>547</v>
      </c>
      <c r="I3396" s="5">
        <v>43166</v>
      </c>
      <c r="J3396" s="5">
        <v>40836</v>
      </c>
      <c r="K3396" s="16">
        <f t="shared" si="341"/>
        <v>2135</v>
      </c>
      <c r="L3396" s="13">
        <v>1211120</v>
      </c>
      <c r="M3396" s="15">
        <f t="shared" si="338"/>
        <v>70994.071895463945</v>
      </c>
      <c r="N3396" s="13">
        <v>641359.1</v>
      </c>
      <c r="O3396" s="13">
        <v>145260.85</v>
      </c>
      <c r="P3396" s="11">
        <f t="shared" si="342"/>
        <v>0</v>
      </c>
    </row>
    <row r="3397" spans="1:16" ht="18.75" customHeight="1" thickBot="1" x14ac:dyDescent="0.3">
      <c r="A3397" s="3" t="s">
        <v>24</v>
      </c>
      <c r="B3397" s="4">
        <v>121856</v>
      </c>
      <c r="C3397" s="3" t="s">
        <v>5</v>
      </c>
      <c r="D3397" s="18">
        <v>8.5000000000000006E-2</v>
      </c>
      <c r="E3397" s="21">
        <f t="shared" si="339"/>
        <v>6.8214933659622723E-3</v>
      </c>
      <c r="F3397" s="5">
        <v>38803</v>
      </c>
      <c r="G3397" s="5">
        <v>39173</v>
      </c>
      <c r="H3397" s="16">
        <f t="shared" si="340"/>
        <v>370</v>
      </c>
      <c r="I3397" s="5">
        <v>40303</v>
      </c>
      <c r="J3397" s="5">
        <v>40533</v>
      </c>
      <c r="K3397" s="16">
        <f t="shared" si="341"/>
        <v>1730</v>
      </c>
      <c r="L3397" s="13">
        <v>5000000</v>
      </c>
      <c r="M3397" s="15">
        <f t="shared" si="338"/>
        <v>424078.5941623628</v>
      </c>
      <c r="N3397" s="13">
        <v>3244000</v>
      </c>
      <c r="O3397" s="13">
        <v>0</v>
      </c>
      <c r="P3397" s="11">
        <f t="shared" si="342"/>
        <v>0</v>
      </c>
    </row>
    <row r="3398" spans="1:16" ht="18.75" customHeight="1" thickBot="1" x14ac:dyDescent="0.3">
      <c r="A3398" s="3" t="s">
        <v>24</v>
      </c>
      <c r="B3398" s="4">
        <v>228993</v>
      </c>
      <c r="C3398" s="3" t="s">
        <v>7</v>
      </c>
      <c r="D3398" s="18">
        <v>7.7499999999999999E-2</v>
      </c>
      <c r="E3398" s="21">
        <f t="shared" si="339"/>
        <v>6.2396814612857288E-3</v>
      </c>
      <c r="F3398" s="5">
        <v>38820</v>
      </c>
      <c r="G3398" s="5">
        <v>42475</v>
      </c>
      <c r="H3398" s="16">
        <f t="shared" si="340"/>
        <v>3655</v>
      </c>
      <c r="I3398" s="5">
        <v>46096</v>
      </c>
      <c r="J3398" s="5">
        <v>41410</v>
      </c>
      <c r="K3398" s="16">
        <f t="shared" si="341"/>
        <v>2590</v>
      </c>
      <c r="L3398" s="13">
        <v>903790</v>
      </c>
      <c r="M3398" s="15">
        <f t="shared" si="338"/>
        <v>10613.83069444485</v>
      </c>
      <c r="N3398" s="13">
        <v>598848.57999999996</v>
      </c>
      <c r="O3398" s="13">
        <v>0</v>
      </c>
      <c r="P3398" s="11">
        <f t="shared" si="342"/>
        <v>1</v>
      </c>
    </row>
    <row r="3399" spans="1:16" ht="18.75" customHeight="1" thickBot="1" x14ac:dyDescent="0.3">
      <c r="A3399" s="3" t="s">
        <v>24</v>
      </c>
      <c r="B3399" s="4">
        <v>973854</v>
      </c>
      <c r="C3399" s="3" t="s">
        <v>27</v>
      </c>
      <c r="D3399" s="18">
        <v>8.7499999999999994E-2</v>
      </c>
      <c r="E3399" s="21">
        <f t="shared" si="339"/>
        <v>7.0146116041400752E-3</v>
      </c>
      <c r="F3399" s="5">
        <v>38847</v>
      </c>
      <c r="G3399" s="5">
        <v>40673</v>
      </c>
      <c r="H3399" s="16">
        <f t="shared" si="340"/>
        <v>1826</v>
      </c>
      <c r="I3399" s="5">
        <v>40673</v>
      </c>
      <c r="J3399" s="5">
        <v>40176</v>
      </c>
      <c r="K3399" s="16">
        <f t="shared" si="341"/>
        <v>1329</v>
      </c>
      <c r="L3399" s="13">
        <v>42000</v>
      </c>
      <c r="M3399" s="15">
        <f t="shared" si="338"/>
        <v>850.17132358558183</v>
      </c>
      <c r="N3399" s="13">
        <v>22500</v>
      </c>
      <c r="O3399" s="13">
        <v>0</v>
      </c>
      <c r="P3399" s="11">
        <f t="shared" si="342"/>
        <v>0</v>
      </c>
    </row>
    <row r="3400" spans="1:16" ht="18.75" customHeight="1" thickBot="1" x14ac:dyDescent="0.3">
      <c r="A3400" s="3" t="s">
        <v>24</v>
      </c>
      <c r="B3400" s="4">
        <v>638030</v>
      </c>
      <c r="C3400" s="3" t="s">
        <v>5</v>
      </c>
      <c r="D3400" s="18">
        <v>8.7499999999999994E-2</v>
      </c>
      <c r="E3400" s="21">
        <f t="shared" si="339"/>
        <v>7.0146116041400752E-3</v>
      </c>
      <c r="F3400" s="5">
        <v>38852</v>
      </c>
      <c r="G3400" s="5">
        <v>39401</v>
      </c>
      <c r="H3400" s="16">
        <f t="shared" si="340"/>
        <v>549</v>
      </c>
      <c r="I3400" s="5">
        <v>40313</v>
      </c>
      <c r="J3400" s="5">
        <v>40625</v>
      </c>
      <c r="K3400" s="16">
        <f t="shared" si="341"/>
        <v>1773</v>
      </c>
      <c r="L3400" s="13">
        <v>1000000</v>
      </c>
      <c r="M3400" s="15">
        <f t="shared" si="338"/>
        <v>58418.302260894903</v>
      </c>
      <c r="N3400" s="13">
        <v>998536.79</v>
      </c>
      <c r="O3400" s="13">
        <v>0</v>
      </c>
      <c r="P3400" s="11">
        <f t="shared" si="342"/>
        <v>0</v>
      </c>
    </row>
    <row r="3401" spans="1:16" ht="18.75" customHeight="1" thickBot="1" x14ac:dyDescent="0.3">
      <c r="A3401" s="3" t="s">
        <v>24</v>
      </c>
      <c r="B3401" s="4">
        <v>614907</v>
      </c>
      <c r="C3401" s="3" t="s">
        <v>28</v>
      </c>
      <c r="D3401" s="18">
        <v>8.2500000000000004E-2</v>
      </c>
      <c r="E3401" s="21">
        <f t="shared" si="339"/>
        <v>6.6279668043680573E-3</v>
      </c>
      <c r="F3401" s="5">
        <v>38909</v>
      </c>
      <c r="G3401" s="5">
        <v>40735</v>
      </c>
      <c r="H3401" s="16">
        <f t="shared" si="340"/>
        <v>1826</v>
      </c>
      <c r="I3401" s="5">
        <v>40735</v>
      </c>
      <c r="J3401" s="5">
        <v>40669</v>
      </c>
      <c r="K3401" s="16">
        <f t="shared" si="341"/>
        <v>1760</v>
      </c>
      <c r="L3401" s="13">
        <v>249526</v>
      </c>
      <c r="M3401" s="15">
        <f t="shared" si="338"/>
        <v>4995.3146291454905</v>
      </c>
      <c r="N3401" s="13">
        <v>164096</v>
      </c>
      <c r="O3401" s="13">
        <v>0</v>
      </c>
      <c r="P3401" s="11">
        <f t="shared" si="342"/>
        <v>0</v>
      </c>
    </row>
    <row r="3402" spans="1:16" ht="18.75" customHeight="1" thickBot="1" x14ac:dyDescent="0.3">
      <c r="A3402" s="3" t="s">
        <v>24</v>
      </c>
      <c r="B3402" s="4">
        <v>784805</v>
      </c>
      <c r="C3402" s="3" t="s">
        <v>18</v>
      </c>
      <c r="D3402" s="18">
        <v>8.7499999999999994E-2</v>
      </c>
      <c r="E3402" s="21">
        <f t="shared" si="339"/>
        <v>7.0146116041400752E-3</v>
      </c>
      <c r="F3402" s="5">
        <v>38936</v>
      </c>
      <c r="G3402" s="5">
        <v>39028</v>
      </c>
      <c r="H3402" s="16">
        <f t="shared" si="340"/>
        <v>92</v>
      </c>
      <c r="I3402" s="5">
        <v>42589</v>
      </c>
      <c r="J3402" s="5">
        <v>41179</v>
      </c>
      <c r="K3402" s="16">
        <f t="shared" si="341"/>
        <v>2243</v>
      </c>
      <c r="L3402" s="13">
        <v>97000</v>
      </c>
      <c r="M3402" s="15">
        <f t="shared" si="338"/>
        <v>32082.667272694558</v>
      </c>
      <c r="N3402" s="13">
        <v>36557.279999999999</v>
      </c>
      <c r="O3402" s="13">
        <v>3252.72</v>
      </c>
      <c r="P3402" s="11">
        <f t="shared" si="342"/>
        <v>0</v>
      </c>
    </row>
    <row r="3403" spans="1:16" ht="18.75" customHeight="1" thickBot="1" x14ac:dyDescent="0.3">
      <c r="A3403" s="3" t="s">
        <v>24</v>
      </c>
      <c r="B3403" s="4">
        <v>560698</v>
      </c>
      <c r="C3403" s="3" t="s">
        <v>5</v>
      </c>
      <c r="D3403" s="18">
        <v>8.7499999999999994E-2</v>
      </c>
      <c r="E3403" s="21">
        <f t="shared" si="339"/>
        <v>7.0146116041400752E-3</v>
      </c>
      <c r="F3403" s="5">
        <v>39072</v>
      </c>
      <c r="G3403" s="5">
        <v>39437</v>
      </c>
      <c r="H3403" s="16">
        <f t="shared" si="340"/>
        <v>365</v>
      </c>
      <c r="I3403" s="5">
        <v>40313</v>
      </c>
      <c r="J3403" s="5">
        <v>40836</v>
      </c>
      <c r="K3403" s="16">
        <f t="shared" si="341"/>
        <v>1764</v>
      </c>
      <c r="L3403" s="13">
        <v>1007470</v>
      </c>
      <c r="M3403" s="15">
        <f t="shared" si="338"/>
        <v>86679.424893075964</v>
      </c>
      <c r="N3403" s="13">
        <v>549500</v>
      </c>
      <c r="O3403" s="13">
        <v>0</v>
      </c>
      <c r="P3403" s="11">
        <f t="shared" si="342"/>
        <v>0</v>
      </c>
    </row>
    <row r="3404" spans="1:16" ht="18.75" customHeight="1" thickBot="1" x14ac:dyDescent="0.3">
      <c r="A3404" s="3" t="s">
        <v>24</v>
      </c>
      <c r="B3404" s="4">
        <v>550877</v>
      </c>
      <c r="C3404" s="3" t="s">
        <v>5</v>
      </c>
      <c r="D3404" s="18">
        <v>7.3999999999999996E-2</v>
      </c>
      <c r="E3404" s="21">
        <f t="shared" si="339"/>
        <v>5.9668977756095476E-3</v>
      </c>
      <c r="F3404" s="5">
        <v>39084</v>
      </c>
      <c r="G3404" s="5">
        <v>39449</v>
      </c>
      <c r="H3404" s="16">
        <f t="shared" si="340"/>
        <v>365</v>
      </c>
      <c r="I3404" s="5">
        <v>40757</v>
      </c>
      <c r="J3404" s="5">
        <v>39953</v>
      </c>
      <c r="K3404" s="16">
        <f t="shared" si="341"/>
        <v>869</v>
      </c>
      <c r="L3404" s="13">
        <v>150000</v>
      </c>
      <c r="M3404" s="15">
        <f t="shared" si="338"/>
        <v>12818.428425500168</v>
      </c>
      <c r="N3404" s="13">
        <v>80000</v>
      </c>
      <c r="O3404" s="13">
        <v>0</v>
      </c>
      <c r="P3404" s="11">
        <f t="shared" si="342"/>
        <v>0</v>
      </c>
    </row>
    <row r="3405" spans="1:16" ht="18.75" customHeight="1" thickBot="1" x14ac:dyDescent="0.3">
      <c r="A3405" s="3" t="s">
        <v>24</v>
      </c>
      <c r="B3405" s="4">
        <v>204645</v>
      </c>
      <c r="C3405" s="3" t="s">
        <v>7</v>
      </c>
      <c r="D3405" s="18">
        <v>7.9689999999999997E-2</v>
      </c>
      <c r="E3405" s="21">
        <f t="shared" si="339"/>
        <v>6.4099532888273192E-3</v>
      </c>
      <c r="F3405" s="5">
        <v>39136</v>
      </c>
      <c r="G3405" s="5">
        <v>39203</v>
      </c>
      <c r="H3405" s="16">
        <f t="shared" si="340"/>
        <v>67</v>
      </c>
      <c r="I3405" s="5">
        <v>46500</v>
      </c>
      <c r="J3405" s="5">
        <v>40372</v>
      </c>
      <c r="K3405" s="16">
        <f t="shared" si="341"/>
        <v>1236</v>
      </c>
      <c r="L3405" s="13">
        <v>400000</v>
      </c>
      <c r="M3405" s="15">
        <f t="shared" si="338"/>
        <v>180962.93161293678</v>
      </c>
      <c r="N3405" s="13">
        <v>265000.14</v>
      </c>
      <c r="O3405" s="13">
        <v>0</v>
      </c>
      <c r="P3405" s="11">
        <f t="shared" si="342"/>
        <v>0</v>
      </c>
    </row>
    <row r="3406" spans="1:16" ht="18.75" customHeight="1" thickBot="1" x14ac:dyDescent="0.3">
      <c r="A3406" s="3" t="s">
        <v>24</v>
      </c>
      <c r="B3406" s="4">
        <v>173913</v>
      </c>
      <c r="C3406" s="3" t="s">
        <v>5</v>
      </c>
      <c r="D3406" s="18">
        <v>8.5000000000000006E-2</v>
      </c>
      <c r="E3406" s="21">
        <f t="shared" si="339"/>
        <v>6.8214933659622723E-3</v>
      </c>
      <c r="F3406" s="5">
        <v>39170</v>
      </c>
      <c r="G3406" s="5">
        <v>39540</v>
      </c>
      <c r="H3406" s="16">
        <f t="shared" si="340"/>
        <v>370</v>
      </c>
      <c r="I3406" s="5">
        <v>40303</v>
      </c>
      <c r="J3406" s="5">
        <v>40442</v>
      </c>
      <c r="K3406" s="16">
        <f t="shared" si="341"/>
        <v>1272</v>
      </c>
      <c r="L3406" s="13">
        <v>2500000</v>
      </c>
      <c r="M3406" s="15">
        <f t="shared" si="338"/>
        <v>212039.2970811814</v>
      </c>
      <c r="N3406" s="13">
        <v>2341107.17</v>
      </c>
      <c r="O3406" s="13">
        <v>0</v>
      </c>
      <c r="P3406" s="11">
        <f t="shared" si="342"/>
        <v>0</v>
      </c>
    </row>
    <row r="3407" spans="1:16" ht="18.75" customHeight="1" thickBot="1" x14ac:dyDescent="0.3">
      <c r="A3407" s="3" t="s">
        <v>24</v>
      </c>
      <c r="B3407" s="4">
        <v>672530</v>
      </c>
      <c r="C3407" s="3" t="s">
        <v>28</v>
      </c>
      <c r="D3407" s="18">
        <v>8.5000000000000006E-2</v>
      </c>
      <c r="E3407" s="21">
        <f t="shared" si="339"/>
        <v>6.8214933659622723E-3</v>
      </c>
      <c r="F3407" s="5">
        <v>39279</v>
      </c>
      <c r="G3407" s="5">
        <v>39825</v>
      </c>
      <c r="H3407" s="16">
        <f t="shared" si="340"/>
        <v>546</v>
      </c>
      <c r="I3407" s="5">
        <v>41376</v>
      </c>
      <c r="J3407" s="5">
        <v>40907</v>
      </c>
      <c r="K3407" s="16">
        <f t="shared" si="341"/>
        <v>1628</v>
      </c>
      <c r="L3407" s="13">
        <v>5200000</v>
      </c>
      <c r="M3407" s="15">
        <f t="shared" si="338"/>
        <v>304789.21249069535</v>
      </c>
      <c r="N3407" s="13">
        <v>2055343.41</v>
      </c>
      <c r="O3407" s="13">
        <v>0</v>
      </c>
      <c r="P3407" s="11">
        <f t="shared" si="342"/>
        <v>0</v>
      </c>
    </row>
    <row r="3408" spans="1:16" ht="18.75" customHeight="1" thickBot="1" x14ac:dyDescent="0.3">
      <c r="A3408" s="3" t="s">
        <v>24</v>
      </c>
      <c r="B3408" s="4">
        <v>141911</v>
      </c>
      <c r="C3408" s="3" t="s">
        <v>31</v>
      </c>
      <c r="D3408" s="18">
        <v>0.09</v>
      </c>
      <c r="E3408" s="21">
        <f t="shared" si="339"/>
        <v>7.2073233161367156E-3</v>
      </c>
      <c r="F3408" s="5">
        <v>39454</v>
      </c>
      <c r="G3408" s="5">
        <v>42024</v>
      </c>
      <c r="H3408" s="16">
        <f t="shared" si="340"/>
        <v>2570</v>
      </c>
      <c r="I3408" s="5">
        <v>42906</v>
      </c>
      <c r="J3408" s="5">
        <v>40631</v>
      </c>
      <c r="K3408" s="16">
        <f t="shared" si="341"/>
        <v>1177</v>
      </c>
      <c r="L3408" s="13">
        <v>70426</v>
      </c>
      <c r="M3408" s="15">
        <f t="shared" si="338"/>
        <v>1104.7038090401938</v>
      </c>
      <c r="N3408" s="13">
        <v>30814.78</v>
      </c>
      <c r="O3408" s="13">
        <v>0</v>
      </c>
      <c r="P3408" s="11">
        <f t="shared" si="342"/>
        <v>1</v>
      </c>
    </row>
    <row r="3409" spans="1:16" ht="18.75" customHeight="1" thickBot="1" x14ac:dyDescent="0.3">
      <c r="A3409" s="3" t="s">
        <v>24</v>
      </c>
      <c r="B3409" s="4">
        <v>244775</v>
      </c>
      <c r="C3409" s="3" t="s">
        <v>17</v>
      </c>
      <c r="D3409" s="18">
        <v>9.7500000000000003E-2</v>
      </c>
      <c r="E3409" s="21">
        <f t="shared" si="339"/>
        <v>7.7830370878799737E-3</v>
      </c>
      <c r="F3409" s="5">
        <v>39566</v>
      </c>
      <c r="G3409" s="5">
        <v>39931</v>
      </c>
      <c r="H3409" s="16">
        <f t="shared" si="340"/>
        <v>365</v>
      </c>
      <c r="I3409" s="5">
        <v>40695</v>
      </c>
      <c r="J3409" s="5">
        <v>40794</v>
      </c>
      <c r="K3409" s="16">
        <f t="shared" si="341"/>
        <v>1228</v>
      </c>
      <c r="L3409" s="13">
        <v>160000</v>
      </c>
      <c r="M3409" s="15">
        <f t="shared" si="338"/>
        <v>13834.22512991612</v>
      </c>
      <c r="N3409" s="13">
        <v>105644.09</v>
      </c>
      <c r="O3409" s="13">
        <v>1684.79</v>
      </c>
      <c r="P3409" s="11">
        <f t="shared" si="342"/>
        <v>0</v>
      </c>
    </row>
    <row r="3410" spans="1:16" ht="18.75" customHeight="1" thickBot="1" x14ac:dyDescent="0.3">
      <c r="A3410" s="3" t="s">
        <v>24</v>
      </c>
      <c r="B3410" s="4">
        <v>908424</v>
      </c>
      <c r="C3410" s="3" t="s">
        <v>27</v>
      </c>
      <c r="D3410" s="18">
        <v>8.7499999999999994E-2</v>
      </c>
      <c r="E3410" s="21">
        <f t="shared" si="339"/>
        <v>7.0146116041400752E-3</v>
      </c>
      <c r="F3410" s="5">
        <v>39577</v>
      </c>
      <c r="G3410" s="5">
        <v>45055</v>
      </c>
      <c r="H3410" s="16">
        <f t="shared" si="340"/>
        <v>5478</v>
      </c>
      <c r="I3410" s="5">
        <v>45055</v>
      </c>
      <c r="J3410" s="5">
        <v>40359</v>
      </c>
      <c r="K3410" s="16">
        <f t="shared" si="341"/>
        <v>782</v>
      </c>
      <c r="L3410" s="13">
        <v>109558.47</v>
      </c>
      <c r="M3410" s="15">
        <f t="shared" si="338"/>
        <v>1065.9553553750115</v>
      </c>
      <c r="N3410" s="13">
        <v>86530.95</v>
      </c>
      <c r="O3410" s="13">
        <v>0</v>
      </c>
      <c r="P3410" s="11">
        <f t="shared" si="342"/>
        <v>1</v>
      </c>
    </row>
    <row r="3411" spans="1:16" ht="18.75" customHeight="1" thickBot="1" x14ac:dyDescent="0.3">
      <c r="A3411" s="3" t="s">
        <v>24</v>
      </c>
      <c r="B3411" s="4">
        <v>218689</v>
      </c>
      <c r="C3411" s="3" t="s">
        <v>7</v>
      </c>
      <c r="D3411" s="18">
        <v>8.4909999999999999E-2</v>
      </c>
      <c r="E3411" s="21">
        <f t="shared" si="339"/>
        <v>6.8145335057789858E-3</v>
      </c>
      <c r="F3411" s="5">
        <v>41243</v>
      </c>
      <c r="G3411" s="5">
        <v>42374</v>
      </c>
      <c r="H3411" s="16">
        <f t="shared" si="340"/>
        <v>1131</v>
      </c>
      <c r="I3411" s="5">
        <v>42374</v>
      </c>
      <c r="J3411" s="5">
        <v>42451</v>
      </c>
      <c r="K3411" s="16">
        <f t="shared" si="341"/>
        <v>1208</v>
      </c>
      <c r="L3411" s="13">
        <v>929275.39</v>
      </c>
      <c r="M3411" s="15">
        <f t="shared" si="338"/>
        <v>28034.361994814619</v>
      </c>
      <c r="N3411" s="13">
        <v>82673.100000000006</v>
      </c>
      <c r="O3411" s="13">
        <v>82673.100000000006</v>
      </c>
      <c r="P3411" s="11">
        <f t="shared" si="342"/>
        <v>1</v>
      </c>
    </row>
    <row r="3412" spans="1:16" ht="18.75" customHeight="1" thickBot="1" x14ac:dyDescent="0.3">
      <c r="A3412" s="3" t="s">
        <v>24</v>
      </c>
      <c r="B3412" s="4">
        <v>682354</v>
      </c>
      <c r="C3412" s="3" t="s">
        <v>7</v>
      </c>
      <c r="D3412" s="18">
        <v>8.7499999999999994E-2</v>
      </c>
      <c r="E3412" s="21">
        <f t="shared" si="339"/>
        <v>7.0146116041400752E-3</v>
      </c>
      <c r="F3412" s="5">
        <v>35828</v>
      </c>
      <c r="G3412" s="5">
        <v>37657</v>
      </c>
      <c r="H3412" s="16">
        <f t="shared" si="340"/>
        <v>1829</v>
      </c>
      <c r="I3412" s="5">
        <v>37657</v>
      </c>
      <c r="J3412" s="5">
        <v>37344</v>
      </c>
      <c r="K3412" s="16">
        <f t="shared" si="341"/>
        <v>1516</v>
      </c>
      <c r="L3412" s="13">
        <v>262500</v>
      </c>
      <c r="M3412" s="15">
        <f t="shared" si="338"/>
        <v>5306.578411008004</v>
      </c>
      <c r="N3412" s="13">
        <v>245081.19</v>
      </c>
      <c r="O3412" s="13">
        <v>0</v>
      </c>
      <c r="P3412" s="11">
        <f t="shared" si="342"/>
        <v>0</v>
      </c>
    </row>
    <row r="3413" spans="1:16" ht="18.75" hidden="1" customHeight="1" thickBot="1" x14ac:dyDescent="0.3">
      <c r="A3413" s="3" t="s">
        <v>24</v>
      </c>
      <c r="B3413" s="4">
        <v>83402</v>
      </c>
      <c r="C3413" s="3" t="s">
        <v>30</v>
      </c>
      <c r="D3413" s="7">
        <v>7.2499999999999995E-2</v>
      </c>
      <c r="E3413" s="7">
        <f t="shared" ref="E3413:E3440" si="343">D3413/12</f>
        <v>6.0416666666666665E-3</v>
      </c>
      <c r="F3413" s="5">
        <v>38544</v>
      </c>
      <c r="G3413" s="5">
        <v>2958465</v>
      </c>
      <c r="H3413" s="8">
        <f t="shared" si="340"/>
        <v>2919921</v>
      </c>
      <c r="I3413" s="5">
        <v>42196</v>
      </c>
      <c r="J3413" s="5">
        <v>40900</v>
      </c>
      <c r="K3413" s="8">
        <f t="shared" si="341"/>
        <v>2356</v>
      </c>
      <c r="L3413" s="6">
        <v>56000</v>
      </c>
      <c r="M3413" s="9">
        <f t="shared" si="338"/>
        <v>338.33333333333331</v>
      </c>
      <c r="N3413" s="6">
        <v>49455.65</v>
      </c>
      <c r="O3413" s="6">
        <v>0</v>
      </c>
      <c r="P3413" s="11">
        <f t="shared" si="342"/>
        <v>1</v>
      </c>
    </row>
    <row r="3414" spans="1:16" ht="18.75" hidden="1" customHeight="1" thickBot="1" x14ac:dyDescent="0.3">
      <c r="A3414" s="3" t="s">
        <v>24</v>
      </c>
      <c r="B3414" s="4">
        <v>457347</v>
      </c>
      <c r="C3414" s="3" t="s">
        <v>14</v>
      </c>
      <c r="D3414" s="7">
        <v>7.2499999999999995E-2</v>
      </c>
      <c r="E3414" s="7">
        <f t="shared" si="343"/>
        <v>6.0416666666666665E-3</v>
      </c>
      <c r="F3414" s="5">
        <v>38868</v>
      </c>
      <c r="G3414" s="5">
        <v>2958465</v>
      </c>
      <c r="H3414" s="8">
        <f t="shared" si="340"/>
        <v>2919597</v>
      </c>
      <c r="I3414" s="5">
        <v>42943</v>
      </c>
      <c r="J3414" s="5">
        <v>40421</v>
      </c>
      <c r="K3414" s="8">
        <f t="shared" si="341"/>
        <v>1553</v>
      </c>
      <c r="L3414" s="6">
        <v>85000</v>
      </c>
      <c r="M3414" s="9">
        <f t="shared" si="338"/>
        <v>513.54166666666663</v>
      </c>
      <c r="N3414" s="6">
        <v>54878.64</v>
      </c>
      <c r="O3414" s="6">
        <v>0</v>
      </c>
    </row>
    <row r="3415" spans="1:16" ht="18.75" hidden="1" customHeight="1" thickBot="1" x14ac:dyDescent="0.3">
      <c r="A3415" s="3" t="s">
        <v>24</v>
      </c>
      <c r="B3415" s="4">
        <v>114405</v>
      </c>
      <c r="C3415" s="3" t="s">
        <v>14</v>
      </c>
      <c r="D3415" s="7">
        <v>6.5000000000000002E-2</v>
      </c>
      <c r="E3415" s="7">
        <f t="shared" si="343"/>
        <v>5.4166666666666669E-3</v>
      </c>
      <c r="F3415" s="5">
        <v>39239</v>
      </c>
      <c r="G3415" s="5">
        <v>2958465</v>
      </c>
      <c r="H3415" s="8">
        <f t="shared" si="340"/>
        <v>2919226</v>
      </c>
      <c r="I3415" s="5">
        <v>42887</v>
      </c>
      <c r="J3415" s="5">
        <v>40533</v>
      </c>
      <c r="K3415" s="8">
        <f t="shared" si="341"/>
        <v>1294</v>
      </c>
      <c r="L3415" s="6">
        <v>70000</v>
      </c>
      <c r="M3415" s="9">
        <f t="shared" si="338"/>
        <v>379.16666666666669</v>
      </c>
      <c r="N3415" s="6">
        <v>69465.23</v>
      </c>
      <c r="O3415" s="6">
        <v>2565</v>
      </c>
    </row>
    <row r="3416" spans="1:16" ht="18.75" customHeight="1" thickBot="1" x14ac:dyDescent="0.3">
      <c r="A3416" s="3" t="s">
        <v>24</v>
      </c>
      <c r="B3416" s="4">
        <v>917818</v>
      </c>
      <c r="C3416" s="3" t="s">
        <v>18</v>
      </c>
      <c r="D3416" s="18">
        <v>9.5000000000000001E-2</v>
      </c>
      <c r="E3416" s="21">
        <f t="shared" ref="E3416:E3422" si="344">(1+D3416)^(1/12)-1</f>
        <v>7.5915342905825689E-3</v>
      </c>
      <c r="F3416" s="5">
        <v>36334</v>
      </c>
      <c r="G3416" s="5">
        <v>39987</v>
      </c>
      <c r="H3416" s="16">
        <f t="shared" si="340"/>
        <v>3653</v>
      </c>
      <c r="I3416" s="5">
        <v>39987</v>
      </c>
      <c r="J3416" s="5">
        <v>36886</v>
      </c>
      <c r="K3416" s="16">
        <f t="shared" si="341"/>
        <v>552</v>
      </c>
      <c r="L3416" s="13">
        <v>50000</v>
      </c>
      <c r="M3416" s="15">
        <f t="shared" si="338"/>
        <v>630.69233346244357</v>
      </c>
      <c r="N3416" s="13">
        <v>1000</v>
      </c>
      <c r="O3416" s="13">
        <v>52100.14</v>
      </c>
      <c r="P3416" s="11">
        <f t="shared" ref="P3416:P3422" si="345">IF((G3416)&gt;(ConstantDateCutoff),1,0)</f>
        <v>0</v>
      </c>
    </row>
    <row r="3417" spans="1:16" ht="18.75" customHeight="1" thickBot="1" x14ac:dyDescent="0.3">
      <c r="A3417" s="3" t="s">
        <v>24</v>
      </c>
      <c r="B3417" s="4">
        <v>731468</v>
      </c>
      <c r="C3417" s="3" t="s">
        <v>23</v>
      </c>
      <c r="D3417" s="18">
        <v>9.5000000000000001E-2</v>
      </c>
      <c r="E3417" s="21">
        <f t="shared" si="344"/>
        <v>7.5915342905825689E-3</v>
      </c>
      <c r="F3417" s="5">
        <v>36705</v>
      </c>
      <c r="G3417" s="5">
        <v>38544</v>
      </c>
      <c r="H3417" s="16">
        <f t="shared" si="340"/>
        <v>1839</v>
      </c>
      <c r="I3417" s="5">
        <v>38544</v>
      </c>
      <c r="J3417" s="5">
        <v>36795</v>
      </c>
      <c r="K3417" s="16">
        <f t="shared" si="341"/>
        <v>90</v>
      </c>
      <c r="L3417" s="13">
        <v>7377.53</v>
      </c>
      <c r="M3417" s="15">
        <f t="shared" si="338"/>
        <v>150.9668923098441</v>
      </c>
      <c r="N3417" s="13">
        <v>7377.53</v>
      </c>
      <c r="O3417" s="13">
        <v>0</v>
      </c>
      <c r="P3417" s="11">
        <f t="shared" si="345"/>
        <v>0</v>
      </c>
    </row>
    <row r="3418" spans="1:16" ht="18.75" customHeight="1" thickBot="1" x14ac:dyDescent="0.3">
      <c r="A3418" s="3" t="s">
        <v>24</v>
      </c>
      <c r="B3418" s="4">
        <v>458107</v>
      </c>
      <c r="C3418" s="3" t="s">
        <v>5</v>
      </c>
      <c r="D3418" s="18">
        <v>8.2500000000000004E-2</v>
      </c>
      <c r="E3418" s="21">
        <f t="shared" si="344"/>
        <v>6.6279668043680573E-3</v>
      </c>
      <c r="F3418" s="5">
        <v>38995</v>
      </c>
      <c r="G3418" s="5">
        <v>39359</v>
      </c>
      <c r="H3418" s="16">
        <f t="shared" si="340"/>
        <v>364</v>
      </c>
      <c r="I3418" s="5">
        <v>40820</v>
      </c>
      <c r="J3418" s="5">
        <v>40960</v>
      </c>
      <c r="K3418" s="16">
        <f t="shared" si="341"/>
        <v>1965</v>
      </c>
      <c r="L3418" s="13">
        <v>193535</v>
      </c>
      <c r="M3418" s="15">
        <f t="shared" si="338"/>
        <v>16653.427869881914</v>
      </c>
      <c r="N3418" s="13">
        <v>135820</v>
      </c>
      <c r="O3418" s="13">
        <v>190</v>
      </c>
      <c r="P3418" s="11">
        <f t="shared" si="345"/>
        <v>0</v>
      </c>
    </row>
    <row r="3419" spans="1:16" ht="18.75" customHeight="1" thickBot="1" x14ac:dyDescent="0.3">
      <c r="A3419" s="3" t="s">
        <v>24</v>
      </c>
      <c r="B3419" s="4">
        <v>746738</v>
      </c>
      <c r="C3419" s="3" t="s">
        <v>7</v>
      </c>
      <c r="D3419" s="18">
        <v>0.08</v>
      </c>
      <c r="E3419" s="21">
        <f t="shared" si="344"/>
        <v>6.4340301100034303E-3</v>
      </c>
      <c r="F3419" s="5">
        <v>39065</v>
      </c>
      <c r="G3419" s="5">
        <v>42718</v>
      </c>
      <c r="H3419" s="16">
        <f t="shared" si="340"/>
        <v>3653</v>
      </c>
      <c r="I3419" s="5">
        <v>42718</v>
      </c>
      <c r="J3419" s="5">
        <v>39798</v>
      </c>
      <c r="K3419" s="16">
        <f t="shared" si="341"/>
        <v>733</v>
      </c>
      <c r="L3419" s="13">
        <v>507809.5</v>
      </c>
      <c r="M3419" s="15">
        <f t="shared" si="338"/>
        <v>6027.8793825214761</v>
      </c>
      <c r="N3419" s="13">
        <v>442000</v>
      </c>
      <c r="O3419" s="13">
        <v>0</v>
      </c>
      <c r="P3419" s="11">
        <f t="shared" si="345"/>
        <v>1</v>
      </c>
    </row>
    <row r="3420" spans="1:16" ht="18.75" customHeight="1" thickBot="1" x14ac:dyDescent="0.3">
      <c r="A3420" s="3" t="s">
        <v>24</v>
      </c>
      <c r="B3420" s="4">
        <v>149463</v>
      </c>
      <c r="C3420" s="3" t="s">
        <v>18</v>
      </c>
      <c r="D3420" s="18">
        <v>8.7499999999999994E-2</v>
      </c>
      <c r="E3420" s="21">
        <f t="shared" si="344"/>
        <v>7.0146116041400752E-3</v>
      </c>
      <c r="F3420" s="5">
        <v>39279</v>
      </c>
      <c r="G3420" s="5">
        <v>42932</v>
      </c>
      <c r="H3420" s="16">
        <f t="shared" si="340"/>
        <v>3653</v>
      </c>
      <c r="I3420" s="5">
        <v>42932</v>
      </c>
      <c r="J3420" s="5">
        <v>40563</v>
      </c>
      <c r="K3420" s="16">
        <f t="shared" si="341"/>
        <v>1284</v>
      </c>
      <c r="L3420" s="13">
        <v>144000</v>
      </c>
      <c r="M3420" s="15">
        <f t="shared" si="338"/>
        <v>1762.5811257537471</v>
      </c>
      <c r="N3420" s="13">
        <v>64678.39</v>
      </c>
      <c r="O3420" s="13">
        <v>28512.38</v>
      </c>
      <c r="P3420" s="11">
        <f t="shared" si="345"/>
        <v>1</v>
      </c>
    </row>
    <row r="3421" spans="1:16" ht="18.75" customHeight="1" thickBot="1" x14ac:dyDescent="0.3">
      <c r="A3421" s="3" t="s">
        <v>24</v>
      </c>
      <c r="B3421" s="4">
        <v>491405</v>
      </c>
      <c r="C3421" s="3" t="s">
        <v>7</v>
      </c>
      <c r="D3421" s="18">
        <v>8.7499999999999994E-2</v>
      </c>
      <c r="E3421" s="21">
        <f t="shared" si="344"/>
        <v>7.0146116041400752E-3</v>
      </c>
      <c r="F3421" s="5">
        <v>39316</v>
      </c>
      <c r="G3421" s="5">
        <v>39682</v>
      </c>
      <c r="H3421" s="16">
        <f t="shared" si="340"/>
        <v>366</v>
      </c>
      <c r="I3421" s="5">
        <v>42014</v>
      </c>
      <c r="J3421" s="5">
        <v>40669</v>
      </c>
      <c r="K3421" s="16">
        <f t="shared" si="341"/>
        <v>1353</v>
      </c>
      <c r="L3421" s="13">
        <v>202875</v>
      </c>
      <c r="M3421" s="15">
        <f t="shared" si="338"/>
        <v>17409.010548194117</v>
      </c>
      <c r="N3421" s="13">
        <v>51534.9</v>
      </c>
      <c r="O3421" s="13">
        <v>154200</v>
      </c>
      <c r="P3421" s="11">
        <f t="shared" si="345"/>
        <v>0</v>
      </c>
    </row>
    <row r="3422" spans="1:16" ht="18.75" customHeight="1" thickBot="1" x14ac:dyDescent="0.3">
      <c r="A3422" s="3" t="s">
        <v>24</v>
      </c>
      <c r="B3422" s="4">
        <v>251334</v>
      </c>
      <c r="C3422" s="3" t="s">
        <v>8</v>
      </c>
      <c r="D3422" s="18">
        <v>8.7499999999999994E-2</v>
      </c>
      <c r="E3422" s="21">
        <f t="shared" si="344"/>
        <v>7.0146116041400752E-3</v>
      </c>
      <c r="F3422" s="5">
        <v>39316</v>
      </c>
      <c r="G3422" s="5">
        <v>39682</v>
      </c>
      <c r="H3422" s="16">
        <f t="shared" si="340"/>
        <v>366</v>
      </c>
      <c r="I3422" s="5">
        <v>42014</v>
      </c>
      <c r="J3422" s="5">
        <v>40669</v>
      </c>
      <c r="K3422" s="16">
        <f t="shared" si="341"/>
        <v>1353</v>
      </c>
      <c r="L3422" s="13">
        <v>101387</v>
      </c>
      <c r="M3422" s="15">
        <f t="shared" si="338"/>
        <v>8700.1717927283171</v>
      </c>
      <c r="N3422" s="13">
        <v>101339.12</v>
      </c>
      <c r="O3422" s="13">
        <v>101339.12</v>
      </c>
      <c r="P3422" s="11">
        <f t="shared" si="345"/>
        <v>0</v>
      </c>
    </row>
    <row r="3423" spans="1:16" ht="18.75" hidden="1" customHeight="1" thickBot="1" x14ac:dyDescent="0.3">
      <c r="A3423" s="3" t="s">
        <v>24</v>
      </c>
      <c r="B3423" s="4">
        <v>132872</v>
      </c>
      <c r="C3423" s="3" t="s">
        <v>14</v>
      </c>
      <c r="D3423" s="7">
        <v>6.7500000000000004E-2</v>
      </c>
      <c r="E3423" s="7">
        <f t="shared" si="343"/>
        <v>5.6250000000000007E-3</v>
      </c>
      <c r="F3423" s="5">
        <v>39335</v>
      </c>
      <c r="G3423" s="5">
        <v>42982</v>
      </c>
      <c r="H3423" s="8">
        <f t="shared" si="340"/>
        <v>3647</v>
      </c>
      <c r="I3423" s="5">
        <v>42982</v>
      </c>
      <c r="J3423" s="5">
        <v>41968</v>
      </c>
      <c r="K3423" s="8">
        <f t="shared" si="341"/>
        <v>2633</v>
      </c>
      <c r="L3423" s="6">
        <v>90000</v>
      </c>
      <c r="M3423" s="9">
        <f t="shared" si="338"/>
        <v>1024.0867725441367</v>
      </c>
      <c r="N3423" s="6">
        <v>79865.91</v>
      </c>
      <c r="O3423" s="6">
        <v>0</v>
      </c>
    </row>
    <row r="3424" spans="1:16" ht="18.75" customHeight="1" thickBot="1" x14ac:dyDescent="0.3">
      <c r="A3424" s="3" t="s">
        <v>24</v>
      </c>
      <c r="B3424" s="4">
        <v>55022</v>
      </c>
      <c r="C3424" s="3" t="s">
        <v>7</v>
      </c>
      <c r="D3424" s="18">
        <v>7.9600000000000004E-2</v>
      </c>
      <c r="E3424" s="21">
        <f t="shared" ref="E3424:E3431" si="346">(1+D3424)^(1/12)-1</f>
        <v>6.4029620570458246E-3</v>
      </c>
      <c r="F3424" s="5">
        <v>39381</v>
      </c>
      <c r="G3424" s="5">
        <v>41223</v>
      </c>
      <c r="H3424" s="16">
        <f t="shared" si="340"/>
        <v>1842</v>
      </c>
      <c r="I3424" s="5">
        <v>41223</v>
      </c>
      <c r="J3424" s="5">
        <v>40533</v>
      </c>
      <c r="K3424" s="16">
        <f t="shared" si="341"/>
        <v>1152</v>
      </c>
      <c r="L3424" s="13">
        <v>346163</v>
      </c>
      <c r="M3424" s="15">
        <f t="shared" si="338"/>
        <v>6836.297831070151</v>
      </c>
      <c r="N3424" s="13">
        <v>219585.05</v>
      </c>
      <c r="O3424" s="13">
        <v>200</v>
      </c>
      <c r="P3424" s="11">
        <f t="shared" ref="P3424:P3431" si="347">IF((G3424)&gt;(ConstantDateCutoff),1,0)</f>
        <v>0</v>
      </c>
    </row>
    <row r="3425" spans="1:16" ht="18.75" customHeight="1" thickBot="1" x14ac:dyDescent="0.3">
      <c r="A3425" s="3" t="s">
        <v>24</v>
      </c>
      <c r="B3425" s="4">
        <v>222292</v>
      </c>
      <c r="C3425" s="3" t="s">
        <v>18</v>
      </c>
      <c r="D3425" s="18">
        <v>8.7499999999999994E-2</v>
      </c>
      <c r="E3425" s="21">
        <f t="shared" si="346"/>
        <v>7.0146116041400752E-3</v>
      </c>
      <c r="F3425" s="5">
        <v>39520</v>
      </c>
      <c r="G3425" s="5">
        <v>43172</v>
      </c>
      <c r="H3425" s="16">
        <f t="shared" si="340"/>
        <v>3652</v>
      </c>
      <c r="I3425" s="5">
        <v>43172</v>
      </c>
      <c r="J3425" s="5">
        <v>40549</v>
      </c>
      <c r="K3425" s="16">
        <f t="shared" si="341"/>
        <v>1029</v>
      </c>
      <c r="L3425" s="13">
        <v>115000</v>
      </c>
      <c r="M3425" s="15">
        <f t="shared" si="338"/>
        <v>1407.861271262924</v>
      </c>
      <c r="N3425" s="13">
        <v>67151.06</v>
      </c>
      <c r="O3425" s="13">
        <v>0</v>
      </c>
      <c r="P3425" s="11">
        <f t="shared" si="347"/>
        <v>1</v>
      </c>
    </row>
    <row r="3426" spans="1:16" ht="18.75" customHeight="1" thickBot="1" x14ac:dyDescent="0.3">
      <c r="A3426" s="3" t="s">
        <v>24</v>
      </c>
      <c r="B3426" s="4">
        <v>581797</v>
      </c>
      <c r="C3426" s="3" t="s">
        <v>18</v>
      </c>
      <c r="D3426" s="18">
        <v>8.7499999999999994E-2</v>
      </c>
      <c r="E3426" s="21">
        <f t="shared" si="346"/>
        <v>7.0146116041400752E-3</v>
      </c>
      <c r="F3426" s="5">
        <v>39449</v>
      </c>
      <c r="G3426" s="5">
        <v>43102</v>
      </c>
      <c r="H3426" s="16">
        <f t="shared" si="340"/>
        <v>3653</v>
      </c>
      <c r="I3426" s="5">
        <v>43102</v>
      </c>
      <c r="J3426" s="5">
        <v>40623</v>
      </c>
      <c r="K3426" s="16">
        <f t="shared" si="341"/>
        <v>1174</v>
      </c>
      <c r="L3426" s="13">
        <v>205000</v>
      </c>
      <c r="M3426" s="15">
        <f t="shared" si="338"/>
        <v>2509.230074857765</v>
      </c>
      <c r="N3426" s="13">
        <v>108661.62</v>
      </c>
      <c r="O3426" s="13">
        <v>0</v>
      </c>
      <c r="P3426" s="11">
        <f t="shared" si="347"/>
        <v>1</v>
      </c>
    </row>
    <row r="3427" spans="1:16" ht="18.75" customHeight="1" thickBot="1" x14ac:dyDescent="0.3">
      <c r="A3427" s="3" t="s">
        <v>24</v>
      </c>
      <c r="B3427" s="4">
        <v>422103</v>
      </c>
      <c r="C3427" s="3" t="s">
        <v>7</v>
      </c>
      <c r="D3427" s="18">
        <v>8.2500000000000004E-2</v>
      </c>
      <c r="E3427" s="21">
        <f t="shared" si="346"/>
        <v>6.6279668043680573E-3</v>
      </c>
      <c r="F3427" s="5">
        <v>39477</v>
      </c>
      <c r="G3427" s="5">
        <v>41294</v>
      </c>
      <c r="H3427" s="16">
        <f t="shared" si="340"/>
        <v>1817</v>
      </c>
      <c r="I3427" s="5">
        <v>41294</v>
      </c>
      <c r="J3427" s="5">
        <v>39798</v>
      </c>
      <c r="K3427" s="16">
        <f t="shared" si="341"/>
        <v>321</v>
      </c>
      <c r="L3427" s="13">
        <v>151164</v>
      </c>
      <c r="M3427" s="15">
        <f t="shared" si="338"/>
        <v>3038.3626388143025</v>
      </c>
      <c r="N3427" s="13">
        <v>151164</v>
      </c>
      <c r="O3427" s="13">
        <v>0</v>
      </c>
      <c r="P3427" s="11">
        <f t="shared" si="347"/>
        <v>0</v>
      </c>
    </row>
    <row r="3428" spans="1:16" ht="18.75" customHeight="1" thickBot="1" x14ac:dyDescent="0.3">
      <c r="A3428" s="3" t="s">
        <v>24</v>
      </c>
      <c r="B3428" s="4">
        <v>257544</v>
      </c>
      <c r="C3428" s="3" t="s">
        <v>17</v>
      </c>
      <c r="D3428" s="18">
        <v>8.2500000000000004E-2</v>
      </c>
      <c r="E3428" s="21">
        <f t="shared" si="346"/>
        <v>6.6279668043680573E-3</v>
      </c>
      <c r="F3428" s="5">
        <v>39563</v>
      </c>
      <c r="G3428" s="5">
        <v>43230</v>
      </c>
      <c r="H3428" s="16">
        <f t="shared" si="340"/>
        <v>3667</v>
      </c>
      <c r="I3428" s="5">
        <v>43230</v>
      </c>
      <c r="J3428" s="5">
        <v>40168</v>
      </c>
      <c r="K3428" s="16">
        <f t="shared" si="341"/>
        <v>605</v>
      </c>
      <c r="L3428" s="13">
        <v>228940</v>
      </c>
      <c r="M3428" s="15">
        <f t="shared" si="338"/>
        <v>2738.8930353625997</v>
      </c>
      <c r="N3428" s="13">
        <v>225690.3</v>
      </c>
      <c r="O3428" s="13">
        <v>24650</v>
      </c>
      <c r="P3428" s="11">
        <f t="shared" si="347"/>
        <v>1</v>
      </c>
    </row>
    <row r="3429" spans="1:16" ht="18.75" customHeight="1" thickBot="1" x14ac:dyDescent="0.3">
      <c r="A3429" s="3" t="s">
        <v>24</v>
      </c>
      <c r="B3429" s="4">
        <v>354696</v>
      </c>
      <c r="C3429" s="3" t="s">
        <v>7</v>
      </c>
      <c r="D3429" s="18">
        <v>8.7499999999999994E-2</v>
      </c>
      <c r="E3429" s="21">
        <f t="shared" si="346"/>
        <v>7.0146116041400752E-3</v>
      </c>
      <c r="F3429" s="5">
        <v>39644</v>
      </c>
      <c r="G3429" s="5">
        <v>41470</v>
      </c>
      <c r="H3429" s="16">
        <f t="shared" si="340"/>
        <v>1826</v>
      </c>
      <c r="I3429" s="5">
        <v>41470</v>
      </c>
      <c r="J3429" s="5">
        <v>40247</v>
      </c>
      <c r="K3429" s="16">
        <f t="shared" si="341"/>
        <v>603</v>
      </c>
      <c r="L3429" s="13">
        <v>249900</v>
      </c>
      <c r="M3429" s="15">
        <f t="shared" si="338"/>
        <v>5058.5193753342119</v>
      </c>
      <c r="N3429" s="13">
        <v>147891.72</v>
      </c>
      <c r="O3429" s="13">
        <v>24845.24</v>
      </c>
      <c r="P3429" s="11">
        <f t="shared" si="347"/>
        <v>0</v>
      </c>
    </row>
    <row r="3430" spans="1:16" ht="18.75" customHeight="1" thickBot="1" x14ac:dyDescent="0.3">
      <c r="A3430" s="3" t="s">
        <v>24</v>
      </c>
      <c r="B3430" s="4">
        <v>635955</v>
      </c>
      <c r="C3430" s="3" t="s">
        <v>7</v>
      </c>
      <c r="D3430" s="18">
        <v>5.2499999999999998E-2</v>
      </c>
      <c r="E3430" s="21">
        <f t="shared" si="346"/>
        <v>4.2731277661580691E-3</v>
      </c>
      <c r="F3430" s="5">
        <v>40773</v>
      </c>
      <c r="G3430" s="5">
        <v>42931</v>
      </c>
      <c r="H3430" s="16">
        <f t="shared" si="340"/>
        <v>2158</v>
      </c>
      <c r="I3430" s="5">
        <v>42931</v>
      </c>
      <c r="J3430" s="5">
        <v>40777</v>
      </c>
      <c r="K3430" s="16">
        <f t="shared" si="341"/>
        <v>4</v>
      </c>
      <c r="L3430" s="13">
        <v>35000</v>
      </c>
      <c r="M3430" s="15">
        <f t="shared" si="338"/>
        <v>566.19702550391094</v>
      </c>
      <c r="N3430" s="13">
        <v>35000</v>
      </c>
      <c r="O3430" s="13">
        <v>17000</v>
      </c>
      <c r="P3430" s="11">
        <f t="shared" si="347"/>
        <v>1</v>
      </c>
    </row>
    <row r="3431" spans="1:16" ht="18.75" customHeight="1" thickBot="1" x14ac:dyDescent="0.3">
      <c r="A3431" s="3" t="s">
        <v>24</v>
      </c>
      <c r="B3431" s="4">
        <v>748311</v>
      </c>
      <c r="C3431" s="3" t="s">
        <v>28</v>
      </c>
      <c r="D3431" s="18">
        <v>9.5000000000000001E-2</v>
      </c>
      <c r="E3431" s="21">
        <f t="shared" si="346"/>
        <v>7.5915342905825689E-3</v>
      </c>
      <c r="F3431" s="5">
        <v>40974</v>
      </c>
      <c r="G3431" s="5">
        <v>41339</v>
      </c>
      <c r="H3431" s="16">
        <f t="shared" si="340"/>
        <v>365</v>
      </c>
      <c r="I3431" s="5">
        <v>43440</v>
      </c>
      <c r="J3431" s="5">
        <v>42914</v>
      </c>
      <c r="K3431" s="16">
        <f t="shared" si="341"/>
        <v>1940</v>
      </c>
      <c r="L3431" s="13">
        <v>70630</v>
      </c>
      <c r="M3431" s="15">
        <f t="shared" si="338"/>
        <v>6099.4188198682778</v>
      </c>
      <c r="N3431" s="13">
        <v>46344.29</v>
      </c>
      <c r="O3431" s="13">
        <v>2541.4899999999998</v>
      </c>
      <c r="P3431" s="11">
        <f t="shared" si="347"/>
        <v>0</v>
      </c>
    </row>
    <row r="3432" spans="1:16" ht="18.75" hidden="1" customHeight="1" thickBot="1" x14ac:dyDescent="0.3">
      <c r="A3432" s="3" t="s">
        <v>24</v>
      </c>
      <c r="B3432" s="4">
        <v>974973</v>
      </c>
      <c r="C3432" s="3" t="s">
        <v>21</v>
      </c>
      <c r="D3432" s="7">
        <v>7.1999999999999995E-2</v>
      </c>
      <c r="E3432" s="7">
        <f t="shared" si="343"/>
        <v>5.9999999999999993E-3</v>
      </c>
      <c r="F3432" s="5">
        <v>42434</v>
      </c>
      <c r="G3432" s="5">
        <v>49739</v>
      </c>
      <c r="H3432" s="8">
        <f t="shared" si="340"/>
        <v>7305</v>
      </c>
      <c r="I3432" s="5">
        <v>49739</v>
      </c>
      <c r="J3432" s="5">
        <v>42998</v>
      </c>
      <c r="K3432" s="8">
        <f t="shared" si="341"/>
        <v>564</v>
      </c>
      <c r="L3432" s="6">
        <v>12000</v>
      </c>
      <c r="M3432" s="9">
        <f t="shared" si="338"/>
        <v>93.874578588170351</v>
      </c>
      <c r="N3432" s="6">
        <v>11073.61</v>
      </c>
      <c r="O3432" s="6">
        <v>11073.61</v>
      </c>
    </row>
    <row r="3433" spans="1:16" ht="18.75" hidden="1" customHeight="1" thickBot="1" x14ac:dyDescent="0.3">
      <c r="A3433" s="3" t="s">
        <v>24</v>
      </c>
      <c r="B3433" s="4">
        <v>722067</v>
      </c>
      <c r="C3433" s="3" t="s">
        <v>28</v>
      </c>
      <c r="D3433" s="18">
        <v>9.9999999999999995E-8</v>
      </c>
      <c r="E3433" s="21">
        <f t="shared" ref="E3433:E3434" si="348">(1+D3433)^(1/12)-1</f>
        <v>8.3333329126134004E-9</v>
      </c>
      <c r="F3433" s="5">
        <v>39458</v>
      </c>
      <c r="G3433" s="5">
        <v>41285</v>
      </c>
      <c r="H3433" s="16">
        <f t="shared" si="340"/>
        <v>1827</v>
      </c>
      <c r="I3433" s="5">
        <v>42839</v>
      </c>
      <c r="J3433" s="5">
        <v>41765</v>
      </c>
      <c r="K3433" s="16">
        <f t="shared" si="341"/>
        <v>2307</v>
      </c>
      <c r="L3433" s="13">
        <v>1300000</v>
      </c>
      <c r="M3433" s="15">
        <f t="shared" si="338"/>
        <v>21346.475127942169</v>
      </c>
      <c r="N3433" s="13">
        <v>750000</v>
      </c>
      <c r="O3433" s="13">
        <v>16000</v>
      </c>
      <c r="P3433" s="11">
        <f>IF((G3433)&gt;(ConstantDateCutoff),1,0)</f>
        <v>0</v>
      </c>
    </row>
    <row r="3434" spans="1:16" ht="18.75" customHeight="1" thickBot="1" x14ac:dyDescent="0.3">
      <c r="A3434" s="3" t="s">
        <v>24</v>
      </c>
      <c r="B3434" s="4">
        <v>862142</v>
      </c>
      <c r="C3434" s="3" t="s">
        <v>5</v>
      </c>
      <c r="D3434" s="18">
        <v>7.7499999999999999E-2</v>
      </c>
      <c r="E3434" s="21">
        <f t="shared" si="348"/>
        <v>6.2396814612857288E-3</v>
      </c>
      <c r="F3434" s="5">
        <v>39296</v>
      </c>
      <c r="G3434" s="5">
        <v>39630</v>
      </c>
      <c r="H3434" s="16">
        <f t="shared" si="340"/>
        <v>334</v>
      </c>
      <c r="I3434" s="5">
        <v>40269</v>
      </c>
      <c r="J3434" s="5">
        <v>40371</v>
      </c>
      <c r="K3434" s="16">
        <f t="shared" si="341"/>
        <v>1075</v>
      </c>
      <c r="L3434" s="13">
        <v>538930</v>
      </c>
      <c r="M3434" s="15">
        <f t="shared" si="338"/>
        <v>50258.532263147965</v>
      </c>
      <c r="N3434" s="13">
        <v>387716.55</v>
      </c>
      <c r="O3434" s="13">
        <v>7210.72</v>
      </c>
      <c r="P3434" s="11">
        <f>IF((G3434)&gt;(ConstantDateCutoff),1,0)</f>
        <v>0</v>
      </c>
    </row>
    <row r="3435" spans="1:16" ht="18.75" hidden="1" customHeight="1" thickBot="1" x14ac:dyDescent="0.3">
      <c r="A3435" s="3" t="s">
        <v>24</v>
      </c>
      <c r="B3435" s="4">
        <v>310151</v>
      </c>
      <c r="C3435" s="3" t="s">
        <v>7</v>
      </c>
      <c r="D3435" s="7">
        <v>7.3230000000000003E-2</v>
      </c>
      <c r="E3435" s="7">
        <f t="shared" si="343"/>
        <v>6.1025000000000003E-3</v>
      </c>
      <c r="F3435" s="5">
        <v>39381</v>
      </c>
      <c r="G3435" s="5">
        <v>46686</v>
      </c>
      <c r="H3435" s="8">
        <f t="shared" si="340"/>
        <v>7305</v>
      </c>
      <c r="I3435" s="5">
        <v>46686</v>
      </c>
      <c r="J3435" s="5">
        <v>40157</v>
      </c>
      <c r="K3435" s="8">
        <f t="shared" si="341"/>
        <v>776</v>
      </c>
      <c r="L3435" s="6">
        <v>330504.5</v>
      </c>
      <c r="M3435" s="9">
        <f t="shared" si="338"/>
        <v>2610.234651070055</v>
      </c>
      <c r="N3435" s="6">
        <v>250000</v>
      </c>
      <c r="O3435" s="6">
        <v>45646.15</v>
      </c>
    </row>
    <row r="3436" spans="1:16" ht="18.75" hidden="1" customHeight="1" thickBot="1" x14ac:dyDescent="0.3">
      <c r="A3436" s="3" t="s">
        <v>24</v>
      </c>
      <c r="B3436" s="4">
        <v>419588</v>
      </c>
      <c r="C3436" s="3" t="s">
        <v>14</v>
      </c>
      <c r="D3436" s="7">
        <v>6.7500000000000004E-2</v>
      </c>
      <c r="E3436" s="7">
        <f t="shared" si="343"/>
        <v>5.6250000000000007E-3</v>
      </c>
      <c r="F3436" s="5">
        <v>39435</v>
      </c>
      <c r="G3436" s="5">
        <v>43211</v>
      </c>
      <c r="H3436" s="8">
        <f t="shared" si="340"/>
        <v>3776</v>
      </c>
      <c r="I3436" s="5">
        <v>43211</v>
      </c>
      <c r="J3436" s="5">
        <v>41620</v>
      </c>
      <c r="K3436" s="8">
        <f t="shared" si="341"/>
        <v>2185</v>
      </c>
      <c r="L3436" s="6">
        <v>43500</v>
      </c>
      <c r="M3436" s="9">
        <f t="shared" si="338"/>
        <v>483.19658097593026</v>
      </c>
      <c r="N3436" s="6">
        <v>43183.46</v>
      </c>
      <c r="O3436" s="6">
        <v>0</v>
      </c>
    </row>
    <row r="3437" spans="1:16" ht="18.75" customHeight="1" thickBot="1" x14ac:dyDescent="0.3">
      <c r="A3437" s="3" t="s">
        <v>24</v>
      </c>
      <c r="B3437" s="4">
        <v>464100</v>
      </c>
      <c r="C3437" s="3" t="s">
        <v>28</v>
      </c>
      <c r="D3437" s="18">
        <v>7.2499999999999995E-2</v>
      </c>
      <c r="E3437" s="21">
        <f t="shared" ref="E3437:E3439" si="349">(1+D3437)^(1/12)-1</f>
        <v>5.8497409526456767E-3</v>
      </c>
      <c r="F3437" s="5">
        <v>39437</v>
      </c>
      <c r="G3437" s="5">
        <v>39721</v>
      </c>
      <c r="H3437" s="16">
        <f t="shared" si="340"/>
        <v>284</v>
      </c>
      <c r="I3437" s="5">
        <v>45652</v>
      </c>
      <c r="J3437" s="5">
        <v>40844</v>
      </c>
      <c r="K3437" s="16">
        <f t="shared" si="341"/>
        <v>1407</v>
      </c>
      <c r="L3437" s="13">
        <v>55000</v>
      </c>
      <c r="M3437" s="15">
        <f t="shared" si="338"/>
        <v>5989.1839410984858</v>
      </c>
      <c r="N3437" s="13">
        <v>51113.14</v>
      </c>
      <c r="O3437" s="13">
        <v>51113.14</v>
      </c>
      <c r="P3437" s="11">
        <f>IF((G3437)&gt;(ConstantDateCutoff),1,0)</f>
        <v>0</v>
      </c>
    </row>
    <row r="3438" spans="1:16" ht="18.75" customHeight="1" thickBot="1" x14ac:dyDescent="0.3">
      <c r="A3438" s="3" t="s">
        <v>24</v>
      </c>
      <c r="B3438" s="4">
        <v>830323</v>
      </c>
      <c r="C3438" s="3" t="s">
        <v>27</v>
      </c>
      <c r="D3438" s="18">
        <v>0.1</v>
      </c>
      <c r="E3438" s="21">
        <f t="shared" si="349"/>
        <v>7.9741404289037643E-3</v>
      </c>
      <c r="F3438" s="5">
        <v>39465</v>
      </c>
      <c r="G3438" s="5">
        <v>39605</v>
      </c>
      <c r="H3438" s="16">
        <f t="shared" si="340"/>
        <v>140</v>
      </c>
      <c r="I3438" s="5">
        <v>40763</v>
      </c>
      <c r="J3438" s="5">
        <v>40788</v>
      </c>
      <c r="K3438" s="16">
        <f t="shared" si="341"/>
        <v>1323</v>
      </c>
      <c r="L3438" s="13">
        <v>560000</v>
      </c>
      <c r="M3438" s="15">
        <f t="shared" si="338"/>
        <v>122724.3669801097</v>
      </c>
      <c r="N3438" s="13">
        <v>324722.62</v>
      </c>
      <c r="O3438" s="13">
        <v>0</v>
      </c>
      <c r="P3438" s="11">
        <f>IF((G3438)&gt;(ConstantDateCutoff),1,0)</f>
        <v>0</v>
      </c>
    </row>
    <row r="3439" spans="1:16" ht="18.75" customHeight="1" thickBot="1" x14ac:dyDescent="0.3">
      <c r="A3439" s="3" t="s">
        <v>24</v>
      </c>
      <c r="B3439" s="4">
        <v>553931</v>
      </c>
      <c r="C3439" s="3" t="s">
        <v>5</v>
      </c>
      <c r="D3439" s="18">
        <v>0.1</v>
      </c>
      <c r="E3439" s="21">
        <f t="shared" si="349"/>
        <v>7.9741404289037643E-3</v>
      </c>
      <c r="F3439" s="5">
        <v>39483</v>
      </c>
      <c r="G3439" s="5">
        <v>39849</v>
      </c>
      <c r="H3439" s="16">
        <f t="shared" si="340"/>
        <v>366</v>
      </c>
      <c r="I3439" s="5">
        <v>43710</v>
      </c>
      <c r="J3439" s="5">
        <v>40722</v>
      </c>
      <c r="K3439" s="16">
        <f t="shared" si="341"/>
        <v>1239</v>
      </c>
      <c r="L3439" s="13">
        <v>105000</v>
      </c>
      <c r="M3439" s="15">
        <f t="shared" si="338"/>
        <v>9066.2291983082432</v>
      </c>
      <c r="N3439" s="13">
        <v>50051.93</v>
      </c>
      <c r="O3439" s="13">
        <v>243</v>
      </c>
      <c r="P3439" s="11">
        <f>IF((G3439)&gt;(ConstantDateCutoff),1,0)</f>
        <v>0</v>
      </c>
    </row>
    <row r="3440" spans="1:16" ht="18.75" hidden="1" customHeight="1" thickBot="1" x14ac:dyDescent="0.3">
      <c r="A3440" s="3" t="s">
        <v>24</v>
      </c>
      <c r="B3440" s="4">
        <v>312740</v>
      </c>
      <c r="C3440" s="3" t="s">
        <v>7</v>
      </c>
      <c r="D3440" s="7">
        <v>6.0699999999999997E-2</v>
      </c>
      <c r="E3440" s="7">
        <f t="shared" si="343"/>
        <v>5.0583333333333331E-3</v>
      </c>
      <c r="F3440" s="5">
        <v>39492</v>
      </c>
      <c r="G3440" s="5">
        <v>46797</v>
      </c>
      <c r="H3440" s="8">
        <f t="shared" si="340"/>
        <v>7305</v>
      </c>
      <c r="I3440" s="5">
        <v>46918</v>
      </c>
      <c r="J3440" s="5">
        <v>41306</v>
      </c>
      <c r="K3440" s="8">
        <f t="shared" si="341"/>
        <v>1814</v>
      </c>
      <c r="L3440" s="6">
        <v>360000</v>
      </c>
      <c r="M3440" s="9">
        <f t="shared" si="338"/>
        <v>2574.5875245759457</v>
      </c>
      <c r="N3440" s="6">
        <v>311689.31</v>
      </c>
      <c r="O3440" s="6">
        <v>25469.59</v>
      </c>
    </row>
    <row r="3441" spans="1:16" ht="18.75" customHeight="1" thickBot="1" x14ac:dyDescent="0.3">
      <c r="A3441" s="3" t="s">
        <v>24</v>
      </c>
      <c r="B3441" s="4">
        <v>203809</v>
      </c>
      <c r="C3441" s="3" t="s">
        <v>5</v>
      </c>
      <c r="D3441" s="18">
        <v>8.2500000000000004E-2</v>
      </c>
      <c r="E3441" s="21">
        <f t="shared" ref="E3441:E3443" si="350">(1+D3441)^(1/12)-1</f>
        <v>6.6279668043680573E-3</v>
      </c>
      <c r="F3441" s="5">
        <v>39674</v>
      </c>
      <c r="G3441" s="5">
        <v>40039</v>
      </c>
      <c r="H3441" s="16">
        <f t="shared" si="340"/>
        <v>365</v>
      </c>
      <c r="I3441" s="5">
        <v>40039</v>
      </c>
      <c r="J3441" s="5">
        <v>40077</v>
      </c>
      <c r="K3441" s="16">
        <f t="shared" si="341"/>
        <v>403</v>
      </c>
      <c r="L3441" s="13">
        <v>607818</v>
      </c>
      <c r="M3441" s="15">
        <f t="shared" si="338"/>
        <v>52164.299155141525</v>
      </c>
      <c r="N3441" s="13">
        <v>127803.18</v>
      </c>
      <c r="O3441" s="13">
        <v>15000</v>
      </c>
      <c r="P3441" s="11">
        <f>IF((G3441)&gt;(ConstantDateCutoff),1,0)</f>
        <v>0</v>
      </c>
    </row>
    <row r="3442" spans="1:16" ht="18.75" customHeight="1" thickBot="1" x14ac:dyDescent="0.3">
      <c r="A3442" s="3" t="s">
        <v>24</v>
      </c>
      <c r="B3442" s="4">
        <v>446438</v>
      </c>
      <c r="C3442" s="3" t="s">
        <v>5</v>
      </c>
      <c r="D3442" s="18">
        <v>3.7499999999999999E-2</v>
      </c>
      <c r="E3442" s="21">
        <f t="shared" si="350"/>
        <v>3.0725417032555491E-3</v>
      </c>
      <c r="F3442" s="5">
        <v>39678</v>
      </c>
      <c r="G3442" s="5">
        <v>40210</v>
      </c>
      <c r="H3442" s="16">
        <f t="shared" si="340"/>
        <v>532</v>
      </c>
      <c r="I3442" s="5">
        <v>40775</v>
      </c>
      <c r="J3442" s="5">
        <v>40994</v>
      </c>
      <c r="K3442" s="16">
        <f t="shared" si="341"/>
        <v>1316</v>
      </c>
      <c r="L3442" s="13">
        <v>637646</v>
      </c>
      <c r="M3442" s="15">
        <f t="shared" si="338"/>
        <v>37001.172061850833</v>
      </c>
      <c r="N3442" s="13">
        <v>499267.99</v>
      </c>
      <c r="O3442" s="13">
        <v>0</v>
      </c>
      <c r="P3442" s="11">
        <f>IF((G3442)&gt;(ConstantDateCutoff),1,0)</f>
        <v>0</v>
      </c>
    </row>
    <row r="3443" spans="1:16" ht="18.75" customHeight="1" thickBot="1" x14ac:dyDescent="0.3">
      <c r="A3443" s="3" t="s">
        <v>24</v>
      </c>
      <c r="B3443" s="4">
        <v>272617</v>
      </c>
      <c r="C3443" s="3" t="s">
        <v>8</v>
      </c>
      <c r="D3443" s="18">
        <v>8.7499999999999994E-2</v>
      </c>
      <c r="E3443" s="21">
        <f t="shared" si="350"/>
        <v>7.0146116041400752E-3</v>
      </c>
      <c r="F3443" s="5">
        <v>39987</v>
      </c>
      <c r="G3443" s="5">
        <v>40352</v>
      </c>
      <c r="H3443" s="16">
        <f t="shared" si="340"/>
        <v>365</v>
      </c>
      <c r="I3443" s="5">
        <v>40352</v>
      </c>
      <c r="J3443" s="5">
        <v>40533</v>
      </c>
      <c r="K3443" s="16">
        <f t="shared" si="341"/>
        <v>546</v>
      </c>
      <c r="L3443" s="13">
        <v>897066</v>
      </c>
      <c r="M3443" s="15">
        <f t="shared" si="338"/>
        <v>77180.625697174197</v>
      </c>
      <c r="N3443" s="13">
        <v>616000</v>
      </c>
      <c r="O3443" s="13">
        <v>0</v>
      </c>
      <c r="P3443" s="11">
        <f>IF((G3443)&gt;(ConstantDateCutoff),1,0)</f>
        <v>0</v>
      </c>
    </row>
  </sheetData>
  <autoFilter ref="A1:O3443" xr:uid="{00000000-0001-0000-0000-000000000000}">
    <filterColumn colId="2">
      <filters>
        <filter val="1st Mort(1-4 Fmly Res/Non Disclose)"/>
        <filter val="1st Mort.(1-4 Fmly Res Prop)Consume"/>
        <filter val="Agricultural/Other Lns to Farms -CL"/>
        <filter val="B &amp; I Non Real Estate"/>
        <filter val="Comm Constr 1-4 Fmly RE &amp; Land Dev"/>
        <filter val="Commercial/Ind.(not prime sec RE)CL"/>
        <filter val="Consumer Construction Home Loan"/>
        <filter val="Consumer Loan - Other - IL"/>
        <filter val="Dealer Loan (Consumer) - IL"/>
        <filter val="Farmland - RE"/>
        <filter val="FSA-Non Real Estate"/>
        <filter val="Jr Mort(1-4 Fmly Res/Non Disclose)"/>
        <filter val="Jr Mort.(1-4 Fmly Res Prop) -RE"/>
        <filter val="LAND &amp; LOTS - COMMERCIAL PURPOSE"/>
        <filter val="LAND &amp; LOTS - CONSUMER PURPOSE"/>
        <filter val="Mobile Home (Prmry Res)(Consumer)IL"/>
        <filter val="Non-Farm/Non-Residential Proprty-RE"/>
        <filter val="Recreational Vehicles (Consumer) IL"/>
        <filter val="SBA - 504"/>
        <filter val="SBA - Equipment"/>
        <filter val="SBA - Real Estate"/>
        <filter val="Statement/Unsecured (Consumer) -IL"/>
        <filter val="Vehicles (Consumer) - IL"/>
      </filters>
    </filterColumn>
    <filterColumn colId="3">
      <filters>
        <filter val="0.010000"/>
        <filter val="0.029900"/>
        <filter val="0.035000"/>
        <filter val="0.036300"/>
        <filter val="0.037500"/>
        <filter val="0.039900"/>
        <filter val="0.040000"/>
        <filter val="0.041200"/>
        <filter val="0.042500"/>
        <filter val="0.045000"/>
        <filter val="0.045800"/>
        <filter val="0.049800"/>
        <filter val="0.049900"/>
        <filter val="0.050000"/>
        <filter val="0.052500"/>
        <filter val="0.052690"/>
        <filter val="0.055000"/>
        <filter val="0.057500"/>
        <filter val="0.058900"/>
        <filter val="0.059715"/>
        <filter val="0.060000"/>
        <filter val="0.062500"/>
        <filter val="0.065000"/>
        <filter val="0.066400"/>
        <filter val="0.066500"/>
        <filter val="0.066800"/>
        <filter val="0.067500"/>
        <filter val="0.068900"/>
        <filter val="0.070000"/>
        <filter val="0.071500"/>
        <filter val="0.072500"/>
        <filter val="0.073000"/>
        <filter val="0.074000"/>
        <filter val="0.075000"/>
        <filter val="0.076500"/>
        <filter val="0.076770"/>
        <filter val="0.077500"/>
        <filter val="0.078000"/>
        <filter val="0.079000"/>
        <filter val="0.079500"/>
        <filter val="0.079600"/>
        <filter val="0.079690"/>
        <filter val="0.080000"/>
        <filter val="0.080500"/>
        <filter val="0.081500"/>
        <filter val="0.082500"/>
        <filter val="0.083000"/>
        <filter val="0.084000"/>
        <filter val="0.084910"/>
        <filter val="0.085000"/>
        <filter val="0.085700"/>
        <filter val="0.086000"/>
        <filter val="0.086500"/>
        <filter val="0.087500"/>
        <filter val="0.088600"/>
        <filter val="0.088800"/>
        <filter val="0.089000"/>
        <filter val="0.090000"/>
        <filter val="0.090500"/>
        <filter val="0.092000"/>
        <filter val="0.092200"/>
        <filter val="0.092500"/>
        <filter val="0.093500"/>
        <filter val="0.094000"/>
        <filter val="0.095000"/>
        <filter val="0.096500"/>
        <filter val="0.097500"/>
        <filter val="0.099000"/>
        <filter val="0.100000"/>
        <filter val="0.101000"/>
        <filter val="0.102000"/>
        <filter val="0.102500"/>
        <filter val="0.104000"/>
        <filter val="0.105000"/>
        <filter val="0.105500"/>
        <filter val="0.106050"/>
        <filter val="0.107500"/>
        <filter val="0.108000"/>
        <filter val="0.109000"/>
        <filter val="0.110000"/>
        <filter val="0.112500"/>
        <filter val="0.114000"/>
        <filter val="0.115000"/>
        <filter val="0.117500"/>
        <filter val="0.119000"/>
        <filter val="0.120000"/>
        <filter val="0.121920"/>
        <filter val="0.122500"/>
        <filter val="0.124000"/>
        <filter val="0.125000"/>
        <filter val="0.127500"/>
        <filter val="0.129000"/>
        <filter val="0.130000"/>
        <filter val="0.132500"/>
        <filter val="0.135000"/>
        <filter val="0.136500"/>
        <filter val="0.137500"/>
        <filter val="0.140000"/>
        <filter val="0.142500"/>
        <filter val="0.144000"/>
        <filter val="0.145000"/>
        <filter val="0.147500"/>
        <filter val="0.149000"/>
        <filter val="0.150000"/>
        <filter val="0.155000"/>
        <filter val="0.157500"/>
        <filter val="0.159000"/>
        <filter val="0.160000"/>
        <filter val="0.165000"/>
        <filter val="0.170000"/>
        <filter val="0.176000"/>
        <filter val="0.180000"/>
        <filter val="0.185000"/>
        <filter val="0.189000"/>
        <filter val="0.190000"/>
        <filter val="0.195000"/>
        <filter val="0.196000"/>
        <filter val="0.210000"/>
      </filters>
    </filterColumn>
    <filterColumn colId="6">
      <filters>
        <dateGroupItem year="9999" dateTimeGrouping="year"/>
        <dateGroupItem year="2026" month="1" dateTimeGrouping="month"/>
        <dateGroupItem year="2026" month="2" dateTimeGrouping="month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  <dateGroupItem year="2001" dateTimeGrouping="year"/>
        <dateGroupItem year="2000" dateTimeGrouping="year"/>
        <dateGroupItem year="1999" dateTimeGrouping="year"/>
        <dateGroupItem year="1998" dateTimeGrouping="year"/>
        <dateGroupItem year="1997" dateTimeGrouping="year"/>
        <dateGroupItem year="1996" dateTimeGrouping="year"/>
        <dateGroupItem year="1995" dateTimeGrouping="year"/>
        <dateGroupItem year="1994" dateTimeGrouping="year"/>
        <dateGroupItem year="1993" dateTimeGrouping="year"/>
        <dateGroupItem year="1992" dateTimeGrouping="year"/>
        <dateGroupItem year="1991" dateTimeGrouping="year"/>
        <dateGroupItem year="1990" dateTimeGrouping="year"/>
        <dateGroupItem year="1989" dateTimeGrouping="year"/>
        <dateGroupItem year="1988" dateTimeGrouping="year"/>
        <dateGroupItem year="1987" dateTimeGrouping="year"/>
        <dateGroupItem year="1986" dateTimeGrouping="year"/>
        <dateGroupItem year="1984" dateTimeGrouping="year"/>
        <dateGroupItem year="1983" dateTimeGrouping="year"/>
        <dateGroupItem year="1982" dateTimeGrouping="year"/>
      </filters>
    </filterColumn>
    <filterColumn colId="9">
      <customFilters>
        <customFilter operator="notEqual" val=" "/>
      </customFilters>
    </filterColumn>
  </autoFilter>
  <conditionalFormatting sqref="B1:B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8ED9-E4AF-49EB-94F0-6616D87172CB}">
  <dimension ref="A1:P2264"/>
  <sheetViews>
    <sheetView tabSelected="1" topLeftCell="G1" workbookViewId="0">
      <selection activeCell="K16" sqref="A1:P2264"/>
    </sheetView>
  </sheetViews>
  <sheetFormatPr defaultRowHeight="13.2" x14ac:dyDescent="0.25"/>
  <cols>
    <col min="1" max="1" width="17" bestFit="1" customWidth="1"/>
    <col min="2" max="2" width="16.88671875" bestFit="1" customWidth="1"/>
    <col min="3" max="3" width="37.33203125" bestFit="1" customWidth="1"/>
    <col min="4" max="4" width="30.5546875" bestFit="1" customWidth="1"/>
    <col min="5" max="5" width="30.33203125" bestFit="1" customWidth="1"/>
    <col min="6" max="6" width="19.21875" bestFit="1" customWidth="1"/>
    <col min="7" max="7" width="22.5546875" bestFit="1" customWidth="1"/>
    <col min="8" max="8" width="17.77734375" bestFit="1" customWidth="1"/>
    <col min="9" max="9" width="22.109375" bestFit="1" customWidth="1"/>
    <col min="10" max="10" width="16.77734375" bestFit="1" customWidth="1"/>
    <col min="11" max="11" width="20.109375" bestFit="1" customWidth="1"/>
    <col min="12" max="12" width="22.21875" bestFit="1" customWidth="1"/>
    <col min="13" max="13" width="17.5546875" bestFit="1" customWidth="1"/>
    <col min="14" max="14" width="15.6640625" bestFit="1" customWidth="1"/>
    <col min="15" max="15" width="22.5546875" bestFit="1" customWidth="1"/>
    <col min="16" max="16" width="12.44140625" bestFit="1" customWidth="1"/>
  </cols>
  <sheetData>
    <row r="1" spans="1:16" ht="15" thickBot="1" x14ac:dyDescent="0.3">
      <c r="A1" s="1" t="s">
        <v>47</v>
      </c>
      <c r="B1" s="1" t="s">
        <v>46</v>
      </c>
      <c r="C1" s="1" t="s">
        <v>0</v>
      </c>
      <c r="D1" s="17" t="s">
        <v>50</v>
      </c>
      <c r="E1" s="20" t="s">
        <v>35</v>
      </c>
      <c r="F1" s="1" t="s">
        <v>45</v>
      </c>
      <c r="G1" s="1" t="s">
        <v>44</v>
      </c>
      <c r="H1" s="12" t="s">
        <v>36</v>
      </c>
      <c r="I1" s="1" t="s">
        <v>43</v>
      </c>
      <c r="J1" s="1" t="s">
        <v>42</v>
      </c>
      <c r="K1" s="12" t="s">
        <v>37</v>
      </c>
      <c r="L1" s="12" t="s">
        <v>39</v>
      </c>
      <c r="M1" s="12" t="s">
        <v>38</v>
      </c>
      <c r="N1" s="12" t="s">
        <v>40</v>
      </c>
      <c r="O1" s="12" t="s">
        <v>41</v>
      </c>
      <c r="P1" s="1" t="s">
        <v>48</v>
      </c>
    </row>
    <row r="2" spans="1:16" ht="15" thickBot="1" x14ac:dyDescent="0.3">
      <c r="A2" s="3" t="s">
        <v>1</v>
      </c>
      <c r="B2" s="4">
        <v>493891</v>
      </c>
      <c r="C2" s="3" t="s">
        <v>2</v>
      </c>
      <c r="D2" s="18">
        <v>9.2200000000000004E-2</v>
      </c>
      <c r="E2" s="21">
        <v>7.3765747621890032E-3</v>
      </c>
      <c r="F2" s="5">
        <v>35363</v>
      </c>
      <c r="G2" s="5">
        <v>37220</v>
      </c>
      <c r="H2" s="16">
        <v>1857</v>
      </c>
      <c r="I2" s="5">
        <v>37710</v>
      </c>
      <c r="J2" s="5">
        <v>36249</v>
      </c>
      <c r="K2" s="16">
        <v>886</v>
      </c>
      <c r="L2" s="13">
        <v>13672.25</v>
      </c>
      <c r="M2" s="15">
        <v>275.92764218180719</v>
      </c>
      <c r="N2" s="13">
        <v>8777.0300000000007</v>
      </c>
      <c r="O2" s="13">
        <v>4197.09</v>
      </c>
      <c r="P2" s="11">
        <v>0</v>
      </c>
    </row>
    <row r="3" spans="1:16" ht="15" thickBot="1" x14ac:dyDescent="0.3">
      <c r="A3" s="3" t="s">
        <v>1</v>
      </c>
      <c r="B3" s="4">
        <v>404077</v>
      </c>
      <c r="C3" s="3" t="s">
        <v>3</v>
      </c>
      <c r="D3" s="18">
        <v>7.4999999999999997E-2</v>
      </c>
      <c r="E3" s="21">
        <v>6.0449190242917172E-3</v>
      </c>
      <c r="F3" s="5">
        <v>33784</v>
      </c>
      <c r="G3" s="5">
        <v>36251</v>
      </c>
      <c r="H3" s="16">
        <v>2467</v>
      </c>
      <c r="I3" s="5">
        <v>36576</v>
      </c>
      <c r="J3" s="5">
        <v>36523</v>
      </c>
      <c r="K3" s="16">
        <v>2739</v>
      </c>
      <c r="L3" s="13">
        <v>63051</v>
      </c>
      <c r="M3" s="15">
        <v>975.29392259162319</v>
      </c>
      <c r="N3" s="13">
        <v>26558.85</v>
      </c>
      <c r="O3" s="13">
        <v>0</v>
      </c>
      <c r="P3" s="11">
        <v>0</v>
      </c>
    </row>
    <row r="4" spans="1:16" ht="15" thickBot="1" x14ac:dyDescent="0.3">
      <c r="A4" s="3" t="s">
        <v>1</v>
      </c>
      <c r="B4" s="4">
        <v>984797</v>
      </c>
      <c r="C4" s="3" t="s">
        <v>3</v>
      </c>
      <c r="D4" s="18">
        <v>0.11</v>
      </c>
      <c r="E4" s="21">
        <v>8.7345938235519061E-3</v>
      </c>
      <c r="F4" s="5">
        <v>34562</v>
      </c>
      <c r="G4" s="5">
        <v>35156</v>
      </c>
      <c r="H4" s="16">
        <v>594</v>
      </c>
      <c r="I4" s="5">
        <v>37266</v>
      </c>
      <c r="J4" s="5">
        <v>36795</v>
      </c>
      <c r="K4" s="16">
        <v>2233</v>
      </c>
      <c r="L4" s="13">
        <v>6050</v>
      </c>
      <c r="M4" s="15">
        <v>334.06813431596362</v>
      </c>
      <c r="N4" s="13">
        <v>4200.5600000000004</v>
      </c>
      <c r="O4" s="13">
        <v>0</v>
      </c>
      <c r="P4" s="11">
        <v>0</v>
      </c>
    </row>
    <row r="5" spans="1:16" ht="15" thickBot="1" x14ac:dyDescent="0.3">
      <c r="A5" s="3" t="s">
        <v>1</v>
      </c>
      <c r="B5" s="4">
        <v>509174</v>
      </c>
      <c r="C5" s="3" t="s">
        <v>3</v>
      </c>
      <c r="D5" s="18">
        <v>7.7499999999999999E-2</v>
      </c>
      <c r="E5" s="21">
        <v>6.2396814612857288E-3</v>
      </c>
      <c r="F5" s="5">
        <v>34652</v>
      </c>
      <c r="G5" s="5">
        <v>35742</v>
      </c>
      <c r="H5" s="16">
        <v>1090</v>
      </c>
      <c r="I5" s="5">
        <v>36707</v>
      </c>
      <c r="J5" s="5">
        <v>36697</v>
      </c>
      <c r="K5" s="16">
        <v>2045</v>
      </c>
      <c r="L5" s="13">
        <v>70715</v>
      </c>
      <c r="M5" s="15">
        <v>2181.272829323836</v>
      </c>
      <c r="N5" s="13">
        <v>50875.49</v>
      </c>
      <c r="O5" s="13">
        <v>11882.78</v>
      </c>
      <c r="P5" s="11">
        <v>0</v>
      </c>
    </row>
    <row r="6" spans="1:16" ht="15" thickBot="1" x14ac:dyDescent="0.3">
      <c r="A6" s="3" t="s">
        <v>1</v>
      </c>
      <c r="B6" s="4">
        <v>149513</v>
      </c>
      <c r="C6" s="3" t="s">
        <v>2</v>
      </c>
      <c r="D6" s="18">
        <v>0.11749999999999999</v>
      </c>
      <c r="E6" s="21">
        <v>9.300823618865417E-3</v>
      </c>
      <c r="F6" s="5">
        <v>35447</v>
      </c>
      <c r="G6" s="5">
        <v>36356</v>
      </c>
      <c r="H6" s="16">
        <v>909</v>
      </c>
      <c r="I6" s="5">
        <v>36356</v>
      </c>
      <c r="J6" s="5">
        <v>36068</v>
      </c>
      <c r="K6" s="16">
        <v>621</v>
      </c>
      <c r="L6" s="13">
        <v>7061</v>
      </c>
      <c r="M6" s="15">
        <v>268.48807182659613</v>
      </c>
      <c r="N6" s="13">
        <v>4249.07</v>
      </c>
      <c r="O6" s="13">
        <v>600</v>
      </c>
      <c r="P6" s="11">
        <v>0</v>
      </c>
    </row>
    <row r="7" spans="1:16" ht="15" thickBot="1" x14ac:dyDescent="0.3">
      <c r="A7" s="3" t="s">
        <v>1</v>
      </c>
      <c r="B7" s="4">
        <v>820348</v>
      </c>
      <c r="C7" s="3" t="s">
        <v>2</v>
      </c>
      <c r="D7" s="18">
        <v>7.2499999999999995E-2</v>
      </c>
      <c r="E7" s="21">
        <v>5.8497409526456767E-3</v>
      </c>
      <c r="F7" s="5">
        <v>35629</v>
      </c>
      <c r="G7" s="5">
        <v>35721</v>
      </c>
      <c r="H7" s="16">
        <v>92</v>
      </c>
      <c r="I7" s="5">
        <v>36063</v>
      </c>
      <c r="J7" s="5">
        <v>36136</v>
      </c>
      <c r="K7" s="16">
        <v>507</v>
      </c>
      <c r="L7" s="13">
        <v>35102.5</v>
      </c>
      <c r="M7" s="15">
        <v>11582.890620352133</v>
      </c>
      <c r="N7" s="13">
        <v>5000</v>
      </c>
      <c r="O7" s="13">
        <v>0</v>
      </c>
      <c r="P7" s="11">
        <v>0</v>
      </c>
    </row>
    <row r="8" spans="1:16" ht="15" thickBot="1" x14ac:dyDescent="0.3">
      <c r="A8" s="3" t="s">
        <v>1</v>
      </c>
      <c r="B8" s="4">
        <v>208084</v>
      </c>
      <c r="C8" s="3" t="s">
        <v>2</v>
      </c>
      <c r="D8" s="18">
        <v>0.12</v>
      </c>
      <c r="E8" s="21">
        <v>9.4887929345830457E-3</v>
      </c>
      <c r="F8" s="5">
        <v>35747</v>
      </c>
      <c r="G8" s="5">
        <v>35959</v>
      </c>
      <c r="H8" s="16">
        <v>212</v>
      </c>
      <c r="I8" s="5">
        <v>35959</v>
      </c>
      <c r="J8" s="5">
        <v>36137</v>
      </c>
      <c r="K8" s="16">
        <v>390</v>
      </c>
      <c r="L8" s="13">
        <v>25069.88</v>
      </c>
      <c r="M8" s="15">
        <v>3684.6937106648934</v>
      </c>
      <c r="N8" s="13">
        <v>16406.939999999999</v>
      </c>
      <c r="O8" s="13">
        <v>0</v>
      </c>
      <c r="P8" s="11">
        <v>0</v>
      </c>
    </row>
    <row r="9" spans="1:16" ht="15" thickBot="1" x14ac:dyDescent="0.3">
      <c r="A9" s="3" t="s">
        <v>1</v>
      </c>
      <c r="B9" s="4">
        <v>71175</v>
      </c>
      <c r="C9" s="3" t="s">
        <v>2</v>
      </c>
      <c r="D9" s="18">
        <v>8.7499999999999994E-2</v>
      </c>
      <c r="E9" s="21">
        <v>7.0146116041400752E-3</v>
      </c>
      <c r="F9" s="5">
        <v>35758</v>
      </c>
      <c r="G9" s="5">
        <v>36123</v>
      </c>
      <c r="H9" s="16">
        <v>365</v>
      </c>
      <c r="I9" s="5">
        <v>36312</v>
      </c>
      <c r="J9" s="5">
        <v>37057</v>
      </c>
      <c r="K9" s="16">
        <v>1299</v>
      </c>
      <c r="L9" s="13">
        <v>25175</v>
      </c>
      <c r="M9" s="15">
        <v>2165.974690743335</v>
      </c>
      <c r="N9" s="13">
        <v>25064.98</v>
      </c>
      <c r="O9" s="13">
        <v>13434.67</v>
      </c>
      <c r="P9" s="11">
        <v>0</v>
      </c>
    </row>
    <row r="10" spans="1:16" ht="15" thickBot="1" x14ac:dyDescent="0.3">
      <c r="A10" s="3" t="s">
        <v>1</v>
      </c>
      <c r="B10" s="4">
        <v>868061</v>
      </c>
      <c r="C10" s="3" t="s">
        <v>2</v>
      </c>
      <c r="D10" s="18">
        <v>0.11</v>
      </c>
      <c r="E10" s="21">
        <v>8.7345938235519061E-3</v>
      </c>
      <c r="F10" s="5">
        <v>35831</v>
      </c>
      <c r="G10" s="5">
        <v>35861</v>
      </c>
      <c r="H10" s="16">
        <v>30</v>
      </c>
      <c r="I10" s="5">
        <v>36341</v>
      </c>
      <c r="J10" s="5">
        <v>36878</v>
      </c>
      <c r="K10" s="16">
        <v>1047</v>
      </c>
      <c r="L10" s="13">
        <v>11045</v>
      </c>
      <c r="M10" s="15">
        <v>11141.473588781129</v>
      </c>
      <c r="N10" s="13">
        <v>11045</v>
      </c>
      <c r="O10" s="13">
        <v>0</v>
      </c>
      <c r="P10" s="11">
        <v>0</v>
      </c>
    </row>
    <row r="11" spans="1:16" ht="15" thickBot="1" x14ac:dyDescent="0.3">
      <c r="A11" s="3" t="s">
        <v>1</v>
      </c>
      <c r="B11" s="4">
        <v>354235</v>
      </c>
      <c r="C11" s="3" t="s">
        <v>2</v>
      </c>
      <c r="D11" s="18">
        <v>8.5000000000000006E-2</v>
      </c>
      <c r="E11" s="21">
        <v>6.8214933659622723E-3</v>
      </c>
      <c r="F11" s="5">
        <v>36185</v>
      </c>
      <c r="G11" s="5">
        <v>38367</v>
      </c>
      <c r="H11" s="16">
        <v>2182</v>
      </c>
      <c r="I11" s="5">
        <v>38534</v>
      </c>
      <c r="J11" s="5">
        <v>37704</v>
      </c>
      <c r="K11" s="16">
        <v>1519</v>
      </c>
      <c r="L11" s="13">
        <v>25919.5</v>
      </c>
      <c r="M11" s="15">
        <v>453.23837127879699</v>
      </c>
      <c r="N11" s="13">
        <v>12000</v>
      </c>
      <c r="O11" s="13">
        <v>434.4</v>
      </c>
      <c r="P11" s="11">
        <v>0</v>
      </c>
    </row>
    <row r="12" spans="1:16" ht="15" thickBot="1" x14ac:dyDescent="0.3">
      <c r="A12" s="3" t="s">
        <v>1</v>
      </c>
      <c r="B12" s="4">
        <v>372878</v>
      </c>
      <c r="C12" s="3" t="s">
        <v>2</v>
      </c>
      <c r="D12" s="18">
        <v>7.4999999999999997E-2</v>
      </c>
      <c r="E12" s="21">
        <v>6.0449190242917172E-3</v>
      </c>
      <c r="F12" s="5">
        <v>36397</v>
      </c>
      <c r="G12" s="5">
        <v>38231</v>
      </c>
      <c r="H12" s="16">
        <v>1834</v>
      </c>
      <c r="I12" s="5">
        <v>38292</v>
      </c>
      <c r="J12" s="5">
        <v>38250</v>
      </c>
      <c r="K12" s="16">
        <v>1853</v>
      </c>
      <c r="L12" s="13">
        <v>56280</v>
      </c>
      <c r="M12" s="15">
        <v>1103.9162059808343</v>
      </c>
      <c r="N12" s="13">
        <v>39710.11</v>
      </c>
      <c r="O12" s="13">
        <v>17500</v>
      </c>
      <c r="P12" s="11">
        <v>0</v>
      </c>
    </row>
    <row r="13" spans="1:16" ht="15" thickBot="1" x14ac:dyDescent="0.3">
      <c r="A13" s="3" t="s">
        <v>1</v>
      </c>
      <c r="B13" s="4">
        <v>239384</v>
      </c>
      <c r="C13" s="3" t="s">
        <v>2</v>
      </c>
      <c r="D13" s="18">
        <v>8.2500000000000004E-2</v>
      </c>
      <c r="E13" s="21">
        <v>6.6279668043680573E-3</v>
      </c>
      <c r="F13" s="5">
        <v>36481</v>
      </c>
      <c r="G13" s="5">
        <v>37960</v>
      </c>
      <c r="H13" s="16">
        <v>1479</v>
      </c>
      <c r="I13" s="5">
        <v>38718</v>
      </c>
      <c r="J13" s="5">
        <v>37439</v>
      </c>
      <c r="K13" s="16">
        <v>958</v>
      </c>
      <c r="L13" s="13">
        <v>16207.5</v>
      </c>
      <c r="M13" s="15">
        <v>386.46252129980911</v>
      </c>
      <c r="N13" s="13">
        <v>10117.76</v>
      </c>
      <c r="O13" s="13">
        <v>50</v>
      </c>
      <c r="P13" s="11">
        <v>0</v>
      </c>
    </row>
    <row r="14" spans="1:16" ht="15" thickBot="1" x14ac:dyDescent="0.3">
      <c r="A14" s="3" t="s">
        <v>1</v>
      </c>
      <c r="B14" s="4">
        <v>923634</v>
      </c>
      <c r="C14" s="3" t="s">
        <v>2</v>
      </c>
      <c r="D14" s="18">
        <v>0.105</v>
      </c>
      <c r="E14" s="21">
        <v>8.355155683635207E-3</v>
      </c>
      <c r="F14" s="5">
        <v>36683</v>
      </c>
      <c r="G14" s="5">
        <v>38504</v>
      </c>
      <c r="H14" s="16">
        <v>1821</v>
      </c>
      <c r="I14" s="5">
        <v>38504</v>
      </c>
      <c r="J14" s="5">
        <v>37256</v>
      </c>
      <c r="K14" s="16">
        <v>573</v>
      </c>
      <c r="L14" s="13">
        <v>21100</v>
      </c>
      <c r="M14" s="15">
        <v>444.596680166704</v>
      </c>
      <c r="N14" s="13">
        <v>16000</v>
      </c>
      <c r="O14" s="13">
        <v>100</v>
      </c>
      <c r="P14" s="11">
        <v>0</v>
      </c>
    </row>
    <row r="15" spans="1:16" ht="15" thickBot="1" x14ac:dyDescent="0.3">
      <c r="A15" s="3" t="s">
        <v>1</v>
      </c>
      <c r="B15" s="4">
        <v>999598</v>
      </c>
      <c r="C15" s="3" t="s">
        <v>2</v>
      </c>
      <c r="D15" s="18">
        <v>8.7499999999999994E-2</v>
      </c>
      <c r="E15" s="21">
        <v>7.0146116041400752E-3</v>
      </c>
      <c r="F15" s="5">
        <v>36776</v>
      </c>
      <c r="G15" s="5">
        <v>36898</v>
      </c>
      <c r="H15" s="16">
        <v>122</v>
      </c>
      <c r="I15" s="5">
        <v>37871</v>
      </c>
      <c r="J15" s="5">
        <v>37957</v>
      </c>
      <c r="K15" s="16">
        <v>1181</v>
      </c>
      <c r="L15" s="13">
        <v>20100</v>
      </c>
      <c r="M15" s="15">
        <v>5030.7688836113666</v>
      </c>
      <c r="N15" s="13">
        <v>20058.38</v>
      </c>
      <c r="O15" s="13">
        <v>7945.21</v>
      </c>
      <c r="P15" s="11">
        <v>0</v>
      </c>
    </row>
    <row r="16" spans="1:16" ht="15" thickBot="1" x14ac:dyDescent="0.3">
      <c r="A16" s="3" t="s">
        <v>1</v>
      </c>
      <c r="B16" s="4">
        <v>648394</v>
      </c>
      <c r="C16" s="3" t="s">
        <v>2</v>
      </c>
      <c r="D16" s="18">
        <v>0.11</v>
      </c>
      <c r="E16" s="21">
        <v>8.7345938235519061E-3</v>
      </c>
      <c r="F16" s="5">
        <v>36887</v>
      </c>
      <c r="G16" s="5">
        <v>36982</v>
      </c>
      <c r="H16" s="16">
        <v>95</v>
      </c>
      <c r="I16" s="5">
        <v>37437</v>
      </c>
      <c r="J16" s="5">
        <v>37439</v>
      </c>
      <c r="K16" s="16">
        <v>552</v>
      </c>
      <c r="L16" s="13">
        <v>54084.46</v>
      </c>
      <c r="M16" s="15">
        <v>17391.072462334996</v>
      </c>
      <c r="N16" s="13">
        <v>36979.5</v>
      </c>
      <c r="O16" s="13">
        <v>10837.21</v>
      </c>
      <c r="P16" s="11">
        <v>0</v>
      </c>
    </row>
    <row r="17" spans="1:16" ht="15" thickBot="1" x14ac:dyDescent="0.3">
      <c r="A17" s="3" t="s">
        <v>1</v>
      </c>
      <c r="B17" s="4">
        <v>274658</v>
      </c>
      <c r="C17" s="3" t="s">
        <v>2</v>
      </c>
      <c r="D17" s="18">
        <v>8.5000000000000006E-2</v>
      </c>
      <c r="E17" s="21">
        <v>6.8214933659622723E-3</v>
      </c>
      <c r="F17" s="5">
        <v>37000</v>
      </c>
      <c r="G17" s="5">
        <v>38838</v>
      </c>
      <c r="H17" s="16">
        <v>1838</v>
      </c>
      <c r="I17" s="5">
        <v>38838</v>
      </c>
      <c r="J17" s="5">
        <v>37704</v>
      </c>
      <c r="K17" s="16">
        <v>704</v>
      </c>
      <c r="L17" s="13">
        <v>29810</v>
      </c>
      <c r="M17" s="15">
        <v>596.93125667377706</v>
      </c>
      <c r="N17" s="13">
        <v>27543.8</v>
      </c>
      <c r="O17" s="13">
        <v>0</v>
      </c>
      <c r="P17" s="11">
        <v>0</v>
      </c>
    </row>
    <row r="18" spans="1:16" ht="15" thickBot="1" x14ac:dyDescent="0.3">
      <c r="A18" s="3" t="s">
        <v>1</v>
      </c>
      <c r="B18" s="4">
        <v>81829</v>
      </c>
      <c r="C18" s="3" t="s">
        <v>2</v>
      </c>
      <c r="D18" s="18">
        <v>0.1</v>
      </c>
      <c r="E18" s="21">
        <v>7.9741404289037643E-3</v>
      </c>
      <c r="F18" s="5">
        <v>37224</v>
      </c>
      <c r="G18" s="5">
        <v>39071</v>
      </c>
      <c r="H18" s="16">
        <v>1847</v>
      </c>
      <c r="I18" s="5">
        <v>39161</v>
      </c>
      <c r="J18" s="5">
        <v>37959</v>
      </c>
      <c r="K18" s="16">
        <v>735</v>
      </c>
      <c r="L18" s="13">
        <v>27015.97</v>
      </c>
      <c r="M18" s="15">
        <v>557.01405086055422</v>
      </c>
      <c r="N18" s="13">
        <v>22685.119999999999</v>
      </c>
      <c r="O18" s="13">
        <v>4644.8900000000003</v>
      </c>
      <c r="P18" s="11">
        <v>0</v>
      </c>
    </row>
    <row r="19" spans="1:16" ht="15" thickBot="1" x14ac:dyDescent="0.3">
      <c r="A19" s="3" t="s">
        <v>1</v>
      </c>
      <c r="B19" s="4">
        <v>635249</v>
      </c>
      <c r="C19" s="3" t="s">
        <v>4</v>
      </c>
      <c r="D19" s="18">
        <v>9.5000000000000001E-2</v>
      </c>
      <c r="E19" s="21">
        <v>7.5915342905825689E-3</v>
      </c>
      <c r="F19" s="5">
        <v>37348</v>
      </c>
      <c r="G19" s="5">
        <v>39887</v>
      </c>
      <c r="H19" s="16">
        <v>2539</v>
      </c>
      <c r="I19" s="5">
        <v>39887</v>
      </c>
      <c r="J19" s="5">
        <v>38252</v>
      </c>
      <c r="K19" s="16">
        <v>904</v>
      </c>
      <c r="L19" s="13">
        <v>50000</v>
      </c>
      <c r="M19" s="15">
        <v>802.92118796515979</v>
      </c>
      <c r="N19" s="13">
        <v>45539.34</v>
      </c>
      <c r="O19" s="13">
        <v>0</v>
      </c>
      <c r="P19" s="11">
        <v>0</v>
      </c>
    </row>
    <row r="20" spans="1:16" ht="15" thickBot="1" x14ac:dyDescent="0.3">
      <c r="A20" s="3" t="s">
        <v>1</v>
      </c>
      <c r="B20" s="4">
        <v>809455</v>
      </c>
      <c r="C20" s="3" t="s">
        <v>2</v>
      </c>
      <c r="D20" s="18">
        <v>8.7499999999999994E-2</v>
      </c>
      <c r="E20" s="21">
        <v>7.0146116041400752E-3</v>
      </c>
      <c r="F20" s="5">
        <v>37540</v>
      </c>
      <c r="G20" s="5">
        <v>37636</v>
      </c>
      <c r="H20" s="16">
        <v>96</v>
      </c>
      <c r="I20" s="5">
        <v>38017</v>
      </c>
      <c r="J20" s="5">
        <v>37959</v>
      </c>
      <c r="K20" s="16">
        <v>419</v>
      </c>
      <c r="L20" s="13">
        <v>15062</v>
      </c>
      <c r="M20" s="15">
        <v>4776.388198366034</v>
      </c>
      <c r="N20" s="13">
        <v>8656.92</v>
      </c>
      <c r="O20" s="13">
        <v>3167.54</v>
      </c>
      <c r="P20" s="11">
        <v>0</v>
      </c>
    </row>
    <row r="21" spans="1:16" ht="15" thickBot="1" x14ac:dyDescent="0.3">
      <c r="A21" s="3" t="s">
        <v>1</v>
      </c>
      <c r="B21" s="4">
        <v>9356</v>
      </c>
      <c r="C21" s="3" t="s">
        <v>4</v>
      </c>
      <c r="D21" s="18">
        <v>0.10249999999999999</v>
      </c>
      <c r="E21" s="21">
        <v>8.1648460519010424E-3</v>
      </c>
      <c r="F21" s="5">
        <v>37956</v>
      </c>
      <c r="G21" s="5">
        <v>38322</v>
      </c>
      <c r="H21" s="16">
        <v>366</v>
      </c>
      <c r="I21" s="5">
        <v>40025</v>
      </c>
      <c r="J21" s="5">
        <v>39855</v>
      </c>
      <c r="K21" s="16">
        <v>1899</v>
      </c>
      <c r="L21" s="13">
        <v>50000</v>
      </c>
      <c r="M21" s="15">
        <v>4322.5648497799157</v>
      </c>
      <c r="N21" s="13">
        <v>13000</v>
      </c>
      <c r="O21" s="13">
        <v>0</v>
      </c>
      <c r="P21" s="11">
        <v>0</v>
      </c>
    </row>
    <row r="22" spans="1:16" ht="15" thickBot="1" x14ac:dyDescent="0.3">
      <c r="A22" s="3" t="s">
        <v>1</v>
      </c>
      <c r="B22" s="4">
        <v>391121</v>
      </c>
      <c r="C22" s="3" t="s">
        <v>2</v>
      </c>
      <c r="D22" s="18">
        <v>8.7499999999999994E-2</v>
      </c>
      <c r="E22" s="21">
        <v>7.0146116041400752E-3</v>
      </c>
      <c r="F22" s="5">
        <v>38071</v>
      </c>
      <c r="G22" s="5">
        <v>38436</v>
      </c>
      <c r="H22" s="16">
        <v>365</v>
      </c>
      <c r="I22" s="5">
        <v>40422</v>
      </c>
      <c r="J22" s="5">
        <v>40532</v>
      </c>
      <c r="K22" s="16">
        <v>2461</v>
      </c>
      <c r="L22" s="13">
        <v>21303.71</v>
      </c>
      <c r="M22" s="15">
        <v>1832.9015562635823</v>
      </c>
      <c r="N22" s="13">
        <v>10644.63</v>
      </c>
      <c r="O22" s="13">
        <v>1200</v>
      </c>
      <c r="P22" s="11">
        <v>0</v>
      </c>
    </row>
    <row r="23" spans="1:16" ht="15" thickBot="1" x14ac:dyDescent="0.3">
      <c r="A23" s="3" t="s">
        <v>1</v>
      </c>
      <c r="B23" s="4">
        <v>737781</v>
      </c>
      <c r="C23" s="3" t="s">
        <v>2</v>
      </c>
      <c r="D23" s="18">
        <v>8.7499999999999994E-2</v>
      </c>
      <c r="E23" s="21">
        <v>7.0146116041400752E-3</v>
      </c>
      <c r="F23" s="5">
        <v>38251</v>
      </c>
      <c r="G23" s="5">
        <v>38630</v>
      </c>
      <c r="H23" s="16">
        <v>379</v>
      </c>
      <c r="I23" s="5">
        <v>38630</v>
      </c>
      <c r="J23" s="5">
        <v>38335</v>
      </c>
      <c r="K23" s="16">
        <v>84</v>
      </c>
      <c r="L23" s="13">
        <v>3906.79</v>
      </c>
      <c r="M23" s="15">
        <v>324.2318956485741</v>
      </c>
      <c r="N23" s="13">
        <v>3906.79</v>
      </c>
      <c r="O23" s="13">
        <v>436.18</v>
      </c>
      <c r="P23" s="11">
        <v>0</v>
      </c>
    </row>
    <row r="24" spans="1:16" ht="15" thickBot="1" x14ac:dyDescent="0.3">
      <c r="A24" s="3" t="s">
        <v>1</v>
      </c>
      <c r="B24" s="4">
        <v>158907</v>
      </c>
      <c r="C24" s="3" t="s">
        <v>2</v>
      </c>
      <c r="D24" s="18">
        <v>8.5000000000000006E-2</v>
      </c>
      <c r="E24" s="21">
        <v>6.8214933659622723E-3</v>
      </c>
      <c r="F24" s="5">
        <v>38331</v>
      </c>
      <c r="G24" s="5">
        <v>39076</v>
      </c>
      <c r="H24" s="16">
        <v>745</v>
      </c>
      <c r="I24" s="5">
        <v>39076</v>
      </c>
      <c r="J24" s="5">
        <v>39069</v>
      </c>
      <c r="K24" s="16">
        <v>738</v>
      </c>
      <c r="L24" s="13">
        <v>2920.91</v>
      </c>
      <c r="M24" s="15">
        <v>128.26392705274733</v>
      </c>
      <c r="N24" s="13">
        <v>2040.18</v>
      </c>
      <c r="O24" s="13">
        <v>0</v>
      </c>
      <c r="P24" s="11">
        <v>0</v>
      </c>
    </row>
    <row r="25" spans="1:16" ht="15" thickBot="1" x14ac:dyDescent="0.3">
      <c r="A25" s="3" t="s">
        <v>1</v>
      </c>
      <c r="B25" s="4">
        <v>895172</v>
      </c>
      <c r="C25" s="3" t="s">
        <v>2</v>
      </c>
      <c r="D25" s="18">
        <v>7.7499999999999999E-2</v>
      </c>
      <c r="E25" s="21">
        <v>6.2396814612857288E-3</v>
      </c>
      <c r="F25" s="5">
        <v>38461</v>
      </c>
      <c r="G25" s="5">
        <v>40288</v>
      </c>
      <c r="H25" s="16">
        <v>1827</v>
      </c>
      <c r="I25" s="5">
        <v>40288</v>
      </c>
      <c r="J25" s="5">
        <v>40078</v>
      </c>
      <c r="K25" s="16">
        <v>1617</v>
      </c>
      <c r="L25" s="13">
        <v>51824.5</v>
      </c>
      <c r="M25" s="15">
        <v>1025.497118538327</v>
      </c>
      <c r="N25" s="13">
        <v>12509.55</v>
      </c>
      <c r="O25" s="13">
        <v>14249.5</v>
      </c>
      <c r="P25" s="11">
        <v>0</v>
      </c>
    </row>
    <row r="26" spans="1:16" ht="15" thickBot="1" x14ac:dyDescent="0.3">
      <c r="A26" s="3" t="s">
        <v>1</v>
      </c>
      <c r="B26" s="4">
        <v>692790</v>
      </c>
      <c r="C26" s="3" t="s">
        <v>4</v>
      </c>
      <c r="D26" s="18">
        <v>9.7500000000000003E-2</v>
      </c>
      <c r="E26" s="21">
        <v>7.7830370878799737E-3</v>
      </c>
      <c r="F26" s="5">
        <v>38595</v>
      </c>
      <c r="G26" s="5">
        <v>40422</v>
      </c>
      <c r="H26" s="16">
        <v>1827</v>
      </c>
      <c r="I26" s="5">
        <v>40422</v>
      </c>
      <c r="J26" s="5">
        <v>39433</v>
      </c>
      <c r="K26" s="16">
        <v>838</v>
      </c>
      <c r="L26" s="13">
        <v>50000</v>
      </c>
      <c r="M26" s="15">
        <v>1034.0398460596837</v>
      </c>
      <c r="N26" s="13">
        <v>7434.83</v>
      </c>
      <c r="O26" s="13">
        <v>3559.46</v>
      </c>
      <c r="P26" s="11">
        <v>0</v>
      </c>
    </row>
    <row r="27" spans="1:16" ht="15" thickBot="1" x14ac:dyDescent="0.3">
      <c r="A27" s="3" t="s">
        <v>1</v>
      </c>
      <c r="B27" s="4">
        <v>731149</v>
      </c>
      <c r="C27" s="3" t="s">
        <v>2</v>
      </c>
      <c r="D27" s="18">
        <v>8.7499999999999994E-2</v>
      </c>
      <c r="E27" s="21">
        <v>7.0146116041400752E-3</v>
      </c>
      <c r="F27" s="5">
        <v>38684</v>
      </c>
      <c r="G27" s="5">
        <v>39431</v>
      </c>
      <c r="H27" s="16">
        <v>747</v>
      </c>
      <c r="I27" s="5">
        <v>40071</v>
      </c>
      <c r="J27" s="5">
        <v>40168</v>
      </c>
      <c r="K27" s="16">
        <v>1484</v>
      </c>
      <c r="L27" s="13">
        <v>66108.539999999994</v>
      </c>
      <c r="M27" s="15">
        <v>2902.8479442703201</v>
      </c>
      <c r="N27" s="13">
        <v>46510.79</v>
      </c>
      <c r="O27" s="13">
        <v>0</v>
      </c>
      <c r="P27" s="11">
        <v>0</v>
      </c>
    </row>
    <row r="28" spans="1:16" ht="15" thickBot="1" x14ac:dyDescent="0.3">
      <c r="A28" s="3" t="s">
        <v>1</v>
      </c>
      <c r="B28" s="4">
        <v>191741</v>
      </c>
      <c r="C28" s="3" t="s">
        <v>4</v>
      </c>
      <c r="D28" s="18">
        <v>0.09</v>
      </c>
      <c r="E28" s="21">
        <v>7.2073233161367156E-3</v>
      </c>
      <c r="F28" s="5">
        <v>38810</v>
      </c>
      <c r="G28" s="5">
        <v>42444</v>
      </c>
      <c r="H28" s="16">
        <v>3634</v>
      </c>
      <c r="I28" s="5">
        <v>42901</v>
      </c>
      <c r="J28" s="5">
        <v>40806</v>
      </c>
      <c r="K28" s="16">
        <v>1996</v>
      </c>
      <c r="L28" s="13">
        <v>445000</v>
      </c>
      <c r="M28" s="15">
        <v>5520.1132010952415</v>
      </c>
      <c r="N28" s="13">
        <v>300000</v>
      </c>
      <c r="O28" s="13">
        <v>11688.38</v>
      </c>
      <c r="P28" s="11">
        <v>1</v>
      </c>
    </row>
    <row r="29" spans="1:16" ht="15" thickBot="1" x14ac:dyDescent="0.3">
      <c r="A29" s="3" t="s">
        <v>1</v>
      </c>
      <c r="B29" s="4">
        <v>181475</v>
      </c>
      <c r="C29" s="3" t="s">
        <v>2</v>
      </c>
      <c r="D29" s="18">
        <v>7.7499999999999999E-2</v>
      </c>
      <c r="E29" s="21">
        <v>6.2396814612857288E-3</v>
      </c>
      <c r="F29" s="5">
        <v>38820</v>
      </c>
      <c r="G29" s="5">
        <v>40673</v>
      </c>
      <c r="H29" s="16">
        <v>1853</v>
      </c>
      <c r="I29" s="5">
        <v>40734</v>
      </c>
      <c r="J29" s="5">
        <v>40080</v>
      </c>
      <c r="K29" s="16">
        <v>1260</v>
      </c>
      <c r="L29" s="13">
        <v>22586.25</v>
      </c>
      <c r="M29" s="15">
        <v>441.77684785786363</v>
      </c>
      <c r="N29" s="13">
        <v>13204.15</v>
      </c>
      <c r="O29" s="13">
        <v>0</v>
      </c>
      <c r="P29" s="11">
        <v>0</v>
      </c>
    </row>
    <row r="30" spans="1:16" ht="15" thickBot="1" x14ac:dyDescent="0.3">
      <c r="A30" s="3" t="s">
        <v>1</v>
      </c>
      <c r="B30" s="4">
        <v>131908</v>
      </c>
      <c r="C30" s="3" t="s">
        <v>2</v>
      </c>
      <c r="D30" s="18">
        <v>8.7499999999999994E-2</v>
      </c>
      <c r="E30" s="21">
        <v>7.0146116041400752E-3</v>
      </c>
      <c r="F30" s="5">
        <v>38841</v>
      </c>
      <c r="G30" s="5">
        <v>39217</v>
      </c>
      <c r="H30" s="16">
        <v>376</v>
      </c>
      <c r="I30" s="5">
        <v>40148</v>
      </c>
      <c r="J30" s="5">
        <v>40631</v>
      </c>
      <c r="K30" s="16">
        <v>1790</v>
      </c>
      <c r="L30" s="13">
        <v>25755</v>
      </c>
      <c r="M30" s="15">
        <v>2153.7685134422791</v>
      </c>
      <c r="N30" s="13">
        <v>14000</v>
      </c>
      <c r="O30" s="13">
        <v>6858.32</v>
      </c>
      <c r="P30" s="11">
        <v>0</v>
      </c>
    </row>
    <row r="31" spans="1:16" ht="15" thickBot="1" x14ac:dyDescent="0.3">
      <c r="A31" s="3" t="s">
        <v>1</v>
      </c>
      <c r="B31" s="4">
        <v>21282</v>
      </c>
      <c r="C31" s="3" t="s">
        <v>4</v>
      </c>
      <c r="D31" s="18">
        <v>8.7499999999999994E-2</v>
      </c>
      <c r="E31" s="21">
        <v>7.0146116041400752E-3</v>
      </c>
      <c r="F31" s="5">
        <v>38867</v>
      </c>
      <c r="G31" s="5">
        <v>42522</v>
      </c>
      <c r="H31" s="16">
        <v>3655</v>
      </c>
      <c r="I31" s="5">
        <v>42795</v>
      </c>
      <c r="J31" s="5">
        <v>40913</v>
      </c>
      <c r="K31" s="16">
        <v>2046</v>
      </c>
      <c r="L31" s="13">
        <v>67000</v>
      </c>
      <c r="M31" s="15">
        <v>819.80529789692935</v>
      </c>
      <c r="N31" s="13">
        <v>30291.95</v>
      </c>
      <c r="O31" s="13">
        <v>1512.08</v>
      </c>
      <c r="P31" s="11">
        <v>1</v>
      </c>
    </row>
    <row r="32" spans="1:16" ht="15" thickBot="1" x14ac:dyDescent="0.3">
      <c r="A32" s="3" t="s">
        <v>1</v>
      </c>
      <c r="B32" s="4">
        <v>210205</v>
      </c>
      <c r="C32" s="3" t="s">
        <v>2</v>
      </c>
      <c r="D32" s="18">
        <v>7.2499999999999995E-2</v>
      </c>
      <c r="E32" s="21">
        <v>5.8497409526456767E-3</v>
      </c>
      <c r="F32" s="5">
        <v>39008</v>
      </c>
      <c r="G32" s="5">
        <v>39373</v>
      </c>
      <c r="H32" s="16">
        <v>365</v>
      </c>
      <c r="I32" s="5">
        <v>39692</v>
      </c>
      <c r="J32" s="5">
        <v>39797</v>
      </c>
      <c r="K32" s="16">
        <v>789</v>
      </c>
      <c r="L32" s="13">
        <v>50125</v>
      </c>
      <c r="M32" s="15">
        <v>4280.2443594467059</v>
      </c>
      <c r="N32" s="13">
        <v>45883.73</v>
      </c>
      <c r="O32" s="13">
        <v>0</v>
      </c>
      <c r="P32" s="11">
        <v>0</v>
      </c>
    </row>
    <row r="33" spans="1:16" ht="15" thickBot="1" x14ac:dyDescent="0.3">
      <c r="A33" s="3" t="s">
        <v>1</v>
      </c>
      <c r="B33" s="4">
        <v>212684</v>
      </c>
      <c r="C33" s="3" t="s">
        <v>4</v>
      </c>
      <c r="D33" s="18">
        <v>9.7500000000000003E-2</v>
      </c>
      <c r="E33" s="21">
        <v>7.7830370878799737E-3</v>
      </c>
      <c r="F33" s="5">
        <v>39048</v>
      </c>
      <c r="G33" s="5">
        <v>40162</v>
      </c>
      <c r="H33" s="16">
        <v>1114</v>
      </c>
      <c r="I33" s="5">
        <v>40162</v>
      </c>
      <c r="J33" s="5">
        <v>39433</v>
      </c>
      <c r="K33" s="16">
        <v>385</v>
      </c>
      <c r="L33" s="13">
        <v>16000</v>
      </c>
      <c r="M33" s="15">
        <v>497.80205787597481</v>
      </c>
      <c r="N33" s="13">
        <v>3855.1</v>
      </c>
      <c r="O33" s="13">
        <v>0</v>
      </c>
      <c r="P33" s="11">
        <v>0</v>
      </c>
    </row>
    <row r="34" spans="1:16" ht="15" thickBot="1" x14ac:dyDescent="0.3">
      <c r="A34" s="3" t="s">
        <v>1</v>
      </c>
      <c r="B34" s="4">
        <v>774073</v>
      </c>
      <c r="C34" s="3" t="s">
        <v>2</v>
      </c>
      <c r="D34" s="18">
        <v>6.7500000000000004E-2</v>
      </c>
      <c r="E34" s="21">
        <v>5.4581304569467637E-3</v>
      </c>
      <c r="F34" s="5">
        <v>39084</v>
      </c>
      <c r="G34" s="5">
        <v>39449</v>
      </c>
      <c r="H34" s="16">
        <v>365</v>
      </c>
      <c r="I34" s="5">
        <v>40405</v>
      </c>
      <c r="J34" s="5">
        <v>40350</v>
      </c>
      <c r="K34" s="16">
        <v>1266</v>
      </c>
      <c r="L34" s="13">
        <v>60312</v>
      </c>
      <c r="M34" s="15">
        <v>5137.0788162608924</v>
      </c>
      <c r="N34" s="13">
        <v>60077.04</v>
      </c>
      <c r="O34" s="13">
        <v>0</v>
      </c>
      <c r="P34" s="11">
        <v>0</v>
      </c>
    </row>
    <row r="35" spans="1:16" ht="15" thickBot="1" x14ac:dyDescent="0.3">
      <c r="A35" s="3" t="s">
        <v>1</v>
      </c>
      <c r="B35" s="4">
        <v>707365</v>
      </c>
      <c r="C35" s="3" t="s">
        <v>2</v>
      </c>
      <c r="D35" s="18">
        <v>7.4999999999999997E-2</v>
      </c>
      <c r="E35" s="21">
        <v>6.0449190242917172E-3</v>
      </c>
      <c r="F35" s="5">
        <v>39105</v>
      </c>
      <c r="G35" s="5">
        <v>41136</v>
      </c>
      <c r="H35" s="16">
        <v>2031</v>
      </c>
      <c r="I35" s="5">
        <v>41348</v>
      </c>
      <c r="J35" s="5">
        <v>40317</v>
      </c>
      <c r="K35" s="16">
        <v>1212</v>
      </c>
      <c r="L35" s="13">
        <v>25098.58</v>
      </c>
      <c r="M35" s="15">
        <v>452.85548908486453</v>
      </c>
      <c r="N35" s="13">
        <v>13936.21</v>
      </c>
      <c r="O35" s="13">
        <v>0</v>
      </c>
      <c r="P35" s="11">
        <v>0</v>
      </c>
    </row>
    <row r="36" spans="1:16" ht="15" thickBot="1" x14ac:dyDescent="0.3">
      <c r="A36" s="3" t="s">
        <v>1</v>
      </c>
      <c r="B36" s="4">
        <v>126551</v>
      </c>
      <c r="C36" s="3" t="s">
        <v>2</v>
      </c>
      <c r="D36" s="18">
        <v>8.6499999999999994E-2</v>
      </c>
      <c r="E36" s="21">
        <v>6.9374131923856108E-3</v>
      </c>
      <c r="F36" s="5">
        <v>39175</v>
      </c>
      <c r="G36" s="5">
        <v>44666</v>
      </c>
      <c r="H36" s="16">
        <v>5491</v>
      </c>
      <c r="I36" s="5">
        <v>44666</v>
      </c>
      <c r="J36" s="5">
        <v>40273</v>
      </c>
      <c r="K36" s="16">
        <v>1098</v>
      </c>
      <c r="L36" s="13">
        <v>131300</v>
      </c>
      <c r="M36" s="15">
        <v>1268.8649621056418</v>
      </c>
      <c r="N36" s="13">
        <v>7432.03</v>
      </c>
      <c r="O36" s="13">
        <v>0</v>
      </c>
      <c r="P36" s="11">
        <v>1</v>
      </c>
    </row>
    <row r="37" spans="1:16" ht="15" thickBot="1" x14ac:dyDescent="0.3">
      <c r="A37" s="3" t="s">
        <v>1</v>
      </c>
      <c r="B37" s="4">
        <v>143469</v>
      </c>
      <c r="C37" s="3" t="s">
        <v>5</v>
      </c>
      <c r="D37" s="18">
        <v>5.2499999999999998E-2</v>
      </c>
      <c r="E37" s="21">
        <v>4.2731277661580691E-3</v>
      </c>
      <c r="F37" s="5">
        <v>39294</v>
      </c>
      <c r="G37" s="5">
        <v>40025</v>
      </c>
      <c r="H37" s="16">
        <v>731</v>
      </c>
      <c r="I37" s="5">
        <v>40087</v>
      </c>
      <c r="J37" s="5">
        <v>40238</v>
      </c>
      <c r="K37" s="16">
        <v>944</v>
      </c>
      <c r="L37" s="13">
        <v>2500000</v>
      </c>
      <c r="M37" s="15">
        <v>108252.12164627943</v>
      </c>
      <c r="N37" s="13">
        <v>1144081.72</v>
      </c>
      <c r="O37" s="13">
        <v>135.97999999999999</v>
      </c>
      <c r="P37" s="11">
        <v>0</v>
      </c>
    </row>
    <row r="38" spans="1:16" ht="15" thickBot="1" x14ac:dyDescent="0.3">
      <c r="A38" s="3" t="s">
        <v>1</v>
      </c>
      <c r="B38" s="4">
        <v>339424</v>
      </c>
      <c r="C38" s="3" t="s">
        <v>2</v>
      </c>
      <c r="D38" s="18">
        <v>8.7499999999999994E-2</v>
      </c>
      <c r="E38" s="21">
        <v>7.0146116041400752E-3</v>
      </c>
      <c r="F38" s="5">
        <v>39482</v>
      </c>
      <c r="G38" s="5">
        <v>40589</v>
      </c>
      <c r="H38" s="16">
        <v>1107</v>
      </c>
      <c r="I38" s="5">
        <v>40589</v>
      </c>
      <c r="J38" s="5">
        <v>39798</v>
      </c>
      <c r="K38" s="16">
        <v>316</v>
      </c>
      <c r="L38" s="13">
        <v>15075</v>
      </c>
      <c r="M38" s="15">
        <v>465.11085286340216</v>
      </c>
      <c r="N38" s="13">
        <v>13664.87</v>
      </c>
      <c r="O38" s="13">
        <v>2500</v>
      </c>
      <c r="P38" s="11">
        <v>0</v>
      </c>
    </row>
    <row r="39" spans="1:16" ht="15" thickBot="1" x14ac:dyDescent="0.3">
      <c r="A39" s="3" t="s">
        <v>1</v>
      </c>
      <c r="B39" s="4">
        <v>293994</v>
      </c>
      <c r="C39" s="3" t="s">
        <v>2</v>
      </c>
      <c r="D39" s="18">
        <v>7.2499999999999995E-2</v>
      </c>
      <c r="E39" s="21">
        <v>5.8497409526456767E-3</v>
      </c>
      <c r="F39" s="5">
        <v>39590</v>
      </c>
      <c r="G39" s="5">
        <v>41419</v>
      </c>
      <c r="H39" s="16">
        <v>1829</v>
      </c>
      <c r="I39" s="5">
        <v>41633</v>
      </c>
      <c r="J39" s="5">
        <v>40317</v>
      </c>
      <c r="K39" s="16">
        <v>727</v>
      </c>
      <c r="L39" s="13">
        <v>22075</v>
      </c>
      <c r="M39" s="15">
        <v>431.52624102128698</v>
      </c>
      <c r="N39" s="13">
        <v>12488.12</v>
      </c>
      <c r="O39" s="13">
        <v>0</v>
      </c>
      <c r="P39" s="11">
        <v>0</v>
      </c>
    </row>
    <row r="40" spans="1:16" ht="15" thickBot="1" x14ac:dyDescent="0.3">
      <c r="A40" s="3" t="s">
        <v>1</v>
      </c>
      <c r="B40" s="4">
        <v>991561</v>
      </c>
      <c r="C40" s="3" t="s">
        <v>2</v>
      </c>
      <c r="D40" s="18">
        <v>8.2500000000000004E-2</v>
      </c>
      <c r="E40" s="21">
        <v>6.6279668043680573E-3</v>
      </c>
      <c r="F40" s="5">
        <v>39770</v>
      </c>
      <c r="G40" s="5">
        <v>40877</v>
      </c>
      <c r="H40" s="16">
        <v>1107</v>
      </c>
      <c r="I40" s="5">
        <v>41057</v>
      </c>
      <c r="J40" s="5">
        <v>40317</v>
      </c>
      <c r="K40" s="16">
        <v>547</v>
      </c>
      <c r="L40" s="13">
        <v>9575</v>
      </c>
      <c r="M40" s="15">
        <v>293.36336075340409</v>
      </c>
      <c r="N40" s="13">
        <v>6076.35</v>
      </c>
      <c r="O40" s="13">
        <v>0</v>
      </c>
      <c r="P40" s="11">
        <v>0</v>
      </c>
    </row>
    <row r="41" spans="1:16" ht="15" thickBot="1" x14ac:dyDescent="0.3">
      <c r="A41" s="3" t="s">
        <v>1</v>
      </c>
      <c r="B41" s="4">
        <v>982778</v>
      </c>
      <c r="C41" s="3" t="s">
        <v>2</v>
      </c>
      <c r="D41" s="18">
        <v>7.4999999999999997E-2</v>
      </c>
      <c r="E41" s="21">
        <v>6.0449190242917172E-3</v>
      </c>
      <c r="F41" s="5">
        <v>39821</v>
      </c>
      <c r="G41" s="5">
        <v>41593</v>
      </c>
      <c r="H41" s="16">
        <v>1772</v>
      </c>
      <c r="I41" s="5">
        <v>41593</v>
      </c>
      <c r="J41" s="5">
        <v>40350</v>
      </c>
      <c r="K41" s="16">
        <v>529</v>
      </c>
      <c r="L41" s="13">
        <v>91100</v>
      </c>
      <c r="M41" s="15">
        <v>1838.629859109762</v>
      </c>
      <c r="N41" s="13">
        <v>75104.009999999995</v>
      </c>
      <c r="O41" s="13">
        <v>0</v>
      </c>
      <c r="P41" s="11">
        <v>0</v>
      </c>
    </row>
    <row r="42" spans="1:16" ht="15" thickBot="1" x14ac:dyDescent="0.3">
      <c r="A42" s="3" t="s">
        <v>1</v>
      </c>
      <c r="B42" s="4">
        <v>78689</v>
      </c>
      <c r="C42" s="3" t="s">
        <v>2</v>
      </c>
      <c r="D42" s="18">
        <v>7.2499999999999995E-2</v>
      </c>
      <c r="E42" s="21">
        <v>5.8497409526456767E-3</v>
      </c>
      <c r="F42" s="5">
        <v>39910</v>
      </c>
      <c r="G42" s="5">
        <v>41004</v>
      </c>
      <c r="H42" s="16">
        <v>1094</v>
      </c>
      <c r="I42" s="5">
        <v>42786</v>
      </c>
      <c r="J42" s="5">
        <v>41541</v>
      </c>
      <c r="K42" s="16">
        <v>1631</v>
      </c>
      <c r="L42" s="13">
        <v>103066</v>
      </c>
      <c r="M42" s="15">
        <v>3146.6988483460182</v>
      </c>
      <c r="N42" s="13">
        <v>40114.400000000001</v>
      </c>
      <c r="O42" s="13">
        <v>40114.400000000001</v>
      </c>
      <c r="P42" s="11">
        <v>0</v>
      </c>
    </row>
    <row r="43" spans="1:16" ht="15" thickBot="1" x14ac:dyDescent="0.3">
      <c r="A43" s="3" t="s">
        <v>1</v>
      </c>
      <c r="B43" s="4">
        <v>208747</v>
      </c>
      <c r="C43" s="3" t="s">
        <v>2</v>
      </c>
      <c r="D43" s="18">
        <v>0.06</v>
      </c>
      <c r="E43" s="21">
        <v>4.8675505653430484E-3</v>
      </c>
      <c r="F43" s="5">
        <v>40610</v>
      </c>
      <c r="G43" s="5">
        <v>42689</v>
      </c>
      <c r="H43" s="16">
        <v>2079</v>
      </c>
      <c r="I43" s="5">
        <v>42689</v>
      </c>
      <c r="J43" s="5">
        <v>40738</v>
      </c>
      <c r="K43" s="16">
        <v>128</v>
      </c>
      <c r="L43" s="13">
        <v>35000</v>
      </c>
      <c r="M43" s="15">
        <v>596.22917274964936</v>
      </c>
      <c r="N43" s="13">
        <v>35000</v>
      </c>
      <c r="O43" s="13">
        <v>4800</v>
      </c>
      <c r="P43" s="11">
        <v>1</v>
      </c>
    </row>
    <row r="44" spans="1:16" ht="15" thickBot="1" x14ac:dyDescent="0.3">
      <c r="A44" s="3" t="s">
        <v>1</v>
      </c>
      <c r="B44" s="4">
        <v>521178</v>
      </c>
      <c r="C44" s="3" t="s">
        <v>4</v>
      </c>
      <c r="D44" s="18">
        <v>8.7499999999999994E-2</v>
      </c>
      <c r="E44" s="21">
        <v>7.0146116041400752E-3</v>
      </c>
      <c r="F44" s="5">
        <v>40928</v>
      </c>
      <c r="G44" s="5">
        <v>42755</v>
      </c>
      <c r="H44" s="16">
        <v>1827</v>
      </c>
      <c r="I44" s="5">
        <v>42755</v>
      </c>
      <c r="J44" s="5">
        <v>41941</v>
      </c>
      <c r="K44" s="16">
        <v>1013</v>
      </c>
      <c r="L44" s="13">
        <v>14500</v>
      </c>
      <c r="M44" s="15">
        <v>293.38263707636651</v>
      </c>
      <c r="N44" s="13">
        <v>8882.85</v>
      </c>
      <c r="O44" s="13">
        <v>953.83</v>
      </c>
      <c r="P44" s="11">
        <v>1</v>
      </c>
    </row>
    <row r="45" spans="1:16" ht="15" thickBot="1" x14ac:dyDescent="0.3">
      <c r="A45" s="3" t="s">
        <v>1</v>
      </c>
      <c r="B45" s="4">
        <v>378088</v>
      </c>
      <c r="C45" s="3" t="s">
        <v>4</v>
      </c>
      <c r="D45" s="18">
        <v>9.2499999999999999E-2</v>
      </c>
      <c r="E45" s="21">
        <v>7.3996302871768282E-3</v>
      </c>
      <c r="F45" s="5">
        <v>41089</v>
      </c>
      <c r="G45" s="5">
        <v>41454</v>
      </c>
      <c r="H45" s="16">
        <v>365</v>
      </c>
      <c r="I45" s="5">
        <v>41454</v>
      </c>
      <c r="J45" s="5">
        <v>41837</v>
      </c>
      <c r="K45" s="16">
        <v>748</v>
      </c>
      <c r="L45" s="13">
        <v>100000</v>
      </c>
      <c r="M45" s="15">
        <v>8625.0619915870193</v>
      </c>
      <c r="N45" s="13">
        <v>60049.43</v>
      </c>
      <c r="O45" s="13">
        <v>4606.6499999999996</v>
      </c>
      <c r="P45" s="11">
        <v>0</v>
      </c>
    </row>
    <row r="46" spans="1:16" ht="15" thickBot="1" x14ac:dyDescent="0.3">
      <c r="A46" s="3" t="s">
        <v>1</v>
      </c>
      <c r="B46" s="4">
        <v>269303</v>
      </c>
      <c r="C46" s="3" t="s">
        <v>2</v>
      </c>
      <c r="D46" s="18">
        <v>0.10249999999999999</v>
      </c>
      <c r="E46" s="21">
        <v>8.1648460519010424E-3</v>
      </c>
      <c r="F46" s="5">
        <v>41019</v>
      </c>
      <c r="G46" s="5">
        <v>41202</v>
      </c>
      <c r="H46" s="16">
        <v>183</v>
      </c>
      <c r="I46" s="5">
        <v>42875</v>
      </c>
      <c r="J46" s="5">
        <v>42543</v>
      </c>
      <c r="K46" s="16">
        <v>1524</v>
      </c>
      <c r="L46" s="13">
        <v>50118</v>
      </c>
      <c r="M46" s="15">
        <v>8455.8558762745433</v>
      </c>
      <c r="N46" s="13">
        <v>10971.85</v>
      </c>
      <c r="O46" s="13">
        <v>632</v>
      </c>
      <c r="P46" s="11">
        <v>0</v>
      </c>
    </row>
    <row r="47" spans="1:16" ht="15" thickBot="1" x14ac:dyDescent="0.3">
      <c r="A47" s="3" t="s">
        <v>1</v>
      </c>
      <c r="B47" s="4">
        <v>843225</v>
      </c>
      <c r="C47" s="3" t="s">
        <v>2</v>
      </c>
      <c r="D47" s="18">
        <v>9.2499999999999999E-2</v>
      </c>
      <c r="E47" s="21">
        <v>7.3996302871768282E-3</v>
      </c>
      <c r="F47" s="5">
        <v>41761</v>
      </c>
      <c r="G47" s="5">
        <v>43590</v>
      </c>
      <c r="H47" s="16">
        <v>1829</v>
      </c>
      <c r="I47" s="5">
        <v>44797</v>
      </c>
      <c r="J47" s="5">
        <v>44460</v>
      </c>
      <c r="K47" s="16">
        <v>2699</v>
      </c>
      <c r="L47" s="13">
        <v>32000</v>
      </c>
      <c r="M47" s="15">
        <v>654.05000428686378</v>
      </c>
      <c r="N47" s="13">
        <v>9510</v>
      </c>
      <c r="O47" s="13">
        <v>444.33</v>
      </c>
      <c r="P47" s="11">
        <v>1</v>
      </c>
    </row>
    <row r="48" spans="1:16" ht="15" thickBot="1" x14ac:dyDescent="0.3">
      <c r="A48" s="3" t="s">
        <v>1</v>
      </c>
      <c r="B48" s="4">
        <v>912817</v>
      </c>
      <c r="C48" s="3" t="s">
        <v>6</v>
      </c>
      <c r="D48" s="18">
        <v>8.7499999999999994E-2</v>
      </c>
      <c r="E48" s="21">
        <v>7.0146116041400752E-3</v>
      </c>
      <c r="F48" s="5">
        <v>42068</v>
      </c>
      <c r="G48" s="5">
        <v>43895</v>
      </c>
      <c r="H48" s="16">
        <v>1827</v>
      </c>
      <c r="I48" s="5">
        <v>43895</v>
      </c>
      <c r="J48" s="5">
        <v>42957</v>
      </c>
      <c r="K48" s="16">
        <v>889</v>
      </c>
      <c r="L48" s="13">
        <v>400000</v>
      </c>
      <c r="M48" s="15">
        <v>8093.3141262445924</v>
      </c>
      <c r="N48" s="13">
        <v>272508.57</v>
      </c>
      <c r="O48" s="13">
        <v>374.05</v>
      </c>
      <c r="P48" s="11">
        <v>1</v>
      </c>
    </row>
    <row r="49" spans="1:16" ht="15" thickBot="1" x14ac:dyDescent="0.3">
      <c r="A49" s="3" t="s">
        <v>1</v>
      </c>
      <c r="B49" s="4">
        <v>10385</v>
      </c>
      <c r="C49" s="3" t="s">
        <v>6</v>
      </c>
      <c r="D49" s="18">
        <v>9.2499999999999999E-2</v>
      </c>
      <c r="E49" s="21">
        <v>7.3996302871768282E-3</v>
      </c>
      <c r="F49" s="5">
        <v>42341</v>
      </c>
      <c r="G49" s="5">
        <v>42795</v>
      </c>
      <c r="H49" s="16">
        <v>454</v>
      </c>
      <c r="I49" s="5">
        <v>42795</v>
      </c>
      <c r="J49" s="5">
        <v>42968</v>
      </c>
      <c r="K49" s="16">
        <v>627</v>
      </c>
      <c r="L49" s="13">
        <v>450000</v>
      </c>
      <c r="M49" s="15">
        <v>31541.433355955811</v>
      </c>
      <c r="N49" s="13">
        <v>438774.16</v>
      </c>
      <c r="O49" s="13">
        <v>0</v>
      </c>
      <c r="P49" s="11">
        <v>1</v>
      </c>
    </row>
    <row r="50" spans="1:16" ht="15" thickBot="1" x14ac:dyDescent="0.3">
      <c r="A50" s="3" t="s">
        <v>1</v>
      </c>
      <c r="B50" s="4">
        <v>33340</v>
      </c>
      <c r="C50" s="3" t="s">
        <v>6</v>
      </c>
      <c r="D50" s="18">
        <v>9.2499999999999999E-2</v>
      </c>
      <c r="E50" s="21">
        <v>7.3996302871768282E-3</v>
      </c>
      <c r="F50" s="5">
        <v>42341</v>
      </c>
      <c r="G50" s="5">
        <v>44849</v>
      </c>
      <c r="H50" s="16">
        <v>2508</v>
      </c>
      <c r="I50" s="5">
        <v>44849</v>
      </c>
      <c r="J50" s="5">
        <v>42968</v>
      </c>
      <c r="K50" s="16">
        <v>627</v>
      </c>
      <c r="L50" s="13">
        <v>645000</v>
      </c>
      <c r="M50" s="15">
        <v>10373.797505644488</v>
      </c>
      <c r="N50" s="13">
        <v>614170.74</v>
      </c>
      <c r="O50" s="13">
        <v>0</v>
      </c>
      <c r="P50" s="11">
        <v>1</v>
      </c>
    </row>
    <row r="51" spans="1:16" ht="15" thickBot="1" x14ac:dyDescent="0.3">
      <c r="A51" s="3" t="s">
        <v>1</v>
      </c>
      <c r="B51" s="4">
        <v>159798</v>
      </c>
      <c r="C51" s="3" t="s">
        <v>3</v>
      </c>
      <c r="D51" s="18">
        <v>5.2499999999999998E-2</v>
      </c>
      <c r="E51" s="21">
        <v>4.2731277661580691E-3</v>
      </c>
      <c r="F51" s="5">
        <v>42639</v>
      </c>
      <c r="G51" s="5">
        <v>43009</v>
      </c>
      <c r="H51" s="16">
        <v>370</v>
      </c>
      <c r="I51" s="5">
        <v>43739</v>
      </c>
      <c r="J51" s="5">
        <v>43769</v>
      </c>
      <c r="K51" s="16">
        <v>1130</v>
      </c>
      <c r="L51" s="13">
        <v>1005100</v>
      </c>
      <c r="M51" s="15">
        <v>83834.871109456712</v>
      </c>
      <c r="N51" s="13">
        <v>922084.77</v>
      </c>
      <c r="O51" s="13">
        <v>0</v>
      </c>
      <c r="P51" s="11">
        <v>1</v>
      </c>
    </row>
    <row r="52" spans="1:16" ht="15" thickBot="1" x14ac:dyDescent="0.3">
      <c r="A52" s="3" t="s">
        <v>1</v>
      </c>
      <c r="B52" s="4">
        <v>506848</v>
      </c>
      <c r="C52" s="3" t="s">
        <v>4</v>
      </c>
      <c r="D52" s="18">
        <v>0.09</v>
      </c>
      <c r="E52" s="21">
        <v>7.2073233161367156E-3</v>
      </c>
      <c r="F52" s="5">
        <v>42922</v>
      </c>
      <c r="G52" s="5">
        <v>45698</v>
      </c>
      <c r="H52" s="16">
        <v>2776</v>
      </c>
      <c r="I52" s="5">
        <v>47088</v>
      </c>
      <c r="J52" s="5">
        <v>45743</v>
      </c>
      <c r="K52" s="16">
        <v>2821</v>
      </c>
      <c r="L52" s="13">
        <v>75000</v>
      </c>
      <c r="M52" s="15">
        <v>1113.4267510963052</v>
      </c>
      <c r="N52" s="13">
        <v>13052.22</v>
      </c>
      <c r="O52" s="13">
        <v>1312.94</v>
      </c>
      <c r="P52" s="11">
        <v>1</v>
      </c>
    </row>
    <row r="53" spans="1:16" ht="15" thickBot="1" x14ac:dyDescent="0.3">
      <c r="A53" s="3" t="s">
        <v>1</v>
      </c>
      <c r="B53" s="4">
        <v>718319</v>
      </c>
      <c r="C53" s="3" t="s">
        <v>3</v>
      </c>
      <c r="D53" s="18">
        <v>5.2499999999999998E-2</v>
      </c>
      <c r="E53" s="21">
        <v>4.2731277661580691E-3</v>
      </c>
      <c r="F53" s="5">
        <v>43010</v>
      </c>
      <c r="G53" s="5">
        <v>43374</v>
      </c>
      <c r="H53" s="16">
        <v>364</v>
      </c>
      <c r="I53" s="5">
        <v>43739</v>
      </c>
      <c r="J53" s="5">
        <v>43769</v>
      </c>
      <c r="K53" s="16">
        <v>759</v>
      </c>
      <c r="L53" s="13">
        <v>1002700</v>
      </c>
      <c r="M53" s="15">
        <v>84977.354979393916</v>
      </c>
      <c r="N53" s="13">
        <v>962739.27</v>
      </c>
      <c r="O53" s="13">
        <v>0</v>
      </c>
      <c r="P53" s="11">
        <v>1</v>
      </c>
    </row>
    <row r="54" spans="1:16" ht="15" thickBot="1" x14ac:dyDescent="0.3">
      <c r="A54" s="3" t="s">
        <v>1</v>
      </c>
      <c r="B54" s="4">
        <v>939194</v>
      </c>
      <c r="C54" s="3" t="s">
        <v>3</v>
      </c>
      <c r="D54" s="18">
        <v>8.7499999999999994E-2</v>
      </c>
      <c r="E54" s="21">
        <v>7.0146116041400752E-3</v>
      </c>
      <c r="F54" s="5">
        <v>35550</v>
      </c>
      <c r="G54" s="5">
        <v>38127</v>
      </c>
      <c r="H54" s="16">
        <v>2577</v>
      </c>
      <c r="I54" s="5">
        <v>38127</v>
      </c>
      <c r="J54" s="5">
        <v>36445</v>
      </c>
      <c r="K54" s="16">
        <v>895</v>
      </c>
      <c r="L54" s="13">
        <v>178065</v>
      </c>
      <c r="M54" s="15">
        <v>2766.851474086377</v>
      </c>
      <c r="N54" s="13">
        <v>147666.38</v>
      </c>
      <c r="O54" s="13">
        <v>0</v>
      </c>
      <c r="P54" s="11">
        <v>0</v>
      </c>
    </row>
    <row r="55" spans="1:16" ht="15" thickBot="1" x14ac:dyDescent="0.3">
      <c r="A55" s="3" t="s">
        <v>1</v>
      </c>
      <c r="B55" s="4">
        <v>715526</v>
      </c>
      <c r="C55" s="3" t="s">
        <v>3</v>
      </c>
      <c r="D55" s="18">
        <v>8.7499999999999994E-2</v>
      </c>
      <c r="E55" s="21">
        <v>7.0146116041400752E-3</v>
      </c>
      <c r="F55" s="5">
        <v>35550</v>
      </c>
      <c r="G55" s="5">
        <v>35915</v>
      </c>
      <c r="H55" s="16">
        <v>365</v>
      </c>
      <c r="I55" s="5">
        <v>35915</v>
      </c>
      <c r="J55" s="5">
        <v>36445</v>
      </c>
      <c r="K55" s="16">
        <v>895</v>
      </c>
      <c r="L55" s="13">
        <v>60635</v>
      </c>
      <c r="M55" s="15">
        <v>5216.8371548449695</v>
      </c>
      <c r="N55" s="13">
        <v>54125.29</v>
      </c>
      <c r="O55" s="13">
        <v>0</v>
      </c>
      <c r="P55" s="11">
        <v>0</v>
      </c>
    </row>
    <row r="56" spans="1:16" ht="15" thickBot="1" x14ac:dyDescent="0.3">
      <c r="A56" s="3" t="s">
        <v>1</v>
      </c>
      <c r="B56" s="4">
        <v>544994</v>
      </c>
      <c r="C56" s="3" t="s">
        <v>2</v>
      </c>
      <c r="D56" s="18">
        <v>8.5000000000000006E-2</v>
      </c>
      <c r="E56" s="21">
        <v>6.8214933659622723E-3</v>
      </c>
      <c r="F56" s="5">
        <v>36587</v>
      </c>
      <c r="G56" s="5">
        <v>36951</v>
      </c>
      <c r="H56" s="16">
        <v>364</v>
      </c>
      <c r="I56" s="5">
        <v>37726</v>
      </c>
      <c r="J56" s="5">
        <v>37881</v>
      </c>
      <c r="K56" s="16">
        <v>1294</v>
      </c>
      <c r="L56" s="13">
        <v>604396</v>
      </c>
      <c r="M56" s="15">
        <v>52072.34227507389</v>
      </c>
      <c r="N56" s="13">
        <v>330988.51</v>
      </c>
      <c r="O56" s="13">
        <v>0</v>
      </c>
      <c r="P56" s="11">
        <v>0</v>
      </c>
    </row>
    <row r="57" spans="1:16" ht="15" thickBot="1" x14ac:dyDescent="0.3">
      <c r="A57" s="3" t="s">
        <v>1</v>
      </c>
      <c r="B57" s="4">
        <v>287099</v>
      </c>
      <c r="C57" s="3" t="s">
        <v>2</v>
      </c>
      <c r="D57" s="18">
        <v>8.2500000000000004E-2</v>
      </c>
      <c r="E57" s="21">
        <v>6.6279668043680573E-3</v>
      </c>
      <c r="F57" s="5">
        <v>36881</v>
      </c>
      <c r="G57" s="5">
        <v>37063</v>
      </c>
      <c r="H57" s="16">
        <v>182</v>
      </c>
      <c r="I57" s="5">
        <v>38908</v>
      </c>
      <c r="J57" s="5">
        <v>37957</v>
      </c>
      <c r="K57" s="16">
        <v>1076</v>
      </c>
      <c r="L57" s="13">
        <v>328970</v>
      </c>
      <c r="M57" s="15">
        <v>55502.812723501396</v>
      </c>
      <c r="N57" s="13">
        <v>210432.66</v>
      </c>
      <c r="O57" s="13">
        <v>0</v>
      </c>
      <c r="P57" s="11">
        <v>0</v>
      </c>
    </row>
    <row r="58" spans="1:16" ht="15" thickBot="1" x14ac:dyDescent="0.3">
      <c r="A58" s="3" t="s">
        <v>1</v>
      </c>
      <c r="B58" s="4">
        <v>48058</v>
      </c>
      <c r="C58" s="3" t="s">
        <v>7</v>
      </c>
      <c r="D58" s="18">
        <v>9.2499999999999999E-2</v>
      </c>
      <c r="E58" s="21">
        <v>7.3996302871768282E-3</v>
      </c>
      <c r="F58" s="5">
        <v>36973</v>
      </c>
      <c r="G58" s="5">
        <v>37157</v>
      </c>
      <c r="H58" s="16">
        <v>184</v>
      </c>
      <c r="I58" s="5">
        <v>37157</v>
      </c>
      <c r="J58" s="5">
        <v>37237</v>
      </c>
      <c r="K58" s="16">
        <v>264</v>
      </c>
      <c r="L58" s="13">
        <v>90078.31</v>
      </c>
      <c r="M58" s="15">
        <v>15076.736844828853</v>
      </c>
      <c r="N58" s="13">
        <v>46675.06</v>
      </c>
      <c r="O58" s="13">
        <v>350</v>
      </c>
      <c r="P58" s="11">
        <v>0</v>
      </c>
    </row>
    <row r="59" spans="1:16" ht="15" thickBot="1" x14ac:dyDescent="0.3">
      <c r="A59" s="3" t="s">
        <v>1</v>
      </c>
      <c r="B59" s="4">
        <v>198378</v>
      </c>
      <c r="C59" s="3" t="s">
        <v>2</v>
      </c>
      <c r="D59" s="18">
        <v>8.5000000000000006E-2</v>
      </c>
      <c r="E59" s="21">
        <v>6.8214933659622723E-3</v>
      </c>
      <c r="F59" s="5">
        <v>37000</v>
      </c>
      <c r="G59" s="5">
        <v>37377</v>
      </c>
      <c r="H59" s="16">
        <v>377</v>
      </c>
      <c r="I59" s="5">
        <v>37500</v>
      </c>
      <c r="J59" s="5">
        <v>37882</v>
      </c>
      <c r="K59" s="16">
        <v>882</v>
      </c>
      <c r="L59" s="13">
        <v>200000</v>
      </c>
      <c r="M59" s="15">
        <v>16661.201393967342</v>
      </c>
      <c r="N59" s="13">
        <v>59701.48</v>
      </c>
      <c r="O59" s="13">
        <v>2302.66</v>
      </c>
      <c r="P59" s="11">
        <v>0</v>
      </c>
    </row>
    <row r="60" spans="1:16" ht="15" thickBot="1" x14ac:dyDescent="0.3">
      <c r="A60" s="3" t="s">
        <v>1</v>
      </c>
      <c r="B60" s="4">
        <v>551253</v>
      </c>
      <c r="C60" s="3" t="s">
        <v>2</v>
      </c>
      <c r="D60" s="18">
        <v>8.7499999999999994E-2</v>
      </c>
      <c r="E60" s="21">
        <v>7.0146116041400752E-3</v>
      </c>
      <c r="F60" s="5">
        <v>38806</v>
      </c>
      <c r="G60" s="5">
        <v>41369</v>
      </c>
      <c r="H60" s="16">
        <v>2563</v>
      </c>
      <c r="I60" s="5">
        <v>41379</v>
      </c>
      <c r="J60" s="5">
        <v>40168</v>
      </c>
      <c r="K60" s="16">
        <v>1362</v>
      </c>
      <c r="L60" s="13">
        <v>437799</v>
      </c>
      <c r="M60" s="15">
        <v>6829.8283644378907</v>
      </c>
      <c r="N60" s="13">
        <v>200247.22</v>
      </c>
      <c r="O60" s="13">
        <v>50012.46</v>
      </c>
      <c r="P60" s="11">
        <v>0</v>
      </c>
    </row>
    <row r="61" spans="1:16" ht="15" thickBot="1" x14ac:dyDescent="0.3">
      <c r="A61" s="3" t="s">
        <v>1</v>
      </c>
      <c r="B61" s="4">
        <v>988571</v>
      </c>
      <c r="C61" s="3" t="s">
        <v>2</v>
      </c>
      <c r="D61" s="18">
        <v>6.6799999999999998E-2</v>
      </c>
      <c r="E61" s="21">
        <v>5.4031708698436542E-3</v>
      </c>
      <c r="F61" s="5">
        <v>39143</v>
      </c>
      <c r="G61" s="5">
        <v>44666</v>
      </c>
      <c r="H61" s="16">
        <v>5523</v>
      </c>
      <c r="I61" s="5">
        <v>44870</v>
      </c>
      <c r="J61" s="5">
        <v>41361</v>
      </c>
      <c r="K61" s="16">
        <v>2218</v>
      </c>
      <c r="L61" s="13">
        <v>1000000</v>
      </c>
      <c r="M61" s="15">
        <v>8587.6010092811448</v>
      </c>
      <c r="N61" s="13">
        <v>239476.36</v>
      </c>
      <c r="O61" s="13">
        <v>0</v>
      </c>
      <c r="P61" s="11">
        <v>1</v>
      </c>
    </row>
    <row r="62" spans="1:16" ht="15" thickBot="1" x14ac:dyDescent="0.3">
      <c r="A62" s="3" t="s">
        <v>1</v>
      </c>
      <c r="B62" s="4">
        <v>487311</v>
      </c>
      <c r="C62" s="3" t="s">
        <v>3</v>
      </c>
      <c r="D62" s="18">
        <v>8.7499999999999994E-2</v>
      </c>
      <c r="E62" s="21">
        <v>7.0146116041400752E-3</v>
      </c>
      <c r="F62" s="5">
        <v>36270</v>
      </c>
      <c r="G62" s="5">
        <v>38292</v>
      </c>
      <c r="H62" s="16">
        <v>2022</v>
      </c>
      <c r="I62" s="5">
        <v>37712</v>
      </c>
      <c r="J62" s="5">
        <v>37708</v>
      </c>
      <c r="K62" s="16">
        <v>1438</v>
      </c>
      <c r="L62" s="13">
        <v>31540.83</v>
      </c>
      <c r="M62" s="15">
        <v>588.88199902605834</v>
      </c>
      <c r="N62" s="13">
        <v>19539.509999999998</v>
      </c>
      <c r="O62" s="13">
        <v>1106</v>
      </c>
      <c r="P62" s="11">
        <v>0</v>
      </c>
    </row>
    <row r="63" spans="1:16" ht="15" thickBot="1" x14ac:dyDescent="0.3">
      <c r="A63" s="3" t="s">
        <v>1</v>
      </c>
      <c r="B63" s="4">
        <v>739402</v>
      </c>
      <c r="C63" s="3" t="s">
        <v>2</v>
      </c>
      <c r="D63" s="18">
        <v>5.5E-2</v>
      </c>
      <c r="E63" s="21">
        <v>4.471698917043021E-3</v>
      </c>
      <c r="F63" s="5">
        <v>37546</v>
      </c>
      <c r="G63" s="5">
        <v>39010</v>
      </c>
      <c r="H63" s="16">
        <v>1464</v>
      </c>
      <c r="I63" s="5">
        <v>39102</v>
      </c>
      <c r="J63" s="5">
        <v>39168</v>
      </c>
      <c r="K63" s="16">
        <v>1622</v>
      </c>
      <c r="L63" s="13">
        <v>68437.259999999995</v>
      </c>
      <c r="M63" s="15">
        <v>1564.099863953365</v>
      </c>
      <c r="N63" s="13">
        <v>40000</v>
      </c>
      <c r="O63" s="13">
        <v>0</v>
      </c>
      <c r="P63" s="11">
        <v>0</v>
      </c>
    </row>
    <row r="64" spans="1:16" ht="15" thickBot="1" x14ac:dyDescent="0.3">
      <c r="A64" s="3" t="s">
        <v>1</v>
      </c>
      <c r="B64" s="4">
        <v>591755</v>
      </c>
      <c r="C64" s="3" t="s">
        <v>2</v>
      </c>
      <c r="D64" s="18">
        <v>9.4E-2</v>
      </c>
      <c r="E64" s="21">
        <v>7.5148209323356863E-3</v>
      </c>
      <c r="F64" s="5">
        <v>39444</v>
      </c>
      <c r="G64" s="5">
        <v>40909</v>
      </c>
      <c r="H64" s="16">
        <v>1465</v>
      </c>
      <c r="I64" s="5">
        <v>40909</v>
      </c>
      <c r="J64" s="5">
        <v>40486</v>
      </c>
      <c r="K64" s="16">
        <v>1042</v>
      </c>
      <c r="L64" s="13">
        <v>7857.16</v>
      </c>
      <c r="M64" s="15">
        <v>192.81877584590507</v>
      </c>
      <c r="N64" s="13">
        <v>3337.92</v>
      </c>
      <c r="O64" s="13">
        <v>155.1</v>
      </c>
      <c r="P64" s="11">
        <v>0</v>
      </c>
    </row>
    <row r="65" spans="1:16" ht="15" thickBot="1" x14ac:dyDescent="0.3">
      <c r="A65" s="3" t="s">
        <v>1</v>
      </c>
      <c r="B65" s="4">
        <v>612463</v>
      </c>
      <c r="C65" s="3" t="s">
        <v>2</v>
      </c>
      <c r="D65" s="18">
        <v>9.1999999999999998E-2</v>
      </c>
      <c r="E65" s="21">
        <v>7.3612011869552685E-3</v>
      </c>
      <c r="F65" s="5">
        <v>36938</v>
      </c>
      <c r="G65" s="5">
        <v>37119</v>
      </c>
      <c r="H65" s="16">
        <v>181</v>
      </c>
      <c r="I65" s="5">
        <v>37303</v>
      </c>
      <c r="J65" s="5">
        <v>37620</v>
      </c>
      <c r="K65" s="16">
        <v>682</v>
      </c>
      <c r="L65" s="13">
        <v>40000</v>
      </c>
      <c r="M65" s="15">
        <v>6802.5159613420092</v>
      </c>
      <c r="N65" s="13">
        <v>20000</v>
      </c>
      <c r="O65" s="13">
        <v>5400</v>
      </c>
      <c r="P65" s="11">
        <v>0</v>
      </c>
    </row>
    <row r="66" spans="1:16" ht="15" thickBot="1" x14ac:dyDescent="0.3">
      <c r="A66" s="3" t="s">
        <v>1</v>
      </c>
      <c r="B66" s="4">
        <v>579811</v>
      </c>
      <c r="C66" s="3" t="s">
        <v>2</v>
      </c>
      <c r="D66" s="18">
        <v>9.1999999999999998E-2</v>
      </c>
      <c r="E66" s="21">
        <v>7.3612011869552685E-3</v>
      </c>
      <c r="F66" s="5">
        <v>36969</v>
      </c>
      <c r="G66" s="5">
        <v>38032</v>
      </c>
      <c r="H66" s="16">
        <v>1063</v>
      </c>
      <c r="I66" s="5">
        <v>38032</v>
      </c>
      <c r="J66" s="5">
        <v>37966</v>
      </c>
      <c r="K66" s="16">
        <v>997</v>
      </c>
      <c r="L66" s="13">
        <v>50891.51</v>
      </c>
      <c r="M66" s="15">
        <v>1636.955881289033</v>
      </c>
      <c r="N66" s="13">
        <v>20829.689999999999</v>
      </c>
      <c r="O66" s="13">
        <v>1050</v>
      </c>
      <c r="P66" s="11">
        <v>0</v>
      </c>
    </row>
    <row r="67" spans="1:16" ht="15" thickBot="1" x14ac:dyDescent="0.3">
      <c r="A67" s="3" t="s">
        <v>1</v>
      </c>
      <c r="B67" s="4">
        <v>265783</v>
      </c>
      <c r="C67" s="3" t="s">
        <v>2</v>
      </c>
      <c r="D67" s="18">
        <v>0.1075</v>
      </c>
      <c r="E67" s="21">
        <v>8.5450710394860963E-3</v>
      </c>
      <c r="F67" s="5">
        <v>37949</v>
      </c>
      <c r="G67" s="5">
        <v>38311</v>
      </c>
      <c r="H67" s="16">
        <v>362</v>
      </c>
      <c r="I67" s="5">
        <v>38696</v>
      </c>
      <c r="J67" s="5">
        <v>38694</v>
      </c>
      <c r="K67" s="16">
        <v>745</v>
      </c>
      <c r="L67" s="13">
        <v>7575</v>
      </c>
      <c r="M67" s="15">
        <v>663.35894703524809</v>
      </c>
      <c r="N67" s="13">
        <v>5021.88</v>
      </c>
      <c r="O67" s="13">
        <v>2500</v>
      </c>
      <c r="P67" s="11">
        <v>0</v>
      </c>
    </row>
    <row r="68" spans="1:16" ht="15" thickBot="1" x14ac:dyDescent="0.3">
      <c r="A68" s="3" t="s">
        <v>1</v>
      </c>
      <c r="B68" s="4">
        <v>651289</v>
      </c>
      <c r="C68" s="3" t="s">
        <v>2</v>
      </c>
      <c r="D68" s="18">
        <v>0.10249999999999999</v>
      </c>
      <c r="E68" s="21">
        <v>8.1648460519010424E-3</v>
      </c>
      <c r="F68" s="5">
        <v>38050</v>
      </c>
      <c r="G68" s="5">
        <v>38780</v>
      </c>
      <c r="H68" s="16">
        <v>730</v>
      </c>
      <c r="I68" s="5">
        <v>38780</v>
      </c>
      <c r="J68" s="5">
        <v>38623</v>
      </c>
      <c r="K68" s="16">
        <v>573</v>
      </c>
      <c r="L68" s="13">
        <v>15857.61</v>
      </c>
      <c r="M68" s="15">
        <v>721.21046860670344</v>
      </c>
      <c r="N68" s="13">
        <v>8133.96</v>
      </c>
      <c r="O68" s="13">
        <v>4027.86</v>
      </c>
      <c r="P68" s="11">
        <v>0</v>
      </c>
    </row>
    <row r="69" spans="1:16" ht="15" thickBot="1" x14ac:dyDescent="0.3">
      <c r="A69" s="3" t="s">
        <v>1</v>
      </c>
      <c r="B69" s="4">
        <v>11709</v>
      </c>
      <c r="C69" s="3" t="s">
        <v>3</v>
      </c>
      <c r="D69" s="18">
        <v>7.0000000000000007E-2</v>
      </c>
      <c r="E69" s="21">
        <v>5.6541453874052738E-3</v>
      </c>
      <c r="F69" s="5">
        <v>39521</v>
      </c>
      <c r="G69" s="5">
        <v>39887</v>
      </c>
      <c r="H69" s="16">
        <v>366</v>
      </c>
      <c r="I69" s="5">
        <v>44926</v>
      </c>
      <c r="J69" s="5">
        <v>42824</v>
      </c>
      <c r="K69" s="16">
        <v>3303</v>
      </c>
      <c r="L69" s="13">
        <v>20200</v>
      </c>
      <c r="M69" s="15">
        <v>1718.1757088746097</v>
      </c>
      <c r="N69" s="13">
        <v>17437.060000000001</v>
      </c>
      <c r="O69" s="13">
        <v>17437.060000000001</v>
      </c>
      <c r="P69" s="11">
        <v>0</v>
      </c>
    </row>
    <row r="70" spans="1:16" ht="15" thickBot="1" x14ac:dyDescent="0.3">
      <c r="A70" s="3" t="s">
        <v>1</v>
      </c>
      <c r="B70" s="4">
        <v>726105</v>
      </c>
      <c r="C70" s="3" t="s">
        <v>2</v>
      </c>
      <c r="D70" s="18">
        <v>0.1</v>
      </c>
      <c r="E70" s="21">
        <v>7.9741404289037643E-3</v>
      </c>
      <c r="F70" s="5">
        <v>39759</v>
      </c>
      <c r="G70" s="5">
        <v>41585</v>
      </c>
      <c r="H70" s="16">
        <v>1826</v>
      </c>
      <c r="I70" s="5">
        <v>41585</v>
      </c>
      <c r="J70" s="5">
        <v>40988</v>
      </c>
      <c r="K70" s="16">
        <v>1229</v>
      </c>
      <c r="L70" s="13">
        <v>25262</v>
      </c>
      <c r="M70" s="15">
        <v>525.49622625075597</v>
      </c>
      <c r="N70" s="13">
        <v>12212.54</v>
      </c>
      <c r="O70" s="13">
        <v>0</v>
      </c>
      <c r="P70" s="11">
        <v>0</v>
      </c>
    </row>
    <row r="71" spans="1:16" ht="15" thickBot="1" x14ac:dyDescent="0.3">
      <c r="A71" s="3" t="s">
        <v>1</v>
      </c>
      <c r="B71" s="4">
        <v>510147</v>
      </c>
      <c r="C71" s="3" t="s">
        <v>4</v>
      </c>
      <c r="D71" s="18">
        <v>9.5000000000000001E-2</v>
      </c>
      <c r="E71" s="21">
        <v>7.5915342905825689E-3</v>
      </c>
      <c r="F71" s="5">
        <v>40211</v>
      </c>
      <c r="G71" s="5">
        <v>42795</v>
      </c>
      <c r="H71" s="16">
        <v>2584</v>
      </c>
      <c r="I71" s="5">
        <v>42795</v>
      </c>
      <c r="J71" s="5">
        <v>41198</v>
      </c>
      <c r="K71" s="16">
        <v>987</v>
      </c>
      <c r="L71" s="13">
        <v>60000</v>
      </c>
      <c r="M71" s="15">
        <v>951.53429271125583</v>
      </c>
      <c r="N71" s="13">
        <v>46410.2</v>
      </c>
      <c r="O71" s="13">
        <v>36.880000000000003</v>
      </c>
      <c r="P71" s="11">
        <v>1</v>
      </c>
    </row>
    <row r="72" spans="1:16" ht="15" thickBot="1" x14ac:dyDescent="0.3">
      <c r="A72" s="3" t="s">
        <v>1</v>
      </c>
      <c r="B72" s="4">
        <v>673830</v>
      </c>
      <c r="C72" s="3" t="s">
        <v>2</v>
      </c>
      <c r="D72" s="18">
        <v>0.10249999999999999</v>
      </c>
      <c r="E72" s="21">
        <v>8.1648460519010424E-3</v>
      </c>
      <c r="F72" s="5">
        <v>41586</v>
      </c>
      <c r="G72" s="5">
        <v>42060</v>
      </c>
      <c r="H72" s="16">
        <v>474</v>
      </c>
      <c r="I72" s="5">
        <v>43388</v>
      </c>
      <c r="J72" s="5">
        <v>42913</v>
      </c>
      <c r="K72" s="16">
        <v>1327</v>
      </c>
      <c r="L72" s="13">
        <v>10000</v>
      </c>
      <c r="M72" s="15">
        <v>677.18988056176113</v>
      </c>
      <c r="N72" s="13">
        <v>8307.68</v>
      </c>
      <c r="O72" s="13">
        <v>0</v>
      </c>
      <c r="P72" s="11">
        <v>1</v>
      </c>
    </row>
    <row r="73" spans="1:16" ht="15" thickBot="1" x14ac:dyDescent="0.3">
      <c r="A73" s="3" t="s">
        <v>1</v>
      </c>
      <c r="B73" s="4">
        <v>552100</v>
      </c>
      <c r="C73" s="3" t="s">
        <v>3</v>
      </c>
      <c r="D73" s="18">
        <v>0.09</v>
      </c>
      <c r="E73" s="21">
        <v>7.2073233161367156E-3</v>
      </c>
      <c r="F73" s="5">
        <v>42851</v>
      </c>
      <c r="G73" s="5">
        <v>43054</v>
      </c>
      <c r="H73" s="16">
        <v>203</v>
      </c>
      <c r="I73" s="5">
        <v>43419</v>
      </c>
      <c r="J73" s="5">
        <v>43228</v>
      </c>
      <c r="K73" s="16">
        <v>377</v>
      </c>
      <c r="L73" s="13">
        <v>60192</v>
      </c>
      <c r="M73" s="15">
        <v>9146.0553156880615</v>
      </c>
      <c r="N73" s="13">
        <v>22356.85</v>
      </c>
      <c r="O73" s="13">
        <v>2441.33</v>
      </c>
      <c r="P73" s="11">
        <v>1</v>
      </c>
    </row>
    <row r="74" spans="1:16" ht="15" thickBot="1" x14ac:dyDescent="0.3">
      <c r="A74" s="3" t="s">
        <v>1</v>
      </c>
      <c r="B74" s="4">
        <v>106452</v>
      </c>
      <c r="C74" s="3" t="s">
        <v>8</v>
      </c>
      <c r="D74" s="18">
        <v>0.09</v>
      </c>
      <c r="E74" s="21">
        <v>7.2073233161367156E-3</v>
      </c>
      <c r="F74" s="5">
        <v>42377</v>
      </c>
      <c r="G74" s="5">
        <v>46032</v>
      </c>
      <c r="H74" s="16">
        <v>3655</v>
      </c>
      <c r="I74" s="5">
        <v>46032</v>
      </c>
      <c r="J74" s="5">
        <v>43455</v>
      </c>
      <c r="K74" s="16">
        <v>1078</v>
      </c>
      <c r="L74" s="13">
        <v>69485</v>
      </c>
      <c r="M74" s="15">
        <v>858.83836298795154</v>
      </c>
      <c r="N74" s="13">
        <v>38000</v>
      </c>
      <c r="O74" s="13">
        <v>0</v>
      </c>
      <c r="P74" s="11">
        <v>1</v>
      </c>
    </row>
    <row r="75" spans="1:16" ht="15" thickBot="1" x14ac:dyDescent="0.3">
      <c r="A75" s="3" t="s">
        <v>1</v>
      </c>
      <c r="B75" s="4">
        <v>475887</v>
      </c>
      <c r="C75" s="3" t="s">
        <v>2</v>
      </c>
      <c r="D75" s="18">
        <v>0.10249999999999999</v>
      </c>
      <c r="E75" s="21">
        <v>8.1648460519010424E-3</v>
      </c>
      <c r="F75" s="5">
        <v>39714</v>
      </c>
      <c r="G75" s="5">
        <v>40071</v>
      </c>
      <c r="H75" s="16">
        <v>357</v>
      </c>
      <c r="I75" s="5">
        <v>41197</v>
      </c>
      <c r="J75" s="5">
        <v>41179</v>
      </c>
      <c r="K75" s="16">
        <v>1465</v>
      </c>
      <c r="L75" s="13">
        <v>10100</v>
      </c>
      <c r="M75" s="15">
        <v>894.09707386902835</v>
      </c>
      <c r="N75" s="13">
        <v>7335.28</v>
      </c>
      <c r="O75" s="13">
        <v>1471.92</v>
      </c>
      <c r="P75" s="11">
        <v>0</v>
      </c>
    </row>
    <row r="76" spans="1:16" ht="15" thickBot="1" x14ac:dyDescent="0.3">
      <c r="A76" s="3" t="s">
        <v>1</v>
      </c>
      <c r="B76" s="4">
        <v>257197</v>
      </c>
      <c r="C76" s="3" t="s">
        <v>9</v>
      </c>
      <c r="D76" s="18">
        <v>0.09</v>
      </c>
      <c r="E76" s="21">
        <v>7.2073233161367156E-3</v>
      </c>
      <c r="F76" s="5">
        <v>39959</v>
      </c>
      <c r="G76" s="5">
        <v>42149</v>
      </c>
      <c r="H76" s="16">
        <v>2190</v>
      </c>
      <c r="I76" s="5">
        <v>42180</v>
      </c>
      <c r="J76" s="5">
        <v>40406</v>
      </c>
      <c r="K76" s="16">
        <v>447</v>
      </c>
      <c r="L76" s="13">
        <v>21594</v>
      </c>
      <c r="M76" s="15">
        <v>381.45873455357759</v>
      </c>
      <c r="N76" s="13">
        <v>11503.42</v>
      </c>
      <c r="O76" s="13">
        <v>0</v>
      </c>
      <c r="P76" s="11">
        <v>1</v>
      </c>
    </row>
    <row r="77" spans="1:16" ht="15" thickBot="1" x14ac:dyDescent="0.3">
      <c r="A77" s="3" t="s">
        <v>1</v>
      </c>
      <c r="B77" s="4">
        <v>728375</v>
      </c>
      <c r="C77" s="3" t="s">
        <v>2</v>
      </c>
      <c r="D77" s="18">
        <v>5.2499999999999998E-2</v>
      </c>
      <c r="E77" s="21">
        <v>4.2731277661580691E-3</v>
      </c>
      <c r="F77" s="5">
        <v>40512</v>
      </c>
      <c r="G77" s="5">
        <v>42531</v>
      </c>
      <c r="H77" s="16">
        <v>2019</v>
      </c>
      <c r="I77" s="5">
        <v>42531</v>
      </c>
      <c r="J77" s="5">
        <v>41179</v>
      </c>
      <c r="K77" s="16">
        <v>667</v>
      </c>
      <c r="L77" s="13">
        <v>9680.7800000000007</v>
      </c>
      <c r="M77" s="15">
        <v>165.82379488804688</v>
      </c>
      <c r="N77" s="13">
        <v>8067.28</v>
      </c>
      <c r="O77" s="13">
        <v>0</v>
      </c>
      <c r="P77" s="11">
        <v>1</v>
      </c>
    </row>
    <row r="78" spans="1:16" ht="15" thickBot="1" x14ac:dyDescent="0.3">
      <c r="A78" s="3" t="s">
        <v>1</v>
      </c>
      <c r="B78" s="4">
        <v>236230</v>
      </c>
      <c r="C78" s="3" t="s">
        <v>2</v>
      </c>
      <c r="D78" s="18">
        <v>0.12</v>
      </c>
      <c r="E78" s="21">
        <v>9.4887929345830457E-3</v>
      </c>
      <c r="F78" s="5">
        <v>38981</v>
      </c>
      <c r="G78" s="5">
        <v>39345</v>
      </c>
      <c r="H78" s="16">
        <v>364</v>
      </c>
      <c r="I78" s="5">
        <v>39711</v>
      </c>
      <c r="J78" s="5">
        <v>39897</v>
      </c>
      <c r="K78" s="16">
        <v>916</v>
      </c>
      <c r="L78" s="13">
        <v>10200</v>
      </c>
      <c r="M78" s="15">
        <v>893.95833150882459</v>
      </c>
      <c r="N78" s="13">
        <v>10200</v>
      </c>
      <c r="O78" s="13">
        <v>1253.1600000000001</v>
      </c>
      <c r="P78" s="11">
        <v>0</v>
      </c>
    </row>
    <row r="79" spans="1:16" ht="15" thickBot="1" x14ac:dyDescent="0.3">
      <c r="A79" s="3" t="s">
        <v>1</v>
      </c>
      <c r="B79" s="4">
        <v>195607</v>
      </c>
      <c r="C79" s="3" t="s">
        <v>2</v>
      </c>
      <c r="D79" s="18">
        <v>8.5000000000000006E-2</v>
      </c>
      <c r="E79" s="21">
        <v>6.8214933659622723E-3</v>
      </c>
      <c r="F79" s="5">
        <v>39255</v>
      </c>
      <c r="G79" s="5">
        <v>40351</v>
      </c>
      <c r="H79" s="16">
        <v>1096</v>
      </c>
      <c r="I79" s="5">
        <v>40716</v>
      </c>
      <c r="J79" s="5">
        <v>39625</v>
      </c>
      <c r="K79" s="16">
        <v>370</v>
      </c>
      <c r="L79" s="13">
        <v>5050</v>
      </c>
      <c r="M79" s="15">
        <v>156.63738533548718</v>
      </c>
      <c r="N79" s="13">
        <v>4407.1000000000004</v>
      </c>
      <c r="O79" s="13">
        <v>2851</v>
      </c>
      <c r="P79" s="11">
        <v>0</v>
      </c>
    </row>
    <row r="80" spans="1:16" ht="15" thickBot="1" x14ac:dyDescent="0.3">
      <c r="A80" s="3" t="s">
        <v>1</v>
      </c>
      <c r="B80" s="4">
        <v>885643</v>
      </c>
      <c r="C80" s="3" t="s">
        <v>9</v>
      </c>
      <c r="D80" s="18">
        <v>0.09</v>
      </c>
      <c r="E80" s="21">
        <v>7.2073233161367156E-3</v>
      </c>
      <c r="F80" s="5">
        <v>39842</v>
      </c>
      <c r="G80" s="5">
        <v>41690</v>
      </c>
      <c r="H80" s="16">
        <v>1848</v>
      </c>
      <c r="I80" s="5">
        <v>41810</v>
      </c>
      <c r="J80" s="5">
        <v>40883</v>
      </c>
      <c r="K80" s="16">
        <v>1041</v>
      </c>
      <c r="L80" s="13">
        <v>28299.63</v>
      </c>
      <c r="M80" s="15">
        <v>570.54016819651054</v>
      </c>
      <c r="N80" s="13">
        <v>12278.43</v>
      </c>
      <c r="O80" s="13">
        <v>0</v>
      </c>
      <c r="P80" s="11">
        <v>0</v>
      </c>
    </row>
    <row r="81" spans="1:16" ht="15" thickBot="1" x14ac:dyDescent="0.3">
      <c r="A81" s="3" t="s">
        <v>1</v>
      </c>
      <c r="B81" s="4">
        <v>884393</v>
      </c>
      <c r="C81" s="3" t="s">
        <v>2</v>
      </c>
      <c r="D81" s="18">
        <v>0.14000000000000001</v>
      </c>
      <c r="E81" s="21">
        <v>1.0978851950173452E-2</v>
      </c>
      <c r="F81" s="5">
        <v>31821</v>
      </c>
      <c r="G81" s="5">
        <v>32552</v>
      </c>
      <c r="H81" s="16">
        <v>731</v>
      </c>
      <c r="I81" s="5">
        <v>32552</v>
      </c>
      <c r="J81" s="5">
        <v>37099</v>
      </c>
      <c r="K81" s="16">
        <v>5278</v>
      </c>
      <c r="L81" s="13">
        <v>2240.27</v>
      </c>
      <c r="M81" s="15">
        <v>105.28620399766042</v>
      </c>
      <c r="N81" s="13">
        <v>2240.27</v>
      </c>
      <c r="O81" s="13">
        <v>0</v>
      </c>
      <c r="P81" s="11">
        <v>0</v>
      </c>
    </row>
    <row r="82" spans="1:16" ht="15" thickBot="1" x14ac:dyDescent="0.3">
      <c r="A82" s="3" t="s">
        <v>1</v>
      </c>
      <c r="B82" s="4">
        <v>455929</v>
      </c>
      <c r="C82" s="3" t="s">
        <v>2</v>
      </c>
      <c r="D82" s="18">
        <v>0.13</v>
      </c>
      <c r="E82" s="21">
        <v>1.02368443581764E-2</v>
      </c>
      <c r="F82" s="5">
        <v>31923</v>
      </c>
      <c r="G82" s="5">
        <v>32289</v>
      </c>
      <c r="H82" s="16">
        <v>366</v>
      </c>
      <c r="I82" s="5">
        <v>32289</v>
      </c>
      <c r="J82" s="5">
        <v>33081</v>
      </c>
      <c r="K82" s="16">
        <v>1158</v>
      </c>
      <c r="L82" s="13">
        <v>45731.17</v>
      </c>
      <c r="M82" s="15">
        <v>4006.5277691133051</v>
      </c>
      <c r="N82" s="13">
        <v>45731.17</v>
      </c>
      <c r="O82" s="13">
        <v>0</v>
      </c>
      <c r="P82" s="11">
        <v>0</v>
      </c>
    </row>
    <row r="83" spans="1:16" ht="15" thickBot="1" x14ac:dyDescent="0.3">
      <c r="A83" s="3" t="s">
        <v>1</v>
      </c>
      <c r="B83" s="4">
        <v>548903</v>
      </c>
      <c r="C83" s="3" t="s">
        <v>2</v>
      </c>
      <c r="D83" s="18">
        <v>0.12</v>
      </c>
      <c r="E83" s="21">
        <v>9.4887929345830457E-3</v>
      </c>
      <c r="F83" s="5">
        <v>32890</v>
      </c>
      <c r="G83" s="5">
        <v>33255</v>
      </c>
      <c r="H83" s="16">
        <v>365</v>
      </c>
      <c r="I83" s="5">
        <v>33255</v>
      </c>
      <c r="J83" s="5">
        <v>34302</v>
      </c>
      <c r="K83" s="16">
        <v>1412</v>
      </c>
      <c r="L83" s="13">
        <v>44500</v>
      </c>
      <c r="M83" s="15">
        <v>3890.0276300013797</v>
      </c>
      <c r="N83" s="13">
        <v>5730.1</v>
      </c>
      <c r="O83" s="13">
        <v>0</v>
      </c>
      <c r="P83" s="11">
        <v>0</v>
      </c>
    </row>
    <row r="84" spans="1:16" ht="15" thickBot="1" x14ac:dyDescent="0.3">
      <c r="A84" s="3" t="s">
        <v>1</v>
      </c>
      <c r="B84" s="4">
        <v>508681</v>
      </c>
      <c r="C84" s="3" t="s">
        <v>2</v>
      </c>
      <c r="D84" s="18">
        <v>0.13</v>
      </c>
      <c r="E84" s="21">
        <v>1.02368443581764E-2</v>
      </c>
      <c r="F84" s="5">
        <v>33414</v>
      </c>
      <c r="G84" s="5">
        <v>34875</v>
      </c>
      <c r="H84" s="16">
        <v>1461</v>
      </c>
      <c r="I84" s="5">
        <v>34875</v>
      </c>
      <c r="J84" s="5">
        <v>33835</v>
      </c>
      <c r="K84" s="16">
        <v>421</v>
      </c>
      <c r="L84" s="13">
        <v>11900</v>
      </c>
      <c r="M84" s="15">
        <v>311.52562252976992</v>
      </c>
      <c r="N84" s="13">
        <v>9014.76</v>
      </c>
      <c r="O84" s="13">
        <v>0</v>
      </c>
      <c r="P84" s="11">
        <v>0</v>
      </c>
    </row>
    <row r="85" spans="1:16" ht="15" thickBot="1" x14ac:dyDescent="0.3">
      <c r="A85" s="3" t="s">
        <v>1</v>
      </c>
      <c r="B85" s="4">
        <v>283790</v>
      </c>
      <c r="C85" s="3" t="s">
        <v>2</v>
      </c>
      <c r="D85" s="18">
        <v>0.11</v>
      </c>
      <c r="E85" s="21">
        <v>8.7345938235519061E-3</v>
      </c>
      <c r="F85" s="5">
        <v>33582</v>
      </c>
      <c r="G85" s="5">
        <v>33908</v>
      </c>
      <c r="H85" s="16">
        <v>326</v>
      </c>
      <c r="I85" s="5">
        <v>33908</v>
      </c>
      <c r="J85" s="5">
        <v>34249</v>
      </c>
      <c r="K85" s="16">
        <v>667</v>
      </c>
      <c r="L85" s="13">
        <v>60823.39</v>
      </c>
      <c r="M85" s="15">
        <v>5891.4709566110287</v>
      </c>
      <c r="N85" s="13">
        <v>32000</v>
      </c>
      <c r="O85" s="13">
        <v>0</v>
      </c>
      <c r="P85" s="11">
        <v>0</v>
      </c>
    </row>
    <row r="86" spans="1:16" ht="15" thickBot="1" x14ac:dyDescent="0.3">
      <c r="A86" s="3" t="s">
        <v>1</v>
      </c>
      <c r="B86" s="4">
        <v>336025</v>
      </c>
      <c r="C86" s="3" t="s">
        <v>2</v>
      </c>
      <c r="D86" s="18">
        <v>0.13</v>
      </c>
      <c r="E86" s="21">
        <v>1.02368443581764E-2</v>
      </c>
      <c r="F86" s="5">
        <v>33742</v>
      </c>
      <c r="G86" s="5">
        <v>34107</v>
      </c>
      <c r="H86" s="16">
        <v>365</v>
      </c>
      <c r="I86" s="5">
        <v>34107</v>
      </c>
      <c r="J86" s="5">
        <v>33835</v>
      </c>
      <c r="K86" s="16">
        <v>93</v>
      </c>
      <c r="L86" s="13">
        <v>2500</v>
      </c>
      <c r="M86" s="15">
        <v>219.58965595396828</v>
      </c>
      <c r="N86" s="13">
        <v>2136.23</v>
      </c>
      <c r="O86" s="13">
        <v>0</v>
      </c>
      <c r="P86" s="11">
        <v>0</v>
      </c>
    </row>
    <row r="87" spans="1:16" ht="15" thickBot="1" x14ac:dyDescent="0.3">
      <c r="A87" s="3" t="s">
        <v>1</v>
      </c>
      <c r="B87" s="4">
        <v>226383</v>
      </c>
      <c r="C87" s="3" t="s">
        <v>2</v>
      </c>
      <c r="D87" s="18">
        <v>0.12</v>
      </c>
      <c r="E87" s="21">
        <v>9.4887929345830457E-3</v>
      </c>
      <c r="F87" s="5">
        <v>34241</v>
      </c>
      <c r="G87" s="5">
        <v>35153</v>
      </c>
      <c r="H87" s="16">
        <v>912</v>
      </c>
      <c r="I87" s="5">
        <v>35153</v>
      </c>
      <c r="J87" s="5">
        <v>37447</v>
      </c>
      <c r="K87" s="16">
        <v>3206</v>
      </c>
      <c r="L87" s="13">
        <v>6694.96</v>
      </c>
      <c r="M87" s="15">
        <v>254.55349899254651</v>
      </c>
      <c r="N87" s="13">
        <v>2709.17</v>
      </c>
      <c r="O87" s="13">
        <v>0</v>
      </c>
      <c r="P87" s="11">
        <v>0</v>
      </c>
    </row>
    <row r="88" spans="1:16" ht="15" thickBot="1" x14ac:dyDescent="0.3">
      <c r="A88" s="3" t="s">
        <v>1</v>
      </c>
      <c r="B88" s="4">
        <v>289095</v>
      </c>
      <c r="C88" s="3" t="s">
        <v>2</v>
      </c>
      <c r="D88" s="18">
        <v>0.11</v>
      </c>
      <c r="E88" s="21">
        <v>8.7345938235519061E-3</v>
      </c>
      <c r="F88" s="5">
        <v>34451</v>
      </c>
      <c r="G88" s="5">
        <v>35182</v>
      </c>
      <c r="H88" s="16">
        <v>731</v>
      </c>
      <c r="I88" s="5">
        <v>35182</v>
      </c>
      <c r="J88" s="5">
        <v>34633</v>
      </c>
      <c r="K88" s="16">
        <v>182</v>
      </c>
      <c r="L88" s="13">
        <v>18700.88</v>
      </c>
      <c r="M88" s="15">
        <v>855.3795734043947</v>
      </c>
      <c r="N88" s="13">
        <v>16042.35</v>
      </c>
      <c r="O88" s="13">
        <v>0</v>
      </c>
      <c r="P88" s="11">
        <v>0</v>
      </c>
    </row>
    <row r="89" spans="1:16" ht="15" thickBot="1" x14ac:dyDescent="0.3">
      <c r="A89" s="3" t="s">
        <v>1</v>
      </c>
      <c r="B89" s="4">
        <v>867466</v>
      </c>
      <c r="C89" s="3" t="s">
        <v>2</v>
      </c>
      <c r="D89" s="18">
        <v>0.1</v>
      </c>
      <c r="E89" s="21">
        <v>7.9741404289037643E-3</v>
      </c>
      <c r="F89" s="5">
        <v>34767</v>
      </c>
      <c r="G89" s="5">
        <v>35073</v>
      </c>
      <c r="H89" s="16">
        <v>306</v>
      </c>
      <c r="I89" s="5">
        <v>35073</v>
      </c>
      <c r="J89" s="5">
        <v>35709</v>
      </c>
      <c r="K89" s="16">
        <v>942</v>
      </c>
      <c r="L89" s="13">
        <v>50000</v>
      </c>
      <c r="M89" s="15">
        <v>5123.524316493581</v>
      </c>
      <c r="N89" s="13">
        <v>34850</v>
      </c>
      <c r="O89" s="13">
        <v>0</v>
      </c>
      <c r="P89" s="11">
        <v>0</v>
      </c>
    </row>
    <row r="90" spans="1:16" ht="15" thickBot="1" x14ac:dyDescent="0.3">
      <c r="A90" s="3" t="s">
        <v>1</v>
      </c>
      <c r="B90" s="4">
        <v>571076</v>
      </c>
      <c r="C90" s="3" t="s">
        <v>2</v>
      </c>
      <c r="D90" s="18">
        <v>0.1</v>
      </c>
      <c r="E90" s="21">
        <v>7.9741404289037643E-3</v>
      </c>
      <c r="F90" s="5">
        <v>34841</v>
      </c>
      <c r="G90" s="5">
        <v>35025</v>
      </c>
      <c r="H90" s="16">
        <v>184</v>
      </c>
      <c r="I90" s="5">
        <v>35025</v>
      </c>
      <c r="J90" s="5">
        <v>37447</v>
      </c>
      <c r="K90" s="16">
        <v>2606</v>
      </c>
      <c r="L90" s="13">
        <v>12500</v>
      </c>
      <c r="M90" s="15">
        <v>2096.401544371774</v>
      </c>
      <c r="N90" s="13">
        <v>500</v>
      </c>
      <c r="O90" s="13">
        <v>0</v>
      </c>
      <c r="P90" s="11">
        <v>0</v>
      </c>
    </row>
    <row r="91" spans="1:16" ht="15" thickBot="1" x14ac:dyDescent="0.3">
      <c r="A91" s="3" t="s">
        <v>1</v>
      </c>
      <c r="B91" s="4">
        <v>479641</v>
      </c>
      <c r="C91" s="3" t="s">
        <v>2</v>
      </c>
      <c r="D91" s="18">
        <v>0.1</v>
      </c>
      <c r="E91" s="21">
        <v>7.9741404289037643E-3</v>
      </c>
      <c r="F91" s="5">
        <v>34932</v>
      </c>
      <c r="G91" s="5">
        <v>35116</v>
      </c>
      <c r="H91" s="16">
        <v>184</v>
      </c>
      <c r="I91" s="5">
        <v>35116</v>
      </c>
      <c r="J91" s="5">
        <v>37447</v>
      </c>
      <c r="K91" s="16">
        <v>2515</v>
      </c>
      <c r="L91" s="13">
        <v>19788.77</v>
      </c>
      <c r="M91" s="15">
        <v>3318.8166391374266</v>
      </c>
      <c r="N91" s="13">
        <v>14493.29</v>
      </c>
      <c r="O91" s="13">
        <v>0</v>
      </c>
      <c r="P91" s="11">
        <v>0</v>
      </c>
    </row>
    <row r="92" spans="1:16" ht="15" thickBot="1" x14ac:dyDescent="0.3">
      <c r="A92" s="3" t="s">
        <v>1</v>
      </c>
      <c r="B92" s="4">
        <v>268668</v>
      </c>
      <c r="C92" s="3" t="s">
        <v>2</v>
      </c>
      <c r="D92" s="18">
        <v>0.1</v>
      </c>
      <c r="E92" s="21">
        <v>7.9741404289037643E-3</v>
      </c>
      <c r="F92" s="5">
        <v>35081</v>
      </c>
      <c r="G92" s="5">
        <v>36786</v>
      </c>
      <c r="H92" s="16">
        <v>1705</v>
      </c>
      <c r="I92" s="5">
        <v>36786</v>
      </c>
      <c r="J92" s="5">
        <v>35405</v>
      </c>
      <c r="K92" s="16">
        <v>324</v>
      </c>
      <c r="L92" s="13">
        <v>21156.53</v>
      </c>
      <c r="M92" s="15">
        <v>464.4151470541309</v>
      </c>
      <c r="N92" s="13">
        <v>21156.53</v>
      </c>
      <c r="O92" s="13">
        <v>0</v>
      </c>
      <c r="P92" s="11">
        <v>0</v>
      </c>
    </row>
    <row r="93" spans="1:16" ht="15" thickBot="1" x14ac:dyDescent="0.3">
      <c r="A93" s="3" t="s">
        <v>1</v>
      </c>
      <c r="B93" s="4">
        <v>972802</v>
      </c>
      <c r="C93" s="3" t="s">
        <v>2</v>
      </c>
      <c r="D93" s="18">
        <v>0.1</v>
      </c>
      <c r="E93" s="21">
        <v>7.9741404289037643E-3</v>
      </c>
      <c r="F93" s="5">
        <v>35741</v>
      </c>
      <c r="G93" s="5">
        <v>36100</v>
      </c>
      <c r="H93" s="16">
        <v>359</v>
      </c>
      <c r="I93" s="5">
        <v>36100</v>
      </c>
      <c r="J93" s="5">
        <v>37691</v>
      </c>
      <c r="K93" s="16">
        <v>1950</v>
      </c>
      <c r="L93" s="13">
        <v>6258.4</v>
      </c>
      <c r="M93" s="15">
        <v>550.41638811762255</v>
      </c>
      <c r="N93" s="13">
        <v>6258.4</v>
      </c>
      <c r="O93" s="13">
        <v>0</v>
      </c>
      <c r="P93" s="11">
        <v>0</v>
      </c>
    </row>
    <row r="94" spans="1:16" ht="15" thickBot="1" x14ac:dyDescent="0.3">
      <c r="A94" s="3" t="s">
        <v>1</v>
      </c>
      <c r="B94" s="4">
        <v>500050</v>
      </c>
      <c r="C94" s="3" t="s">
        <v>2</v>
      </c>
      <c r="D94" s="18">
        <v>0.105</v>
      </c>
      <c r="E94" s="21">
        <v>8.355155683635207E-3</v>
      </c>
      <c r="F94" s="5">
        <v>36175</v>
      </c>
      <c r="G94" s="5">
        <v>37848</v>
      </c>
      <c r="H94" s="16">
        <v>1673</v>
      </c>
      <c r="I94" s="5">
        <v>37848</v>
      </c>
      <c r="J94" s="5">
        <v>41339</v>
      </c>
      <c r="K94" s="16">
        <v>5164</v>
      </c>
      <c r="L94" s="13">
        <v>1580.02</v>
      </c>
      <c r="M94" s="15">
        <v>35.560182445550787</v>
      </c>
      <c r="N94" s="13">
        <v>1580.02</v>
      </c>
      <c r="O94" s="13">
        <v>0</v>
      </c>
      <c r="P94" s="11">
        <v>0</v>
      </c>
    </row>
    <row r="95" spans="1:16" ht="15" thickBot="1" x14ac:dyDescent="0.3">
      <c r="A95" s="3" t="s">
        <v>1</v>
      </c>
      <c r="B95" s="4">
        <v>122125</v>
      </c>
      <c r="C95" s="3" t="s">
        <v>2</v>
      </c>
      <c r="D95" s="18">
        <v>0.11</v>
      </c>
      <c r="E95" s="21">
        <v>8.7345938235519061E-3</v>
      </c>
      <c r="F95" s="5">
        <v>36201</v>
      </c>
      <c r="G95" s="5">
        <v>36932</v>
      </c>
      <c r="H95" s="16">
        <v>731</v>
      </c>
      <c r="I95" s="5">
        <v>36932</v>
      </c>
      <c r="J95" s="5">
        <v>37215</v>
      </c>
      <c r="K95" s="16">
        <v>1014</v>
      </c>
      <c r="L95" s="13">
        <v>1765.73</v>
      </c>
      <c r="M95" s="15">
        <v>80.76461504203769</v>
      </c>
      <c r="N95" s="13">
        <v>1765.73</v>
      </c>
      <c r="O95" s="13">
        <v>0</v>
      </c>
      <c r="P95" s="11">
        <v>0</v>
      </c>
    </row>
    <row r="96" spans="1:16" ht="15" thickBot="1" x14ac:dyDescent="0.3">
      <c r="A96" s="3" t="s">
        <v>1</v>
      </c>
      <c r="B96" s="4">
        <v>222123</v>
      </c>
      <c r="C96" s="3" t="s">
        <v>2</v>
      </c>
      <c r="D96" s="18">
        <v>0.11</v>
      </c>
      <c r="E96" s="21">
        <v>8.7345938235519061E-3</v>
      </c>
      <c r="F96" s="5">
        <v>36511</v>
      </c>
      <c r="G96" s="5">
        <v>37622</v>
      </c>
      <c r="H96" s="16">
        <v>1111</v>
      </c>
      <c r="I96" s="5">
        <v>37622</v>
      </c>
      <c r="J96" s="5">
        <v>37743</v>
      </c>
      <c r="K96" s="16">
        <v>1232</v>
      </c>
      <c r="L96" s="13">
        <v>4513.49</v>
      </c>
      <c r="M96" s="15">
        <v>143.17592567543971</v>
      </c>
      <c r="N96" s="13">
        <v>4513.49</v>
      </c>
      <c r="O96" s="13">
        <v>0</v>
      </c>
      <c r="P96" s="11">
        <v>0</v>
      </c>
    </row>
    <row r="97" spans="1:16" ht="15" thickBot="1" x14ac:dyDescent="0.3">
      <c r="A97" s="3" t="s">
        <v>1</v>
      </c>
      <c r="B97" s="4">
        <v>595480</v>
      </c>
      <c r="C97" s="3" t="s">
        <v>2</v>
      </c>
      <c r="D97" s="18">
        <v>0.1</v>
      </c>
      <c r="E97" s="21">
        <v>7.9741404289037643E-3</v>
      </c>
      <c r="F97" s="5">
        <v>36606</v>
      </c>
      <c r="G97" s="5">
        <v>36971</v>
      </c>
      <c r="H97" s="16">
        <v>365</v>
      </c>
      <c r="I97" s="5">
        <v>36971</v>
      </c>
      <c r="J97" s="5">
        <v>37645</v>
      </c>
      <c r="K97" s="16">
        <v>1039</v>
      </c>
      <c r="L97" s="13">
        <v>10000</v>
      </c>
      <c r="M97" s="15">
        <v>865.70326025556949</v>
      </c>
      <c r="N97" s="13">
        <v>9995.58</v>
      </c>
      <c r="O97" s="13">
        <v>0</v>
      </c>
      <c r="P97" s="11">
        <v>0</v>
      </c>
    </row>
    <row r="98" spans="1:16" ht="15" thickBot="1" x14ac:dyDescent="0.3">
      <c r="A98" s="3" t="s">
        <v>1</v>
      </c>
      <c r="B98" s="4">
        <v>382635</v>
      </c>
      <c r="C98" s="3" t="s">
        <v>2</v>
      </c>
      <c r="D98" s="18">
        <v>0.1075</v>
      </c>
      <c r="E98" s="21">
        <v>8.5450710394860963E-3</v>
      </c>
      <c r="F98" s="5">
        <v>36761</v>
      </c>
      <c r="G98" s="5">
        <v>38799</v>
      </c>
      <c r="H98" s="16">
        <v>2038</v>
      </c>
      <c r="I98" s="5">
        <v>38799</v>
      </c>
      <c r="J98" s="5">
        <v>38237</v>
      </c>
      <c r="K98" s="16">
        <v>1476</v>
      </c>
      <c r="L98" s="13">
        <v>89229.75</v>
      </c>
      <c r="M98" s="15">
        <v>1736.8559831616053</v>
      </c>
      <c r="N98" s="13">
        <v>89229.75</v>
      </c>
      <c r="O98" s="13">
        <v>0</v>
      </c>
      <c r="P98" s="11">
        <v>0</v>
      </c>
    </row>
    <row r="99" spans="1:16" ht="15" thickBot="1" x14ac:dyDescent="0.3">
      <c r="A99" s="3" t="s">
        <v>1</v>
      </c>
      <c r="B99" s="4">
        <v>405214</v>
      </c>
      <c r="C99" s="3" t="s">
        <v>2</v>
      </c>
      <c r="D99" s="18">
        <v>0.14000000000000001</v>
      </c>
      <c r="E99" s="21">
        <v>1.0978851950173452E-2</v>
      </c>
      <c r="F99" s="5">
        <v>36844</v>
      </c>
      <c r="G99" s="5">
        <v>36960</v>
      </c>
      <c r="H99" s="16">
        <v>116</v>
      </c>
      <c r="I99" s="5">
        <v>36960</v>
      </c>
      <c r="J99" s="5">
        <v>37802</v>
      </c>
      <c r="K99" s="16">
        <v>958</v>
      </c>
      <c r="L99" s="13">
        <v>2000</v>
      </c>
      <c r="M99" s="15">
        <v>531.1316749897702</v>
      </c>
      <c r="N99" s="13">
        <v>2000</v>
      </c>
      <c r="O99" s="13">
        <v>0</v>
      </c>
      <c r="P99" s="11">
        <v>0</v>
      </c>
    </row>
    <row r="100" spans="1:16" ht="15" thickBot="1" x14ac:dyDescent="0.3">
      <c r="A100" s="3" t="s">
        <v>1</v>
      </c>
      <c r="B100" s="4">
        <v>70120</v>
      </c>
      <c r="C100" s="3" t="s">
        <v>2</v>
      </c>
      <c r="D100" s="18">
        <v>0.1</v>
      </c>
      <c r="E100" s="21">
        <v>7.9741404289037643E-3</v>
      </c>
      <c r="F100" s="5">
        <v>36948</v>
      </c>
      <c r="G100" s="5">
        <v>37243</v>
      </c>
      <c r="H100" s="16">
        <v>295</v>
      </c>
      <c r="I100" s="5">
        <v>37243</v>
      </c>
      <c r="J100" s="5">
        <v>37889</v>
      </c>
      <c r="K100" s="16">
        <v>941</v>
      </c>
      <c r="L100" s="13">
        <v>9043.41</v>
      </c>
      <c r="M100" s="15">
        <v>959.85675330376796</v>
      </c>
      <c r="N100" s="13">
        <v>9043.41</v>
      </c>
      <c r="O100" s="13">
        <v>0</v>
      </c>
      <c r="P100" s="11">
        <v>0</v>
      </c>
    </row>
    <row r="101" spans="1:16" ht="15" thickBot="1" x14ac:dyDescent="0.3">
      <c r="A101" s="3" t="s">
        <v>1</v>
      </c>
      <c r="B101" s="4">
        <v>137067</v>
      </c>
      <c r="C101" s="3" t="s">
        <v>2</v>
      </c>
      <c r="D101" s="18">
        <v>0.11</v>
      </c>
      <c r="E101" s="21">
        <v>8.7345938235519061E-3</v>
      </c>
      <c r="F101" s="5">
        <v>36976</v>
      </c>
      <c r="G101" s="5">
        <v>38991</v>
      </c>
      <c r="H101" s="16">
        <v>2015</v>
      </c>
      <c r="I101" s="5">
        <v>38991</v>
      </c>
      <c r="J101" s="5">
        <v>38043</v>
      </c>
      <c r="K101" s="16">
        <v>1067</v>
      </c>
      <c r="L101" s="13">
        <v>2979.7</v>
      </c>
      <c r="M101" s="15">
        <v>58.829227127239918</v>
      </c>
      <c r="N101" s="13">
        <v>2979.7</v>
      </c>
      <c r="O101" s="13">
        <v>0</v>
      </c>
      <c r="P101" s="11">
        <v>0</v>
      </c>
    </row>
    <row r="102" spans="1:16" ht="15" thickBot="1" x14ac:dyDescent="0.3">
      <c r="A102" s="3" t="s">
        <v>1</v>
      </c>
      <c r="B102" s="4">
        <v>983900</v>
      </c>
      <c r="C102" s="3" t="s">
        <v>2</v>
      </c>
      <c r="D102" s="18">
        <v>0.1</v>
      </c>
      <c r="E102" s="21">
        <v>7.9741404289037643E-3</v>
      </c>
      <c r="F102" s="5">
        <v>37133</v>
      </c>
      <c r="G102" s="5">
        <v>39051</v>
      </c>
      <c r="H102" s="16">
        <v>1918</v>
      </c>
      <c r="I102" s="5">
        <v>39051</v>
      </c>
      <c r="J102" s="5">
        <v>38019</v>
      </c>
      <c r="K102" s="16">
        <v>886</v>
      </c>
      <c r="L102" s="13">
        <v>46530.87</v>
      </c>
      <c r="M102" s="15">
        <v>931.8567817569168</v>
      </c>
      <c r="N102" s="13">
        <v>46530.87</v>
      </c>
      <c r="O102" s="13">
        <v>0</v>
      </c>
      <c r="P102" s="11">
        <v>0</v>
      </c>
    </row>
    <row r="103" spans="1:16" ht="15" thickBot="1" x14ac:dyDescent="0.3">
      <c r="A103" s="3" t="s">
        <v>1</v>
      </c>
      <c r="B103" s="4">
        <v>15732</v>
      </c>
      <c r="C103" s="3" t="s">
        <v>2</v>
      </c>
      <c r="D103" s="18">
        <v>0.1</v>
      </c>
      <c r="E103" s="21">
        <v>7.9741404289037643E-3</v>
      </c>
      <c r="F103" s="5">
        <v>37393</v>
      </c>
      <c r="G103" s="5">
        <v>39250</v>
      </c>
      <c r="H103" s="16">
        <v>1857</v>
      </c>
      <c r="I103" s="5">
        <v>39250</v>
      </c>
      <c r="J103" s="5">
        <v>38015</v>
      </c>
      <c r="K103" s="16">
        <v>622</v>
      </c>
      <c r="L103" s="13">
        <v>31964.16</v>
      </c>
      <c r="M103" s="15">
        <v>656.28424395225056</v>
      </c>
      <c r="N103" s="13">
        <v>31964.16</v>
      </c>
      <c r="O103" s="13">
        <v>0</v>
      </c>
      <c r="P103" s="11">
        <v>0</v>
      </c>
    </row>
    <row r="104" spans="1:16" ht="15" thickBot="1" x14ac:dyDescent="0.3">
      <c r="A104" s="3" t="s">
        <v>1</v>
      </c>
      <c r="B104" s="4">
        <v>357648</v>
      </c>
      <c r="C104" s="3" t="s">
        <v>2</v>
      </c>
      <c r="D104" s="18">
        <v>0.1</v>
      </c>
      <c r="E104" s="21">
        <v>7.9741404289037643E-3</v>
      </c>
      <c r="F104" s="5">
        <v>37435</v>
      </c>
      <c r="G104" s="5">
        <v>39322</v>
      </c>
      <c r="H104" s="16">
        <v>1887</v>
      </c>
      <c r="I104" s="5">
        <v>39322</v>
      </c>
      <c r="J104" s="5">
        <v>39261</v>
      </c>
      <c r="K104" s="16">
        <v>1826</v>
      </c>
      <c r="L104" s="13">
        <v>15000</v>
      </c>
      <c r="M104" s="15">
        <v>304.18847535964193</v>
      </c>
      <c r="N104" s="13">
        <v>15000</v>
      </c>
      <c r="O104" s="13">
        <v>0</v>
      </c>
      <c r="P104" s="11">
        <v>0</v>
      </c>
    </row>
    <row r="105" spans="1:16" ht="15" thickBot="1" x14ac:dyDescent="0.3">
      <c r="A105" s="3" t="s">
        <v>1</v>
      </c>
      <c r="B105" s="4">
        <v>100870</v>
      </c>
      <c r="C105" s="3" t="s">
        <v>2</v>
      </c>
      <c r="D105" s="18">
        <v>0.11</v>
      </c>
      <c r="E105" s="21">
        <v>8.7345938235519061E-3</v>
      </c>
      <c r="F105" s="5">
        <v>37529</v>
      </c>
      <c r="G105" s="5">
        <v>39232</v>
      </c>
      <c r="H105" s="16">
        <v>1703</v>
      </c>
      <c r="I105" s="5">
        <v>39232</v>
      </c>
      <c r="J105" s="5">
        <v>38833</v>
      </c>
      <c r="K105" s="16">
        <v>1304</v>
      </c>
      <c r="L105" s="13">
        <v>7408.66</v>
      </c>
      <c r="M105" s="15">
        <v>166.08720630480835</v>
      </c>
      <c r="N105" s="13">
        <v>7408.66</v>
      </c>
      <c r="O105" s="13">
        <v>0</v>
      </c>
      <c r="P105" s="11">
        <v>0</v>
      </c>
    </row>
    <row r="106" spans="1:16" ht="15" thickBot="1" x14ac:dyDescent="0.3">
      <c r="A106" s="3" t="s">
        <v>1</v>
      </c>
      <c r="B106" s="4">
        <v>901058</v>
      </c>
      <c r="C106" s="3" t="s">
        <v>2</v>
      </c>
      <c r="D106" s="18">
        <v>0.11</v>
      </c>
      <c r="E106" s="21">
        <v>8.7345938235519061E-3</v>
      </c>
      <c r="F106" s="5">
        <v>37545</v>
      </c>
      <c r="G106" s="5">
        <v>39208</v>
      </c>
      <c r="H106" s="16">
        <v>1663</v>
      </c>
      <c r="I106" s="5">
        <v>39208</v>
      </c>
      <c r="J106" s="5">
        <v>38833</v>
      </c>
      <c r="K106" s="16">
        <v>1288</v>
      </c>
      <c r="L106" s="13">
        <v>4627.21</v>
      </c>
      <c r="M106" s="15">
        <v>105.66328700731626</v>
      </c>
      <c r="N106" s="13">
        <v>4627.21</v>
      </c>
      <c r="O106" s="13">
        <v>0</v>
      </c>
      <c r="P106" s="11">
        <v>0</v>
      </c>
    </row>
    <row r="107" spans="1:16" ht="15" thickBot="1" x14ac:dyDescent="0.3">
      <c r="A107" s="3" t="s">
        <v>1</v>
      </c>
      <c r="B107" s="4">
        <v>942782</v>
      </c>
      <c r="C107" s="3" t="s">
        <v>2</v>
      </c>
      <c r="D107" s="18">
        <v>0.01</v>
      </c>
      <c r="E107" s="21">
        <v>8.295381143461622E-4</v>
      </c>
      <c r="F107" s="5">
        <v>37560</v>
      </c>
      <c r="G107" s="5">
        <v>40482</v>
      </c>
      <c r="H107" s="16">
        <v>2922</v>
      </c>
      <c r="I107" s="5">
        <v>40482</v>
      </c>
      <c r="J107" s="5">
        <v>39876</v>
      </c>
      <c r="K107" s="16">
        <v>2316</v>
      </c>
      <c r="L107" s="13">
        <v>185581.31</v>
      </c>
      <c r="M107" s="15">
        <v>1984.1518099317586</v>
      </c>
      <c r="N107" s="13">
        <v>185581.31</v>
      </c>
      <c r="O107" s="13">
        <v>0</v>
      </c>
      <c r="P107" s="11">
        <v>0</v>
      </c>
    </row>
    <row r="108" spans="1:16" ht="15" thickBot="1" x14ac:dyDescent="0.3">
      <c r="A108" s="3" t="s">
        <v>1</v>
      </c>
      <c r="B108" s="4">
        <v>390985</v>
      </c>
      <c r="C108" s="3" t="s">
        <v>2</v>
      </c>
      <c r="D108" s="18">
        <v>8.5000000000000006E-2</v>
      </c>
      <c r="E108" s="21">
        <v>6.8214933659622723E-3</v>
      </c>
      <c r="F108" s="5">
        <v>37655</v>
      </c>
      <c r="G108" s="5">
        <v>38020</v>
      </c>
      <c r="H108" s="16">
        <v>365</v>
      </c>
      <c r="I108" s="5">
        <v>38020</v>
      </c>
      <c r="J108" s="5">
        <v>39147</v>
      </c>
      <c r="K108" s="16">
        <v>1492</v>
      </c>
      <c r="L108" s="13">
        <v>20000</v>
      </c>
      <c r="M108" s="15">
        <v>1718.5911745110391</v>
      </c>
      <c r="N108" s="13">
        <v>20000</v>
      </c>
      <c r="O108" s="13">
        <v>0</v>
      </c>
      <c r="P108" s="11">
        <v>0</v>
      </c>
    </row>
    <row r="109" spans="1:16" ht="15" thickBot="1" x14ac:dyDescent="0.3">
      <c r="A109" s="3" t="s">
        <v>1</v>
      </c>
      <c r="B109" s="4">
        <v>56814</v>
      </c>
      <c r="C109" s="3" t="s">
        <v>2</v>
      </c>
      <c r="D109" s="18">
        <v>0.1</v>
      </c>
      <c r="E109" s="21">
        <v>7.9741404289037643E-3</v>
      </c>
      <c r="F109" s="5">
        <v>37658</v>
      </c>
      <c r="G109" s="5">
        <v>38389</v>
      </c>
      <c r="H109" s="16">
        <v>731</v>
      </c>
      <c r="I109" s="5">
        <v>38389</v>
      </c>
      <c r="J109" s="5">
        <v>39381</v>
      </c>
      <c r="K109" s="16">
        <v>1723</v>
      </c>
      <c r="L109" s="13">
        <v>2875.19</v>
      </c>
      <c r="M109" s="15">
        <v>130.29980929478566</v>
      </c>
      <c r="N109" s="13">
        <v>2875.19</v>
      </c>
      <c r="O109" s="13">
        <v>0</v>
      </c>
      <c r="P109" s="11">
        <v>0</v>
      </c>
    </row>
    <row r="110" spans="1:16" ht="15" thickBot="1" x14ac:dyDescent="0.3">
      <c r="A110" s="3" t="s">
        <v>1</v>
      </c>
      <c r="B110" s="4">
        <v>974376</v>
      </c>
      <c r="C110" s="3" t="s">
        <v>2</v>
      </c>
      <c r="D110" s="18">
        <v>0.1</v>
      </c>
      <c r="E110" s="21">
        <v>7.9741404289037643E-3</v>
      </c>
      <c r="F110" s="5">
        <v>37672</v>
      </c>
      <c r="G110" s="5">
        <v>39375</v>
      </c>
      <c r="H110" s="16">
        <v>1703</v>
      </c>
      <c r="I110" s="5">
        <v>39375</v>
      </c>
      <c r="J110" s="5">
        <v>38833</v>
      </c>
      <c r="K110" s="16">
        <v>1161</v>
      </c>
      <c r="L110" s="13">
        <v>20384.59</v>
      </c>
      <c r="M110" s="15">
        <v>447.88579666721944</v>
      </c>
      <c r="N110" s="13">
        <v>20384.59</v>
      </c>
      <c r="O110" s="13">
        <v>0</v>
      </c>
      <c r="P110" s="11">
        <v>0</v>
      </c>
    </row>
    <row r="111" spans="1:16" ht="15" thickBot="1" x14ac:dyDescent="0.3">
      <c r="A111" s="3" t="s">
        <v>1</v>
      </c>
      <c r="B111" s="4">
        <v>861165</v>
      </c>
      <c r="C111" s="3" t="s">
        <v>2</v>
      </c>
      <c r="D111" s="18">
        <v>0.1</v>
      </c>
      <c r="E111" s="21">
        <v>7.9741404289037643E-3</v>
      </c>
      <c r="F111" s="5">
        <v>37672</v>
      </c>
      <c r="G111" s="5">
        <v>39161</v>
      </c>
      <c r="H111" s="16">
        <v>1489</v>
      </c>
      <c r="I111" s="5">
        <v>39161</v>
      </c>
      <c r="J111" s="5">
        <v>39744</v>
      </c>
      <c r="K111" s="16">
        <v>2072</v>
      </c>
      <c r="L111" s="13">
        <v>12186.37</v>
      </c>
      <c r="M111" s="15">
        <v>298.27758956868843</v>
      </c>
      <c r="N111" s="13">
        <v>12186.37</v>
      </c>
      <c r="O111" s="13">
        <v>0</v>
      </c>
      <c r="P111" s="11">
        <v>0</v>
      </c>
    </row>
    <row r="112" spans="1:16" ht="15" thickBot="1" x14ac:dyDescent="0.3">
      <c r="A112" s="3" t="s">
        <v>1</v>
      </c>
      <c r="B112" s="4">
        <v>727683</v>
      </c>
      <c r="C112" s="3" t="s">
        <v>2</v>
      </c>
      <c r="D112" s="18">
        <v>0.1</v>
      </c>
      <c r="E112" s="21">
        <v>7.9741404289037643E-3</v>
      </c>
      <c r="F112" s="5">
        <v>37852</v>
      </c>
      <c r="G112" s="5">
        <v>39679</v>
      </c>
      <c r="H112" s="16">
        <v>1827</v>
      </c>
      <c r="I112" s="5">
        <v>39679</v>
      </c>
      <c r="J112" s="5">
        <v>37915</v>
      </c>
      <c r="K112" s="16">
        <v>63</v>
      </c>
      <c r="L112" s="13">
        <v>21149.46</v>
      </c>
      <c r="M112" s="15">
        <v>439.76053696798249</v>
      </c>
      <c r="N112" s="13">
        <v>21149.46</v>
      </c>
      <c r="O112" s="13">
        <v>0</v>
      </c>
      <c r="P112" s="11">
        <v>0</v>
      </c>
    </row>
    <row r="113" spans="1:16" ht="15" thickBot="1" x14ac:dyDescent="0.3">
      <c r="A113" s="3" t="s">
        <v>1</v>
      </c>
      <c r="B113" s="4">
        <v>472674</v>
      </c>
      <c r="C113" s="3" t="s">
        <v>2</v>
      </c>
      <c r="D113" s="18">
        <v>9.5000000000000001E-2</v>
      </c>
      <c r="E113" s="21">
        <v>7.5915342905825689E-3</v>
      </c>
      <c r="F113" s="5">
        <v>37890</v>
      </c>
      <c r="G113" s="5">
        <v>39185</v>
      </c>
      <c r="H113" s="16">
        <v>1295</v>
      </c>
      <c r="I113" s="5">
        <v>39185</v>
      </c>
      <c r="J113" s="5">
        <v>40955</v>
      </c>
      <c r="K113" s="16">
        <v>3065</v>
      </c>
      <c r="L113" s="13">
        <v>5427.12</v>
      </c>
      <c r="M113" s="15">
        <v>147.92036892787632</v>
      </c>
      <c r="N113" s="13">
        <v>5427.12</v>
      </c>
      <c r="O113" s="13">
        <v>0</v>
      </c>
      <c r="P113" s="11">
        <v>0</v>
      </c>
    </row>
    <row r="114" spans="1:16" ht="15" thickBot="1" x14ac:dyDescent="0.3">
      <c r="A114" s="3" t="s">
        <v>1</v>
      </c>
      <c r="B114" s="4">
        <v>581571</v>
      </c>
      <c r="C114" s="3" t="s">
        <v>2</v>
      </c>
      <c r="D114" s="18">
        <v>0.1</v>
      </c>
      <c r="E114" s="21">
        <v>7.9741404289037643E-3</v>
      </c>
      <c r="F114" s="5">
        <v>37956</v>
      </c>
      <c r="G114" s="5">
        <v>39495</v>
      </c>
      <c r="H114" s="16">
        <v>1539</v>
      </c>
      <c r="I114" s="5">
        <v>39495</v>
      </c>
      <c r="J114" s="5">
        <v>38582</v>
      </c>
      <c r="K114" s="16">
        <v>626</v>
      </c>
      <c r="L114" s="13">
        <v>19378.46</v>
      </c>
      <c r="M114" s="15">
        <v>461.74752529274537</v>
      </c>
      <c r="N114" s="13">
        <v>19378.46</v>
      </c>
      <c r="O114" s="13">
        <v>0</v>
      </c>
      <c r="P114" s="11">
        <v>0</v>
      </c>
    </row>
    <row r="115" spans="1:16" ht="15" thickBot="1" x14ac:dyDescent="0.3">
      <c r="A115" s="3" t="s">
        <v>1</v>
      </c>
      <c r="B115" s="4">
        <v>934356</v>
      </c>
      <c r="C115" s="3" t="s">
        <v>2</v>
      </c>
      <c r="D115" s="18">
        <v>0.1</v>
      </c>
      <c r="E115" s="21">
        <v>7.9741404289037643E-3</v>
      </c>
      <c r="F115" s="5">
        <v>38006</v>
      </c>
      <c r="G115" s="5">
        <v>39512</v>
      </c>
      <c r="H115" s="16">
        <v>1506</v>
      </c>
      <c r="I115" s="5">
        <v>39512</v>
      </c>
      <c r="J115" s="5">
        <v>39343</v>
      </c>
      <c r="K115" s="16">
        <v>1337</v>
      </c>
      <c r="L115" s="13">
        <v>21667.52</v>
      </c>
      <c r="M115" s="15">
        <v>525.45812713915291</v>
      </c>
      <c r="N115" s="13">
        <v>21667.52</v>
      </c>
      <c r="O115" s="13">
        <v>0</v>
      </c>
      <c r="P115" s="11">
        <v>0</v>
      </c>
    </row>
    <row r="116" spans="1:16" ht="15" thickBot="1" x14ac:dyDescent="0.3">
      <c r="A116" s="3" t="s">
        <v>1</v>
      </c>
      <c r="B116" s="4">
        <v>40060</v>
      </c>
      <c r="C116" s="3" t="s">
        <v>2</v>
      </c>
      <c r="D116" s="18">
        <v>9.5000000000000001E-2</v>
      </c>
      <c r="E116" s="21">
        <v>7.5915342905825689E-3</v>
      </c>
      <c r="F116" s="5">
        <v>38008</v>
      </c>
      <c r="G116" s="5">
        <v>38555</v>
      </c>
      <c r="H116" s="16">
        <v>547</v>
      </c>
      <c r="I116" s="5">
        <v>38555</v>
      </c>
      <c r="J116" s="5">
        <v>38790</v>
      </c>
      <c r="K116" s="16">
        <v>782</v>
      </c>
      <c r="L116" s="13">
        <v>9992.92</v>
      </c>
      <c r="M116" s="15">
        <v>588.93772064946984</v>
      </c>
      <c r="N116" s="13">
        <v>9992.92</v>
      </c>
      <c r="O116" s="13">
        <v>0</v>
      </c>
      <c r="P116" s="11">
        <v>0</v>
      </c>
    </row>
    <row r="117" spans="1:16" ht="15" thickBot="1" x14ac:dyDescent="0.3">
      <c r="A117" s="3" t="s">
        <v>1</v>
      </c>
      <c r="B117" s="4">
        <v>329767</v>
      </c>
      <c r="C117" s="3" t="s">
        <v>2</v>
      </c>
      <c r="D117" s="18">
        <v>0.1</v>
      </c>
      <c r="E117" s="21">
        <v>7.9741404289037643E-3</v>
      </c>
      <c r="F117" s="5">
        <v>38014</v>
      </c>
      <c r="G117" s="5">
        <v>39398</v>
      </c>
      <c r="H117" s="16">
        <v>1384</v>
      </c>
      <c r="I117" s="5">
        <v>39398</v>
      </c>
      <c r="J117" s="5">
        <v>39153</v>
      </c>
      <c r="K117" s="16">
        <v>1139</v>
      </c>
      <c r="L117" s="13">
        <v>50000</v>
      </c>
      <c r="M117" s="15">
        <v>1299.6312532299642</v>
      </c>
      <c r="N117" s="13">
        <v>50000</v>
      </c>
      <c r="O117" s="13">
        <v>0</v>
      </c>
      <c r="P117" s="11">
        <v>0</v>
      </c>
    </row>
    <row r="118" spans="1:16" ht="15" thickBot="1" x14ac:dyDescent="0.3">
      <c r="A118" s="3" t="s">
        <v>1</v>
      </c>
      <c r="B118" s="4">
        <v>672195</v>
      </c>
      <c r="C118" s="3" t="s">
        <v>2</v>
      </c>
      <c r="D118" s="18">
        <v>0.1</v>
      </c>
      <c r="E118" s="21">
        <v>7.9741404289037643E-3</v>
      </c>
      <c r="F118" s="5">
        <v>38096</v>
      </c>
      <c r="G118" s="5">
        <v>39374</v>
      </c>
      <c r="H118" s="16">
        <v>1278</v>
      </c>
      <c r="I118" s="5">
        <v>39374</v>
      </c>
      <c r="J118" s="5">
        <v>38994</v>
      </c>
      <c r="K118" s="16">
        <v>898</v>
      </c>
      <c r="L118" s="13">
        <v>3483.19</v>
      </c>
      <c r="M118" s="15">
        <v>96.759982187181947</v>
      </c>
      <c r="N118" s="13">
        <v>3483.19</v>
      </c>
      <c r="O118" s="13">
        <v>0</v>
      </c>
      <c r="P118" s="11">
        <v>0</v>
      </c>
    </row>
    <row r="119" spans="1:16" ht="15" thickBot="1" x14ac:dyDescent="0.3">
      <c r="A119" s="3" t="s">
        <v>1</v>
      </c>
      <c r="B119" s="4">
        <v>314895</v>
      </c>
      <c r="C119" s="3" t="s">
        <v>2</v>
      </c>
      <c r="D119" s="18">
        <v>0.1</v>
      </c>
      <c r="E119" s="21">
        <v>7.9741404289037643E-3</v>
      </c>
      <c r="F119" s="5">
        <v>38182</v>
      </c>
      <c r="G119" s="5">
        <v>39706</v>
      </c>
      <c r="H119" s="16">
        <v>1524</v>
      </c>
      <c r="I119" s="5">
        <v>39706</v>
      </c>
      <c r="J119" s="5">
        <v>38880</v>
      </c>
      <c r="K119" s="16">
        <v>698</v>
      </c>
      <c r="L119" s="13">
        <v>30130</v>
      </c>
      <c r="M119" s="15">
        <v>723.65883533628755</v>
      </c>
      <c r="N119" s="13">
        <v>30130</v>
      </c>
      <c r="O119" s="13">
        <v>0</v>
      </c>
      <c r="P119" s="11">
        <v>0</v>
      </c>
    </row>
    <row r="120" spans="1:16" ht="15" thickBot="1" x14ac:dyDescent="0.3">
      <c r="A120" s="3" t="s">
        <v>1</v>
      </c>
      <c r="B120" s="4">
        <v>653136</v>
      </c>
      <c r="C120" s="3" t="s">
        <v>2</v>
      </c>
      <c r="D120" s="18">
        <v>0.1</v>
      </c>
      <c r="E120" s="21">
        <v>7.9741404289037643E-3</v>
      </c>
      <c r="F120" s="5">
        <v>38210</v>
      </c>
      <c r="G120" s="5">
        <v>40040</v>
      </c>
      <c r="H120" s="16">
        <v>1830</v>
      </c>
      <c r="I120" s="5">
        <v>40040</v>
      </c>
      <c r="J120" s="5">
        <v>40031</v>
      </c>
      <c r="K120" s="16">
        <v>1821</v>
      </c>
      <c r="L120" s="13">
        <v>55962.33</v>
      </c>
      <c r="M120" s="15">
        <v>1162.1410048342736</v>
      </c>
      <c r="N120" s="13">
        <v>55962.33</v>
      </c>
      <c r="O120" s="13">
        <v>0</v>
      </c>
      <c r="P120" s="11">
        <v>0</v>
      </c>
    </row>
    <row r="121" spans="1:16" ht="15" thickBot="1" x14ac:dyDescent="0.3">
      <c r="A121" s="3" t="s">
        <v>1</v>
      </c>
      <c r="B121" s="4">
        <v>758349</v>
      </c>
      <c r="C121" s="3" t="s">
        <v>2</v>
      </c>
      <c r="D121" s="18">
        <v>0.09</v>
      </c>
      <c r="E121" s="21">
        <v>7.2073233161367156E-3</v>
      </c>
      <c r="F121" s="5">
        <v>38230</v>
      </c>
      <c r="G121" s="5">
        <v>40359</v>
      </c>
      <c r="H121" s="16">
        <v>2129</v>
      </c>
      <c r="I121" s="5">
        <v>40359</v>
      </c>
      <c r="J121" s="5">
        <v>40078</v>
      </c>
      <c r="K121" s="16">
        <v>1848</v>
      </c>
      <c r="L121" s="13">
        <v>47392.93</v>
      </c>
      <c r="M121" s="15">
        <v>855.45586400693287</v>
      </c>
      <c r="N121" s="13">
        <v>47392.93</v>
      </c>
      <c r="O121" s="13">
        <v>0</v>
      </c>
      <c r="P121" s="11">
        <v>0</v>
      </c>
    </row>
    <row r="122" spans="1:16" ht="15" thickBot="1" x14ac:dyDescent="0.3">
      <c r="A122" s="3" t="s">
        <v>1</v>
      </c>
      <c r="B122" s="4">
        <v>825288</v>
      </c>
      <c r="C122" s="3" t="s">
        <v>2</v>
      </c>
      <c r="D122" s="18">
        <v>0.1</v>
      </c>
      <c r="E122" s="21">
        <v>7.9741404289037643E-3</v>
      </c>
      <c r="F122" s="5">
        <v>38266</v>
      </c>
      <c r="G122" s="5">
        <v>39767</v>
      </c>
      <c r="H122" s="16">
        <v>1501</v>
      </c>
      <c r="I122" s="5">
        <v>39767</v>
      </c>
      <c r="J122" s="5">
        <v>39056</v>
      </c>
      <c r="K122" s="16">
        <v>790</v>
      </c>
      <c r="L122" s="13">
        <v>13757.89</v>
      </c>
      <c r="M122" s="15">
        <v>334.54657684148032</v>
      </c>
      <c r="N122" s="13">
        <v>13757.89</v>
      </c>
      <c r="O122" s="13">
        <v>0</v>
      </c>
      <c r="P122" s="11">
        <v>0</v>
      </c>
    </row>
    <row r="123" spans="1:16" ht="15" thickBot="1" x14ac:dyDescent="0.3">
      <c r="A123" s="3" t="s">
        <v>1</v>
      </c>
      <c r="B123" s="4">
        <v>122338</v>
      </c>
      <c r="C123" s="3" t="s">
        <v>2</v>
      </c>
      <c r="D123" s="18">
        <v>0.09</v>
      </c>
      <c r="E123" s="21">
        <v>7.2073233161367156E-3</v>
      </c>
      <c r="F123" s="5">
        <v>38275</v>
      </c>
      <c r="G123" s="5">
        <v>43266</v>
      </c>
      <c r="H123" s="16">
        <v>4991</v>
      </c>
      <c r="I123" s="5">
        <v>43266</v>
      </c>
      <c r="J123" s="5">
        <v>43005</v>
      </c>
      <c r="K123" s="16">
        <v>4730</v>
      </c>
      <c r="L123" s="13">
        <v>13600</v>
      </c>
      <c r="M123" s="15">
        <v>140.58576299695466</v>
      </c>
      <c r="N123" s="13">
        <v>13600</v>
      </c>
      <c r="O123" s="13">
        <v>0</v>
      </c>
      <c r="P123" s="11">
        <v>1</v>
      </c>
    </row>
    <row r="124" spans="1:16" ht="15" thickBot="1" x14ac:dyDescent="0.3">
      <c r="A124" s="3" t="s">
        <v>1</v>
      </c>
      <c r="B124" s="4">
        <v>853144</v>
      </c>
      <c r="C124" s="3" t="s">
        <v>2</v>
      </c>
      <c r="D124" s="18">
        <v>0.11</v>
      </c>
      <c r="E124" s="21">
        <v>8.7345938235519061E-3</v>
      </c>
      <c r="F124" s="5">
        <v>38394</v>
      </c>
      <c r="G124" s="5">
        <v>39124</v>
      </c>
      <c r="H124" s="16">
        <v>730</v>
      </c>
      <c r="I124" s="5">
        <v>39124</v>
      </c>
      <c r="J124" s="5">
        <v>38833</v>
      </c>
      <c r="K124" s="16">
        <v>439</v>
      </c>
      <c r="L124" s="13">
        <v>14000</v>
      </c>
      <c r="M124" s="15">
        <v>641.14853692722568</v>
      </c>
      <c r="N124" s="13">
        <v>14000</v>
      </c>
      <c r="O124" s="13">
        <v>0</v>
      </c>
      <c r="P124" s="11">
        <v>0</v>
      </c>
    </row>
    <row r="125" spans="1:16" ht="15" thickBot="1" x14ac:dyDescent="0.3">
      <c r="A125" s="3" t="s">
        <v>1</v>
      </c>
      <c r="B125" s="4">
        <v>20868</v>
      </c>
      <c r="C125" s="3" t="s">
        <v>2</v>
      </c>
      <c r="D125" s="18">
        <v>0.1</v>
      </c>
      <c r="E125" s="21">
        <v>7.9741404289037643E-3</v>
      </c>
      <c r="F125" s="5">
        <v>38398</v>
      </c>
      <c r="G125" s="5">
        <v>39309</v>
      </c>
      <c r="H125" s="16">
        <v>911</v>
      </c>
      <c r="I125" s="5">
        <v>39309</v>
      </c>
      <c r="J125" s="5">
        <v>39192</v>
      </c>
      <c r="K125" s="16">
        <v>794</v>
      </c>
      <c r="L125" s="13">
        <v>26609.33</v>
      </c>
      <c r="M125" s="15">
        <v>990.11071384213449</v>
      </c>
      <c r="N125" s="13">
        <v>26609.33</v>
      </c>
      <c r="O125" s="13">
        <v>0</v>
      </c>
      <c r="P125" s="11">
        <v>0</v>
      </c>
    </row>
    <row r="126" spans="1:16" ht="15" thickBot="1" x14ac:dyDescent="0.3">
      <c r="A126" s="3" t="s">
        <v>1</v>
      </c>
      <c r="B126" s="4">
        <v>256459</v>
      </c>
      <c r="C126" s="3" t="s">
        <v>2</v>
      </c>
      <c r="D126" s="18">
        <v>9.7500000000000003E-2</v>
      </c>
      <c r="E126" s="21">
        <v>7.7830370878799737E-3</v>
      </c>
      <c r="F126" s="5">
        <v>38411</v>
      </c>
      <c r="G126" s="5">
        <v>38776</v>
      </c>
      <c r="H126" s="16">
        <v>365</v>
      </c>
      <c r="I126" s="5">
        <v>38776</v>
      </c>
      <c r="J126" s="5">
        <v>38905</v>
      </c>
      <c r="K126" s="16">
        <v>494</v>
      </c>
      <c r="L126" s="13">
        <v>119000.5</v>
      </c>
      <c r="M126" s="15">
        <v>10289.248172328644</v>
      </c>
      <c r="N126" s="13">
        <v>119000.5</v>
      </c>
      <c r="O126" s="13">
        <v>500</v>
      </c>
      <c r="P126" s="11">
        <v>0</v>
      </c>
    </row>
    <row r="127" spans="1:16" ht="15" thickBot="1" x14ac:dyDescent="0.3">
      <c r="A127" s="3" t="s">
        <v>1</v>
      </c>
      <c r="B127" s="4">
        <v>219264</v>
      </c>
      <c r="C127" s="3" t="s">
        <v>2</v>
      </c>
      <c r="D127" s="18">
        <v>9.7500000000000003E-2</v>
      </c>
      <c r="E127" s="21">
        <v>7.7830370878799737E-3</v>
      </c>
      <c r="F127" s="5">
        <v>38411</v>
      </c>
      <c r="G127" s="5">
        <v>38776</v>
      </c>
      <c r="H127" s="16">
        <v>365</v>
      </c>
      <c r="I127" s="5">
        <v>38776</v>
      </c>
      <c r="J127" s="5">
        <v>39167</v>
      </c>
      <c r="K127" s="16">
        <v>756</v>
      </c>
      <c r="L127" s="13">
        <v>75845.25</v>
      </c>
      <c r="M127" s="15">
        <v>6557.8766470923165</v>
      </c>
      <c r="N127" s="13">
        <v>75845.25</v>
      </c>
      <c r="O127" s="13">
        <v>0</v>
      </c>
      <c r="P127" s="11">
        <v>0</v>
      </c>
    </row>
    <row r="128" spans="1:16" ht="15" thickBot="1" x14ac:dyDescent="0.3">
      <c r="A128" s="3" t="s">
        <v>1</v>
      </c>
      <c r="B128" s="4">
        <v>351518</v>
      </c>
      <c r="C128" s="3" t="s">
        <v>2</v>
      </c>
      <c r="D128" s="18">
        <v>0.1</v>
      </c>
      <c r="E128" s="21">
        <v>7.9741404289037643E-3</v>
      </c>
      <c r="F128" s="5">
        <v>38461</v>
      </c>
      <c r="G128" s="5">
        <v>39908</v>
      </c>
      <c r="H128" s="16">
        <v>1447</v>
      </c>
      <c r="I128" s="5">
        <v>39908</v>
      </c>
      <c r="J128" s="5">
        <v>40345</v>
      </c>
      <c r="K128" s="16">
        <v>1884</v>
      </c>
      <c r="L128" s="13">
        <v>14085.06</v>
      </c>
      <c r="M128" s="15">
        <v>352.9169949691414</v>
      </c>
      <c r="N128" s="13">
        <v>14085.06</v>
      </c>
      <c r="O128" s="13">
        <v>0</v>
      </c>
      <c r="P128" s="11">
        <v>0</v>
      </c>
    </row>
    <row r="129" spans="1:16" ht="15" thickBot="1" x14ac:dyDescent="0.3">
      <c r="A129" s="3" t="s">
        <v>1</v>
      </c>
      <c r="B129" s="4">
        <v>209545</v>
      </c>
      <c r="C129" s="3" t="s">
        <v>2</v>
      </c>
      <c r="D129" s="18">
        <v>9.5000000000000001E-2</v>
      </c>
      <c r="E129" s="21">
        <v>7.5915342905825689E-3</v>
      </c>
      <c r="F129" s="5">
        <v>38698</v>
      </c>
      <c r="G129" s="5">
        <v>40436</v>
      </c>
      <c r="H129" s="16">
        <v>1738</v>
      </c>
      <c r="I129" s="5">
        <v>40436</v>
      </c>
      <c r="J129" s="5">
        <v>40078</v>
      </c>
      <c r="K129" s="16">
        <v>1380</v>
      </c>
      <c r="L129" s="13">
        <v>9765.2099999999991</v>
      </c>
      <c r="M129" s="15">
        <v>208.96301304205963</v>
      </c>
      <c r="N129" s="13">
        <v>9765.2099999999991</v>
      </c>
      <c r="O129" s="13">
        <v>0</v>
      </c>
      <c r="P129" s="11">
        <v>0</v>
      </c>
    </row>
    <row r="130" spans="1:16" ht="15" thickBot="1" x14ac:dyDescent="0.3">
      <c r="A130" s="3" t="s">
        <v>1</v>
      </c>
      <c r="B130" s="4">
        <v>420340</v>
      </c>
      <c r="C130" s="3" t="s">
        <v>2</v>
      </c>
      <c r="D130" s="18">
        <v>0.1</v>
      </c>
      <c r="E130" s="21">
        <v>7.9741404289037643E-3</v>
      </c>
      <c r="F130" s="5">
        <v>38747</v>
      </c>
      <c r="G130" s="5">
        <v>39563</v>
      </c>
      <c r="H130" s="16">
        <v>816</v>
      </c>
      <c r="I130" s="5">
        <v>39563</v>
      </c>
      <c r="J130" s="5">
        <v>39084</v>
      </c>
      <c r="K130" s="16">
        <v>337</v>
      </c>
      <c r="L130" s="13">
        <v>11418.24</v>
      </c>
      <c r="M130" s="15">
        <v>468.62298375643712</v>
      </c>
      <c r="N130" s="13">
        <v>11418.24</v>
      </c>
      <c r="O130" s="13">
        <v>0</v>
      </c>
      <c r="P130" s="11">
        <v>0</v>
      </c>
    </row>
    <row r="131" spans="1:16" ht="15" thickBot="1" x14ac:dyDescent="0.3">
      <c r="A131" s="3" t="s">
        <v>1</v>
      </c>
      <c r="B131" s="4">
        <v>626625</v>
      </c>
      <c r="C131" s="3" t="s">
        <v>2</v>
      </c>
      <c r="D131" s="18">
        <v>0.09</v>
      </c>
      <c r="E131" s="21">
        <v>7.2073233161367156E-3</v>
      </c>
      <c r="F131" s="5">
        <v>38789</v>
      </c>
      <c r="G131" s="5">
        <v>42076</v>
      </c>
      <c r="H131" s="16">
        <v>3287</v>
      </c>
      <c r="I131" s="5">
        <v>42076</v>
      </c>
      <c r="J131" s="5">
        <v>42086</v>
      </c>
      <c r="K131" s="16">
        <v>3297</v>
      </c>
      <c r="L131" s="13">
        <v>115574.11</v>
      </c>
      <c r="M131" s="15">
        <v>1529.1795814033094</v>
      </c>
      <c r="N131" s="13">
        <v>115574.11</v>
      </c>
      <c r="O131" s="13">
        <v>0</v>
      </c>
      <c r="P131" s="11">
        <v>1</v>
      </c>
    </row>
    <row r="132" spans="1:16" ht="15" thickBot="1" x14ac:dyDescent="0.3">
      <c r="A132" s="3" t="s">
        <v>1</v>
      </c>
      <c r="B132" s="4">
        <v>571986</v>
      </c>
      <c r="C132" s="3" t="s">
        <v>2</v>
      </c>
      <c r="D132" s="18">
        <v>0.10100000000000001</v>
      </c>
      <c r="E132" s="21">
        <v>8.0504703073109862E-3</v>
      </c>
      <c r="F132" s="5">
        <v>38855</v>
      </c>
      <c r="G132" s="5">
        <v>40439</v>
      </c>
      <c r="H132" s="16">
        <v>1584</v>
      </c>
      <c r="I132" s="5">
        <v>40439</v>
      </c>
      <c r="J132" s="5">
        <v>39331</v>
      </c>
      <c r="K132" s="16">
        <v>476</v>
      </c>
      <c r="L132" s="13">
        <v>50000</v>
      </c>
      <c r="M132" s="15">
        <v>1166.1970234227022</v>
      </c>
      <c r="N132" s="13">
        <v>50000</v>
      </c>
      <c r="O132" s="13">
        <v>0</v>
      </c>
      <c r="P132" s="11">
        <v>0</v>
      </c>
    </row>
    <row r="133" spans="1:16" ht="15" thickBot="1" x14ac:dyDescent="0.3">
      <c r="A133" s="3" t="s">
        <v>1</v>
      </c>
      <c r="B133" s="4">
        <v>618724</v>
      </c>
      <c r="C133" s="3" t="s">
        <v>2</v>
      </c>
      <c r="D133" s="18">
        <v>0.09</v>
      </c>
      <c r="E133" s="21">
        <v>7.2073233161367156E-3</v>
      </c>
      <c r="F133" s="5">
        <v>38862</v>
      </c>
      <c r="G133" s="5">
        <v>39897</v>
      </c>
      <c r="H133" s="16">
        <v>1035</v>
      </c>
      <c r="I133" s="5">
        <v>39897</v>
      </c>
      <c r="J133" s="5">
        <v>39854</v>
      </c>
      <c r="K133" s="16">
        <v>992</v>
      </c>
      <c r="L133" s="13">
        <v>213006.69</v>
      </c>
      <c r="M133" s="15">
        <v>6995.5984202364925</v>
      </c>
      <c r="N133" s="13">
        <v>213006.69</v>
      </c>
      <c r="O133" s="13">
        <v>0</v>
      </c>
      <c r="P133" s="11">
        <v>0</v>
      </c>
    </row>
    <row r="134" spans="1:16" ht="15" thickBot="1" x14ac:dyDescent="0.3">
      <c r="A134" s="3" t="s">
        <v>1</v>
      </c>
      <c r="B134" s="4">
        <v>363729</v>
      </c>
      <c r="C134" s="3" t="s">
        <v>2</v>
      </c>
      <c r="D134" s="18">
        <v>0.105</v>
      </c>
      <c r="E134" s="21">
        <v>8.355155683635207E-3</v>
      </c>
      <c r="F134" s="5">
        <v>38873</v>
      </c>
      <c r="G134" s="5">
        <v>40339</v>
      </c>
      <c r="H134" s="16">
        <v>1466</v>
      </c>
      <c r="I134" s="5">
        <v>40339</v>
      </c>
      <c r="J134" s="5">
        <v>40318</v>
      </c>
      <c r="K134" s="16">
        <v>1445</v>
      </c>
      <c r="L134" s="13">
        <v>2249.66</v>
      </c>
      <c r="M134" s="15">
        <v>56.262003591132405</v>
      </c>
      <c r="N134" s="13">
        <v>2249.66</v>
      </c>
      <c r="O134" s="13">
        <v>0</v>
      </c>
      <c r="P134" s="11">
        <v>0</v>
      </c>
    </row>
    <row r="135" spans="1:16" ht="15" thickBot="1" x14ac:dyDescent="0.3">
      <c r="A135" s="3" t="s">
        <v>1</v>
      </c>
      <c r="B135" s="4">
        <v>339189</v>
      </c>
      <c r="C135" s="3" t="s">
        <v>2</v>
      </c>
      <c r="D135" s="18">
        <v>9.5000000000000001E-2</v>
      </c>
      <c r="E135" s="21">
        <v>7.5915342905825689E-3</v>
      </c>
      <c r="F135" s="5">
        <v>38985</v>
      </c>
      <c r="G135" s="5">
        <v>41289</v>
      </c>
      <c r="H135" s="16">
        <v>2304</v>
      </c>
      <c r="I135" s="5">
        <v>41289</v>
      </c>
      <c r="J135" s="5">
        <v>41579</v>
      </c>
      <c r="K135" s="16">
        <v>2594</v>
      </c>
      <c r="L135" s="13">
        <v>20000</v>
      </c>
      <c r="M135" s="15">
        <v>344.6272114124053</v>
      </c>
      <c r="N135" s="13">
        <v>20000</v>
      </c>
      <c r="O135" s="13">
        <v>0</v>
      </c>
      <c r="P135" s="11">
        <v>0</v>
      </c>
    </row>
    <row r="136" spans="1:16" ht="15" thickBot="1" x14ac:dyDescent="0.3">
      <c r="A136" s="3" t="s">
        <v>1</v>
      </c>
      <c r="B136" s="4">
        <v>685098</v>
      </c>
      <c r="C136" s="3" t="s">
        <v>2</v>
      </c>
      <c r="D136" s="18">
        <v>0.05</v>
      </c>
      <c r="E136" s="21">
        <v>4.0741237836483535E-3</v>
      </c>
      <c r="F136" s="5">
        <v>39090</v>
      </c>
      <c r="G136" s="5">
        <v>40816</v>
      </c>
      <c r="H136" s="16">
        <v>1726</v>
      </c>
      <c r="I136" s="5">
        <v>40816</v>
      </c>
      <c r="J136" s="5">
        <v>43654</v>
      </c>
      <c r="K136" s="16">
        <v>4564</v>
      </c>
      <c r="L136" s="13">
        <v>42648.76</v>
      </c>
      <c r="M136" s="15">
        <v>833.05905288173733</v>
      </c>
      <c r="N136" s="13">
        <v>40658.699999999997</v>
      </c>
      <c r="O136" s="13">
        <v>38995.9</v>
      </c>
      <c r="P136" s="11">
        <v>0</v>
      </c>
    </row>
    <row r="137" spans="1:16" ht="15" thickBot="1" x14ac:dyDescent="0.3">
      <c r="A137" s="3" t="s">
        <v>1</v>
      </c>
      <c r="B137" s="4">
        <v>250565</v>
      </c>
      <c r="C137" s="3" t="s">
        <v>2</v>
      </c>
      <c r="D137" s="18">
        <v>9.5000000000000001E-2</v>
      </c>
      <c r="E137" s="21">
        <v>7.5915342905825689E-3</v>
      </c>
      <c r="F137" s="5">
        <v>39098</v>
      </c>
      <c r="G137" s="5">
        <v>40559</v>
      </c>
      <c r="H137" s="16">
        <v>1461</v>
      </c>
      <c r="I137" s="5">
        <v>40559</v>
      </c>
      <c r="J137" s="5">
        <v>40318</v>
      </c>
      <c r="K137" s="16">
        <v>1220</v>
      </c>
      <c r="L137" s="13">
        <v>5758.47</v>
      </c>
      <c r="M137" s="15">
        <v>141.88853163444597</v>
      </c>
      <c r="N137" s="13">
        <v>5758.47</v>
      </c>
      <c r="O137" s="13">
        <v>0</v>
      </c>
      <c r="P137" s="11">
        <v>0</v>
      </c>
    </row>
    <row r="138" spans="1:16" ht="15" thickBot="1" x14ac:dyDescent="0.3">
      <c r="A138" s="3" t="s">
        <v>1</v>
      </c>
      <c r="B138" s="4">
        <v>612362</v>
      </c>
      <c r="C138" s="3" t="s">
        <v>2</v>
      </c>
      <c r="D138" s="18">
        <v>9.5000000000000001E-2</v>
      </c>
      <c r="E138" s="21">
        <v>7.5915342905825689E-3</v>
      </c>
      <c r="F138" s="5">
        <v>39150</v>
      </c>
      <c r="G138" s="5">
        <v>40430</v>
      </c>
      <c r="H138" s="16">
        <v>1280</v>
      </c>
      <c r="I138" s="5">
        <v>40430</v>
      </c>
      <c r="J138" s="5">
        <v>40078</v>
      </c>
      <c r="K138" s="16">
        <v>928</v>
      </c>
      <c r="L138" s="13">
        <v>35000</v>
      </c>
      <c r="M138" s="15">
        <v>963.40659289875384</v>
      </c>
      <c r="N138" s="13">
        <v>35000</v>
      </c>
      <c r="O138" s="13">
        <v>0</v>
      </c>
      <c r="P138" s="11">
        <v>0</v>
      </c>
    </row>
    <row r="139" spans="1:16" ht="15" thickBot="1" x14ac:dyDescent="0.3">
      <c r="A139" s="3" t="s">
        <v>1</v>
      </c>
      <c r="B139" s="4">
        <v>579790</v>
      </c>
      <c r="C139" s="3" t="s">
        <v>2</v>
      </c>
      <c r="D139" s="18">
        <v>9.5000000000000001E-2</v>
      </c>
      <c r="E139" s="21">
        <v>7.5915342905825689E-3</v>
      </c>
      <c r="F139" s="5">
        <v>39155</v>
      </c>
      <c r="G139" s="5">
        <v>41592</v>
      </c>
      <c r="H139" s="16">
        <v>2437</v>
      </c>
      <c r="I139" s="5">
        <v>41592</v>
      </c>
      <c r="J139" s="5">
        <v>41520</v>
      </c>
      <c r="K139" s="16">
        <v>2365</v>
      </c>
      <c r="L139" s="13">
        <v>9999.5</v>
      </c>
      <c r="M139" s="15">
        <v>165.38061494211985</v>
      </c>
      <c r="N139" s="13">
        <v>9999.5</v>
      </c>
      <c r="O139" s="13">
        <v>0</v>
      </c>
      <c r="P139" s="11">
        <v>0</v>
      </c>
    </row>
    <row r="140" spans="1:16" ht="15" thickBot="1" x14ac:dyDescent="0.3">
      <c r="A140" s="3" t="s">
        <v>1</v>
      </c>
      <c r="B140" s="4">
        <v>489020</v>
      </c>
      <c r="C140" s="3" t="s">
        <v>2</v>
      </c>
      <c r="D140" s="18">
        <v>0.1</v>
      </c>
      <c r="E140" s="21">
        <v>7.9741404289037643E-3</v>
      </c>
      <c r="F140" s="5">
        <v>39189</v>
      </c>
      <c r="G140" s="5">
        <v>43449</v>
      </c>
      <c r="H140" s="16">
        <v>4260</v>
      </c>
      <c r="I140" s="5">
        <v>43449</v>
      </c>
      <c r="J140" s="5">
        <v>43502</v>
      </c>
      <c r="K140" s="16">
        <v>4313</v>
      </c>
      <c r="L140" s="13">
        <v>23575.67</v>
      </c>
      <c r="M140" s="15">
        <v>277.99022831073194</v>
      </c>
      <c r="N140" s="13">
        <v>23575.67</v>
      </c>
      <c r="O140" s="13">
        <v>0</v>
      </c>
      <c r="P140" s="11">
        <v>1</v>
      </c>
    </row>
    <row r="141" spans="1:16" ht="15" thickBot="1" x14ac:dyDescent="0.3">
      <c r="A141" s="3" t="s">
        <v>1</v>
      </c>
      <c r="B141" s="4">
        <v>945054</v>
      </c>
      <c r="C141" s="3" t="s">
        <v>2</v>
      </c>
      <c r="D141" s="18">
        <v>9.7500000000000003E-2</v>
      </c>
      <c r="E141" s="21">
        <v>7.7830370878799737E-3</v>
      </c>
      <c r="F141" s="5">
        <v>39297</v>
      </c>
      <c r="G141" s="5">
        <v>43376</v>
      </c>
      <c r="H141" s="16">
        <v>4079</v>
      </c>
      <c r="I141" s="5">
        <v>43376</v>
      </c>
      <c r="J141" s="5">
        <v>43496</v>
      </c>
      <c r="K141" s="16">
        <v>4199</v>
      </c>
      <c r="L141" s="13">
        <v>38206.980000000003</v>
      </c>
      <c r="M141" s="15">
        <v>456.42857065802559</v>
      </c>
      <c r="N141" s="13">
        <v>38206.980000000003</v>
      </c>
      <c r="O141" s="13">
        <v>25900</v>
      </c>
      <c r="P141" s="11">
        <v>1</v>
      </c>
    </row>
    <row r="142" spans="1:16" ht="15" thickBot="1" x14ac:dyDescent="0.3">
      <c r="A142" s="3" t="s">
        <v>1</v>
      </c>
      <c r="B142" s="4">
        <v>17712</v>
      </c>
      <c r="C142" s="3" t="s">
        <v>2</v>
      </c>
      <c r="D142" s="18">
        <v>0.1</v>
      </c>
      <c r="E142" s="21">
        <v>7.9741404289037643E-3</v>
      </c>
      <c r="F142" s="5">
        <v>39344</v>
      </c>
      <c r="G142" s="5">
        <v>41171</v>
      </c>
      <c r="H142" s="16">
        <v>1827</v>
      </c>
      <c r="I142" s="5">
        <v>41171</v>
      </c>
      <c r="J142" s="5">
        <v>39969</v>
      </c>
      <c r="K142" s="16">
        <v>625</v>
      </c>
      <c r="L142" s="13">
        <v>7326.55</v>
      </c>
      <c r="M142" s="15">
        <v>152.34089012782229</v>
      </c>
      <c r="N142" s="13">
        <v>7326.55</v>
      </c>
      <c r="O142" s="13">
        <v>0</v>
      </c>
      <c r="P142" s="11">
        <v>0</v>
      </c>
    </row>
    <row r="143" spans="1:16" ht="15" thickBot="1" x14ac:dyDescent="0.3">
      <c r="A143" s="3" t="s">
        <v>1</v>
      </c>
      <c r="B143" s="4">
        <v>20551</v>
      </c>
      <c r="C143" s="3" t="s">
        <v>2</v>
      </c>
      <c r="D143" s="18">
        <v>0.1</v>
      </c>
      <c r="E143" s="21">
        <v>7.9741404289037643E-3</v>
      </c>
      <c r="F143" s="5">
        <v>39370</v>
      </c>
      <c r="G143" s="5">
        <v>41654</v>
      </c>
      <c r="H143" s="16">
        <v>2284</v>
      </c>
      <c r="I143" s="5">
        <v>41654</v>
      </c>
      <c r="J143" s="5">
        <v>40653</v>
      </c>
      <c r="K143" s="16">
        <v>1283</v>
      </c>
      <c r="L143" s="13">
        <v>111567.44</v>
      </c>
      <c r="M143" s="15">
        <v>1960.643529565355</v>
      </c>
      <c r="N143" s="13">
        <v>111567.44</v>
      </c>
      <c r="O143" s="13">
        <v>0</v>
      </c>
      <c r="P143" s="11">
        <v>0</v>
      </c>
    </row>
    <row r="144" spans="1:16" ht="15" thickBot="1" x14ac:dyDescent="0.3">
      <c r="A144" s="3" t="s">
        <v>1</v>
      </c>
      <c r="B144" s="4">
        <v>821418</v>
      </c>
      <c r="C144" s="3" t="s">
        <v>2</v>
      </c>
      <c r="D144" s="18">
        <v>9.7500000000000003E-2</v>
      </c>
      <c r="E144" s="21">
        <v>7.7830370878799737E-3</v>
      </c>
      <c r="F144" s="5">
        <v>39350</v>
      </c>
      <c r="G144" s="5">
        <v>40066</v>
      </c>
      <c r="H144" s="16">
        <v>716</v>
      </c>
      <c r="I144" s="5">
        <v>40066</v>
      </c>
      <c r="J144" s="5">
        <v>39721</v>
      </c>
      <c r="K144" s="16">
        <v>371</v>
      </c>
      <c r="L144" s="13">
        <v>50000</v>
      </c>
      <c r="M144" s="15">
        <v>2303.6872533349701</v>
      </c>
      <c r="N144" s="13">
        <v>50000</v>
      </c>
      <c r="O144" s="13">
        <v>0</v>
      </c>
      <c r="P144" s="11">
        <v>0</v>
      </c>
    </row>
    <row r="145" spans="1:16" ht="15" thickBot="1" x14ac:dyDescent="0.3">
      <c r="A145" s="3" t="s">
        <v>1</v>
      </c>
      <c r="B145" s="4">
        <v>813392</v>
      </c>
      <c r="C145" s="3" t="s">
        <v>2</v>
      </c>
      <c r="D145" s="18">
        <v>0.09</v>
      </c>
      <c r="E145" s="21">
        <v>7.2073233161367156E-3</v>
      </c>
      <c r="F145" s="5">
        <v>39365</v>
      </c>
      <c r="G145" s="5">
        <v>41343</v>
      </c>
      <c r="H145" s="16">
        <v>1978</v>
      </c>
      <c r="I145" s="5">
        <v>41343</v>
      </c>
      <c r="J145" s="5">
        <v>39717</v>
      </c>
      <c r="K145" s="16">
        <v>352</v>
      </c>
      <c r="L145" s="13">
        <v>200000</v>
      </c>
      <c r="M145" s="15">
        <v>3821.6837291688698</v>
      </c>
      <c r="N145" s="13">
        <v>200000</v>
      </c>
      <c r="O145" s="13">
        <v>0</v>
      </c>
      <c r="P145" s="11">
        <v>0</v>
      </c>
    </row>
    <row r="146" spans="1:16" ht="15" thickBot="1" x14ac:dyDescent="0.3">
      <c r="A146" s="3" t="s">
        <v>1</v>
      </c>
      <c r="B146" s="4">
        <v>647884</v>
      </c>
      <c r="C146" s="3" t="s">
        <v>2</v>
      </c>
      <c r="D146" s="18">
        <v>9.5000000000000001E-2</v>
      </c>
      <c r="E146" s="21">
        <v>7.5915342905825689E-3</v>
      </c>
      <c r="F146" s="5">
        <v>39415</v>
      </c>
      <c r="G146" s="5">
        <v>41303</v>
      </c>
      <c r="H146" s="16">
        <v>1888</v>
      </c>
      <c r="I146" s="5">
        <v>41303</v>
      </c>
      <c r="J146" s="5">
        <v>40694</v>
      </c>
      <c r="K146" s="16">
        <v>1279</v>
      </c>
      <c r="L146" s="13">
        <v>6930.45</v>
      </c>
      <c r="M146" s="15">
        <v>138.92647107783412</v>
      </c>
      <c r="N146" s="13">
        <v>6930.45</v>
      </c>
      <c r="O146" s="13">
        <v>0</v>
      </c>
      <c r="P146" s="11">
        <v>0</v>
      </c>
    </row>
    <row r="147" spans="1:16" ht="15" thickBot="1" x14ac:dyDescent="0.3">
      <c r="A147" s="3" t="s">
        <v>1</v>
      </c>
      <c r="B147" s="4">
        <v>994905</v>
      </c>
      <c r="C147" s="3" t="s">
        <v>2</v>
      </c>
      <c r="D147" s="18">
        <v>0.1</v>
      </c>
      <c r="E147" s="21">
        <v>7.9741404289037643E-3</v>
      </c>
      <c r="F147" s="5">
        <v>39430</v>
      </c>
      <c r="G147" s="5">
        <v>41258</v>
      </c>
      <c r="H147" s="16">
        <v>1828</v>
      </c>
      <c r="I147" s="5">
        <v>41258</v>
      </c>
      <c r="J147" s="5">
        <v>39786</v>
      </c>
      <c r="K147" s="16">
        <v>356</v>
      </c>
      <c r="L147" s="13">
        <v>12904.96</v>
      </c>
      <c r="M147" s="15">
        <v>268.218581692307</v>
      </c>
      <c r="N147" s="13">
        <v>12904.96</v>
      </c>
      <c r="O147" s="13">
        <v>0</v>
      </c>
      <c r="P147" s="11">
        <v>0</v>
      </c>
    </row>
    <row r="148" spans="1:16" ht="15" thickBot="1" x14ac:dyDescent="0.3">
      <c r="A148" s="3" t="s">
        <v>1</v>
      </c>
      <c r="B148" s="4">
        <v>738486</v>
      </c>
      <c r="C148" s="3" t="s">
        <v>2</v>
      </c>
      <c r="D148" s="18">
        <v>0.1</v>
      </c>
      <c r="E148" s="21">
        <v>7.9741404289037643E-3</v>
      </c>
      <c r="F148" s="5">
        <v>39442</v>
      </c>
      <c r="G148" s="5">
        <v>43277</v>
      </c>
      <c r="H148" s="16">
        <v>3835</v>
      </c>
      <c r="I148" s="5">
        <v>43277</v>
      </c>
      <c r="J148" s="5">
        <v>43496</v>
      </c>
      <c r="K148" s="16">
        <v>4054</v>
      </c>
      <c r="L148" s="13">
        <v>17423.64</v>
      </c>
      <c r="M148" s="15">
        <v>217.87008195103004</v>
      </c>
      <c r="N148" s="13">
        <v>17423.64</v>
      </c>
      <c r="O148" s="13">
        <v>0</v>
      </c>
      <c r="P148" s="11">
        <v>1</v>
      </c>
    </row>
    <row r="149" spans="1:16" ht="15" thickBot="1" x14ac:dyDescent="0.3">
      <c r="A149" s="3" t="s">
        <v>1</v>
      </c>
      <c r="B149" s="4">
        <v>817143</v>
      </c>
      <c r="C149" s="3" t="s">
        <v>2</v>
      </c>
      <c r="D149" s="18">
        <v>0.1</v>
      </c>
      <c r="E149" s="21">
        <v>7.9741404289037643E-3</v>
      </c>
      <c r="F149" s="5">
        <v>39444</v>
      </c>
      <c r="G149" s="5">
        <v>41072</v>
      </c>
      <c r="H149" s="16">
        <v>1628</v>
      </c>
      <c r="I149" s="5">
        <v>41072</v>
      </c>
      <c r="J149" s="5">
        <v>39969</v>
      </c>
      <c r="K149" s="16">
        <v>525</v>
      </c>
      <c r="L149" s="13">
        <v>2815.19</v>
      </c>
      <c r="M149" s="15">
        <v>64.111712635707889</v>
      </c>
      <c r="N149" s="13">
        <v>2815.19</v>
      </c>
      <c r="O149" s="13">
        <v>0</v>
      </c>
      <c r="P149" s="11">
        <v>0</v>
      </c>
    </row>
    <row r="150" spans="1:16" ht="15" thickBot="1" x14ac:dyDescent="0.3">
      <c r="A150" s="3" t="s">
        <v>1</v>
      </c>
      <c r="B150" s="4">
        <v>101136</v>
      </c>
      <c r="C150" s="3" t="s">
        <v>2</v>
      </c>
      <c r="D150" s="18">
        <v>0.1</v>
      </c>
      <c r="E150" s="21">
        <v>7.9741404289037643E-3</v>
      </c>
      <c r="F150" s="5">
        <v>39506</v>
      </c>
      <c r="G150" s="5">
        <v>41983</v>
      </c>
      <c r="H150" s="16">
        <v>2477</v>
      </c>
      <c r="I150" s="5">
        <v>41983</v>
      </c>
      <c r="J150" s="5">
        <v>41953</v>
      </c>
      <c r="K150" s="16">
        <v>2447</v>
      </c>
      <c r="L150" s="13">
        <v>24323.9</v>
      </c>
      <c r="M150" s="15">
        <v>403.2758327566886</v>
      </c>
      <c r="N150" s="13">
        <v>24323.9</v>
      </c>
      <c r="O150" s="13">
        <v>0</v>
      </c>
      <c r="P150" s="11">
        <v>0</v>
      </c>
    </row>
    <row r="151" spans="1:16" ht="15" thickBot="1" x14ac:dyDescent="0.3">
      <c r="A151" s="3" t="s">
        <v>1</v>
      </c>
      <c r="B151" s="4">
        <v>23857</v>
      </c>
      <c r="C151" s="3" t="s">
        <v>2</v>
      </c>
      <c r="D151" s="18">
        <v>9.7500000000000003E-2</v>
      </c>
      <c r="E151" s="21">
        <v>7.7830370878799737E-3</v>
      </c>
      <c r="F151" s="5">
        <v>39552</v>
      </c>
      <c r="G151" s="5">
        <v>40465</v>
      </c>
      <c r="H151" s="16">
        <v>913</v>
      </c>
      <c r="I151" s="5">
        <v>40465</v>
      </c>
      <c r="J151" s="5">
        <v>41541</v>
      </c>
      <c r="K151" s="16">
        <v>1989</v>
      </c>
      <c r="L151" s="13">
        <v>1035689.72</v>
      </c>
      <c r="M151" s="15">
        <v>38352.440845112811</v>
      </c>
      <c r="N151" s="13">
        <v>1035689.72</v>
      </c>
      <c r="O151" s="13">
        <v>0</v>
      </c>
      <c r="P151" s="11">
        <v>0</v>
      </c>
    </row>
    <row r="152" spans="1:16" ht="15" thickBot="1" x14ac:dyDescent="0.3">
      <c r="A152" s="3" t="s">
        <v>1</v>
      </c>
      <c r="B152" s="4">
        <v>927488</v>
      </c>
      <c r="C152" s="3" t="s">
        <v>2</v>
      </c>
      <c r="D152" s="18">
        <v>9.5000000000000001E-2</v>
      </c>
      <c r="E152" s="21">
        <v>7.5915342905825689E-3</v>
      </c>
      <c r="F152" s="5">
        <v>39553</v>
      </c>
      <c r="G152" s="5">
        <v>40466</v>
      </c>
      <c r="H152" s="16">
        <v>913</v>
      </c>
      <c r="I152" s="5">
        <v>40466</v>
      </c>
      <c r="J152" s="5">
        <v>40177</v>
      </c>
      <c r="K152" s="16">
        <v>624</v>
      </c>
      <c r="L152" s="13">
        <v>24859.98</v>
      </c>
      <c r="M152" s="15">
        <v>917.94284650936061</v>
      </c>
      <c r="N152" s="13">
        <v>24859.98</v>
      </c>
      <c r="O152" s="13">
        <v>0</v>
      </c>
      <c r="P152" s="11">
        <v>0</v>
      </c>
    </row>
    <row r="153" spans="1:16" ht="15" thickBot="1" x14ac:dyDescent="0.3">
      <c r="A153" s="3" t="s">
        <v>1</v>
      </c>
      <c r="B153" s="4">
        <v>476867</v>
      </c>
      <c r="C153" s="3" t="s">
        <v>2</v>
      </c>
      <c r="D153" s="18">
        <v>9.7500000000000003E-2</v>
      </c>
      <c r="E153" s="21">
        <v>7.7830370878799737E-3</v>
      </c>
      <c r="F153" s="5">
        <v>39596</v>
      </c>
      <c r="G153" s="5">
        <v>40251</v>
      </c>
      <c r="H153" s="16">
        <v>655</v>
      </c>
      <c r="I153" s="5">
        <v>40251</v>
      </c>
      <c r="J153" s="5">
        <v>40213</v>
      </c>
      <c r="K153" s="16">
        <v>617</v>
      </c>
      <c r="L153" s="13">
        <v>288011.61</v>
      </c>
      <c r="M153" s="15">
        <v>14395.047054323068</v>
      </c>
      <c r="N153" s="13">
        <v>288011.61</v>
      </c>
      <c r="O153" s="13">
        <v>0</v>
      </c>
      <c r="P153" s="11">
        <v>0</v>
      </c>
    </row>
    <row r="154" spans="1:16" ht="15" thickBot="1" x14ac:dyDescent="0.3">
      <c r="A154" s="3" t="s">
        <v>1</v>
      </c>
      <c r="B154" s="4">
        <v>839349</v>
      </c>
      <c r="C154" s="3" t="s">
        <v>2</v>
      </c>
      <c r="D154" s="18">
        <v>0.09</v>
      </c>
      <c r="E154" s="21">
        <v>7.2073233161367156E-3</v>
      </c>
      <c r="F154" s="5">
        <v>39598</v>
      </c>
      <c r="G154" s="5">
        <v>43281</v>
      </c>
      <c r="H154" s="16">
        <v>3683</v>
      </c>
      <c r="I154" s="5">
        <v>43281</v>
      </c>
      <c r="J154" s="5">
        <v>43005</v>
      </c>
      <c r="K154" s="16">
        <v>3407</v>
      </c>
      <c r="L154" s="13">
        <v>21600</v>
      </c>
      <c r="M154" s="15">
        <v>265.70816252465232</v>
      </c>
      <c r="N154" s="13">
        <v>21600</v>
      </c>
      <c r="O154" s="13">
        <v>0</v>
      </c>
      <c r="P154" s="11">
        <v>1</v>
      </c>
    </row>
    <row r="155" spans="1:16" ht="15" thickBot="1" x14ac:dyDescent="0.3">
      <c r="A155" s="3" t="s">
        <v>1</v>
      </c>
      <c r="B155" s="4">
        <v>38183</v>
      </c>
      <c r="C155" s="3" t="s">
        <v>2</v>
      </c>
      <c r="D155" s="18">
        <v>9.5000000000000001E-2</v>
      </c>
      <c r="E155" s="21">
        <v>7.5915342905825689E-3</v>
      </c>
      <c r="F155" s="5">
        <v>39682</v>
      </c>
      <c r="G155" s="5">
        <v>41873</v>
      </c>
      <c r="H155" s="16">
        <v>2191</v>
      </c>
      <c r="I155" s="5">
        <v>41873</v>
      </c>
      <c r="J155" s="5">
        <v>41491</v>
      </c>
      <c r="K155" s="16">
        <v>1809</v>
      </c>
      <c r="L155" s="13">
        <v>13127.28</v>
      </c>
      <c r="M155" s="15">
        <v>234.81704468609132</v>
      </c>
      <c r="N155" s="13">
        <v>13127.28</v>
      </c>
      <c r="O155" s="13">
        <v>0</v>
      </c>
      <c r="P155" s="11">
        <v>0</v>
      </c>
    </row>
    <row r="156" spans="1:16" ht="15" thickBot="1" x14ac:dyDescent="0.3">
      <c r="A156" s="3" t="s">
        <v>1</v>
      </c>
      <c r="B156" s="4">
        <v>990915</v>
      </c>
      <c r="C156" s="3" t="s">
        <v>2</v>
      </c>
      <c r="D156" s="18">
        <v>9.5000000000000001E-2</v>
      </c>
      <c r="E156" s="21">
        <v>7.5915342905825689E-3</v>
      </c>
      <c r="F156" s="5">
        <v>39813</v>
      </c>
      <c r="G156" s="5">
        <v>40359</v>
      </c>
      <c r="H156" s="16">
        <v>546</v>
      </c>
      <c r="I156" s="5">
        <v>40359</v>
      </c>
      <c r="J156" s="5">
        <v>40694</v>
      </c>
      <c r="K156" s="16">
        <v>881</v>
      </c>
      <c r="L156" s="13">
        <v>24500</v>
      </c>
      <c r="M156" s="15">
        <v>1446.386112597869</v>
      </c>
      <c r="N156" s="13">
        <v>24500</v>
      </c>
      <c r="O156" s="13">
        <v>0</v>
      </c>
      <c r="P156" s="11">
        <v>0</v>
      </c>
    </row>
    <row r="157" spans="1:16" ht="15" thickBot="1" x14ac:dyDescent="0.3">
      <c r="A157" s="3" t="s">
        <v>1</v>
      </c>
      <c r="B157" s="4">
        <v>684066</v>
      </c>
      <c r="C157" s="3" t="s">
        <v>2</v>
      </c>
      <c r="D157" s="18">
        <v>0.1</v>
      </c>
      <c r="E157" s="21">
        <v>7.9741404289037643E-3</v>
      </c>
      <c r="F157" s="5">
        <v>39820</v>
      </c>
      <c r="G157" s="5">
        <v>42254</v>
      </c>
      <c r="H157" s="16">
        <v>2434</v>
      </c>
      <c r="I157" s="5">
        <v>42254</v>
      </c>
      <c r="J157" s="5">
        <v>40456</v>
      </c>
      <c r="K157" s="16">
        <v>636</v>
      </c>
      <c r="L157" s="13">
        <v>5710.84</v>
      </c>
      <c r="M157" s="15">
        <v>95.866821327904645</v>
      </c>
      <c r="N157" s="13">
        <v>5710.84</v>
      </c>
      <c r="O157" s="13">
        <v>0</v>
      </c>
      <c r="P157" s="11">
        <v>1</v>
      </c>
    </row>
    <row r="158" spans="1:16" ht="15" thickBot="1" x14ac:dyDescent="0.3">
      <c r="A158" s="3" t="s">
        <v>1</v>
      </c>
      <c r="B158" s="4">
        <v>447079</v>
      </c>
      <c r="C158" s="3" t="s">
        <v>2</v>
      </c>
      <c r="D158" s="18">
        <v>0.1</v>
      </c>
      <c r="E158" s="21">
        <v>7.9741404289037643E-3</v>
      </c>
      <c r="F158" s="5">
        <v>39867</v>
      </c>
      <c r="G158" s="5">
        <v>40474</v>
      </c>
      <c r="H158" s="16">
        <v>607</v>
      </c>
      <c r="I158" s="5">
        <v>40474</v>
      </c>
      <c r="J158" s="5">
        <v>41855</v>
      </c>
      <c r="K158" s="16">
        <v>1988</v>
      </c>
      <c r="L158" s="13">
        <v>26532</v>
      </c>
      <c r="M158" s="15">
        <v>1425.1398771574006</v>
      </c>
      <c r="N158" s="13">
        <v>26532</v>
      </c>
      <c r="O158" s="13">
        <v>0</v>
      </c>
      <c r="P158" s="11">
        <v>0</v>
      </c>
    </row>
    <row r="159" spans="1:16" ht="15" thickBot="1" x14ac:dyDescent="0.3">
      <c r="A159" s="3" t="s">
        <v>1</v>
      </c>
      <c r="B159" s="4">
        <v>391535</v>
      </c>
      <c r="C159" s="3" t="s">
        <v>2</v>
      </c>
      <c r="D159" s="18">
        <v>9.5000000000000001E-2</v>
      </c>
      <c r="E159" s="21">
        <v>7.5915342905825689E-3</v>
      </c>
      <c r="F159" s="5">
        <v>39876</v>
      </c>
      <c r="G159" s="5">
        <v>42067</v>
      </c>
      <c r="H159" s="16">
        <v>2191</v>
      </c>
      <c r="I159" s="5">
        <v>42067</v>
      </c>
      <c r="J159" s="5">
        <v>42135</v>
      </c>
      <c r="K159" s="16">
        <v>2259</v>
      </c>
      <c r="L159" s="13">
        <v>25000</v>
      </c>
      <c r="M159" s="15">
        <v>447.19287751554646</v>
      </c>
      <c r="N159" s="13">
        <v>9356.52</v>
      </c>
      <c r="O159" s="13">
        <v>0</v>
      </c>
      <c r="P159" s="11">
        <v>1</v>
      </c>
    </row>
    <row r="160" spans="1:16" ht="15" thickBot="1" x14ac:dyDescent="0.3">
      <c r="A160" s="3" t="s">
        <v>1</v>
      </c>
      <c r="B160" s="4">
        <v>860225</v>
      </c>
      <c r="C160" s="3" t="s">
        <v>2</v>
      </c>
      <c r="D160" s="18">
        <v>0.09</v>
      </c>
      <c r="E160" s="21">
        <v>7.2073233161367156E-3</v>
      </c>
      <c r="F160" s="5">
        <v>39895</v>
      </c>
      <c r="G160" s="5">
        <v>40260</v>
      </c>
      <c r="H160" s="16">
        <v>365</v>
      </c>
      <c r="I160" s="5">
        <v>40260</v>
      </c>
      <c r="J160" s="5">
        <v>40546</v>
      </c>
      <c r="K160" s="16">
        <v>651</v>
      </c>
      <c r="L160" s="13">
        <v>8906.7000000000007</v>
      </c>
      <c r="M160" s="15">
        <v>767.25654477073658</v>
      </c>
      <c r="N160" s="13">
        <v>8906.7000000000007</v>
      </c>
      <c r="O160" s="13">
        <v>0</v>
      </c>
      <c r="P160" s="11">
        <v>0</v>
      </c>
    </row>
    <row r="161" spans="1:16" ht="15" thickBot="1" x14ac:dyDescent="0.3">
      <c r="A161" s="3" t="s">
        <v>1</v>
      </c>
      <c r="B161" s="4">
        <v>339879</v>
      </c>
      <c r="C161" s="3" t="s">
        <v>2</v>
      </c>
      <c r="D161" s="18">
        <v>0.1</v>
      </c>
      <c r="E161" s="21">
        <v>7.9741404289037643E-3</v>
      </c>
      <c r="F161" s="5">
        <v>39903</v>
      </c>
      <c r="G161" s="5">
        <v>43555</v>
      </c>
      <c r="H161" s="16">
        <v>3652</v>
      </c>
      <c r="I161" s="5">
        <v>43555</v>
      </c>
      <c r="J161" s="5">
        <v>43496</v>
      </c>
      <c r="K161" s="16">
        <v>3593</v>
      </c>
      <c r="L161" s="13">
        <v>10529.61</v>
      </c>
      <c r="M161" s="15">
        <v>135.48616770436283</v>
      </c>
      <c r="N161" s="13">
        <v>10529.61</v>
      </c>
      <c r="O161" s="13">
        <v>0</v>
      </c>
      <c r="P161" s="11">
        <v>1</v>
      </c>
    </row>
    <row r="162" spans="1:16" ht="15" thickBot="1" x14ac:dyDescent="0.3">
      <c r="A162" s="3" t="s">
        <v>1</v>
      </c>
      <c r="B162" s="4">
        <v>394362</v>
      </c>
      <c r="C162" s="3" t="s">
        <v>2</v>
      </c>
      <c r="D162" s="18">
        <v>9.7500000000000003E-2</v>
      </c>
      <c r="E162" s="21">
        <v>7.7830370878799737E-3</v>
      </c>
      <c r="F162" s="5">
        <v>39903</v>
      </c>
      <c r="G162" s="5">
        <v>40086</v>
      </c>
      <c r="H162" s="16">
        <v>183</v>
      </c>
      <c r="I162" s="5">
        <v>40086</v>
      </c>
      <c r="J162" s="5">
        <v>39965</v>
      </c>
      <c r="K162" s="16">
        <v>62</v>
      </c>
      <c r="L162" s="13">
        <v>60000</v>
      </c>
      <c r="M162" s="15">
        <v>10109.62479458199</v>
      </c>
      <c r="N162" s="13">
        <v>60000</v>
      </c>
      <c r="O162" s="13">
        <v>0</v>
      </c>
      <c r="P162" s="11">
        <v>0</v>
      </c>
    </row>
    <row r="163" spans="1:16" ht="15" thickBot="1" x14ac:dyDescent="0.3">
      <c r="A163" s="3" t="s">
        <v>1</v>
      </c>
      <c r="B163" s="4">
        <v>880441</v>
      </c>
      <c r="C163" s="3" t="s">
        <v>2</v>
      </c>
      <c r="D163" s="18">
        <v>0.1</v>
      </c>
      <c r="E163" s="21">
        <v>7.9741404289037643E-3</v>
      </c>
      <c r="F163" s="5">
        <v>39931</v>
      </c>
      <c r="G163" s="5">
        <v>42183</v>
      </c>
      <c r="H163" s="16">
        <v>2252</v>
      </c>
      <c r="I163" s="5">
        <v>42183</v>
      </c>
      <c r="J163" s="5">
        <v>41638</v>
      </c>
      <c r="K163" s="16">
        <v>1707</v>
      </c>
      <c r="L163" s="13">
        <v>23548.080000000002</v>
      </c>
      <c r="M163" s="15">
        <v>418.1072741110807</v>
      </c>
      <c r="N163" s="13">
        <v>23548.080000000002</v>
      </c>
      <c r="O163" s="13">
        <v>0</v>
      </c>
      <c r="P163" s="11">
        <v>1</v>
      </c>
    </row>
    <row r="164" spans="1:16" ht="15" thickBot="1" x14ac:dyDescent="0.3">
      <c r="A164" s="3" t="s">
        <v>1</v>
      </c>
      <c r="B164" s="4">
        <v>463836</v>
      </c>
      <c r="C164" s="3" t="s">
        <v>2</v>
      </c>
      <c r="D164" s="18">
        <v>0.1</v>
      </c>
      <c r="E164" s="21">
        <v>7.9741404289037643E-3</v>
      </c>
      <c r="F164" s="5">
        <v>39952</v>
      </c>
      <c r="G164" s="5">
        <v>41048</v>
      </c>
      <c r="H164" s="16">
        <v>1096</v>
      </c>
      <c r="I164" s="5">
        <v>41048</v>
      </c>
      <c r="J164" s="5">
        <v>40686</v>
      </c>
      <c r="K164" s="16">
        <v>734</v>
      </c>
      <c r="L164" s="13">
        <v>22075.67</v>
      </c>
      <c r="M164" s="15">
        <v>698.93497726484463</v>
      </c>
      <c r="N164" s="13">
        <v>22075.67</v>
      </c>
      <c r="O164" s="13">
        <v>0</v>
      </c>
      <c r="P164" s="11">
        <v>0</v>
      </c>
    </row>
    <row r="165" spans="1:16" ht="15" thickBot="1" x14ac:dyDescent="0.3">
      <c r="A165" s="3" t="s">
        <v>1</v>
      </c>
      <c r="B165" s="4">
        <v>207212</v>
      </c>
      <c r="C165" s="3" t="s">
        <v>2</v>
      </c>
      <c r="D165" s="18">
        <v>0.1</v>
      </c>
      <c r="E165" s="21">
        <v>7.9741404289037643E-3</v>
      </c>
      <c r="F165" s="5">
        <v>40078</v>
      </c>
      <c r="G165" s="5">
        <v>40443</v>
      </c>
      <c r="H165" s="16">
        <v>365</v>
      </c>
      <c r="I165" s="5">
        <v>40443</v>
      </c>
      <c r="J165" s="5">
        <v>40752</v>
      </c>
      <c r="K165" s="16">
        <v>674</v>
      </c>
      <c r="L165" s="13">
        <v>15000</v>
      </c>
      <c r="M165" s="15">
        <v>1298.5548903833542</v>
      </c>
      <c r="N165" s="13">
        <v>15000</v>
      </c>
      <c r="O165" s="13">
        <v>0</v>
      </c>
      <c r="P165" s="11">
        <v>0</v>
      </c>
    </row>
    <row r="166" spans="1:16" ht="15" thickBot="1" x14ac:dyDescent="0.3">
      <c r="A166" s="3" t="s">
        <v>1</v>
      </c>
      <c r="B166" s="4">
        <v>866767</v>
      </c>
      <c r="C166" s="3" t="s">
        <v>2</v>
      </c>
      <c r="D166" s="18">
        <v>0.1</v>
      </c>
      <c r="E166" s="21">
        <v>7.9741404289037643E-3</v>
      </c>
      <c r="F166" s="5">
        <v>40086</v>
      </c>
      <c r="G166" s="5">
        <v>43373</v>
      </c>
      <c r="H166" s="16">
        <v>3287</v>
      </c>
      <c r="I166" s="5">
        <v>43373</v>
      </c>
      <c r="J166" s="5">
        <v>43496</v>
      </c>
      <c r="K166" s="16">
        <v>3410</v>
      </c>
      <c r="L166" s="13">
        <v>18587.21</v>
      </c>
      <c r="M166" s="15">
        <v>255.04228986822432</v>
      </c>
      <c r="N166" s="13">
        <v>18587.21</v>
      </c>
      <c r="O166" s="13">
        <v>0</v>
      </c>
      <c r="P166" s="11">
        <v>1</v>
      </c>
    </row>
    <row r="167" spans="1:16" ht="15" thickBot="1" x14ac:dyDescent="0.3">
      <c r="A167" s="3" t="s">
        <v>1</v>
      </c>
      <c r="B167" s="4">
        <v>964746</v>
      </c>
      <c r="C167" s="3" t="s">
        <v>2</v>
      </c>
      <c r="D167" s="18">
        <v>0.1</v>
      </c>
      <c r="E167" s="21">
        <v>7.9741404289037643E-3</v>
      </c>
      <c r="F167" s="5">
        <v>40150</v>
      </c>
      <c r="G167" s="5">
        <v>41611</v>
      </c>
      <c r="H167" s="16">
        <v>1461</v>
      </c>
      <c r="I167" s="5">
        <v>41611</v>
      </c>
      <c r="J167" s="5">
        <v>40673</v>
      </c>
      <c r="K167" s="16">
        <v>523</v>
      </c>
      <c r="L167" s="13">
        <v>155.81</v>
      </c>
      <c r="M167" s="15">
        <v>3.8732975480842451</v>
      </c>
      <c r="N167" s="13">
        <v>155.81</v>
      </c>
      <c r="O167" s="13">
        <v>0</v>
      </c>
      <c r="P167" s="11">
        <v>0</v>
      </c>
    </row>
    <row r="168" spans="1:16" ht="15" thickBot="1" x14ac:dyDescent="0.3">
      <c r="A168" s="3" t="s">
        <v>1</v>
      </c>
      <c r="B168" s="4">
        <v>866223</v>
      </c>
      <c r="C168" s="3" t="s">
        <v>2</v>
      </c>
      <c r="D168" s="18">
        <v>9.2499999999999999E-2</v>
      </c>
      <c r="E168" s="21">
        <v>7.3996302871768282E-3</v>
      </c>
      <c r="F168" s="5">
        <v>40185</v>
      </c>
      <c r="G168" s="5">
        <v>43258</v>
      </c>
      <c r="H168" s="16">
        <v>3073</v>
      </c>
      <c r="I168" s="5">
        <v>43258</v>
      </c>
      <c r="J168" s="5">
        <v>42916</v>
      </c>
      <c r="K168" s="16">
        <v>2731</v>
      </c>
      <c r="L168" s="13">
        <v>27000</v>
      </c>
      <c r="M168" s="15">
        <v>376.91028547857729</v>
      </c>
      <c r="N168" s="13">
        <v>27000</v>
      </c>
      <c r="O168" s="13">
        <v>0</v>
      </c>
      <c r="P168" s="11">
        <v>1</v>
      </c>
    </row>
    <row r="169" spans="1:16" ht="15" thickBot="1" x14ac:dyDescent="0.3">
      <c r="A169" s="3" t="s">
        <v>1</v>
      </c>
      <c r="B169" s="4">
        <v>235371</v>
      </c>
      <c r="C169" s="3" t="s">
        <v>2</v>
      </c>
      <c r="D169" s="18">
        <v>9.5000000000000001E-2</v>
      </c>
      <c r="E169" s="21">
        <v>7.5915342905825689E-3</v>
      </c>
      <c r="F169" s="5">
        <v>40310</v>
      </c>
      <c r="G169" s="5">
        <v>41529</v>
      </c>
      <c r="H169" s="16">
        <v>1219</v>
      </c>
      <c r="I169" s="5">
        <v>41529</v>
      </c>
      <c r="J169" s="5">
        <v>40582</v>
      </c>
      <c r="K169" s="16">
        <v>272</v>
      </c>
      <c r="L169" s="13">
        <v>46381.14</v>
      </c>
      <c r="M169" s="15">
        <v>1330.8374651628355</v>
      </c>
      <c r="N169" s="13">
        <v>46381.14</v>
      </c>
      <c r="O169" s="13">
        <v>0</v>
      </c>
      <c r="P169" s="11">
        <v>0</v>
      </c>
    </row>
    <row r="170" spans="1:16" ht="15" thickBot="1" x14ac:dyDescent="0.3">
      <c r="A170" s="3" t="s">
        <v>1</v>
      </c>
      <c r="B170" s="4">
        <v>962665</v>
      </c>
      <c r="C170" s="3" t="s">
        <v>2</v>
      </c>
      <c r="D170" s="18">
        <v>0.1</v>
      </c>
      <c r="E170" s="21">
        <v>7.9741404289037643E-3</v>
      </c>
      <c r="F170" s="5">
        <v>40330</v>
      </c>
      <c r="G170" s="5">
        <v>42156</v>
      </c>
      <c r="H170" s="16">
        <v>1826</v>
      </c>
      <c r="I170" s="5">
        <v>42156</v>
      </c>
      <c r="J170" s="5">
        <v>42376</v>
      </c>
      <c r="K170" s="16">
        <v>2046</v>
      </c>
      <c r="L170" s="13">
        <v>15562.89</v>
      </c>
      <c r="M170" s="15">
        <v>323.73683653533476</v>
      </c>
      <c r="N170" s="13">
        <v>15562.89</v>
      </c>
      <c r="O170" s="13">
        <v>0</v>
      </c>
      <c r="P170" s="11">
        <v>1</v>
      </c>
    </row>
    <row r="171" spans="1:16" ht="15" thickBot="1" x14ac:dyDescent="0.3">
      <c r="A171" s="3" t="s">
        <v>1</v>
      </c>
      <c r="B171" s="4">
        <v>608119</v>
      </c>
      <c r="C171" s="3" t="s">
        <v>2</v>
      </c>
      <c r="D171" s="18">
        <v>7.0000000000000007E-2</v>
      </c>
      <c r="E171" s="21">
        <v>5.6541453874052738E-3</v>
      </c>
      <c r="F171" s="5">
        <v>40630</v>
      </c>
      <c r="G171" s="5">
        <v>41483</v>
      </c>
      <c r="H171" s="16">
        <v>853</v>
      </c>
      <c r="I171" s="5">
        <v>41483</v>
      </c>
      <c r="J171" s="5">
        <v>41639</v>
      </c>
      <c r="K171" s="16">
        <v>1009</v>
      </c>
      <c r="L171" s="13">
        <v>39452.04</v>
      </c>
      <c r="M171" s="15">
        <v>1505.959309590743</v>
      </c>
      <c r="N171" s="13">
        <v>39452.04</v>
      </c>
      <c r="O171" s="13">
        <v>0</v>
      </c>
      <c r="P171" s="11">
        <v>0</v>
      </c>
    </row>
    <row r="172" spans="1:16" ht="15" thickBot="1" x14ac:dyDescent="0.3">
      <c r="A172" s="3" t="s">
        <v>1</v>
      </c>
      <c r="B172" s="4">
        <v>797303</v>
      </c>
      <c r="C172" s="3" t="s">
        <v>2</v>
      </c>
      <c r="D172" s="18">
        <v>0.09</v>
      </c>
      <c r="E172" s="21">
        <v>7.2073233161367156E-3</v>
      </c>
      <c r="F172" s="5">
        <v>40633</v>
      </c>
      <c r="G172" s="5">
        <v>40816</v>
      </c>
      <c r="H172" s="16">
        <v>183</v>
      </c>
      <c r="I172" s="5">
        <v>40816</v>
      </c>
      <c r="J172" s="5">
        <v>41442</v>
      </c>
      <c r="K172" s="16">
        <v>809</v>
      </c>
      <c r="L172" s="13">
        <v>20000</v>
      </c>
      <c r="M172" s="15">
        <v>3363.089101832471</v>
      </c>
      <c r="N172" s="13">
        <v>20000</v>
      </c>
      <c r="O172" s="13">
        <v>20000</v>
      </c>
      <c r="P172" s="11">
        <v>0</v>
      </c>
    </row>
    <row r="173" spans="1:16" ht="15" thickBot="1" x14ac:dyDescent="0.3">
      <c r="A173" s="3" t="s">
        <v>1</v>
      </c>
      <c r="B173" s="4">
        <v>525418</v>
      </c>
      <c r="C173" s="3" t="s">
        <v>2</v>
      </c>
      <c r="D173" s="18">
        <v>0.1</v>
      </c>
      <c r="E173" s="21">
        <v>7.9741404289037643E-3</v>
      </c>
      <c r="F173" s="5">
        <v>40653</v>
      </c>
      <c r="G173" s="5">
        <v>42845</v>
      </c>
      <c r="H173" s="16">
        <v>2192</v>
      </c>
      <c r="I173" s="5">
        <v>42845</v>
      </c>
      <c r="J173" s="5">
        <v>43549</v>
      </c>
      <c r="K173" s="16">
        <v>2896</v>
      </c>
      <c r="L173" s="13">
        <v>23204.26</v>
      </c>
      <c r="M173" s="15">
        <v>420.25670716408513</v>
      </c>
      <c r="N173" s="13">
        <v>21973.26</v>
      </c>
      <c r="O173" s="13">
        <v>0</v>
      </c>
      <c r="P173" s="11">
        <v>1</v>
      </c>
    </row>
    <row r="174" spans="1:16" ht="15" thickBot="1" x14ac:dyDescent="0.3">
      <c r="A174" s="3" t="s">
        <v>1</v>
      </c>
      <c r="B174" s="4">
        <v>396101</v>
      </c>
      <c r="C174" s="3" t="s">
        <v>2</v>
      </c>
      <c r="D174" s="18">
        <v>0.1</v>
      </c>
      <c r="E174" s="21">
        <v>7.9741404289037643E-3</v>
      </c>
      <c r="F174" s="5">
        <v>40694</v>
      </c>
      <c r="G174" s="5">
        <v>42170</v>
      </c>
      <c r="H174" s="16">
        <v>1476</v>
      </c>
      <c r="I174" s="5">
        <v>42170</v>
      </c>
      <c r="J174" s="5">
        <v>41180</v>
      </c>
      <c r="K174" s="16">
        <v>486</v>
      </c>
      <c r="L174" s="13">
        <v>15710.18</v>
      </c>
      <c r="M174" s="15">
        <v>387.29078396296489</v>
      </c>
      <c r="N174" s="13">
        <v>15710.18</v>
      </c>
      <c r="O174" s="13">
        <v>0</v>
      </c>
      <c r="P174" s="11">
        <v>1</v>
      </c>
    </row>
    <row r="175" spans="1:16" ht="15" thickBot="1" x14ac:dyDescent="0.3">
      <c r="A175" s="3" t="s">
        <v>1</v>
      </c>
      <c r="B175" s="4">
        <v>917141</v>
      </c>
      <c r="C175" s="3" t="s">
        <v>2</v>
      </c>
      <c r="D175" s="18">
        <v>0.09</v>
      </c>
      <c r="E175" s="21">
        <v>7.2073233161367156E-3</v>
      </c>
      <c r="F175" s="5">
        <v>40722</v>
      </c>
      <c r="G175" s="5">
        <v>43279</v>
      </c>
      <c r="H175" s="16">
        <v>2557</v>
      </c>
      <c r="I175" s="5">
        <v>43279</v>
      </c>
      <c r="J175" s="5">
        <v>43496</v>
      </c>
      <c r="K175" s="16">
        <v>2774</v>
      </c>
      <c r="L175" s="13">
        <v>9800</v>
      </c>
      <c r="M175" s="15">
        <v>154.28873833619909</v>
      </c>
      <c r="N175" s="13">
        <v>9800</v>
      </c>
      <c r="O175" s="13">
        <v>0</v>
      </c>
      <c r="P175" s="11">
        <v>1</v>
      </c>
    </row>
    <row r="176" spans="1:16" ht="15" thickBot="1" x14ac:dyDescent="0.3">
      <c r="A176" s="3" t="s">
        <v>1</v>
      </c>
      <c r="B176" s="4">
        <v>230731</v>
      </c>
      <c r="C176" s="3" t="s">
        <v>2</v>
      </c>
      <c r="D176" s="18">
        <v>8.7499999999999994E-2</v>
      </c>
      <c r="E176" s="21">
        <v>7.0146116041400752E-3</v>
      </c>
      <c r="F176" s="5">
        <v>40737</v>
      </c>
      <c r="G176" s="5">
        <v>43485</v>
      </c>
      <c r="H176" s="16">
        <v>2748</v>
      </c>
      <c r="I176" s="5">
        <v>43485</v>
      </c>
      <c r="J176" s="5">
        <v>40939</v>
      </c>
      <c r="K176" s="16">
        <v>202</v>
      </c>
      <c r="L176" s="13">
        <v>50000</v>
      </c>
      <c r="M176" s="15">
        <v>741.71668057490615</v>
      </c>
      <c r="N176" s="13">
        <v>50000</v>
      </c>
      <c r="O176" s="13">
        <v>0</v>
      </c>
      <c r="P176" s="11">
        <v>1</v>
      </c>
    </row>
    <row r="177" spans="1:16" ht="15" thickBot="1" x14ac:dyDescent="0.3">
      <c r="A177" s="3" t="s">
        <v>1</v>
      </c>
      <c r="B177" s="4">
        <v>599884</v>
      </c>
      <c r="C177" s="3" t="s">
        <v>2</v>
      </c>
      <c r="D177" s="18">
        <v>0.09</v>
      </c>
      <c r="E177" s="21">
        <v>7.2073233161367156E-3</v>
      </c>
      <c r="F177" s="5">
        <v>40653</v>
      </c>
      <c r="G177" s="5">
        <v>41019</v>
      </c>
      <c r="H177" s="16">
        <v>366</v>
      </c>
      <c r="I177" s="5">
        <v>41019</v>
      </c>
      <c r="J177" s="5">
        <v>40948</v>
      </c>
      <c r="K177" s="16">
        <v>295</v>
      </c>
      <c r="L177" s="13">
        <v>11098.75</v>
      </c>
      <c r="M177" s="15">
        <v>953.58815678165786</v>
      </c>
      <c r="N177" s="13">
        <v>11098.75</v>
      </c>
      <c r="O177" s="13">
        <v>0</v>
      </c>
      <c r="P177" s="11">
        <v>0</v>
      </c>
    </row>
    <row r="178" spans="1:16" ht="15" thickBot="1" x14ac:dyDescent="0.3">
      <c r="A178" s="3" t="s">
        <v>1</v>
      </c>
      <c r="B178" s="4">
        <v>414853</v>
      </c>
      <c r="C178" s="3" t="s">
        <v>2</v>
      </c>
      <c r="D178" s="18">
        <v>0.1</v>
      </c>
      <c r="E178" s="21">
        <v>7.9741404289037643E-3</v>
      </c>
      <c r="F178" s="5">
        <v>40844</v>
      </c>
      <c r="G178" s="5">
        <v>42671</v>
      </c>
      <c r="H178" s="16">
        <v>1827</v>
      </c>
      <c r="I178" s="5">
        <v>42671</v>
      </c>
      <c r="J178" s="5">
        <v>41201</v>
      </c>
      <c r="K178" s="16">
        <v>357</v>
      </c>
      <c r="L178" s="13">
        <v>25900</v>
      </c>
      <c r="M178" s="15">
        <v>538.53847367595904</v>
      </c>
      <c r="N178" s="13">
        <v>25900</v>
      </c>
      <c r="O178" s="13">
        <v>0</v>
      </c>
      <c r="P178" s="11">
        <v>1</v>
      </c>
    </row>
    <row r="179" spans="1:16" ht="15" thickBot="1" x14ac:dyDescent="0.3">
      <c r="A179" s="3" t="s">
        <v>1</v>
      </c>
      <c r="B179" s="4">
        <v>837928</v>
      </c>
      <c r="C179" s="3" t="s">
        <v>2</v>
      </c>
      <c r="D179" s="18">
        <v>0.1</v>
      </c>
      <c r="E179" s="21">
        <v>7.9741404289037643E-3</v>
      </c>
      <c r="F179" s="5">
        <v>40844</v>
      </c>
      <c r="G179" s="5">
        <v>42671</v>
      </c>
      <c r="H179" s="16">
        <v>1827</v>
      </c>
      <c r="I179" s="5">
        <v>42671</v>
      </c>
      <c r="J179" s="5">
        <v>41241</v>
      </c>
      <c r="K179" s="16">
        <v>397</v>
      </c>
      <c r="L179" s="13">
        <v>21428.55</v>
      </c>
      <c r="M179" s="15">
        <v>445.56365289918807</v>
      </c>
      <c r="N179" s="13">
        <v>21428.55</v>
      </c>
      <c r="O179" s="13">
        <v>0</v>
      </c>
      <c r="P179" s="11">
        <v>1</v>
      </c>
    </row>
    <row r="180" spans="1:16" ht="15" thickBot="1" x14ac:dyDescent="0.3">
      <c r="A180" s="3" t="s">
        <v>1</v>
      </c>
      <c r="B180" s="4">
        <v>352536</v>
      </c>
      <c r="C180" s="3" t="s">
        <v>2</v>
      </c>
      <c r="D180" s="18">
        <v>0.1</v>
      </c>
      <c r="E180" s="21">
        <v>7.9741404289037643E-3</v>
      </c>
      <c r="F180" s="5">
        <v>40885</v>
      </c>
      <c r="G180" s="5">
        <v>41616</v>
      </c>
      <c r="H180" s="16">
        <v>731</v>
      </c>
      <c r="I180" s="5">
        <v>41616</v>
      </c>
      <c r="J180" s="5">
        <v>41905</v>
      </c>
      <c r="K180" s="16">
        <v>1020</v>
      </c>
      <c r="L180" s="13">
        <v>4278.58</v>
      </c>
      <c r="M180" s="15">
        <v>193.89958856718476</v>
      </c>
      <c r="N180" s="13">
        <v>4278.58</v>
      </c>
      <c r="O180" s="13">
        <v>0</v>
      </c>
      <c r="P180" s="11">
        <v>0</v>
      </c>
    </row>
    <row r="181" spans="1:16" ht="15" thickBot="1" x14ac:dyDescent="0.3">
      <c r="A181" s="3" t="s">
        <v>1</v>
      </c>
      <c r="B181" s="4">
        <v>738896</v>
      </c>
      <c r="C181" s="3" t="s">
        <v>2</v>
      </c>
      <c r="D181" s="18">
        <v>0.06</v>
      </c>
      <c r="E181" s="21">
        <v>4.8675505653430484E-3</v>
      </c>
      <c r="F181" s="5">
        <v>40906</v>
      </c>
      <c r="G181" s="5">
        <v>41272</v>
      </c>
      <c r="H181" s="16">
        <v>366</v>
      </c>
      <c r="I181" s="5">
        <v>41272</v>
      </c>
      <c r="J181" s="5">
        <v>41709</v>
      </c>
      <c r="K181" s="16">
        <v>803</v>
      </c>
      <c r="L181" s="13">
        <v>179874.69</v>
      </c>
      <c r="M181" s="15">
        <v>15221.777791277216</v>
      </c>
      <c r="N181" s="13">
        <v>179874.69</v>
      </c>
      <c r="O181" s="13">
        <v>0</v>
      </c>
      <c r="P181" s="11">
        <v>0</v>
      </c>
    </row>
    <row r="182" spans="1:16" ht="15" thickBot="1" x14ac:dyDescent="0.3">
      <c r="A182" s="3" t="s">
        <v>1</v>
      </c>
      <c r="B182" s="4">
        <v>564177</v>
      </c>
      <c r="C182" s="3" t="s">
        <v>2</v>
      </c>
      <c r="D182" s="18">
        <v>0.1</v>
      </c>
      <c r="E182" s="21">
        <v>7.9741404289037643E-3</v>
      </c>
      <c r="F182" s="5">
        <v>41012</v>
      </c>
      <c r="G182" s="5">
        <v>41742</v>
      </c>
      <c r="H182" s="16">
        <v>730</v>
      </c>
      <c r="I182" s="5">
        <v>41742</v>
      </c>
      <c r="J182" s="5">
        <v>41638</v>
      </c>
      <c r="K182" s="16">
        <v>626</v>
      </c>
      <c r="L182" s="13">
        <v>10300</v>
      </c>
      <c r="M182" s="15">
        <v>467.36193147148498</v>
      </c>
      <c r="N182" s="13">
        <v>10300</v>
      </c>
      <c r="O182" s="13">
        <v>0</v>
      </c>
      <c r="P182" s="11">
        <v>0</v>
      </c>
    </row>
    <row r="183" spans="1:16" ht="15" thickBot="1" x14ac:dyDescent="0.3">
      <c r="A183" s="3" t="s">
        <v>1</v>
      </c>
      <c r="B183" s="4">
        <v>592005</v>
      </c>
      <c r="C183" s="3" t="s">
        <v>2</v>
      </c>
      <c r="D183" s="18">
        <v>0.09</v>
      </c>
      <c r="E183" s="21">
        <v>7.2073233161367156E-3</v>
      </c>
      <c r="F183" s="5">
        <v>41050</v>
      </c>
      <c r="G183" s="5">
        <v>42145</v>
      </c>
      <c r="H183" s="16">
        <v>1095</v>
      </c>
      <c r="I183" s="5">
        <v>42145</v>
      </c>
      <c r="J183" s="5">
        <v>42604</v>
      </c>
      <c r="K183" s="16">
        <v>1554</v>
      </c>
      <c r="L183" s="13">
        <v>11283.77</v>
      </c>
      <c r="M183" s="15">
        <v>352.69441225156106</v>
      </c>
      <c r="N183" s="13">
        <v>11283.77</v>
      </c>
      <c r="O183" s="13">
        <v>0</v>
      </c>
      <c r="P183" s="11">
        <v>1</v>
      </c>
    </row>
    <row r="184" spans="1:16" ht="15" thickBot="1" x14ac:dyDescent="0.3">
      <c r="A184" s="3" t="s">
        <v>1</v>
      </c>
      <c r="B184" s="4">
        <v>38927</v>
      </c>
      <c r="C184" s="3" t="s">
        <v>2</v>
      </c>
      <c r="D184" s="18">
        <v>8.5000000000000006E-2</v>
      </c>
      <c r="E184" s="21">
        <v>6.8214933659622723E-3</v>
      </c>
      <c r="F184" s="5">
        <v>41089</v>
      </c>
      <c r="G184" s="5">
        <v>41819</v>
      </c>
      <c r="H184" s="16">
        <v>730</v>
      </c>
      <c r="I184" s="5">
        <v>41819</v>
      </c>
      <c r="J184" s="5">
        <v>42825</v>
      </c>
      <c r="K184" s="16">
        <v>1736</v>
      </c>
      <c r="L184" s="13">
        <v>72970.460000000006</v>
      </c>
      <c r="M184" s="15">
        <v>3264.7451421209876</v>
      </c>
      <c r="N184" s="13">
        <v>72970.460000000006</v>
      </c>
      <c r="O184" s="13">
        <v>0</v>
      </c>
      <c r="P184" s="11">
        <v>0</v>
      </c>
    </row>
    <row r="185" spans="1:16" ht="15" thickBot="1" x14ac:dyDescent="0.3">
      <c r="A185" s="3" t="s">
        <v>1</v>
      </c>
      <c r="B185" s="4">
        <v>333037</v>
      </c>
      <c r="C185" s="3" t="s">
        <v>2</v>
      </c>
      <c r="D185" s="18">
        <v>0.08</v>
      </c>
      <c r="E185" s="21">
        <v>6.4340301100034303E-3</v>
      </c>
      <c r="F185" s="5">
        <v>41172</v>
      </c>
      <c r="G185" s="5">
        <v>42855</v>
      </c>
      <c r="H185" s="16">
        <v>1683</v>
      </c>
      <c r="I185" s="5">
        <v>42855</v>
      </c>
      <c r="J185" s="5">
        <v>42643</v>
      </c>
      <c r="K185" s="16">
        <v>1471</v>
      </c>
      <c r="L185" s="13">
        <v>35164.589999999997</v>
      </c>
      <c r="M185" s="15">
        <v>748.72813965307682</v>
      </c>
      <c r="N185" s="13">
        <v>35164.589999999997</v>
      </c>
      <c r="O185" s="13">
        <v>0</v>
      </c>
      <c r="P185" s="11">
        <v>1</v>
      </c>
    </row>
    <row r="186" spans="1:16" ht="15" thickBot="1" x14ac:dyDescent="0.3">
      <c r="A186" s="3" t="s">
        <v>1</v>
      </c>
      <c r="B186" s="4">
        <v>875629</v>
      </c>
      <c r="C186" s="3" t="s">
        <v>2</v>
      </c>
      <c r="D186" s="18">
        <v>9.7500000000000003E-2</v>
      </c>
      <c r="E186" s="21">
        <v>7.7830370878799737E-3</v>
      </c>
      <c r="F186" s="5">
        <v>41176</v>
      </c>
      <c r="G186" s="5">
        <v>43281</v>
      </c>
      <c r="H186" s="16">
        <v>2105</v>
      </c>
      <c r="I186" s="5">
        <v>43281</v>
      </c>
      <c r="J186" s="5">
        <v>43496</v>
      </c>
      <c r="K186" s="16">
        <v>2320</v>
      </c>
      <c r="L186" s="13">
        <v>31900</v>
      </c>
      <c r="M186" s="15">
        <v>591.7382850930328</v>
      </c>
      <c r="N186" s="13">
        <v>31900</v>
      </c>
      <c r="O186" s="13">
        <v>0</v>
      </c>
      <c r="P186" s="11">
        <v>1</v>
      </c>
    </row>
    <row r="187" spans="1:16" ht="15" thickBot="1" x14ac:dyDescent="0.3">
      <c r="A187" s="3" t="s">
        <v>1</v>
      </c>
      <c r="B187" s="4">
        <v>679971</v>
      </c>
      <c r="C187" s="3" t="s">
        <v>2</v>
      </c>
      <c r="D187" s="18">
        <v>4.4999999999999998E-2</v>
      </c>
      <c r="E187" s="21">
        <v>3.6748094004368514E-3</v>
      </c>
      <c r="F187" s="5">
        <v>41177</v>
      </c>
      <c r="G187" s="5">
        <v>43733</v>
      </c>
      <c r="H187" s="16">
        <v>2556</v>
      </c>
      <c r="I187" s="5">
        <v>43733</v>
      </c>
      <c r="J187" s="5">
        <v>43552</v>
      </c>
      <c r="K187" s="16">
        <v>2375</v>
      </c>
      <c r="L187" s="13">
        <v>461203.20000000001</v>
      </c>
      <c r="M187" s="15">
        <v>6314.6075770556727</v>
      </c>
      <c r="N187" s="13">
        <v>461203.20000000001</v>
      </c>
      <c r="O187" s="13">
        <v>0</v>
      </c>
      <c r="P187" s="11">
        <v>1</v>
      </c>
    </row>
    <row r="188" spans="1:16" ht="15" thickBot="1" x14ac:dyDescent="0.3">
      <c r="A188" s="3" t="s">
        <v>1</v>
      </c>
      <c r="B188" s="4">
        <v>640026</v>
      </c>
      <c r="C188" s="3" t="s">
        <v>2</v>
      </c>
      <c r="D188" s="18">
        <v>0.06</v>
      </c>
      <c r="E188" s="21">
        <v>4.8675505653430484E-3</v>
      </c>
      <c r="F188" s="5">
        <v>41246</v>
      </c>
      <c r="G188" s="5">
        <v>43568</v>
      </c>
      <c r="H188" s="16">
        <v>2322</v>
      </c>
      <c r="I188" s="5">
        <v>43568</v>
      </c>
      <c r="J188" s="5">
        <v>43496</v>
      </c>
      <c r="K188" s="16">
        <v>2250</v>
      </c>
      <c r="L188" s="13">
        <v>209328.33</v>
      </c>
      <c r="M188" s="15">
        <v>3252.3724330000396</v>
      </c>
      <c r="N188" s="13">
        <v>209328.33</v>
      </c>
      <c r="O188" s="13">
        <v>0</v>
      </c>
      <c r="P188" s="11">
        <v>1</v>
      </c>
    </row>
    <row r="189" spans="1:16" ht="15" thickBot="1" x14ac:dyDescent="0.3">
      <c r="A189" s="3" t="s">
        <v>1</v>
      </c>
      <c r="B189" s="4">
        <v>711274</v>
      </c>
      <c r="C189" s="3" t="s">
        <v>2</v>
      </c>
      <c r="D189" s="18">
        <v>0.08</v>
      </c>
      <c r="E189" s="21">
        <v>6.4340301100034303E-3</v>
      </c>
      <c r="F189" s="5">
        <v>41373</v>
      </c>
      <c r="G189" s="5">
        <v>42901</v>
      </c>
      <c r="H189" s="16">
        <v>1528</v>
      </c>
      <c r="I189" s="5">
        <v>42901</v>
      </c>
      <c r="J189" s="5">
        <v>42536</v>
      </c>
      <c r="K189" s="16">
        <v>1163</v>
      </c>
      <c r="L189" s="13">
        <v>36196</v>
      </c>
      <c r="M189" s="15">
        <v>835.70951227479156</v>
      </c>
      <c r="N189" s="13">
        <v>36196</v>
      </c>
      <c r="O189" s="13">
        <v>0</v>
      </c>
      <c r="P189" s="11">
        <v>1</v>
      </c>
    </row>
    <row r="190" spans="1:16" ht="15" thickBot="1" x14ac:dyDescent="0.3">
      <c r="A190" s="3" t="s">
        <v>1</v>
      </c>
      <c r="B190" s="4">
        <v>387435</v>
      </c>
      <c r="C190" s="3" t="s">
        <v>2</v>
      </c>
      <c r="D190" s="18">
        <v>0.1</v>
      </c>
      <c r="E190" s="21">
        <v>7.9741404289037643E-3</v>
      </c>
      <c r="F190" s="5">
        <v>41463</v>
      </c>
      <c r="G190" s="5">
        <v>43289</v>
      </c>
      <c r="H190" s="16">
        <v>1826</v>
      </c>
      <c r="I190" s="5">
        <v>43289</v>
      </c>
      <c r="J190" s="5">
        <v>42894</v>
      </c>
      <c r="K190" s="16">
        <v>1431</v>
      </c>
      <c r="L190" s="13">
        <v>11236.02</v>
      </c>
      <c r="M190" s="15">
        <v>233.72995440099831</v>
      </c>
      <c r="N190" s="13">
        <v>11236.02</v>
      </c>
      <c r="O190" s="13">
        <v>0</v>
      </c>
      <c r="P190" s="11">
        <v>1</v>
      </c>
    </row>
    <row r="191" spans="1:16" ht="15" thickBot="1" x14ac:dyDescent="0.3">
      <c r="A191" s="3" t="s">
        <v>1</v>
      </c>
      <c r="B191" s="4">
        <v>660314</v>
      </c>
      <c r="C191" s="3" t="s">
        <v>2</v>
      </c>
      <c r="D191" s="18">
        <v>0.1</v>
      </c>
      <c r="E191" s="21">
        <v>7.9741404289037643E-3</v>
      </c>
      <c r="F191" s="5">
        <v>41485</v>
      </c>
      <c r="G191" s="5">
        <v>42946</v>
      </c>
      <c r="H191" s="16">
        <v>1461</v>
      </c>
      <c r="I191" s="5">
        <v>42946</v>
      </c>
      <c r="J191" s="5">
        <v>42368</v>
      </c>
      <c r="K191" s="16">
        <v>883</v>
      </c>
      <c r="L191" s="13">
        <v>1170.97</v>
      </c>
      <c r="M191" s="15">
        <v>29.109269173225137</v>
      </c>
      <c r="N191" s="13">
        <v>1170.97</v>
      </c>
      <c r="O191" s="13">
        <v>0</v>
      </c>
      <c r="P191" s="11">
        <v>1</v>
      </c>
    </row>
    <row r="192" spans="1:16" ht="15" thickBot="1" x14ac:dyDescent="0.3">
      <c r="A192" s="3" t="s">
        <v>1</v>
      </c>
      <c r="B192" s="4">
        <v>424062</v>
      </c>
      <c r="C192" s="3" t="s">
        <v>2</v>
      </c>
      <c r="D192" s="18">
        <v>0.1</v>
      </c>
      <c r="E192" s="21">
        <v>7.9741404289037643E-3</v>
      </c>
      <c r="F192" s="5">
        <v>41491</v>
      </c>
      <c r="G192" s="5">
        <v>43327</v>
      </c>
      <c r="H192" s="16">
        <v>1836</v>
      </c>
      <c r="I192" s="5">
        <v>43327</v>
      </c>
      <c r="J192" s="5">
        <v>43276</v>
      </c>
      <c r="K192" s="16">
        <v>1785</v>
      </c>
      <c r="L192" s="13">
        <v>4729.6899999999996</v>
      </c>
      <c r="M192" s="15">
        <v>97.969586529844719</v>
      </c>
      <c r="N192" s="13">
        <v>4729.6899999999996</v>
      </c>
      <c r="O192" s="13">
        <v>0</v>
      </c>
      <c r="P192" s="11">
        <v>1</v>
      </c>
    </row>
    <row r="193" spans="1:16" ht="15" thickBot="1" x14ac:dyDescent="0.3">
      <c r="A193" s="3" t="s">
        <v>1</v>
      </c>
      <c r="B193" s="4">
        <v>475776</v>
      </c>
      <c r="C193" s="3" t="s">
        <v>2</v>
      </c>
      <c r="D193" s="18">
        <v>0.1</v>
      </c>
      <c r="E193" s="21">
        <v>7.9741404289037643E-3</v>
      </c>
      <c r="F193" s="5">
        <v>41515</v>
      </c>
      <c r="G193" s="5">
        <v>43341</v>
      </c>
      <c r="H193" s="16">
        <v>1826</v>
      </c>
      <c r="I193" s="5">
        <v>43341</v>
      </c>
      <c r="J193" s="5">
        <v>42100</v>
      </c>
      <c r="K193" s="16">
        <v>585</v>
      </c>
      <c r="L193" s="13">
        <v>8668.8799999999992</v>
      </c>
      <c r="M193" s="15">
        <v>180.32870421267728</v>
      </c>
      <c r="N193" s="13">
        <v>8668.8799999999992</v>
      </c>
      <c r="O193" s="13">
        <v>0</v>
      </c>
      <c r="P193" s="11">
        <v>1</v>
      </c>
    </row>
    <row r="194" spans="1:16" ht="15" thickBot="1" x14ac:dyDescent="0.3">
      <c r="A194" s="3" t="s">
        <v>1</v>
      </c>
      <c r="B194" s="4">
        <v>325137</v>
      </c>
      <c r="C194" s="3" t="s">
        <v>2</v>
      </c>
      <c r="D194" s="18">
        <v>0.1</v>
      </c>
      <c r="E194" s="21">
        <v>7.9741404289037643E-3</v>
      </c>
      <c r="F194" s="5">
        <v>41544</v>
      </c>
      <c r="G194" s="5">
        <v>43005</v>
      </c>
      <c r="H194" s="16">
        <v>1461</v>
      </c>
      <c r="I194" s="5">
        <v>43005</v>
      </c>
      <c r="J194" s="5">
        <v>42852</v>
      </c>
      <c r="K194" s="16">
        <v>1308</v>
      </c>
      <c r="L194" s="13">
        <v>1320.66</v>
      </c>
      <c r="M194" s="15">
        <v>32.830428983075151</v>
      </c>
      <c r="N194" s="13">
        <v>1320.66</v>
      </c>
      <c r="O194" s="13">
        <v>0</v>
      </c>
      <c r="P194" s="11">
        <v>1</v>
      </c>
    </row>
    <row r="195" spans="1:16" ht="15" thickBot="1" x14ac:dyDescent="0.3">
      <c r="A195" s="3" t="s">
        <v>1</v>
      </c>
      <c r="B195" s="4">
        <v>529983</v>
      </c>
      <c r="C195" s="3" t="s">
        <v>2</v>
      </c>
      <c r="D195" s="18">
        <v>0.1</v>
      </c>
      <c r="E195" s="21">
        <v>7.9741404289037643E-3</v>
      </c>
      <c r="F195" s="5">
        <v>41578</v>
      </c>
      <c r="G195" s="5">
        <v>43404</v>
      </c>
      <c r="H195" s="16">
        <v>1826</v>
      </c>
      <c r="I195" s="5">
        <v>43404</v>
      </c>
      <c r="J195" s="5">
        <v>42856</v>
      </c>
      <c r="K195" s="16">
        <v>1278</v>
      </c>
      <c r="L195" s="13">
        <v>5669.43</v>
      </c>
      <c r="M195" s="15">
        <v>117.93460810675415</v>
      </c>
      <c r="N195" s="13">
        <v>5669.43</v>
      </c>
      <c r="O195" s="13">
        <v>0</v>
      </c>
      <c r="P195" s="11">
        <v>1</v>
      </c>
    </row>
    <row r="196" spans="1:16" ht="15" thickBot="1" x14ac:dyDescent="0.3">
      <c r="A196" s="3" t="s">
        <v>1</v>
      </c>
      <c r="B196" s="4">
        <v>705860</v>
      </c>
      <c r="C196" s="3" t="s">
        <v>2</v>
      </c>
      <c r="D196" s="18">
        <v>9.5000000000000001E-2</v>
      </c>
      <c r="E196" s="21">
        <v>7.5915342905825689E-3</v>
      </c>
      <c r="F196" s="5">
        <v>41592</v>
      </c>
      <c r="G196" s="5">
        <v>43418</v>
      </c>
      <c r="H196" s="16">
        <v>1826</v>
      </c>
      <c r="I196" s="5">
        <v>43418</v>
      </c>
      <c r="J196" s="5">
        <v>43496</v>
      </c>
      <c r="K196" s="16">
        <v>1904</v>
      </c>
      <c r="L196" s="13">
        <v>4058.25</v>
      </c>
      <c r="M196" s="15">
        <v>83.509029958211272</v>
      </c>
      <c r="N196" s="13">
        <v>4058.25</v>
      </c>
      <c r="O196" s="13">
        <v>0</v>
      </c>
      <c r="P196" s="11">
        <v>1</v>
      </c>
    </row>
    <row r="197" spans="1:16" ht="15" thickBot="1" x14ac:dyDescent="0.3">
      <c r="A197" s="3" t="s">
        <v>1</v>
      </c>
      <c r="B197" s="4">
        <v>431597</v>
      </c>
      <c r="C197" s="3" t="s">
        <v>2</v>
      </c>
      <c r="D197" s="18">
        <v>0.1</v>
      </c>
      <c r="E197" s="21">
        <v>7.9741404289037643E-3</v>
      </c>
      <c r="F197" s="5">
        <v>41649</v>
      </c>
      <c r="G197" s="5">
        <v>43353</v>
      </c>
      <c r="H197" s="16">
        <v>1704</v>
      </c>
      <c r="I197" s="5">
        <v>43353</v>
      </c>
      <c r="J197" s="5">
        <v>42453</v>
      </c>
      <c r="K197" s="16">
        <v>804</v>
      </c>
      <c r="L197" s="13">
        <v>67000</v>
      </c>
      <c r="M197" s="15">
        <v>1471.4257530328719</v>
      </c>
      <c r="N197" s="13">
        <v>36730.519999999997</v>
      </c>
      <c r="O197" s="13">
        <v>36730.519999999997</v>
      </c>
      <c r="P197" s="11">
        <v>1</v>
      </c>
    </row>
    <row r="198" spans="1:16" ht="15" thickBot="1" x14ac:dyDescent="0.3">
      <c r="A198" s="3" t="s">
        <v>1</v>
      </c>
      <c r="B198" s="4">
        <v>342751</v>
      </c>
      <c r="C198" s="3" t="s">
        <v>2</v>
      </c>
      <c r="D198" s="18">
        <v>0.09</v>
      </c>
      <c r="E198" s="21">
        <v>7.2073233161367156E-3</v>
      </c>
      <c r="F198" s="5">
        <v>41619</v>
      </c>
      <c r="G198" s="5">
        <v>43445</v>
      </c>
      <c r="H198" s="16">
        <v>1826</v>
      </c>
      <c r="I198" s="5">
        <v>43445</v>
      </c>
      <c r="J198" s="5">
        <v>43201</v>
      </c>
      <c r="K198" s="16">
        <v>1582</v>
      </c>
      <c r="L198" s="13">
        <v>7873.08</v>
      </c>
      <c r="M198" s="15">
        <v>160.24750807088344</v>
      </c>
      <c r="N198" s="13">
        <v>7873.08</v>
      </c>
      <c r="O198" s="13">
        <v>0</v>
      </c>
      <c r="P198" s="11">
        <v>1</v>
      </c>
    </row>
    <row r="199" spans="1:16" ht="15" thickBot="1" x14ac:dyDescent="0.3">
      <c r="A199" s="3" t="s">
        <v>1</v>
      </c>
      <c r="B199" s="4">
        <v>659839</v>
      </c>
      <c r="C199" s="3" t="s">
        <v>2</v>
      </c>
      <c r="D199" s="18">
        <v>9.5000000000000001E-2</v>
      </c>
      <c r="E199" s="21">
        <v>7.5915342905825689E-3</v>
      </c>
      <c r="F199" s="5">
        <v>41695</v>
      </c>
      <c r="G199" s="5">
        <v>43521</v>
      </c>
      <c r="H199" s="16">
        <v>1826</v>
      </c>
      <c r="I199" s="5">
        <v>43521</v>
      </c>
      <c r="J199" s="5">
        <v>43502</v>
      </c>
      <c r="K199" s="16">
        <v>1807</v>
      </c>
      <c r="L199" s="13">
        <v>5000</v>
      </c>
      <c r="M199" s="15">
        <v>102.88798122122992</v>
      </c>
      <c r="N199" s="13">
        <v>5000</v>
      </c>
      <c r="O199" s="13">
        <v>0</v>
      </c>
      <c r="P199" s="11">
        <v>1</v>
      </c>
    </row>
    <row r="200" spans="1:16" ht="15" thickBot="1" x14ac:dyDescent="0.3">
      <c r="A200" s="3" t="s">
        <v>1</v>
      </c>
      <c r="B200" s="4">
        <v>632156</v>
      </c>
      <c r="C200" s="3" t="s">
        <v>3</v>
      </c>
      <c r="D200" s="18">
        <v>7.4999999999999997E-2</v>
      </c>
      <c r="E200" s="21">
        <v>6.0449190242917172E-3</v>
      </c>
      <c r="F200" s="5">
        <v>41710</v>
      </c>
      <c r="G200" s="5">
        <v>44024</v>
      </c>
      <c r="H200" s="16">
        <v>2314</v>
      </c>
      <c r="I200" s="5">
        <v>44024</v>
      </c>
      <c r="J200" s="5">
        <v>43501</v>
      </c>
      <c r="K200" s="16">
        <v>1791</v>
      </c>
      <c r="L200" s="13">
        <v>72518.22</v>
      </c>
      <c r="M200" s="15">
        <v>1179.1100081001894</v>
      </c>
      <c r="N200" s="13">
        <v>72518.22</v>
      </c>
      <c r="O200" s="13">
        <v>72518.22</v>
      </c>
      <c r="P200" s="11">
        <v>1</v>
      </c>
    </row>
    <row r="201" spans="1:16" ht="15" thickBot="1" x14ac:dyDescent="0.3">
      <c r="A201" s="3" t="s">
        <v>1</v>
      </c>
      <c r="B201" s="4">
        <v>988965</v>
      </c>
      <c r="C201" s="3" t="s">
        <v>2</v>
      </c>
      <c r="D201" s="18">
        <v>0.1</v>
      </c>
      <c r="E201" s="21">
        <v>7.9741404289037643E-3</v>
      </c>
      <c r="F201" s="5">
        <v>41792</v>
      </c>
      <c r="G201" s="5">
        <v>43253</v>
      </c>
      <c r="H201" s="16">
        <v>1461</v>
      </c>
      <c r="I201" s="5">
        <v>43253</v>
      </c>
      <c r="J201" s="5">
        <v>43496</v>
      </c>
      <c r="K201" s="16">
        <v>1704</v>
      </c>
      <c r="L201" s="13">
        <v>3253.89</v>
      </c>
      <c r="M201" s="15">
        <v>80.88880148087955</v>
      </c>
      <c r="N201" s="13">
        <v>3253.89</v>
      </c>
      <c r="O201" s="13">
        <v>0</v>
      </c>
      <c r="P201" s="11">
        <v>1</v>
      </c>
    </row>
    <row r="202" spans="1:16" ht="15" thickBot="1" x14ac:dyDescent="0.3">
      <c r="A202" s="3" t="s">
        <v>1</v>
      </c>
      <c r="B202" s="4">
        <v>327568</v>
      </c>
      <c r="C202" s="3" t="s">
        <v>2</v>
      </c>
      <c r="D202" s="18">
        <v>9.5000000000000001E-2</v>
      </c>
      <c r="E202" s="21">
        <v>7.5915342905825689E-3</v>
      </c>
      <c r="F202" s="5">
        <v>41795</v>
      </c>
      <c r="G202" s="5">
        <v>44352</v>
      </c>
      <c r="H202" s="16">
        <v>2557</v>
      </c>
      <c r="I202" s="5">
        <v>44352</v>
      </c>
      <c r="J202" s="5">
        <v>43615</v>
      </c>
      <c r="K202" s="16">
        <v>1820</v>
      </c>
      <c r="L202" s="13">
        <v>20500</v>
      </c>
      <c r="M202" s="15">
        <v>327.54376058276347</v>
      </c>
      <c r="N202" s="13">
        <v>20500</v>
      </c>
      <c r="O202" s="13">
        <v>0</v>
      </c>
      <c r="P202" s="11">
        <v>1</v>
      </c>
    </row>
    <row r="203" spans="1:16" ht="15" thickBot="1" x14ac:dyDescent="0.3">
      <c r="A203" s="3" t="s">
        <v>1</v>
      </c>
      <c r="B203" s="4">
        <v>329267</v>
      </c>
      <c r="C203" s="3" t="s">
        <v>2</v>
      </c>
      <c r="D203" s="18">
        <v>0.1</v>
      </c>
      <c r="E203" s="21">
        <v>7.9741404289037643E-3</v>
      </c>
      <c r="F203" s="5">
        <v>41845</v>
      </c>
      <c r="G203" s="5">
        <v>43824</v>
      </c>
      <c r="H203" s="16">
        <v>1979</v>
      </c>
      <c r="I203" s="5">
        <v>43824</v>
      </c>
      <c r="J203" s="5">
        <v>42601</v>
      </c>
      <c r="K203" s="16">
        <v>756</v>
      </c>
      <c r="L203" s="13">
        <v>42706.99</v>
      </c>
      <c r="M203" s="15">
        <v>835.05766221143119</v>
      </c>
      <c r="N203" s="13">
        <v>42706.99</v>
      </c>
      <c r="O203" s="13">
        <v>0</v>
      </c>
      <c r="P203" s="11">
        <v>1</v>
      </c>
    </row>
    <row r="204" spans="1:16" ht="15" thickBot="1" x14ac:dyDescent="0.3">
      <c r="A204" s="3" t="s">
        <v>1</v>
      </c>
      <c r="B204" s="4">
        <v>703236</v>
      </c>
      <c r="C204" s="3" t="s">
        <v>2</v>
      </c>
      <c r="D204" s="18">
        <v>0.09</v>
      </c>
      <c r="E204" s="21">
        <v>7.2073233161367156E-3</v>
      </c>
      <c r="F204" s="5">
        <v>41838</v>
      </c>
      <c r="G204" s="5">
        <v>43299</v>
      </c>
      <c r="H204" s="16">
        <v>1461</v>
      </c>
      <c r="I204" s="5">
        <v>43299</v>
      </c>
      <c r="J204" s="5">
        <v>43496</v>
      </c>
      <c r="K204" s="16">
        <v>1658</v>
      </c>
      <c r="L204" s="13">
        <v>43876.65</v>
      </c>
      <c r="M204" s="15">
        <v>1071.5151929834558</v>
      </c>
      <c r="N204" s="13">
        <v>43876.65</v>
      </c>
      <c r="O204" s="13">
        <v>0</v>
      </c>
      <c r="P204" s="11">
        <v>1</v>
      </c>
    </row>
    <row r="205" spans="1:16" ht="15" thickBot="1" x14ac:dyDescent="0.3">
      <c r="A205" s="3" t="s">
        <v>1</v>
      </c>
      <c r="B205" s="4">
        <v>810043</v>
      </c>
      <c r="C205" s="3" t="s">
        <v>2</v>
      </c>
      <c r="D205" s="18">
        <v>9.5000000000000001E-2</v>
      </c>
      <c r="E205" s="21">
        <v>7.5915342905825689E-3</v>
      </c>
      <c r="F205" s="5">
        <v>41842</v>
      </c>
      <c r="G205" s="5">
        <v>42207</v>
      </c>
      <c r="H205" s="16">
        <v>365</v>
      </c>
      <c r="I205" s="5">
        <v>46086</v>
      </c>
      <c r="J205" s="5">
        <v>44460</v>
      </c>
      <c r="K205" s="16">
        <v>2618</v>
      </c>
      <c r="L205" s="13">
        <v>20000</v>
      </c>
      <c r="M205" s="15">
        <v>1727.1467704568249</v>
      </c>
      <c r="N205" s="13">
        <v>16418.55</v>
      </c>
      <c r="O205" s="13">
        <v>2682.06</v>
      </c>
      <c r="P205" s="11">
        <v>1</v>
      </c>
    </row>
    <row r="206" spans="1:16" ht="15" thickBot="1" x14ac:dyDescent="0.3">
      <c r="A206" s="3" t="s">
        <v>1</v>
      </c>
      <c r="B206" s="4">
        <v>867831</v>
      </c>
      <c r="C206" s="3" t="s">
        <v>2</v>
      </c>
      <c r="D206" s="18">
        <v>0.08</v>
      </c>
      <c r="E206" s="21">
        <v>6.4340301100034303E-3</v>
      </c>
      <c r="F206" s="5">
        <v>41843</v>
      </c>
      <c r="G206" s="5">
        <v>44035</v>
      </c>
      <c r="H206" s="16">
        <v>2192</v>
      </c>
      <c r="I206" s="5">
        <v>44035</v>
      </c>
      <c r="J206" s="5">
        <v>43371</v>
      </c>
      <c r="K206" s="16">
        <v>1528</v>
      </c>
      <c r="L206" s="13">
        <v>29280.080000000002</v>
      </c>
      <c r="M206" s="15">
        <v>503.54317584651</v>
      </c>
      <c r="N206" s="13">
        <v>29207.25</v>
      </c>
      <c r="O206" s="13">
        <v>29207.25</v>
      </c>
      <c r="P206" s="11">
        <v>1</v>
      </c>
    </row>
    <row r="207" spans="1:16" ht="15" thickBot="1" x14ac:dyDescent="0.3">
      <c r="A207" s="3" t="s">
        <v>1</v>
      </c>
      <c r="B207" s="4">
        <v>884125</v>
      </c>
      <c r="C207" s="3" t="s">
        <v>2</v>
      </c>
      <c r="D207" s="18">
        <v>0.09</v>
      </c>
      <c r="E207" s="21">
        <v>7.2073233161367156E-3</v>
      </c>
      <c r="F207" s="5">
        <v>41865</v>
      </c>
      <c r="G207" s="5">
        <v>43403</v>
      </c>
      <c r="H207" s="16">
        <v>1538</v>
      </c>
      <c r="I207" s="5">
        <v>43403</v>
      </c>
      <c r="J207" s="5">
        <v>43098</v>
      </c>
      <c r="K207" s="16">
        <v>1233</v>
      </c>
      <c r="L207" s="13">
        <v>84934.68</v>
      </c>
      <c r="M207" s="15">
        <v>1987.5012954992676</v>
      </c>
      <c r="N207" s="13">
        <v>84934.68</v>
      </c>
      <c r="O207" s="13">
        <v>0</v>
      </c>
      <c r="P207" s="11">
        <v>1</v>
      </c>
    </row>
    <row r="208" spans="1:16" ht="15" thickBot="1" x14ac:dyDescent="0.3">
      <c r="A208" s="3" t="s">
        <v>1</v>
      </c>
      <c r="B208" s="4">
        <v>586435</v>
      </c>
      <c r="C208" s="3" t="s">
        <v>2</v>
      </c>
      <c r="D208" s="18">
        <v>9.5000000000000001E-2</v>
      </c>
      <c r="E208" s="21">
        <v>7.5915342905825689E-3</v>
      </c>
      <c r="F208" s="5">
        <v>41866</v>
      </c>
      <c r="G208" s="5">
        <v>42628</v>
      </c>
      <c r="H208" s="16">
        <v>762</v>
      </c>
      <c r="I208" s="5">
        <v>42628</v>
      </c>
      <c r="J208" s="5">
        <v>42548</v>
      </c>
      <c r="K208" s="16">
        <v>682</v>
      </c>
      <c r="L208" s="13">
        <v>15000</v>
      </c>
      <c r="M208" s="15">
        <v>651.54822364411507</v>
      </c>
      <c r="N208" s="13">
        <v>15000</v>
      </c>
      <c r="O208" s="13">
        <v>0</v>
      </c>
      <c r="P208" s="11">
        <v>1</v>
      </c>
    </row>
    <row r="209" spans="1:16" ht="15" thickBot="1" x14ac:dyDescent="0.3">
      <c r="A209" s="3" t="s">
        <v>1</v>
      </c>
      <c r="B209" s="4">
        <v>894098</v>
      </c>
      <c r="C209" s="3" t="s">
        <v>2</v>
      </c>
      <c r="D209" s="18">
        <v>0.08</v>
      </c>
      <c r="E209" s="21">
        <v>6.4340301100034303E-3</v>
      </c>
      <c r="F209" s="5">
        <v>41866</v>
      </c>
      <c r="G209" s="5">
        <v>43723</v>
      </c>
      <c r="H209" s="16">
        <v>1857</v>
      </c>
      <c r="I209" s="5">
        <v>43723</v>
      </c>
      <c r="J209" s="5">
        <v>43552</v>
      </c>
      <c r="K209" s="16">
        <v>1686</v>
      </c>
      <c r="L209" s="13">
        <v>653640.93000000005</v>
      </c>
      <c r="M209" s="15">
        <v>12835.100300065335</v>
      </c>
      <c r="N209" s="13">
        <v>638414.44999999995</v>
      </c>
      <c r="O209" s="13">
        <v>0</v>
      </c>
      <c r="P209" s="11">
        <v>1</v>
      </c>
    </row>
    <row r="210" spans="1:16" ht="15" thickBot="1" x14ac:dyDescent="0.3">
      <c r="A210" s="3" t="s">
        <v>1</v>
      </c>
      <c r="B210" s="4">
        <v>930085</v>
      </c>
      <c r="C210" s="3" t="s">
        <v>2</v>
      </c>
      <c r="D210" s="18">
        <v>0.08</v>
      </c>
      <c r="E210" s="21">
        <v>6.4340301100034303E-3</v>
      </c>
      <c r="F210" s="5">
        <v>41912</v>
      </c>
      <c r="G210" s="5">
        <v>43468</v>
      </c>
      <c r="H210" s="16">
        <v>1556</v>
      </c>
      <c r="I210" s="5">
        <v>43468</v>
      </c>
      <c r="J210" s="5">
        <v>43189</v>
      </c>
      <c r="K210" s="16">
        <v>1277</v>
      </c>
      <c r="L210" s="13">
        <v>52140.53</v>
      </c>
      <c r="M210" s="15">
        <v>1185.5298592821789</v>
      </c>
      <c r="N210" s="13">
        <v>52140.53</v>
      </c>
      <c r="O210" s="13">
        <v>13000</v>
      </c>
      <c r="P210" s="11">
        <v>1</v>
      </c>
    </row>
    <row r="211" spans="1:16" ht="15" thickBot="1" x14ac:dyDescent="0.3">
      <c r="A211" s="3" t="s">
        <v>1</v>
      </c>
      <c r="B211" s="4">
        <v>365886</v>
      </c>
      <c r="C211" s="3" t="s">
        <v>2</v>
      </c>
      <c r="D211" s="18">
        <v>7.4999999999999997E-2</v>
      </c>
      <c r="E211" s="21">
        <v>6.0449190242917172E-3</v>
      </c>
      <c r="F211" s="5">
        <v>41919</v>
      </c>
      <c r="G211" s="5">
        <v>43745</v>
      </c>
      <c r="H211" s="16">
        <v>1826</v>
      </c>
      <c r="I211" s="5">
        <v>43745</v>
      </c>
      <c r="J211" s="5">
        <v>42732</v>
      </c>
      <c r="K211" s="16">
        <v>813</v>
      </c>
      <c r="L211" s="13">
        <v>19779.3</v>
      </c>
      <c r="M211" s="15">
        <v>389.37121993589273</v>
      </c>
      <c r="N211" s="13">
        <v>19779.3</v>
      </c>
      <c r="O211" s="13">
        <v>0</v>
      </c>
      <c r="P211" s="11">
        <v>1</v>
      </c>
    </row>
    <row r="212" spans="1:16" ht="15" thickBot="1" x14ac:dyDescent="0.3">
      <c r="A212" s="3" t="s">
        <v>1</v>
      </c>
      <c r="B212" s="4">
        <v>359622</v>
      </c>
      <c r="C212" s="3" t="s">
        <v>2</v>
      </c>
      <c r="D212" s="18">
        <v>7.4999999999999997E-2</v>
      </c>
      <c r="E212" s="21">
        <v>6.0449190242917172E-3</v>
      </c>
      <c r="F212" s="5">
        <v>41948</v>
      </c>
      <c r="G212" s="5">
        <v>42760</v>
      </c>
      <c r="H212" s="16">
        <v>812</v>
      </c>
      <c r="I212" s="5">
        <v>42760</v>
      </c>
      <c r="J212" s="5">
        <v>42396</v>
      </c>
      <c r="K212" s="16">
        <v>448</v>
      </c>
      <c r="L212" s="13">
        <v>26017.42</v>
      </c>
      <c r="M212" s="15">
        <v>1044.9106647600495</v>
      </c>
      <c r="N212" s="13">
        <v>26017.42</v>
      </c>
      <c r="O212" s="13">
        <v>0</v>
      </c>
      <c r="P212" s="11">
        <v>1</v>
      </c>
    </row>
    <row r="213" spans="1:16" ht="15" thickBot="1" x14ac:dyDescent="0.3">
      <c r="A213" s="3" t="s">
        <v>1</v>
      </c>
      <c r="B213" s="4">
        <v>656969</v>
      </c>
      <c r="C213" s="3" t="s">
        <v>2</v>
      </c>
      <c r="D213" s="18">
        <v>0.1</v>
      </c>
      <c r="E213" s="21">
        <v>7.9741404289037643E-3</v>
      </c>
      <c r="F213" s="5">
        <v>41957</v>
      </c>
      <c r="G213" s="5">
        <v>43053</v>
      </c>
      <c r="H213" s="16">
        <v>1096</v>
      </c>
      <c r="I213" s="5">
        <v>43053</v>
      </c>
      <c r="J213" s="5">
        <v>43055</v>
      </c>
      <c r="K213" s="16">
        <v>1098</v>
      </c>
      <c r="L213" s="13">
        <v>37695.1</v>
      </c>
      <c r="M213" s="15">
        <v>1193.4597618779428</v>
      </c>
      <c r="N213" s="13">
        <v>37695.1</v>
      </c>
      <c r="O213" s="13">
        <v>0</v>
      </c>
      <c r="P213" s="11">
        <v>1</v>
      </c>
    </row>
    <row r="214" spans="1:16" ht="15" thickBot="1" x14ac:dyDescent="0.3">
      <c r="A214" s="3" t="s">
        <v>1</v>
      </c>
      <c r="B214" s="4">
        <v>924659</v>
      </c>
      <c r="C214" s="3" t="s">
        <v>2</v>
      </c>
      <c r="D214" s="18">
        <v>0.1</v>
      </c>
      <c r="E214" s="21">
        <v>7.9741404289037643E-3</v>
      </c>
      <c r="F214" s="5">
        <v>41967</v>
      </c>
      <c r="G214" s="5">
        <v>43793</v>
      </c>
      <c r="H214" s="16">
        <v>1826</v>
      </c>
      <c r="I214" s="5">
        <v>43793</v>
      </c>
      <c r="J214" s="5">
        <v>43006</v>
      </c>
      <c r="K214" s="16">
        <v>1039</v>
      </c>
      <c r="L214" s="13">
        <v>14037.23</v>
      </c>
      <c r="M214" s="15">
        <v>292.00029261396168</v>
      </c>
      <c r="N214" s="13">
        <v>14037.23</v>
      </c>
      <c r="O214" s="13">
        <v>0</v>
      </c>
      <c r="P214" s="11">
        <v>1</v>
      </c>
    </row>
    <row r="215" spans="1:16" ht="15" thickBot="1" x14ac:dyDescent="0.3">
      <c r="A215" s="3" t="s">
        <v>1</v>
      </c>
      <c r="B215" s="4">
        <v>238882</v>
      </c>
      <c r="C215" s="3" t="s">
        <v>2</v>
      </c>
      <c r="D215" s="18">
        <v>0.1</v>
      </c>
      <c r="E215" s="21">
        <v>7.9741404289037643E-3</v>
      </c>
      <c r="F215" s="5">
        <v>41992</v>
      </c>
      <c r="G215" s="5">
        <v>43818</v>
      </c>
      <c r="H215" s="16">
        <v>1826</v>
      </c>
      <c r="I215" s="5">
        <v>43818</v>
      </c>
      <c r="J215" s="5">
        <v>42814</v>
      </c>
      <c r="K215" s="16">
        <v>822</v>
      </c>
      <c r="L215" s="13">
        <v>30346.59</v>
      </c>
      <c r="M215" s="15">
        <v>631.26508291421612</v>
      </c>
      <c r="N215" s="13">
        <v>30346.59</v>
      </c>
      <c r="O215" s="13">
        <v>0</v>
      </c>
      <c r="P215" s="11">
        <v>1</v>
      </c>
    </row>
    <row r="216" spans="1:16" ht="15" thickBot="1" x14ac:dyDescent="0.3">
      <c r="A216" s="3" t="s">
        <v>1</v>
      </c>
      <c r="B216" s="4">
        <v>698378</v>
      </c>
      <c r="C216" s="3" t="s">
        <v>2</v>
      </c>
      <c r="D216" s="18">
        <v>9.5000000000000001E-2</v>
      </c>
      <c r="E216" s="21">
        <v>7.5915342905825689E-3</v>
      </c>
      <c r="F216" s="5">
        <v>42044</v>
      </c>
      <c r="G216" s="5">
        <v>44052</v>
      </c>
      <c r="H216" s="16">
        <v>2008</v>
      </c>
      <c r="I216" s="5">
        <v>44052</v>
      </c>
      <c r="J216" s="5">
        <v>43371</v>
      </c>
      <c r="K216" s="16">
        <v>1327</v>
      </c>
      <c r="L216" s="13">
        <v>37185.879999999997</v>
      </c>
      <c r="M216" s="15">
        <v>710.67891490077659</v>
      </c>
      <c r="N216" s="13">
        <v>37185.879999999997</v>
      </c>
      <c r="O216" s="13">
        <v>0</v>
      </c>
      <c r="P216" s="11">
        <v>1</v>
      </c>
    </row>
    <row r="217" spans="1:16" ht="15" thickBot="1" x14ac:dyDescent="0.3">
      <c r="A217" s="3" t="s">
        <v>1</v>
      </c>
      <c r="B217" s="4">
        <v>883122</v>
      </c>
      <c r="C217" s="3" t="s">
        <v>2</v>
      </c>
      <c r="D217" s="18">
        <v>7.4999999999999997E-2</v>
      </c>
      <c r="E217" s="21">
        <v>6.0449190242917172E-3</v>
      </c>
      <c r="F217" s="5">
        <v>42045</v>
      </c>
      <c r="G217" s="5">
        <v>42865</v>
      </c>
      <c r="H217" s="16">
        <v>820</v>
      </c>
      <c r="I217" s="5">
        <v>42865</v>
      </c>
      <c r="J217" s="5">
        <v>42536</v>
      </c>
      <c r="K217" s="16">
        <v>491</v>
      </c>
      <c r="L217" s="13">
        <v>26515.96</v>
      </c>
      <c r="M217" s="15">
        <v>1055.3679923890102</v>
      </c>
      <c r="N217" s="13">
        <v>26515.96</v>
      </c>
      <c r="O217" s="13">
        <v>0</v>
      </c>
      <c r="P217" s="11">
        <v>1</v>
      </c>
    </row>
    <row r="218" spans="1:16" ht="15" thickBot="1" x14ac:dyDescent="0.3">
      <c r="A218" s="3" t="s">
        <v>1</v>
      </c>
      <c r="B218" s="4">
        <v>274060</v>
      </c>
      <c r="C218" s="3" t="s">
        <v>2</v>
      </c>
      <c r="D218" s="18">
        <v>0.09</v>
      </c>
      <c r="E218" s="21">
        <v>7.2073233161367156E-3</v>
      </c>
      <c r="F218" s="5">
        <v>42065</v>
      </c>
      <c r="G218" s="5">
        <v>43345</v>
      </c>
      <c r="H218" s="16">
        <v>1280</v>
      </c>
      <c r="I218" s="5">
        <v>43345</v>
      </c>
      <c r="J218" s="5">
        <v>43004</v>
      </c>
      <c r="K218" s="16">
        <v>939</v>
      </c>
      <c r="L218" s="13">
        <v>54500</v>
      </c>
      <c r="M218" s="15">
        <v>1488.3550408135263</v>
      </c>
      <c r="N218" s="13">
        <v>54500</v>
      </c>
      <c r="O218" s="13">
        <v>0</v>
      </c>
      <c r="P218" s="11">
        <v>1</v>
      </c>
    </row>
    <row r="219" spans="1:16" ht="15" thickBot="1" x14ac:dyDescent="0.3">
      <c r="A219" s="3" t="s">
        <v>1</v>
      </c>
      <c r="B219" s="4">
        <v>820872</v>
      </c>
      <c r="C219" s="3" t="s">
        <v>2</v>
      </c>
      <c r="D219" s="18">
        <v>0.09</v>
      </c>
      <c r="E219" s="21">
        <v>7.2073233161367156E-3</v>
      </c>
      <c r="F219" s="5">
        <v>42086</v>
      </c>
      <c r="G219" s="5">
        <v>45008</v>
      </c>
      <c r="H219" s="16">
        <v>2922</v>
      </c>
      <c r="I219" s="5">
        <v>45008</v>
      </c>
      <c r="J219" s="5">
        <v>43654</v>
      </c>
      <c r="K219" s="16">
        <v>1568</v>
      </c>
      <c r="L219" s="13">
        <v>287.57</v>
      </c>
      <c r="M219" s="15">
        <v>4.1192338628629352</v>
      </c>
      <c r="N219" s="13">
        <v>256.64999999999998</v>
      </c>
      <c r="O219" s="13">
        <v>0</v>
      </c>
      <c r="P219" s="11">
        <v>1</v>
      </c>
    </row>
    <row r="220" spans="1:16" ht="15" thickBot="1" x14ac:dyDescent="0.3">
      <c r="A220" s="3" t="s">
        <v>1</v>
      </c>
      <c r="B220" s="4">
        <v>273567</v>
      </c>
      <c r="C220" s="3" t="s">
        <v>2</v>
      </c>
      <c r="D220" s="18">
        <v>0.08</v>
      </c>
      <c r="E220" s="21">
        <v>6.4340301100034303E-3</v>
      </c>
      <c r="F220" s="5">
        <v>42094</v>
      </c>
      <c r="G220" s="5">
        <v>43468</v>
      </c>
      <c r="H220" s="16">
        <v>1374</v>
      </c>
      <c r="I220" s="5">
        <v>43468</v>
      </c>
      <c r="J220" s="5">
        <v>43189</v>
      </c>
      <c r="K220" s="16">
        <v>1095</v>
      </c>
      <c r="L220" s="13">
        <v>45000</v>
      </c>
      <c r="M220" s="15">
        <v>1137.5328179222672</v>
      </c>
      <c r="N220" s="13">
        <v>45000</v>
      </c>
      <c r="O220" s="13">
        <v>10000</v>
      </c>
      <c r="P220" s="11">
        <v>1</v>
      </c>
    </row>
    <row r="221" spans="1:16" ht="15" thickBot="1" x14ac:dyDescent="0.3">
      <c r="A221" s="3" t="s">
        <v>1</v>
      </c>
      <c r="B221" s="4">
        <v>552650</v>
      </c>
      <c r="C221" s="3" t="s">
        <v>2</v>
      </c>
      <c r="D221" s="18">
        <v>9.5000000000000001E-2</v>
      </c>
      <c r="E221" s="21">
        <v>7.5915342905825689E-3</v>
      </c>
      <c r="F221" s="5">
        <v>42103</v>
      </c>
      <c r="G221" s="5">
        <v>43199</v>
      </c>
      <c r="H221" s="16">
        <v>1096</v>
      </c>
      <c r="I221" s="5">
        <v>43199</v>
      </c>
      <c r="J221" s="5">
        <v>42347</v>
      </c>
      <c r="K221" s="16">
        <v>244</v>
      </c>
      <c r="L221" s="13">
        <v>11775.97</v>
      </c>
      <c r="M221" s="15">
        <v>370.31149370030437</v>
      </c>
      <c r="N221" s="13">
        <v>11775.97</v>
      </c>
      <c r="O221" s="13">
        <v>0</v>
      </c>
      <c r="P221" s="11">
        <v>1</v>
      </c>
    </row>
    <row r="222" spans="1:16" ht="15" thickBot="1" x14ac:dyDescent="0.3">
      <c r="A222" s="3" t="s">
        <v>1</v>
      </c>
      <c r="B222" s="4">
        <v>100356</v>
      </c>
      <c r="C222" s="3" t="s">
        <v>2</v>
      </c>
      <c r="D222" s="18">
        <v>0.08</v>
      </c>
      <c r="E222" s="21">
        <v>6.4340301100034303E-3</v>
      </c>
      <c r="F222" s="5">
        <v>42136</v>
      </c>
      <c r="G222" s="5">
        <v>43232</v>
      </c>
      <c r="H222" s="16">
        <v>1096</v>
      </c>
      <c r="I222" s="5">
        <v>43232</v>
      </c>
      <c r="J222" s="5">
        <v>42314</v>
      </c>
      <c r="K222" s="16">
        <v>178</v>
      </c>
      <c r="L222" s="13">
        <v>7751.81</v>
      </c>
      <c r="M222" s="15">
        <v>238.77708305245585</v>
      </c>
      <c r="N222" s="13">
        <v>7751.81</v>
      </c>
      <c r="O222" s="13">
        <v>7751.81</v>
      </c>
      <c r="P222" s="11">
        <v>1</v>
      </c>
    </row>
    <row r="223" spans="1:16" ht="15" thickBot="1" x14ac:dyDescent="0.3">
      <c r="A223" s="3" t="s">
        <v>1</v>
      </c>
      <c r="B223" s="4">
        <v>509056</v>
      </c>
      <c r="C223" s="3" t="s">
        <v>2</v>
      </c>
      <c r="D223" s="18">
        <v>0.08</v>
      </c>
      <c r="E223" s="21">
        <v>6.4340301100034303E-3</v>
      </c>
      <c r="F223" s="5">
        <v>42151</v>
      </c>
      <c r="G223" s="5">
        <v>43978</v>
      </c>
      <c r="H223" s="16">
        <v>1827</v>
      </c>
      <c r="I223" s="5">
        <v>43978</v>
      </c>
      <c r="J223" s="5">
        <v>42405</v>
      </c>
      <c r="K223" s="16">
        <v>254</v>
      </c>
      <c r="L223" s="13">
        <v>24875.33</v>
      </c>
      <c r="M223" s="15">
        <v>494.99492235389738</v>
      </c>
      <c r="N223" s="13">
        <v>24875.33</v>
      </c>
      <c r="O223" s="13">
        <v>0</v>
      </c>
      <c r="P223" s="11">
        <v>1</v>
      </c>
    </row>
    <row r="224" spans="1:16" ht="15" thickBot="1" x14ac:dyDescent="0.3">
      <c r="A224" s="3" t="s">
        <v>1</v>
      </c>
      <c r="B224" s="4">
        <v>917520</v>
      </c>
      <c r="C224" s="3" t="s">
        <v>2</v>
      </c>
      <c r="D224" s="18">
        <v>0.1</v>
      </c>
      <c r="E224" s="21">
        <v>7.9741404289037643E-3</v>
      </c>
      <c r="F224" s="5">
        <v>42156</v>
      </c>
      <c r="G224" s="5">
        <v>43983</v>
      </c>
      <c r="H224" s="16">
        <v>1827</v>
      </c>
      <c r="I224" s="5">
        <v>43983</v>
      </c>
      <c r="J224" s="5">
        <v>42643</v>
      </c>
      <c r="K224" s="16">
        <v>487</v>
      </c>
      <c r="L224" s="13">
        <v>19883.099999999999</v>
      </c>
      <c r="M224" s="15">
        <v>413.42912455391729</v>
      </c>
      <c r="N224" s="13">
        <v>19883.099999999999</v>
      </c>
      <c r="O224" s="13">
        <v>0</v>
      </c>
      <c r="P224" s="11">
        <v>1</v>
      </c>
    </row>
    <row r="225" spans="1:16" ht="15" thickBot="1" x14ac:dyDescent="0.3">
      <c r="A225" s="3" t="s">
        <v>1</v>
      </c>
      <c r="B225" s="4">
        <v>507565</v>
      </c>
      <c r="C225" s="3" t="s">
        <v>2</v>
      </c>
      <c r="D225" s="18">
        <v>7.4999999999999997E-2</v>
      </c>
      <c r="E225" s="21">
        <v>6.0449190242917172E-3</v>
      </c>
      <c r="F225" s="5">
        <v>42159</v>
      </c>
      <c r="G225" s="5">
        <v>42525</v>
      </c>
      <c r="H225" s="16">
        <v>366</v>
      </c>
      <c r="I225" s="5">
        <v>42525</v>
      </c>
      <c r="J225" s="5">
        <v>43649</v>
      </c>
      <c r="K225" s="16">
        <v>1490</v>
      </c>
      <c r="L225" s="13">
        <v>166735.62</v>
      </c>
      <c r="M225" s="15">
        <v>14218.246816533263</v>
      </c>
      <c r="N225" s="13">
        <v>166735.62</v>
      </c>
      <c r="O225" s="13">
        <v>0</v>
      </c>
      <c r="P225" s="11">
        <v>1</v>
      </c>
    </row>
    <row r="226" spans="1:16" ht="15" thickBot="1" x14ac:dyDescent="0.3">
      <c r="A226" s="3" t="s">
        <v>1</v>
      </c>
      <c r="B226" s="4">
        <v>97011</v>
      </c>
      <c r="C226" s="3" t="s">
        <v>2</v>
      </c>
      <c r="D226" s="18">
        <v>7.4999999999999997E-2</v>
      </c>
      <c r="E226" s="21">
        <v>6.0449190242917172E-3</v>
      </c>
      <c r="F226" s="5">
        <v>42165</v>
      </c>
      <c r="G226" s="5">
        <v>42988</v>
      </c>
      <c r="H226" s="16">
        <v>823</v>
      </c>
      <c r="I226" s="5">
        <v>42988</v>
      </c>
      <c r="J226" s="5">
        <v>42732</v>
      </c>
      <c r="K226" s="16">
        <v>567</v>
      </c>
      <c r="L226" s="13">
        <v>72000</v>
      </c>
      <c r="M226" s="15">
        <v>2856.0798658410749</v>
      </c>
      <c r="N226" s="13">
        <v>72000</v>
      </c>
      <c r="O226" s="13">
        <v>0</v>
      </c>
      <c r="P226" s="11">
        <v>1</v>
      </c>
    </row>
    <row r="227" spans="1:16" ht="15" thickBot="1" x14ac:dyDescent="0.3">
      <c r="A227" s="3" t="s">
        <v>1</v>
      </c>
      <c r="B227" s="4">
        <v>121646</v>
      </c>
      <c r="C227" s="3" t="s">
        <v>2</v>
      </c>
      <c r="D227" s="18">
        <v>0.08</v>
      </c>
      <c r="E227" s="21">
        <v>6.4340301100034303E-3</v>
      </c>
      <c r="F227" s="5">
        <v>42173</v>
      </c>
      <c r="G227" s="5">
        <v>44365</v>
      </c>
      <c r="H227" s="16">
        <v>2192</v>
      </c>
      <c r="I227" s="5">
        <v>44365</v>
      </c>
      <c r="J227" s="5">
        <v>43371</v>
      </c>
      <c r="K227" s="16">
        <v>1198</v>
      </c>
      <c r="L227" s="13">
        <v>32584.39</v>
      </c>
      <c r="M227" s="15">
        <v>560.36893422494961</v>
      </c>
      <c r="N227" s="13">
        <v>32500</v>
      </c>
      <c r="O227" s="13">
        <v>7.2</v>
      </c>
      <c r="P227" s="11">
        <v>1</v>
      </c>
    </row>
    <row r="228" spans="1:16" ht="15" thickBot="1" x14ac:dyDescent="0.3">
      <c r="A228" s="3" t="s">
        <v>1</v>
      </c>
      <c r="B228" s="4">
        <v>331288</v>
      </c>
      <c r="C228" s="3" t="s">
        <v>2</v>
      </c>
      <c r="D228" s="18">
        <v>9.7500000000000003E-2</v>
      </c>
      <c r="E228" s="21">
        <v>7.7830370878799737E-3</v>
      </c>
      <c r="F228" s="5">
        <v>42192</v>
      </c>
      <c r="G228" s="5">
        <v>44019</v>
      </c>
      <c r="H228" s="16">
        <v>1827</v>
      </c>
      <c r="I228" s="5">
        <v>44019</v>
      </c>
      <c r="J228" s="5">
        <v>43105</v>
      </c>
      <c r="K228" s="16">
        <v>913</v>
      </c>
      <c r="L228" s="13">
        <v>42504.26</v>
      </c>
      <c r="M228" s="15">
        <v>879.0219693456155</v>
      </c>
      <c r="N228" s="13">
        <v>42504.26</v>
      </c>
      <c r="O228" s="13">
        <v>250</v>
      </c>
      <c r="P228" s="11">
        <v>1</v>
      </c>
    </row>
    <row r="229" spans="1:16" ht="15" thickBot="1" x14ac:dyDescent="0.3">
      <c r="A229" s="3" t="s">
        <v>1</v>
      </c>
      <c r="B229" s="4">
        <v>338764</v>
      </c>
      <c r="C229" s="3" t="s">
        <v>2</v>
      </c>
      <c r="D229" s="18">
        <v>9.7500000000000003E-2</v>
      </c>
      <c r="E229" s="21">
        <v>7.7830370878799737E-3</v>
      </c>
      <c r="F229" s="5">
        <v>42193</v>
      </c>
      <c r="G229" s="5">
        <v>43289</v>
      </c>
      <c r="H229" s="16">
        <v>1096</v>
      </c>
      <c r="I229" s="5">
        <v>43289</v>
      </c>
      <c r="J229" s="5">
        <v>42488</v>
      </c>
      <c r="K229" s="16">
        <v>295</v>
      </c>
      <c r="L229" s="13">
        <v>6053.64</v>
      </c>
      <c r="M229" s="15">
        <v>191.01427717490586</v>
      </c>
      <c r="N229" s="13">
        <v>6053.64</v>
      </c>
      <c r="O229" s="13">
        <v>2000</v>
      </c>
      <c r="P229" s="11">
        <v>1</v>
      </c>
    </row>
    <row r="230" spans="1:16" ht="15" thickBot="1" x14ac:dyDescent="0.3">
      <c r="A230" s="3" t="s">
        <v>1</v>
      </c>
      <c r="B230" s="4">
        <v>76367</v>
      </c>
      <c r="C230" s="3" t="s">
        <v>2</v>
      </c>
      <c r="D230" s="18">
        <v>0.1</v>
      </c>
      <c r="E230" s="21">
        <v>7.9741404289037643E-3</v>
      </c>
      <c r="F230" s="5">
        <v>42201</v>
      </c>
      <c r="G230" s="5">
        <v>42263</v>
      </c>
      <c r="H230" s="16">
        <v>62</v>
      </c>
      <c r="I230" s="5">
        <v>42263</v>
      </c>
      <c r="J230" s="5">
        <v>42488</v>
      </c>
      <c r="K230" s="16">
        <v>287</v>
      </c>
      <c r="L230" s="13">
        <v>5884.53</v>
      </c>
      <c r="M230" s="15">
        <v>2882.217015412155</v>
      </c>
      <c r="N230" s="13">
        <v>5884.53</v>
      </c>
      <c r="O230" s="13">
        <v>0</v>
      </c>
      <c r="P230" s="11">
        <v>1</v>
      </c>
    </row>
    <row r="231" spans="1:16" ht="15" thickBot="1" x14ac:dyDescent="0.3">
      <c r="A231" s="3" t="s">
        <v>1</v>
      </c>
      <c r="B231" s="4">
        <v>813439</v>
      </c>
      <c r="C231" s="3" t="s">
        <v>2</v>
      </c>
      <c r="D231" s="18">
        <v>4.4999999999999998E-2</v>
      </c>
      <c r="E231" s="21">
        <v>3.6748094004368514E-3</v>
      </c>
      <c r="F231" s="5">
        <v>42229</v>
      </c>
      <c r="G231" s="5">
        <v>43690</v>
      </c>
      <c r="H231" s="16">
        <v>1461</v>
      </c>
      <c r="I231" s="5">
        <v>43690</v>
      </c>
      <c r="J231" s="5">
        <v>43552</v>
      </c>
      <c r="K231" s="16">
        <v>1323</v>
      </c>
      <c r="L231" s="13">
        <v>411751.21</v>
      </c>
      <c r="M231" s="15">
        <v>9249.4419473301914</v>
      </c>
      <c r="N231" s="13">
        <v>411751.21</v>
      </c>
      <c r="O231" s="13">
        <v>0</v>
      </c>
      <c r="P231" s="11">
        <v>1</v>
      </c>
    </row>
    <row r="232" spans="1:16" ht="15" thickBot="1" x14ac:dyDescent="0.3">
      <c r="A232" s="3" t="s">
        <v>1</v>
      </c>
      <c r="B232" s="4">
        <v>285765</v>
      </c>
      <c r="C232" s="3" t="s">
        <v>2</v>
      </c>
      <c r="D232" s="18">
        <v>4.4999999999999998E-2</v>
      </c>
      <c r="E232" s="21">
        <v>3.6748094004368514E-3</v>
      </c>
      <c r="F232" s="5">
        <v>42229</v>
      </c>
      <c r="G232" s="5">
        <v>43690</v>
      </c>
      <c r="H232" s="16">
        <v>1461</v>
      </c>
      <c r="I232" s="5">
        <v>43690</v>
      </c>
      <c r="J232" s="5">
        <v>43552</v>
      </c>
      <c r="K232" s="16">
        <v>1323</v>
      </c>
      <c r="L232" s="13">
        <v>571521.29</v>
      </c>
      <c r="M232" s="15">
        <v>12838.463774079166</v>
      </c>
      <c r="N232" s="13">
        <v>571521.29</v>
      </c>
      <c r="O232" s="13">
        <v>0</v>
      </c>
      <c r="P232" s="11">
        <v>1</v>
      </c>
    </row>
    <row r="233" spans="1:16" ht="15" thickBot="1" x14ac:dyDescent="0.3">
      <c r="A233" s="3" t="s">
        <v>1</v>
      </c>
      <c r="B233" s="4">
        <v>902945</v>
      </c>
      <c r="C233" s="3" t="s">
        <v>2</v>
      </c>
      <c r="D233" s="18">
        <v>0.09</v>
      </c>
      <c r="E233" s="21">
        <v>7.2073233161367156E-3</v>
      </c>
      <c r="F233" s="5">
        <v>42264</v>
      </c>
      <c r="G233" s="5">
        <v>43541</v>
      </c>
      <c r="H233" s="16">
        <v>1277</v>
      </c>
      <c r="I233" s="5">
        <v>43541</v>
      </c>
      <c r="J233" s="5">
        <v>43007</v>
      </c>
      <c r="K233" s="16">
        <v>743</v>
      </c>
      <c r="L233" s="13">
        <v>984.22</v>
      </c>
      <c r="M233" s="15">
        <v>26.932290920871957</v>
      </c>
      <c r="N233" s="13">
        <v>984.22</v>
      </c>
      <c r="O233" s="13">
        <v>75</v>
      </c>
      <c r="P233" s="11">
        <v>1</v>
      </c>
    </row>
    <row r="234" spans="1:16" ht="15" thickBot="1" x14ac:dyDescent="0.3">
      <c r="A234" s="3" t="s">
        <v>1</v>
      </c>
      <c r="B234" s="4">
        <v>49660</v>
      </c>
      <c r="C234" s="3" t="s">
        <v>2</v>
      </c>
      <c r="D234" s="18">
        <v>0.1</v>
      </c>
      <c r="E234" s="21">
        <v>7.9741404289037643E-3</v>
      </c>
      <c r="F234" s="5">
        <v>42278</v>
      </c>
      <c r="G234" s="5">
        <v>43540</v>
      </c>
      <c r="H234" s="16">
        <v>1262</v>
      </c>
      <c r="I234" s="5">
        <v>43540</v>
      </c>
      <c r="J234" s="5">
        <v>42675</v>
      </c>
      <c r="K234" s="16">
        <v>397</v>
      </c>
      <c r="L234" s="13">
        <v>33595.21</v>
      </c>
      <c r="M234" s="15">
        <v>943.18977996675221</v>
      </c>
      <c r="N234" s="13">
        <v>33595.21</v>
      </c>
      <c r="O234" s="13">
        <v>0</v>
      </c>
      <c r="P234" s="11">
        <v>1</v>
      </c>
    </row>
    <row r="235" spans="1:16" ht="15" thickBot="1" x14ac:dyDescent="0.3">
      <c r="A235" s="3" t="s">
        <v>1</v>
      </c>
      <c r="B235" s="4">
        <v>987859</v>
      </c>
      <c r="C235" s="3" t="s">
        <v>2</v>
      </c>
      <c r="D235" s="18">
        <v>0.08</v>
      </c>
      <c r="E235" s="21">
        <v>6.4340301100034303E-3</v>
      </c>
      <c r="F235" s="5">
        <v>42277</v>
      </c>
      <c r="G235" s="5">
        <v>44104</v>
      </c>
      <c r="H235" s="16">
        <v>1827</v>
      </c>
      <c r="I235" s="5">
        <v>44104</v>
      </c>
      <c r="J235" s="5">
        <v>43501</v>
      </c>
      <c r="K235" s="16">
        <v>1224</v>
      </c>
      <c r="L235" s="13">
        <v>47636.79</v>
      </c>
      <c r="M235" s="15">
        <v>947.92588348532126</v>
      </c>
      <c r="N235" s="13">
        <v>44114.85</v>
      </c>
      <c r="O235" s="13">
        <v>9365.9500000000007</v>
      </c>
      <c r="P235" s="11">
        <v>1</v>
      </c>
    </row>
    <row r="236" spans="1:16" ht="15" thickBot="1" x14ac:dyDescent="0.3">
      <c r="A236" s="3" t="s">
        <v>1</v>
      </c>
      <c r="B236" s="4">
        <v>898267</v>
      </c>
      <c r="C236" s="3" t="s">
        <v>2</v>
      </c>
      <c r="D236" s="18">
        <v>0.09</v>
      </c>
      <c r="E236" s="21">
        <v>7.2073233161367156E-3</v>
      </c>
      <c r="F236" s="5">
        <v>42285</v>
      </c>
      <c r="G236" s="5">
        <v>44112</v>
      </c>
      <c r="H236" s="16">
        <v>1827</v>
      </c>
      <c r="I236" s="5">
        <v>44112</v>
      </c>
      <c r="J236" s="5">
        <v>42573</v>
      </c>
      <c r="K236" s="16">
        <v>288</v>
      </c>
      <c r="L236" s="13">
        <v>55368.93</v>
      </c>
      <c r="M236" s="15">
        <v>1126.479213714229</v>
      </c>
      <c r="N236" s="13">
        <v>55368.93</v>
      </c>
      <c r="O236" s="13">
        <v>0</v>
      </c>
      <c r="P236" s="11">
        <v>1</v>
      </c>
    </row>
    <row r="237" spans="1:16" ht="15" thickBot="1" x14ac:dyDescent="0.3">
      <c r="A237" s="3" t="s">
        <v>1</v>
      </c>
      <c r="B237" s="4">
        <v>97340</v>
      </c>
      <c r="C237" s="3" t="s">
        <v>2</v>
      </c>
      <c r="D237" s="18">
        <v>0.1</v>
      </c>
      <c r="E237" s="21">
        <v>7.9741404289037643E-3</v>
      </c>
      <c r="F237" s="5">
        <v>42307</v>
      </c>
      <c r="G237" s="5">
        <v>44436</v>
      </c>
      <c r="H237" s="16">
        <v>2129</v>
      </c>
      <c r="I237" s="5">
        <v>44436</v>
      </c>
      <c r="J237" s="5">
        <v>43598</v>
      </c>
      <c r="K237" s="16">
        <v>1291</v>
      </c>
      <c r="L237" s="13">
        <v>49878.73</v>
      </c>
      <c r="M237" s="15">
        <v>923.10001327675445</v>
      </c>
      <c r="N237" s="13">
        <v>46394.93</v>
      </c>
      <c r="O237" s="13">
        <v>13493.26</v>
      </c>
      <c r="P237" s="11">
        <v>1</v>
      </c>
    </row>
    <row r="238" spans="1:16" ht="15" thickBot="1" x14ac:dyDescent="0.3">
      <c r="A238" s="3" t="s">
        <v>1</v>
      </c>
      <c r="B238" s="4">
        <v>867316</v>
      </c>
      <c r="C238" s="3" t="s">
        <v>2</v>
      </c>
      <c r="D238" s="18">
        <v>8.5000000000000006E-2</v>
      </c>
      <c r="E238" s="21">
        <v>6.8214933659622723E-3</v>
      </c>
      <c r="F238" s="5">
        <v>42310</v>
      </c>
      <c r="G238" s="5">
        <v>43283</v>
      </c>
      <c r="H238" s="16">
        <v>973</v>
      </c>
      <c r="I238" s="5">
        <v>43283</v>
      </c>
      <c r="J238" s="5">
        <v>43003</v>
      </c>
      <c r="K238" s="16">
        <v>693</v>
      </c>
      <c r="L238" s="13">
        <v>64000</v>
      </c>
      <c r="M238" s="15">
        <v>2206.304348745994</v>
      </c>
      <c r="N238" s="13">
        <v>64000</v>
      </c>
      <c r="O238" s="13">
        <v>13500</v>
      </c>
      <c r="P238" s="11">
        <v>1</v>
      </c>
    </row>
    <row r="239" spans="1:16" ht="15" thickBot="1" x14ac:dyDescent="0.3">
      <c r="A239" s="3" t="s">
        <v>1</v>
      </c>
      <c r="B239" s="4">
        <v>482244</v>
      </c>
      <c r="C239" s="3" t="s">
        <v>2</v>
      </c>
      <c r="D239" s="18">
        <v>7.4999999999999997E-2</v>
      </c>
      <c r="E239" s="21">
        <v>6.0449190242917172E-3</v>
      </c>
      <c r="F239" s="5">
        <v>42311</v>
      </c>
      <c r="G239" s="5">
        <v>42677</v>
      </c>
      <c r="H239" s="16">
        <v>366</v>
      </c>
      <c r="I239" s="5">
        <v>42677</v>
      </c>
      <c r="J239" s="5">
        <v>42709</v>
      </c>
      <c r="K239" s="16">
        <v>398</v>
      </c>
      <c r="L239" s="13">
        <v>160000</v>
      </c>
      <c r="M239" s="15">
        <v>13643.872201064907</v>
      </c>
      <c r="N239" s="13">
        <v>160000</v>
      </c>
      <c r="O239" s="13">
        <v>0</v>
      </c>
      <c r="P239" s="11">
        <v>1</v>
      </c>
    </row>
    <row r="240" spans="1:16" ht="15" thickBot="1" x14ac:dyDescent="0.3">
      <c r="A240" s="3" t="s">
        <v>1</v>
      </c>
      <c r="B240" s="4">
        <v>800464</v>
      </c>
      <c r="C240" s="3" t="s">
        <v>2</v>
      </c>
      <c r="D240" s="18">
        <v>0.08</v>
      </c>
      <c r="E240" s="21">
        <v>6.4340301100034303E-3</v>
      </c>
      <c r="F240" s="5">
        <v>42345</v>
      </c>
      <c r="G240" s="5">
        <v>42711</v>
      </c>
      <c r="H240" s="16">
        <v>366</v>
      </c>
      <c r="I240" s="5">
        <v>42711</v>
      </c>
      <c r="J240" s="5">
        <v>42655</v>
      </c>
      <c r="K240" s="16">
        <v>310</v>
      </c>
      <c r="L240" s="13">
        <v>54121.95</v>
      </c>
      <c r="M240" s="15">
        <v>4626.8629725512556</v>
      </c>
      <c r="N240" s="13">
        <v>54121.95</v>
      </c>
      <c r="O240" s="13">
        <v>0</v>
      </c>
      <c r="P240" s="11">
        <v>1</v>
      </c>
    </row>
    <row r="241" spans="1:16" ht="15" thickBot="1" x14ac:dyDescent="0.3">
      <c r="A241" s="3" t="s">
        <v>1</v>
      </c>
      <c r="B241" s="4">
        <v>117023</v>
      </c>
      <c r="C241" s="3" t="s">
        <v>2</v>
      </c>
      <c r="D241" s="18">
        <v>0.08</v>
      </c>
      <c r="E241" s="21">
        <v>6.4340301100034303E-3</v>
      </c>
      <c r="F241" s="5">
        <v>42345</v>
      </c>
      <c r="G241" s="5">
        <v>42734</v>
      </c>
      <c r="H241" s="16">
        <v>389</v>
      </c>
      <c r="I241" s="5">
        <v>42734</v>
      </c>
      <c r="J241" s="5">
        <v>42655</v>
      </c>
      <c r="K241" s="16">
        <v>310</v>
      </c>
      <c r="L241" s="13">
        <v>34615.11</v>
      </c>
      <c r="M241" s="15">
        <v>2791.0251249037897</v>
      </c>
      <c r="N241" s="13">
        <v>34615.11</v>
      </c>
      <c r="O241" s="13">
        <v>0</v>
      </c>
      <c r="P241" s="11">
        <v>1</v>
      </c>
    </row>
    <row r="242" spans="1:16" ht="15" thickBot="1" x14ac:dyDescent="0.3">
      <c r="A242" s="3" t="s">
        <v>1</v>
      </c>
      <c r="B242" s="4">
        <v>387555</v>
      </c>
      <c r="C242" s="3" t="s">
        <v>2</v>
      </c>
      <c r="D242" s="18">
        <v>0.08</v>
      </c>
      <c r="E242" s="21">
        <v>6.4340301100034303E-3</v>
      </c>
      <c r="F242" s="5">
        <v>42368</v>
      </c>
      <c r="G242" s="5">
        <v>42734</v>
      </c>
      <c r="H242" s="16">
        <v>366</v>
      </c>
      <c r="I242" s="5">
        <v>42734</v>
      </c>
      <c r="J242" s="5">
        <v>42978</v>
      </c>
      <c r="K242" s="16">
        <v>610</v>
      </c>
      <c r="L242" s="13">
        <v>41950</v>
      </c>
      <c r="M242" s="15">
        <v>3586.2880346795555</v>
      </c>
      <c r="N242" s="13">
        <v>41950</v>
      </c>
      <c r="O242" s="13">
        <v>703.13</v>
      </c>
      <c r="P242" s="11">
        <v>1</v>
      </c>
    </row>
    <row r="243" spans="1:16" ht="15" thickBot="1" x14ac:dyDescent="0.3">
      <c r="A243" s="3" t="s">
        <v>1</v>
      </c>
      <c r="B243" s="4">
        <v>682985</v>
      </c>
      <c r="C243" s="3" t="s">
        <v>2</v>
      </c>
      <c r="D243" s="18">
        <v>8.5000000000000006E-2</v>
      </c>
      <c r="E243" s="21">
        <v>6.8214933659622723E-3</v>
      </c>
      <c r="F243" s="5">
        <v>42436</v>
      </c>
      <c r="G243" s="5">
        <v>44262</v>
      </c>
      <c r="H243" s="16">
        <v>1826</v>
      </c>
      <c r="I243" s="5">
        <v>44262</v>
      </c>
      <c r="J243" s="5">
        <v>43644</v>
      </c>
      <c r="K243" s="16">
        <v>1208</v>
      </c>
      <c r="L243" s="13">
        <v>42890.09</v>
      </c>
      <c r="M243" s="15">
        <v>863.40444567215661</v>
      </c>
      <c r="N243" s="13">
        <v>42890.09</v>
      </c>
      <c r="O243" s="13">
        <v>28000</v>
      </c>
      <c r="P243" s="11">
        <v>1</v>
      </c>
    </row>
    <row r="244" spans="1:16" ht="15" thickBot="1" x14ac:dyDescent="0.3">
      <c r="A244" s="3" t="s">
        <v>1</v>
      </c>
      <c r="B244" s="4">
        <v>974752</v>
      </c>
      <c r="C244" s="3" t="s">
        <v>2</v>
      </c>
      <c r="D244" s="18">
        <v>0.1</v>
      </c>
      <c r="E244" s="21">
        <v>7.9741404289037643E-3</v>
      </c>
      <c r="F244" s="5">
        <v>42451</v>
      </c>
      <c r="G244" s="5">
        <v>44308</v>
      </c>
      <c r="H244" s="16">
        <v>1857</v>
      </c>
      <c r="I244" s="5">
        <v>44308</v>
      </c>
      <c r="J244" s="5">
        <v>43213</v>
      </c>
      <c r="K244" s="16">
        <v>762</v>
      </c>
      <c r="L244" s="13">
        <v>32754.21</v>
      </c>
      <c r="M244" s="15">
        <v>672.50545442468206</v>
      </c>
      <c r="N244" s="13">
        <v>32754.21</v>
      </c>
      <c r="O244" s="13">
        <v>0</v>
      </c>
      <c r="P244" s="11">
        <v>1</v>
      </c>
    </row>
    <row r="245" spans="1:16" ht="15" thickBot="1" x14ac:dyDescent="0.3">
      <c r="A245" s="3" t="s">
        <v>1</v>
      </c>
      <c r="B245" s="4">
        <v>420701</v>
      </c>
      <c r="C245" s="3" t="s">
        <v>2</v>
      </c>
      <c r="D245" s="18">
        <v>0.09</v>
      </c>
      <c r="E245" s="21">
        <v>7.2073233161367156E-3</v>
      </c>
      <c r="F245" s="5">
        <v>42488</v>
      </c>
      <c r="G245" s="5">
        <v>43736</v>
      </c>
      <c r="H245" s="16">
        <v>1248</v>
      </c>
      <c r="I245" s="5">
        <v>43736</v>
      </c>
      <c r="J245" s="5">
        <v>43220</v>
      </c>
      <c r="K245" s="16">
        <v>732</v>
      </c>
      <c r="L245" s="13">
        <v>17881.650000000001</v>
      </c>
      <c r="M245" s="15">
        <v>499.03771893480342</v>
      </c>
      <c r="N245" s="13">
        <v>17881.650000000001</v>
      </c>
      <c r="O245" s="13">
        <v>0</v>
      </c>
      <c r="P245" s="11">
        <v>1</v>
      </c>
    </row>
    <row r="246" spans="1:16" ht="15" thickBot="1" x14ac:dyDescent="0.3">
      <c r="A246" s="3" t="s">
        <v>1</v>
      </c>
      <c r="B246" s="4">
        <v>988969</v>
      </c>
      <c r="C246" s="3" t="s">
        <v>3</v>
      </c>
      <c r="D246" s="18">
        <v>0.09</v>
      </c>
      <c r="E246" s="21">
        <v>7.2073233161367156E-3</v>
      </c>
      <c r="F246" s="5">
        <v>42489</v>
      </c>
      <c r="G246" s="5">
        <v>43310</v>
      </c>
      <c r="H246" s="16">
        <v>821</v>
      </c>
      <c r="I246" s="5">
        <v>43310</v>
      </c>
      <c r="J246" s="5">
        <v>43496</v>
      </c>
      <c r="K246" s="16">
        <v>1007</v>
      </c>
      <c r="L246" s="13">
        <v>31759.5</v>
      </c>
      <c r="M246" s="15">
        <v>1282.891733619384</v>
      </c>
      <c r="N246" s="13">
        <v>31759.5</v>
      </c>
      <c r="O246" s="13">
        <v>0</v>
      </c>
      <c r="P246" s="11">
        <v>1</v>
      </c>
    </row>
    <row r="247" spans="1:16" ht="15" thickBot="1" x14ac:dyDescent="0.3">
      <c r="A247" s="3" t="s">
        <v>1</v>
      </c>
      <c r="B247" s="4">
        <v>217345</v>
      </c>
      <c r="C247" s="3" t="s">
        <v>2</v>
      </c>
      <c r="D247" s="18">
        <v>0.1</v>
      </c>
      <c r="E247" s="21">
        <v>7.9741404289037643E-3</v>
      </c>
      <c r="F247" s="5">
        <v>42499</v>
      </c>
      <c r="G247" s="5">
        <v>44751</v>
      </c>
      <c r="H247" s="16">
        <v>2252</v>
      </c>
      <c r="I247" s="5">
        <v>44751</v>
      </c>
      <c r="J247" s="5">
        <v>42941</v>
      </c>
      <c r="K247" s="16">
        <v>442</v>
      </c>
      <c r="L247" s="13">
        <v>31945.21</v>
      </c>
      <c r="M247" s="15">
        <v>567.2022803560219</v>
      </c>
      <c r="N247" s="13">
        <v>31945.21</v>
      </c>
      <c r="O247" s="13">
        <v>0</v>
      </c>
      <c r="P247" s="11">
        <v>1</v>
      </c>
    </row>
    <row r="248" spans="1:16" ht="15" thickBot="1" x14ac:dyDescent="0.3">
      <c r="A248" s="3" t="s">
        <v>1</v>
      </c>
      <c r="B248" s="4">
        <v>383261</v>
      </c>
      <c r="C248" s="3" t="s">
        <v>2</v>
      </c>
      <c r="D248" s="18">
        <v>0.09</v>
      </c>
      <c r="E248" s="21">
        <v>7.2073233161367156E-3</v>
      </c>
      <c r="F248" s="5">
        <v>42502</v>
      </c>
      <c r="G248" s="5">
        <v>45458</v>
      </c>
      <c r="H248" s="16">
        <v>2956</v>
      </c>
      <c r="I248" s="5">
        <v>45458</v>
      </c>
      <c r="J248" s="5">
        <v>43598</v>
      </c>
      <c r="K248" s="16">
        <v>1096</v>
      </c>
      <c r="L248" s="13">
        <v>16000</v>
      </c>
      <c r="M248" s="15">
        <v>227.36858120796089</v>
      </c>
      <c r="N248" s="13">
        <v>14154.2</v>
      </c>
      <c r="O248" s="13">
        <v>0</v>
      </c>
      <c r="P248" s="11">
        <v>1</v>
      </c>
    </row>
    <row r="249" spans="1:16" ht="15" thickBot="1" x14ac:dyDescent="0.3">
      <c r="A249" s="3" t="s">
        <v>1</v>
      </c>
      <c r="B249" s="4">
        <v>14101</v>
      </c>
      <c r="C249" s="3" t="s">
        <v>2</v>
      </c>
      <c r="D249" s="18">
        <v>7.0000000000000007E-2</v>
      </c>
      <c r="E249" s="21">
        <v>5.6541453874052738E-3</v>
      </c>
      <c r="F249" s="5">
        <v>42515</v>
      </c>
      <c r="G249" s="5">
        <v>44706</v>
      </c>
      <c r="H249" s="16">
        <v>2191</v>
      </c>
      <c r="I249" s="5">
        <v>44706</v>
      </c>
      <c r="J249" s="5">
        <v>43496</v>
      </c>
      <c r="K249" s="16">
        <v>981</v>
      </c>
      <c r="L249" s="13">
        <v>183294.62</v>
      </c>
      <c r="M249" s="15">
        <v>3070.4778913289556</v>
      </c>
      <c r="N249" s="13">
        <v>173915.51999999999</v>
      </c>
      <c r="O249" s="13">
        <v>0</v>
      </c>
      <c r="P249" s="11">
        <v>1</v>
      </c>
    </row>
    <row r="250" spans="1:16" ht="15" thickBot="1" x14ac:dyDescent="0.3">
      <c r="A250" s="3" t="s">
        <v>1</v>
      </c>
      <c r="B250" s="4">
        <v>940601</v>
      </c>
      <c r="C250" s="3" t="s">
        <v>2</v>
      </c>
      <c r="D250" s="18">
        <v>0.08</v>
      </c>
      <c r="E250" s="21">
        <v>6.4340301100034303E-3</v>
      </c>
      <c r="F250" s="5">
        <v>42591</v>
      </c>
      <c r="G250" s="5">
        <v>43109</v>
      </c>
      <c r="H250" s="16">
        <v>518</v>
      </c>
      <c r="I250" s="5">
        <v>43109</v>
      </c>
      <c r="J250" s="5">
        <v>42822</v>
      </c>
      <c r="K250" s="16">
        <v>231</v>
      </c>
      <c r="L250" s="13">
        <v>50000</v>
      </c>
      <c r="M250" s="15">
        <v>3068.8774905120154</v>
      </c>
      <c r="N250" s="13">
        <v>50000</v>
      </c>
      <c r="O250" s="13">
        <v>0</v>
      </c>
      <c r="P250" s="11">
        <v>1</v>
      </c>
    </row>
    <row r="251" spans="1:16" ht="15" thickBot="1" x14ac:dyDescent="0.3">
      <c r="A251" s="3" t="s">
        <v>1</v>
      </c>
      <c r="B251" s="4">
        <v>558063</v>
      </c>
      <c r="C251" s="3" t="s">
        <v>2</v>
      </c>
      <c r="D251" s="18">
        <v>0.11</v>
      </c>
      <c r="E251" s="21">
        <v>8.7345938235519061E-3</v>
      </c>
      <c r="F251" s="5">
        <v>42601</v>
      </c>
      <c r="G251" s="5">
        <v>44427</v>
      </c>
      <c r="H251" s="16">
        <v>1826</v>
      </c>
      <c r="I251" s="5">
        <v>44427</v>
      </c>
      <c r="J251" s="5">
        <v>43542</v>
      </c>
      <c r="K251" s="16">
        <v>941</v>
      </c>
      <c r="L251" s="13">
        <v>22228.28</v>
      </c>
      <c r="M251" s="15">
        <v>472.39110773901825</v>
      </c>
      <c r="N251" s="13">
        <v>20906.080000000002</v>
      </c>
      <c r="O251" s="13">
        <v>0</v>
      </c>
      <c r="P251" s="11">
        <v>1</v>
      </c>
    </row>
    <row r="252" spans="1:16" ht="15" thickBot="1" x14ac:dyDescent="0.3">
      <c r="A252" s="3" t="s">
        <v>1</v>
      </c>
      <c r="B252" s="4">
        <v>851144</v>
      </c>
      <c r="C252" s="3" t="s">
        <v>2</v>
      </c>
      <c r="D252" s="18">
        <v>0.1</v>
      </c>
      <c r="E252" s="21">
        <v>7.9741404289037643E-3</v>
      </c>
      <c r="F252" s="5">
        <v>42636</v>
      </c>
      <c r="G252" s="5">
        <v>43396</v>
      </c>
      <c r="H252" s="16">
        <v>760</v>
      </c>
      <c r="I252" s="5">
        <v>43396</v>
      </c>
      <c r="J252" s="5">
        <v>43182</v>
      </c>
      <c r="K252" s="16">
        <v>546</v>
      </c>
      <c r="L252" s="13">
        <v>10262.040000000001</v>
      </c>
      <c r="M252" s="15">
        <v>448.98012493115596</v>
      </c>
      <c r="N252" s="13">
        <v>10262.040000000001</v>
      </c>
      <c r="O252" s="13">
        <v>0</v>
      </c>
      <c r="P252" s="11">
        <v>1</v>
      </c>
    </row>
    <row r="253" spans="1:16" ht="15" thickBot="1" x14ac:dyDescent="0.3">
      <c r="A253" s="3" t="s">
        <v>1</v>
      </c>
      <c r="B253" s="4">
        <v>11139</v>
      </c>
      <c r="C253" s="3" t="s">
        <v>2</v>
      </c>
      <c r="D253" s="18">
        <v>7.4999999999999997E-2</v>
      </c>
      <c r="E253" s="21">
        <v>6.0449190242917172E-3</v>
      </c>
      <c r="F253" s="5">
        <v>42643</v>
      </c>
      <c r="G253" s="5">
        <v>44834</v>
      </c>
      <c r="H253" s="16">
        <v>2191</v>
      </c>
      <c r="I253" s="5">
        <v>44834</v>
      </c>
      <c r="J253" s="5">
        <v>43496</v>
      </c>
      <c r="K253" s="16">
        <v>853</v>
      </c>
      <c r="L253" s="13">
        <v>143204.16</v>
      </c>
      <c r="M253" s="15">
        <v>2431.204414393947</v>
      </c>
      <c r="N253" s="13">
        <v>132830.57999999999</v>
      </c>
      <c r="O253" s="13">
        <v>0</v>
      </c>
      <c r="P253" s="11">
        <v>1</v>
      </c>
    </row>
    <row r="254" spans="1:16" ht="15" thickBot="1" x14ac:dyDescent="0.3">
      <c r="A254" s="3" t="s">
        <v>1</v>
      </c>
      <c r="B254" s="4">
        <v>186518</v>
      </c>
      <c r="C254" s="3" t="s">
        <v>2</v>
      </c>
      <c r="D254" s="18">
        <v>0.09</v>
      </c>
      <c r="E254" s="21">
        <v>7.2073233161367156E-3</v>
      </c>
      <c r="F254" s="5">
        <v>42643</v>
      </c>
      <c r="G254" s="5">
        <v>43266</v>
      </c>
      <c r="H254" s="16">
        <v>623</v>
      </c>
      <c r="I254" s="5">
        <v>43266</v>
      </c>
      <c r="J254" s="5">
        <v>43042</v>
      </c>
      <c r="K254" s="16">
        <v>399</v>
      </c>
      <c r="L254" s="13">
        <v>46000</v>
      </c>
      <c r="M254" s="15">
        <v>2392.9483873426548</v>
      </c>
      <c r="N254" s="13">
        <v>46000</v>
      </c>
      <c r="O254" s="13">
        <v>0</v>
      </c>
      <c r="P254" s="11">
        <v>1</v>
      </c>
    </row>
    <row r="255" spans="1:16" ht="15" thickBot="1" x14ac:dyDescent="0.3">
      <c r="A255" s="3" t="s">
        <v>1</v>
      </c>
      <c r="B255" s="4">
        <v>666292</v>
      </c>
      <c r="C255" s="3" t="s">
        <v>2</v>
      </c>
      <c r="D255" s="18">
        <v>0.1</v>
      </c>
      <c r="E255" s="21">
        <v>7.9741404289037643E-3</v>
      </c>
      <c r="F255" s="5">
        <v>42674</v>
      </c>
      <c r="G255" s="5">
        <v>44607</v>
      </c>
      <c r="H255" s="16">
        <v>1933</v>
      </c>
      <c r="I255" s="5">
        <v>44607</v>
      </c>
      <c r="J255" s="5">
        <v>43496</v>
      </c>
      <c r="K255" s="16">
        <v>822</v>
      </c>
      <c r="L255" s="13">
        <v>40632.22</v>
      </c>
      <c r="M255" s="15">
        <v>808.88110947180485</v>
      </c>
      <c r="N255" s="13">
        <v>40632.22</v>
      </c>
      <c r="O255" s="13">
        <v>0</v>
      </c>
      <c r="P255" s="11">
        <v>1</v>
      </c>
    </row>
    <row r="256" spans="1:16" ht="15" thickBot="1" x14ac:dyDescent="0.3">
      <c r="A256" s="3" t="s">
        <v>1</v>
      </c>
      <c r="B256" s="4">
        <v>963391</v>
      </c>
      <c r="C256" s="3" t="s">
        <v>2</v>
      </c>
      <c r="D256" s="18">
        <v>0.08</v>
      </c>
      <c r="E256" s="21">
        <v>6.4340301100034303E-3</v>
      </c>
      <c r="F256" s="5">
        <v>42719</v>
      </c>
      <c r="G256" s="5">
        <v>44180</v>
      </c>
      <c r="H256" s="16">
        <v>1461</v>
      </c>
      <c r="I256" s="5">
        <v>44180</v>
      </c>
      <c r="J256" s="5">
        <v>43501</v>
      </c>
      <c r="K256" s="16">
        <v>782</v>
      </c>
      <c r="L256" s="13">
        <v>8841.34</v>
      </c>
      <c r="M256" s="15">
        <v>212.05136286713591</v>
      </c>
      <c r="N256" s="13">
        <v>8020.2</v>
      </c>
      <c r="O256" s="13">
        <v>8020.2</v>
      </c>
      <c r="P256" s="11">
        <v>1</v>
      </c>
    </row>
    <row r="257" spans="1:16" ht="15" thickBot="1" x14ac:dyDescent="0.3">
      <c r="A257" s="3" t="s">
        <v>1</v>
      </c>
      <c r="B257" s="4">
        <v>601525</v>
      </c>
      <c r="C257" s="3" t="s">
        <v>2</v>
      </c>
      <c r="D257" s="18">
        <v>0.08</v>
      </c>
      <c r="E257" s="21">
        <v>6.4340301100034303E-3</v>
      </c>
      <c r="F257" s="5">
        <v>42725</v>
      </c>
      <c r="G257" s="5">
        <v>45647</v>
      </c>
      <c r="H257" s="16">
        <v>2922</v>
      </c>
      <c r="I257" s="5">
        <v>45647</v>
      </c>
      <c r="J257" s="5">
        <v>43496</v>
      </c>
      <c r="K257" s="16">
        <v>771</v>
      </c>
      <c r="L257" s="13">
        <v>21813.54</v>
      </c>
      <c r="M257" s="15">
        <v>302.11138205490931</v>
      </c>
      <c r="N257" s="13">
        <v>21813.54</v>
      </c>
      <c r="O257" s="13">
        <v>0</v>
      </c>
      <c r="P257" s="11">
        <v>1</v>
      </c>
    </row>
    <row r="258" spans="1:16" ht="15" thickBot="1" x14ac:dyDescent="0.3">
      <c r="A258" s="3" t="s">
        <v>1</v>
      </c>
      <c r="B258" s="4">
        <v>728814</v>
      </c>
      <c r="C258" s="3" t="s">
        <v>3</v>
      </c>
      <c r="D258" s="18">
        <v>0.09</v>
      </c>
      <c r="E258" s="21">
        <v>7.2073233161367156E-3</v>
      </c>
      <c r="F258" s="5">
        <v>42734</v>
      </c>
      <c r="G258" s="5">
        <v>43373</v>
      </c>
      <c r="H258" s="16">
        <v>639</v>
      </c>
      <c r="I258" s="5">
        <v>43373</v>
      </c>
      <c r="J258" s="5">
        <v>43496</v>
      </c>
      <c r="K258" s="16">
        <v>762</v>
      </c>
      <c r="L258" s="13">
        <v>38000</v>
      </c>
      <c r="M258" s="15">
        <v>1930.8878724238855</v>
      </c>
      <c r="N258" s="13">
        <v>38000</v>
      </c>
      <c r="O258" s="13">
        <v>0</v>
      </c>
      <c r="P258" s="11">
        <v>1</v>
      </c>
    </row>
    <row r="259" spans="1:16" ht="15" thickBot="1" x14ac:dyDescent="0.3">
      <c r="A259" s="3" t="s">
        <v>1</v>
      </c>
      <c r="B259" s="4">
        <v>207349</v>
      </c>
      <c r="C259" s="3" t="s">
        <v>2</v>
      </c>
      <c r="D259" s="18">
        <v>0.09</v>
      </c>
      <c r="E259" s="21">
        <v>7.2073233161367156E-3</v>
      </c>
      <c r="F259" s="5">
        <v>42755</v>
      </c>
      <c r="G259" s="5">
        <v>44581</v>
      </c>
      <c r="H259" s="16">
        <v>1826</v>
      </c>
      <c r="I259" s="5">
        <v>44581</v>
      </c>
      <c r="J259" s="5">
        <v>42814</v>
      </c>
      <c r="K259" s="16">
        <v>59</v>
      </c>
      <c r="L259" s="13">
        <v>16880.68</v>
      </c>
      <c r="M259" s="15">
        <v>343.58686874031525</v>
      </c>
      <c r="N259" s="13">
        <v>16880.68</v>
      </c>
      <c r="O259" s="13">
        <v>0</v>
      </c>
      <c r="P259" s="11">
        <v>1</v>
      </c>
    </row>
    <row r="260" spans="1:16" ht="15" thickBot="1" x14ac:dyDescent="0.3">
      <c r="A260" s="3" t="s">
        <v>1</v>
      </c>
      <c r="B260" s="4">
        <v>67117</v>
      </c>
      <c r="C260" s="3" t="s">
        <v>2</v>
      </c>
      <c r="D260" s="18">
        <v>0.1</v>
      </c>
      <c r="E260" s="21">
        <v>7.9741404289037643E-3</v>
      </c>
      <c r="F260" s="5">
        <v>42759</v>
      </c>
      <c r="G260" s="5">
        <v>43520</v>
      </c>
      <c r="H260" s="16">
        <v>761</v>
      </c>
      <c r="I260" s="5">
        <v>43520</v>
      </c>
      <c r="J260" s="5">
        <v>43371</v>
      </c>
      <c r="K260" s="16">
        <v>612</v>
      </c>
      <c r="L260" s="13">
        <v>12519.64</v>
      </c>
      <c r="M260" s="15">
        <v>547.10382583829403</v>
      </c>
      <c r="N260" s="13">
        <v>12519.64</v>
      </c>
      <c r="O260" s="13">
        <v>0</v>
      </c>
      <c r="P260" s="11">
        <v>1</v>
      </c>
    </row>
    <row r="261" spans="1:16" ht="15" thickBot="1" x14ac:dyDescent="0.3">
      <c r="A261" s="3" t="s">
        <v>1</v>
      </c>
      <c r="B261" s="4">
        <v>598777</v>
      </c>
      <c r="C261" s="3" t="s">
        <v>2</v>
      </c>
      <c r="D261" s="18">
        <v>8.5000000000000006E-2</v>
      </c>
      <c r="E261" s="21">
        <v>6.8214933659622723E-3</v>
      </c>
      <c r="F261" s="5">
        <v>42822</v>
      </c>
      <c r="G261" s="5">
        <v>45379</v>
      </c>
      <c r="H261" s="16">
        <v>2557</v>
      </c>
      <c r="I261" s="5">
        <v>45379</v>
      </c>
      <c r="J261" s="5">
        <v>43644</v>
      </c>
      <c r="K261" s="16">
        <v>822</v>
      </c>
      <c r="L261" s="13">
        <v>472.72</v>
      </c>
      <c r="M261" s="15">
        <v>7.3322550051214872</v>
      </c>
      <c r="N261" s="13">
        <v>472.72</v>
      </c>
      <c r="O261" s="13">
        <v>0</v>
      </c>
      <c r="P261" s="11">
        <v>1</v>
      </c>
    </row>
    <row r="262" spans="1:16" ht="15" thickBot="1" x14ac:dyDescent="0.3">
      <c r="A262" s="3" t="s">
        <v>1</v>
      </c>
      <c r="B262" s="4">
        <v>184167</v>
      </c>
      <c r="C262" s="3" t="s">
        <v>2</v>
      </c>
      <c r="D262" s="18">
        <v>8.5000000000000006E-2</v>
      </c>
      <c r="E262" s="21">
        <v>6.8214933659622723E-3</v>
      </c>
      <c r="F262" s="5">
        <v>42822</v>
      </c>
      <c r="G262" s="5">
        <v>45379</v>
      </c>
      <c r="H262" s="16">
        <v>2557</v>
      </c>
      <c r="I262" s="5">
        <v>45379</v>
      </c>
      <c r="J262" s="5">
        <v>43006</v>
      </c>
      <c r="K262" s="16">
        <v>184</v>
      </c>
      <c r="L262" s="13">
        <v>284057.71000000002</v>
      </c>
      <c r="M262" s="15">
        <v>4405.9560964013544</v>
      </c>
      <c r="N262" s="13">
        <v>284057.71000000002</v>
      </c>
      <c r="O262" s="13">
        <v>0</v>
      </c>
      <c r="P262" s="11">
        <v>1</v>
      </c>
    </row>
    <row r="263" spans="1:16" ht="15" thickBot="1" x14ac:dyDescent="0.3">
      <c r="A263" s="3" t="s">
        <v>1</v>
      </c>
      <c r="B263" s="4">
        <v>515810</v>
      </c>
      <c r="C263" s="3" t="s">
        <v>2</v>
      </c>
      <c r="D263" s="18">
        <v>0.1</v>
      </c>
      <c r="E263" s="21">
        <v>7.9741404289037643E-3</v>
      </c>
      <c r="F263" s="5">
        <v>42865</v>
      </c>
      <c r="G263" s="5">
        <v>44722</v>
      </c>
      <c r="H263" s="16">
        <v>1857</v>
      </c>
      <c r="I263" s="5">
        <v>44722</v>
      </c>
      <c r="J263" s="5">
        <v>43159</v>
      </c>
      <c r="K263" s="16">
        <v>294</v>
      </c>
      <c r="L263" s="13">
        <v>29942.54</v>
      </c>
      <c r="M263" s="15">
        <v>614.77658808834713</v>
      </c>
      <c r="N263" s="13">
        <v>29942.54</v>
      </c>
      <c r="O263" s="13">
        <v>0</v>
      </c>
      <c r="P263" s="11">
        <v>1</v>
      </c>
    </row>
    <row r="264" spans="1:16" ht="15" thickBot="1" x14ac:dyDescent="0.3">
      <c r="A264" s="3" t="s">
        <v>1</v>
      </c>
      <c r="B264" s="4">
        <v>699510</v>
      </c>
      <c r="C264" s="3" t="s">
        <v>2</v>
      </c>
      <c r="D264" s="18">
        <v>0.1</v>
      </c>
      <c r="E264" s="21">
        <v>7.9741404289037643E-3</v>
      </c>
      <c r="F264" s="5">
        <v>42895</v>
      </c>
      <c r="G264" s="5">
        <v>43260</v>
      </c>
      <c r="H264" s="16">
        <v>365</v>
      </c>
      <c r="I264" s="5">
        <v>43260</v>
      </c>
      <c r="J264" s="5">
        <v>43229</v>
      </c>
      <c r="K264" s="16">
        <v>334</v>
      </c>
      <c r="L264" s="13">
        <v>10606.75</v>
      </c>
      <c r="M264" s="15">
        <v>918.22980557157621</v>
      </c>
      <c r="N264" s="13">
        <v>10606.75</v>
      </c>
      <c r="O264" s="13">
        <v>0</v>
      </c>
      <c r="P264" s="11">
        <v>1</v>
      </c>
    </row>
    <row r="265" spans="1:16" ht="15" thickBot="1" x14ac:dyDescent="0.3">
      <c r="A265" s="3" t="s">
        <v>1</v>
      </c>
      <c r="B265" s="4">
        <v>289472</v>
      </c>
      <c r="C265" s="3" t="s">
        <v>2</v>
      </c>
      <c r="D265" s="18">
        <v>0.1</v>
      </c>
      <c r="E265" s="21">
        <v>7.9741404289037643E-3</v>
      </c>
      <c r="F265" s="5">
        <v>42912</v>
      </c>
      <c r="G265" s="5">
        <v>43460</v>
      </c>
      <c r="H265" s="16">
        <v>548</v>
      </c>
      <c r="I265" s="5">
        <v>43460</v>
      </c>
      <c r="J265" s="5">
        <v>43371</v>
      </c>
      <c r="K265" s="16">
        <v>459</v>
      </c>
      <c r="L265" s="13">
        <v>3030.66</v>
      </c>
      <c r="M265" s="15">
        <v>178.94820737777252</v>
      </c>
      <c r="N265" s="13">
        <v>3030.66</v>
      </c>
      <c r="O265" s="13">
        <v>0</v>
      </c>
      <c r="P265" s="11">
        <v>1</v>
      </c>
    </row>
    <row r="266" spans="1:16" ht="15" thickBot="1" x14ac:dyDescent="0.3">
      <c r="A266" s="3" t="s">
        <v>1</v>
      </c>
      <c r="B266" s="4">
        <v>342227</v>
      </c>
      <c r="C266" s="3" t="s">
        <v>2</v>
      </c>
      <c r="D266" s="18">
        <v>0.09</v>
      </c>
      <c r="E266" s="21">
        <v>7.2073233161367156E-3</v>
      </c>
      <c r="F266" s="5">
        <v>43000</v>
      </c>
      <c r="G266" s="5">
        <v>45180</v>
      </c>
      <c r="H266" s="16">
        <v>2180</v>
      </c>
      <c r="I266" s="5">
        <v>45180</v>
      </c>
      <c r="J266" s="5">
        <v>43496</v>
      </c>
      <c r="K266" s="16">
        <v>496</v>
      </c>
      <c r="L266" s="13">
        <v>36341.269999999997</v>
      </c>
      <c r="M266" s="15">
        <v>644.21003433015437</v>
      </c>
      <c r="N266" s="13">
        <v>36341.269999999997</v>
      </c>
      <c r="O266" s="13">
        <v>0</v>
      </c>
      <c r="P266" s="11">
        <v>1</v>
      </c>
    </row>
    <row r="267" spans="1:16" ht="15" thickBot="1" x14ac:dyDescent="0.3">
      <c r="A267" s="3" t="s">
        <v>1</v>
      </c>
      <c r="B267" s="4">
        <v>148294</v>
      </c>
      <c r="C267" s="3" t="s">
        <v>2</v>
      </c>
      <c r="D267" s="18">
        <v>0.09</v>
      </c>
      <c r="E267" s="21">
        <v>7.2073233161367156E-3</v>
      </c>
      <c r="F267" s="5">
        <v>43144</v>
      </c>
      <c r="G267" s="5">
        <v>44970</v>
      </c>
      <c r="H267" s="16">
        <v>1826</v>
      </c>
      <c r="I267" s="5">
        <v>44970</v>
      </c>
      <c r="J267" s="5">
        <v>43264</v>
      </c>
      <c r="K267" s="16">
        <v>120</v>
      </c>
      <c r="L267" s="13">
        <v>82183.240000000005</v>
      </c>
      <c r="M267" s="15">
        <v>1672.7455348086587</v>
      </c>
      <c r="N267" s="13">
        <v>82183.240000000005</v>
      </c>
      <c r="O267" s="13">
        <v>0</v>
      </c>
      <c r="P267" s="11">
        <v>1</v>
      </c>
    </row>
    <row r="268" spans="1:16" ht="15" thickBot="1" x14ac:dyDescent="0.3">
      <c r="A268" s="3" t="s">
        <v>1</v>
      </c>
      <c r="B268" s="4">
        <v>598179</v>
      </c>
      <c r="C268" s="3" t="s">
        <v>2</v>
      </c>
      <c r="D268" s="18">
        <v>0.09</v>
      </c>
      <c r="E268" s="21">
        <v>7.2073233161367156E-3</v>
      </c>
      <c r="F268" s="5">
        <v>43168</v>
      </c>
      <c r="G268" s="5">
        <v>44634</v>
      </c>
      <c r="H268" s="16">
        <v>1466</v>
      </c>
      <c r="I268" s="5">
        <v>46803</v>
      </c>
      <c r="J268" s="5">
        <v>45467</v>
      </c>
      <c r="K268" s="16">
        <v>2299</v>
      </c>
      <c r="L268" s="13">
        <v>7980.75</v>
      </c>
      <c r="M268" s="15">
        <v>194.34330555300824</v>
      </c>
      <c r="N268" s="13">
        <v>6408.63</v>
      </c>
      <c r="O268" s="13">
        <v>1802.76</v>
      </c>
      <c r="P268" s="11">
        <v>1</v>
      </c>
    </row>
    <row r="269" spans="1:16" ht="15" thickBot="1" x14ac:dyDescent="0.3">
      <c r="A269" s="3" t="s">
        <v>1</v>
      </c>
      <c r="B269" s="4">
        <v>31492</v>
      </c>
      <c r="C269" s="3" t="s">
        <v>2</v>
      </c>
      <c r="D269" s="18">
        <v>0.09</v>
      </c>
      <c r="E269" s="21">
        <v>7.2073233161367156E-3</v>
      </c>
      <c r="F269" s="5">
        <v>43276</v>
      </c>
      <c r="G269" s="5">
        <v>45468</v>
      </c>
      <c r="H269" s="16">
        <v>2192</v>
      </c>
      <c r="I269" s="5">
        <v>46228</v>
      </c>
      <c r="J269" s="5">
        <v>43888</v>
      </c>
      <c r="K269" s="16">
        <v>612</v>
      </c>
      <c r="L269" s="13">
        <v>24000</v>
      </c>
      <c r="M269" s="15">
        <v>423.66656291616664</v>
      </c>
      <c r="N269" s="13">
        <v>22822.91</v>
      </c>
      <c r="O269" s="13">
        <v>22822.91</v>
      </c>
      <c r="P269" s="11">
        <v>1</v>
      </c>
    </row>
    <row r="270" spans="1:16" ht="15" thickBot="1" x14ac:dyDescent="0.3">
      <c r="A270" s="3" t="s">
        <v>1</v>
      </c>
      <c r="B270" s="4">
        <v>160586</v>
      </c>
      <c r="C270" s="3" t="s">
        <v>2</v>
      </c>
      <c r="D270" s="18">
        <v>9.5000000000000001E-2</v>
      </c>
      <c r="E270" s="21">
        <v>7.5915342905825689E-3</v>
      </c>
      <c r="F270" s="5">
        <v>36256</v>
      </c>
      <c r="G270" s="5">
        <v>37001</v>
      </c>
      <c r="H270" s="16">
        <v>745</v>
      </c>
      <c r="I270" s="5">
        <v>37865</v>
      </c>
      <c r="J270" s="5">
        <v>37251</v>
      </c>
      <c r="K270" s="16">
        <v>995</v>
      </c>
      <c r="L270" s="13">
        <v>15091</v>
      </c>
      <c r="M270" s="15">
        <v>669.06892129545815</v>
      </c>
      <c r="N270" s="13">
        <v>8500</v>
      </c>
      <c r="O270" s="13">
        <v>3614.08</v>
      </c>
      <c r="P270" s="11">
        <v>0</v>
      </c>
    </row>
    <row r="271" spans="1:16" ht="15" thickBot="1" x14ac:dyDescent="0.3">
      <c r="A271" s="3" t="s">
        <v>1</v>
      </c>
      <c r="B271" s="4">
        <v>988102</v>
      </c>
      <c r="C271" s="3" t="s">
        <v>4</v>
      </c>
      <c r="D271" s="18">
        <v>8.7499999999999994E-2</v>
      </c>
      <c r="E271" s="21">
        <v>7.0146116041400752E-3</v>
      </c>
      <c r="F271" s="5">
        <v>38799</v>
      </c>
      <c r="G271" s="5">
        <v>39895</v>
      </c>
      <c r="H271" s="16">
        <v>1096</v>
      </c>
      <c r="I271" s="5">
        <v>41356</v>
      </c>
      <c r="J271" s="5">
        <v>39855</v>
      </c>
      <c r="K271" s="16">
        <v>1056</v>
      </c>
      <c r="L271" s="13">
        <v>101500</v>
      </c>
      <c r="M271" s="15">
        <v>3159.1444515215057</v>
      </c>
      <c r="N271" s="13">
        <v>59124.58</v>
      </c>
      <c r="O271" s="13">
        <v>0</v>
      </c>
      <c r="P271" s="11">
        <v>0</v>
      </c>
    </row>
    <row r="272" spans="1:16" ht="15" thickBot="1" x14ac:dyDescent="0.3">
      <c r="A272" s="3" t="s">
        <v>1</v>
      </c>
      <c r="B272" s="4">
        <v>476497</v>
      </c>
      <c r="C272" s="3" t="s">
        <v>4</v>
      </c>
      <c r="D272" s="18">
        <v>9.7500000000000003E-2</v>
      </c>
      <c r="E272" s="21">
        <v>7.7830370878799737E-3</v>
      </c>
      <c r="F272" s="5">
        <v>38817</v>
      </c>
      <c r="G272" s="5">
        <v>41739</v>
      </c>
      <c r="H272" s="16">
        <v>2922</v>
      </c>
      <c r="I272" s="5">
        <v>40431</v>
      </c>
      <c r="J272" s="5">
        <v>40626</v>
      </c>
      <c r="K272" s="16">
        <v>1809</v>
      </c>
      <c r="L272" s="13">
        <v>35300</v>
      </c>
      <c r="M272" s="15">
        <v>518.32889230145986</v>
      </c>
      <c r="N272" s="13">
        <v>12735.44</v>
      </c>
      <c r="O272" s="13">
        <v>2973.48</v>
      </c>
      <c r="P272" s="11">
        <v>0</v>
      </c>
    </row>
    <row r="273" spans="1:16" ht="15" thickBot="1" x14ac:dyDescent="0.3">
      <c r="A273" s="3" t="s">
        <v>1</v>
      </c>
      <c r="B273" s="4">
        <v>888792</v>
      </c>
      <c r="C273" s="3" t="s">
        <v>4</v>
      </c>
      <c r="D273" s="18">
        <v>9.2499999999999999E-2</v>
      </c>
      <c r="E273" s="21">
        <v>7.3996302871768282E-3</v>
      </c>
      <c r="F273" s="5">
        <v>38828</v>
      </c>
      <c r="G273" s="5">
        <v>42481</v>
      </c>
      <c r="H273" s="16">
        <v>3653</v>
      </c>
      <c r="I273" s="5">
        <v>42481</v>
      </c>
      <c r="J273" s="5">
        <v>42373</v>
      </c>
      <c r="K273" s="16">
        <v>3545</v>
      </c>
      <c r="L273" s="13">
        <v>150000</v>
      </c>
      <c r="M273" s="15">
        <v>1873.328395020523</v>
      </c>
      <c r="N273" s="13">
        <v>20573.84</v>
      </c>
      <c r="O273" s="13">
        <v>1747.47</v>
      </c>
      <c r="P273" s="11">
        <v>1</v>
      </c>
    </row>
    <row r="274" spans="1:16" ht="15" thickBot="1" x14ac:dyDescent="0.3">
      <c r="A274" s="3" t="s">
        <v>1</v>
      </c>
      <c r="B274" s="4">
        <v>308960</v>
      </c>
      <c r="C274" s="3" t="s">
        <v>2</v>
      </c>
      <c r="D274" s="18">
        <v>9.7500000000000003E-2</v>
      </c>
      <c r="E274" s="21">
        <v>7.7830370878799737E-3</v>
      </c>
      <c r="F274" s="5">
        <v>38835</v>
      </c>
      <c r="G274" s="5">
        <v>39200</v>
      </c>
      <c r="H274" s="16">
        <v>365</v>
      </c>
      <c r="I274" s="5">
        <v>42183</v>
      </c>
      <c r="J274" s="5">
        <v>40497</v>
      </c>
      <c r="K274" s="16">
        <v>1662</v>
      </c>
      <c r="L274" s="13">
        <v>25100</v>
      </c>
      <c r="M274" s="15">
        <v>2170.2440672555908</v>
      </c>
      <c r="N274" s="13">
        <v>7945.39</v>
      </c>
      <c r="O274" s="13">
        <v>0</v>
      </c>
      <c r="P274" s="11">
        <v>0</v>
      </c>
    </row>
    <row r="275" spans="1:16" ht="15" thickBot="1" x14ac:dyDescent="0.3">
      <c r="A275" s="3" t="s">
        <v>1</v>
      </c>
      <c r="B275" s="4">
        <v>458492</v>
      </c>
      <c r="C275" s="3" t="s">
        <v>2</v>
      </c>
      <c r="D275" s="18">
        <v>8.5000000000000006E-2</v>
      </c>
      <c r="E275" s="21">
        <v>6.8214933659622723E-3</v>
      </c>
      <c r="F275" s="5">
        <v>38852</v>
      </c>
      <c r="G275" s="5">
        <v>39217</v>
      </c>
      <c r="H275" s="16">
        <v>365</v>
      </c>
      <c r="I275" s="5">
        <v>40004</v>
      </c>
      <c r="J275" s="5">
        <v>39994</v>
      </c>
      <c r="K275" s="16">
        <v>1142</v>
      </c>
      <c r="L275" s="13">
        <v>50000</v>
      </c>
      <c r="M275" s="15">
        <v>4296.4779362775971</v>
      </c>
      <c r="N275" s="13">
        <v>47458.12</v>
      </c>
      <c r="O275" s="13">
        <v>0</v>
      </c>
      <c r="P275" s="11">
        <v>0</v>
      </c>
    </row>
    <row r="276" spans="1:16" ht="15" thickBot="1" x14ac:dyDescent="0.3">
      <c r="A276" s="3" t="s">
        <v>1</v>
      </c>
      <c r="B276" s="4">
        <v>25223</v>
      </c>
      <c r="C276" s="3" t="s">
        <v>2</v>
      </c>
      <c r="D276" s="18">
        <v>8.2500000000000004E-2</v>
      </c>
      <c r="E276" s="21">
        <v>6.6279668043680573E-3</v>
      </c>
      <c r="F276" s="5">
        <v>38868</v>
      </c>
      <c r="G276" s="5">
        <v>40699</v>
      </c>
      <c r="H276" s="16">
        <v>1831</v>
      </c>
      <c r="I276" s="5">
        <v>40699</v>
      </c>
      <c r="J276" s="5">
        <v>39945</v>
      </c>
      <c r="K276" s="16">
        <v>1077</v>
      </c>
      <c r="L276" s="13">
        <v>118170</v>
      </c>
      <c r="M276" s="15">
        <v>2360.4227340590983</v>
      </c>
      <c r="N276" s="13">
        <v>58442.22</v>
      </c>
      <c r="O276" s="13">
        <v>3500</v>
      </c>
      <c r="P276" s="11">
        <v>0</v>
      </c>
    </row>
    <row r="277" spans="1:16" ht="15" thickBot="1" x14ac:dyDescent="0.3">
      <c r="A277" s="3" t="s">
        <v>1</v>
      </c>
      <c r="B277" s="4">
        <v>678962</v>
      </c>
      <c r="C277" s="3" t="s">
        <v>2</v>
      </c>
      <c r="D277" s="18">
        <v>0.09</v>
      </c>
      <c r="E277" s="21">
        <v>7.2073233161367156E-3</v>
      </c>
      <c r="F277" s="5">
        <v>39043</v>
      </c>
      <c r="G277" s="5">
        <v>39408</v>
      </c>
      <c r="H277" s="16">
        <v>365</v>
      </c>
      <c r="I277" s="5">
        <v>41070</v>
      </c>
      <c r="J277" s="5">
        <v>40906</v>
      </c>
      <c r="K277" s="16">
        <v>1863</v>
      </c>
      <c r="L277" s="13">
        <v>10100</v>
      </c>
      <c r="M277" s="15">
        <v>870.05188253611766</v>
      </c>
      <c r="N277" s="13">
        <v>2472.08</v>
      </c>
      <c r="O277" s="13">
        <v>0</v>
      </c>
      <c r="P277" s="11">
        <v>0</v>
      </c>
    </row>
    <row r="278" spans="1:16" ht="15" thickBot="1" x14ac:dyDescent="0.3">
      <c r="A278" s="3" t="s">
        <v>1</v>
      </c>
      <c r="B278" s="4">
        <v>125288</v>
      </c>
      <c r="C278" s="3" t="s">
        <v>2</v>
      </c>
      <c r="D278" s="18">
        <v>7.0000000000000007E-2</v>
      </c>
      <c r="E278" s="21">
        <v>5.6541453874052738E-3</v>
      </c>
      <c r="F278" s="5">
        <v>39099</v>
      </c>
      <c r="G278" s="5">
        <v>39280</v>
      </c>
      <c r="H278" s="16">
        <v>181</v>
      </c>
      <c r="I278" s="5">
        <v>40925</v>
      </c>
      <c r="J278" s="5">
        <v>40994</v>
      </c>
      <c r="K278" s="16">
        <v>1895</v>
      </c>
      <c r="L278" s="13">
        <v>50350</v>
      </c>
      <c r="M278" s="15">
        <v>8512.0245929937464</v>
      </c>
      <c r="N278" s="13">
        <v>23368.52</v>
      </c>
      <c r="O278" s="13">
        <v>0</v>
      </c>
      <c r="P278" s="11">
        <v>0</v>
      </c>
    </row>
    <row r="279" spans="1:16" ht="15" thickBot="1" x14ac:dyDescent="0.3">
      <c r="A279" s="3" t="s">
        <v>1</v>
      </c>
      <c r="B279" s="4">
        <v>329821</v>
      </c>
      <c r="C279" s="3" t="s">
        <v>2</v>
      </c>
      <c r="D279" s="18">
        <v>8.0500000000000002E-2</v>
      </c>
      <c r="E279" s="21">
        <v>6.472850346757042E-3</v>
      </c>
      <c r="F279" s="5">
        <v>39120</v>
      </c>
      <c r="G279" s="5">
        <v>40954</v>
      </c>
      <c r="H279" s="16">
        <v>1834</v>
      </c>
      <c r="I279" s="5">
        <v>40954</v>
      </c>
      <c r="J279" s="5">
        <v>39849</v>
      </c>
      <c r="K279" s="16">
        <v>729</v>
      </c>
      <c r="L279" s="13">
        <v>30324</v>
      </c>
      <c r="M279" s="15">
        <v>602.21054135795453</v>
      </c>
      <c r="N279" s="13">
        <v>16000</v>
      </c>
      <c r="O279" s="13">
        <v>0</v>
      </c>
      <c r="P279" s="11">
        <v>0</v>
      </c>
    </row>
    <row r="280" spans="1:16" ht="15" thickBot="1" x14ac:dyDescent="0.3">
      <c r="A280" s="3" t="s">
        <v>1</v>
      </c>
      <c r="B280" s="4">
        <v>386701</v>
      </c>
      <c r="C280" s="3" t="s">
        <v>2</v>
      </c>
      <c r="D280" s="18">
        <v>7.7499999999999999E-2</v>
      </c>
      <c r="E280" s="21">
        <v>6.2396814612857288E-3</v>
      </c>
      <c r="F280" s="5">
        <v>39136</v>
      </c>
      <c r="G280" s="5">
        <v>39867</v>
      </c>
      <c r="H280" s="16">
        <v>731</v>
      </c>
      <c r="I280" s="5">
        <v>40617</v>
      </c>
      <c r="J280" s="5">
        <v>41030</v>
      </c>
      <c r="K280" s="16">
        <v>1894</v>
      </c>
      <c r="L280" s="13">
        <v>3400000</v>
      </c>
      <c r="M280" s="15">
        <v>150845.07326781316</v>
      </c>
      <c r="N280" s="13">
        <v>905000.6</v>
      </c>
      <c r="O280" s="13">
        <v>0</v>
      </c>
      <c r="P280" s="11">
        <v>0</v>
      </c>
    </row>
    <row r="281" spans="1:16" ht="15" thickBot="1" x14ac:dyDescent="0.3">
      <c r="A281" s="3" t="s">
        <v>1</v>
      </c>
      <c r="B281" s="4">
        <v>954163</v>
      </c>
      <c r="C281" s="3" t="s">
        <v>2</v>
      </c>
      <c r="D281" s="18">
        <v>8.7499999999999994E-2</v>
      </c>
      <c r="E281" s="21">
        <v>7.0146116041400752E-3</v>
      </c>
      <c r="F281" s="5">
        <v>39148</v>
      </c>
      <c r="G281" s="5">
        <v>40975</v>
      </c>
      <c r="H281" s="16">
        <v>1827</v>
      </c>
      <c r="I281" s="5">
        <v>40959</v>
      </c>
      <c r="J281" s="5">
        <v>41030</v>
      </c>
      <c r="K281" s="16">
        <v>1882</v>
      </c>
      <c r="L281" s="13">
        <v>124992</v>
      </c>
      <c r="M281" s="15">
        <v>2528.9987981689105</v>
      </c>
      <c r="N281" s="13">
        <v>39268.81</v>
      </c>
      <c r="O281" s="13">
        <v>0</v>
      </c>
      <c r="P281" s="11">
        <v>0</v>
      </c>
    </row>
    <row r="282" spans="1:16" ht="15" thickBot="1" x14ac:dyDescent="0.3">
      <c r="A282" s="3" t="s">
        <v>1</v>
      </c>
      <c r="B282" s="4">
        <v>96501</v>
      </c>
      <c r="C282" s="3" t="s">
        <v>4</v>
      </c>
      <c r="D282" s="18">
        <v>8.2500000000000004E-2</v>
      </c>
      <c r="E282" s="21">
        <v>6.6279668043680573E-3</v>
      </c>
      <c r="F282" s="5">
        <v>39185</v>
      </c>
      <c r="G282" s="5">
        <v>41742</v>
      </c>
      <c r="H282" s="16">
        <v>2557</v>
      </c>
      <c r="I282" s="5">
        <v>41742</v>
      </c>
      <c r="J282" s="5">
        <v>40147</v>
      </c>
      <c r="K282" s="16">
        <v>962</v>
      </c>
      <c r="L282" s="13">
        <v>52556</v>
      </c>
      <c r="M282" s="15">
        <v>809.08306916214599</v>
      </c>
      <c r="N282" s="13">
        <v>14615.62</v>
      </c>
      <c r="O282" s="13">
        <v>1570</v>
      </c>
      <c r="P282" s="11">
        <v>0</v>
      </c>
    </row>
    <row r="283" spans="1:16" ht="15" thickBot="1" x14ac:dyDescent="0.3">
      <c r="A283" s="3" t="s">
        <v>1</v>
      </c>
      <c r="B283" s="4">
        <v>93014</v>
      </c>
      <c r="C283" s="3" t="s">
        <v>2</v>
      </c>
      <c r="D283" s="18">
        <v>5.9714900000000001E-2</v>
      </c>
      <c r="E283" s="21">
        <v>4.845025167439676E-3</v>
      </c>
      <c r="F283" s="5">
        <v>39209</v>
      </c>
      <c r="G283" s="5">
        <v>41039</v>
      </c>
      <c r="H283" s="16">
        <v>1830</v>
      </c>
      <c r="I283" s="5">
        <v>41014</v>
      </c>
      <c r="J283" s="5">
        <v>40891</v>
      </c>
      <c r="K283" s="16">
        <v>1682</v>
      </c>
      <c r="L283" s="13">
        <v>1513091</v>
      </c>
      <c r="M283" s="15">
        <v>28710.150963788539</v>
      </c>
      <c r="N283" s="13">
        <v>1292984.1399999999</v>
      </c>
      <c r="O283" s="13">
        <v>117434.36</v>
      </c>
      <c r="P283" s="11">
        <v>0</v>
      </c>
    </row>
    <row r="284" spans="1:16" ht="15" thickBot="1" x14ac:dyDescent="0.3">
      <c r="A284" s="3" t="s">
        <v>1</v>
      </c>
      <c r="B284" s="4">
        <v>386982</v>
      </c>
      <c r="C284" s="3" t="s">
        <v>2</v>
      </c>
      <c r="D284" s="18">
        <v>8.5000000000000006E-2</v>
      </c>
      <c r="E284" s="21">
        <v>6.8214933659622723E-3</v>
      </c>
      <c r="F284" s="5">
        <v>39206</v>
      </c>
      <c r="G284" s="5">
        <v>41033</v>
      </c>
      <c r="H284" s="16">
        <v>1827</v>
      </c>
      <c r="I284" s="5">
        <v>41105</v>
      </c>
      <c r="J284" s="5">
        <v>40049</v>
      </c>
      <c r="K284" s="16">
        <v>843</v>
      </c>
      <c r="L284" s="13">
        <v>75387</v>
      </c>
      <c r="M284" s="15">
        <v>1516.9170503994096</v>
      </c>
      <c r="N284" s="13">
        <v>17324.12</v>
      </c>
      <c r="O284" s="13">
        <v>0</v>
      </c>
      <c r="P284" s="11">
        <v>0</v>
      </c>
    </row>
    <row r="285" spans="1:16" ht="15" thickBot="1" x14ac:dyDescent="0.3">
      <c r="A285" s="3" t="s">
        <v>1</v>
      </c>
      <c r="B285" s="4">
        <v>581101</v>
      </c>
      <c r="C285" s="3" t="s">
        <v>4</v>
      </c>
      <c r="D285" s="18">
        <v>9.7500000000000003E-2</v>
      </c>
      <c r="E285" s="21">
        <v>7.7830370878799737E-3</v>
      </c>
      <c r="F285" s="5">
        <v>39539</v>
      </c>
      <c r="G285" s="5">
        <v>42491</v>
      </c>
      <c r="H285" s="16">
        <v>2952</v>
      </c>
      <c r="I285" s="5">
        <v>42491</v>
      </c>
      <c r="J285" s="5">
        <v>40289</v>
      </c>
      <c r="K285" s="16">
        <v>750</v>
      </c>
      <c r="L285" s="13">
        <v>52000</v>
      </c>
      <c r="M285" s="15">
        <v>758.35138699405411</v>
      </c>
      <c r="N285" s="13">
        <v>33812.519999999997</v>
      </c>
      <c r="O285" s="13">
        <v>0</v>
      </c>
      <c r="P285" s="11">
        <v>1</v>
      </c>
    </row>
    <row r="286" spans="1:16" ht="15" thickBot="1" x14ac:dyDescent="0.3">
      <c r="A286" s="3" t="s">
        <v>1</v>
      </c>
      <c r="B286" s="4">
        <v>936773</v>
      </c>
      <c r="C286" s="3" t="s">
        <v>4</v>
      </c>
      <c r="D286" s="18">
        <v>0.105</v>
      </c>
      <c r="E286" s="21">
        <v>8.355155683635207E-3</v>
      </c>
      <c r="F286" s="5">
        <v>39793</v>
      </c>
      <c r="G286" s="5">
        <v>42349</v>
      </c>
      <c r="H286" s="16">
        <v>2556</v>
      </c>
      <c r="I286" s="5">
        <v>42349</v>
      </c>
      <c r="J286" s="5">
        <v>40305</v>
      </c>
      <c r="K286" s="16">
        <v>512</v>
      </c>
      <c r="L286" s="13">
        <v>150000</v>
      </c>
      <c r="M286" s="15">
        <v>2467.969280845321</v>
      </c>
      <c r="N286" s="13">
        <v>93094.94</v>
      </c>
      <c r="O286" s="13">
        <v>2585.84</v>
      </c>
      <c r="P286" s="11">
        <v>1</v>
      </c>
    </row>
    <row r="287" spans="1:16" ht="15" thickBot="1" x14ac:dyDescent="0.3">
      <c r="A287" s="3" t="s">
        <v>1</v>
      </c>
      <c r="B287" s="4">
        <v>472444</v>
      </c>
      <c r="C287" s="3" t="s">
        <v>2</v>
      </c>
      <c r="D287" s="18">
        <v>6.25E-2</v>
      </c>
      <c r="E287" s="21">
        <v>5.0648349497708356E-3</v>
      </c>
      <c r="F287" s="5">
        <v>41585</v>
      </c>
      <c r="G287" s="5">
        <v>41950</v>
      </c>
      <c r="H287" s="16">
        <v>365</v>
      </c>
      <c r="I287" s="5">
        <v>41950</v>
      </c>
      <c r="J287" s="5">
        <v>41786</v>
      </c>
      <c r="K287" s="16">
        <v>201</v>
      </c>
      <c r="L287" s="13">
        <v>75772</v>
      </c>
      <c r="M287" s="15">
        <v>6437.4457973630697</v>
      </c>
      <c r="N287" s="13">
        <v>42000</v>
      </c>
      <c r="O287" s="13">
        <v>0</v>
      </c>
      <c r="P287" s="11">
        <v>0</v>
      </c>
    </row>
    <row r="288" spans="1:16" ht="15" thickBot="1" x14ac:dyDescent="0.3">
      <c r="A288" s="3" t="s">
        <v>1</v>
      </c>
      <c r="B288" s="4">
        <v>858010</v>
      </c>
      <c r="C288" s="3" t="s">
        <v>4</v>
      </c>
      <c r="D288" s="18">
        <v>9.5000000000000001E-2</v>
      </c>
      <c r="E288" s="21">
        <v>7.5915342905825689E-3</v>
      </c>
      <c r="F288" s="5">
        <v>35327</v>
      </c>
      <c r="G288" s="5">
        <v>37883</v>
      </c>
      <c r="H288" s="16">
        <v>2556</v>
      </c>
      <c r="I288" s="5">
        <v>37883</v>
      </c>
      <c r="J288" s="5">
        <v>36137</v>
      </c>
      <c r="K288" s="16">
        <v>810</v>
      </c>
      <c r="L288" s="13">
        <v>75000</v>
      </c>
      <c r="M288" s="15">
        <v>1198.6646831433882</v>
      </c>
      <c r="N288" s="13">
        <v>51114.64</v>
      </c>
      <c r="O288" s="13">
        <v>7806.51</v>
      </c>
      <c r="P288" s="11">
        <v>0</v>
      </c>
    </row>
    <row r="289" spans="1:16" ht="15" thickBot="1" x14ac:dyDescent="0.3">
      <c r="A289" s="3" t="s">
        <v>1</v>
      </c>
      <c r="B289" s="4">
        <v>786556</v>
      </c>
      <c r="C289" s="3" t="s">
        <v>4</v>
      </c>
      <c r="D289" s="18">
        <v>0.1</v>
      </c>
      <c r="E289" s="21">
        <v>7.9741404289037643E-3</v>
      </c>
      <c r="F289" s="5">
        <v>35676</v>
      </c>
      <c r="G289" s="5">
        <v>37502</v>
      </c>
      <c r="H289" s="16">
        <v>1826</v>
      </c>
      <c r="I289" s="5">
        <v>37502</v>
      </c>
      <c r="J289" s="5">
        <v>36228</v>
      </c>
      <c r="K289" s="16">
        <v>552</v>
      </c>
      <c r="L289" s="13">
        <v>50000</v>
      </c>
      <c r="M289" s="15">
        <v>1040.0922853510331</v>
      </c>
      <c r="N289" s="13">
        <v>41905.79</v>
      </c>
      <c r="O289" s="13">
        <v>0</v>
      </c>
      <c r="P289" s="11">
        <v>0</v>
      </c>
    </row>
    <row r="290" spans="1:16" ht="15" thickBot="1" x14ac:dyDescent="0.3">
      <c r="A290" s="3" t="s">
        <v>1</v>
      </c>
      <c r="B290" s="4">
        <v>677033</v>
      </c>
      <c r="C290" s="3" t="s">
        <v>4</v>
      </c>
      <c r="D290" s="18">
        <v>0.1</v>
      </c>
      <c r="E290" s="21">
        <v>7.9741404289037643E-3</v>
      </c>
      <c r="F290" s="5">
        <v>35837</v>
      </c>
      <c r="G290" s="5">
        <v>38394</v>
      </c>
      <c r="H290" s="16">
        <v>2557</v>
      </c>
      <c r="I290" s="5">
        <v>38394</v>
      </c>
      <c r="J290" s="5">
        <v>36228</v>
      </c>
      <c r="K290" s="16">
        <v>391</v>
      </c>
      <c r="L290" s="13">
        <v>32000</v>
      </c>
      <c r="M290" s="15">
        <v>518.80765389716385</v>
      </c>
      <c r="N290" s="13">
        <v>25107.23</v>
      </c>
      <c r="O290" s="13">
        <v>0</v>
      </c>
      <c r="P290" s="11">
        <v>0</v>
      </c>
    </row>
    <row r="291" spans="1:16" ht="15" thickBot="1" x14ac:dyDescent="0.3">
      <c r="A291" s="3" t="s">
        <v>1</v>
      </c>
      <c r="B291" s="4">
        <v>426319</v>
      </c>
      <c r="C291" s="3" t="s">
        <v>2</v>
      </c>
      <c r="D291" s="18">
        <v>0.10249999999999999</v>
      </c>
      <c r="E291" s="21">
        <v>8.1648460519010424E-3</v>
      </c>
      <c r="F291" s="5">
        <v>37015</v>
      </c>
      <c r="G291" s="5">
        <v>37787</v>
      </c>
      <c r="H291" s="16">
        <v>772</v>
      </c>
      <c r="I291" s="5">
        <v>37787</v>
      </c>
      <c r="J291" s="5">
        <v>37161</v>
      </c>
      <c r="K291" s="16">
        <v>146</v>
      </c>
      <c r="L291" s="13">
        <v>16608.86</v>
      </c>
      <c r="M291" s="15">
        <v>718.22074533904299</v>
      </c>
      <c r="N291" s="13">
        <v>16608.86</v>
      </c>
      <c r="O291" s="13">
        <v>0</v>
      </c>
      <c r="P291" s="11">
        <v>0</v>
      </c>
    </row>
    <row r="292" spans="1:16" ht="15" thickBot="1" x14ac:dyDescent="0.3">
      <c r="A292" s="3" t="s">
        <v>1</v>
      </c>
      <c r="B292" s="4">
        <v>982411</v>
      </c>
      <c r="C292" s="3" t="s">
        <v>2</v>
      </c>
      <c r="D292" s="18">
        <v>9.2499999999999999E-2</v>
      </c>
      <c r="E292" s="21">
        <v>7.3996302871768282E-3</v>
      </c>
      <c r="F292" s="5">
        <v>37582</v>
      </c>
      <c r="G292" s="5">
        <v>37947</v>
      </c>
      <c r="H292" s="16">
        <v>365</v>
      </c>
      <c r="I292" s="5">
        <v>37947</v>
      </c>
      <c r="J292" s="5">
        <v>37958</v>
      </c>
      <c r="K292" s="16">
        <v>376</v>
      </c>
      <c r="L292" s="13">
        <v>20200</v>
      </c>
      <c r="M292" s="15">
        <v>1742.2625223005778</v>
      </c>
      <c r="N292" s="13">
        <v>20200</v>
      </c>
      <c r="O292" s="13">
        <v>16496.2</v>
      </c>
      <c r="P292" s="11">
        <v>0</v>
      </c>
    </row>
    <row r="293" spans="1:16" ht="15" thickBot="1" x14ac:dyDescent="0.3">
      <c r="A293" s="3" t="s">
        <v>1</v>
      </c>
      <c r="B293" s="4">
        <v>343059</v>
      </c>
      <c r="C293" s="3" t="s">
        <v>2</v>
      </c>
      <c r="D293" s="18">
        <v>0.15</v>
      </c>
      <c r="E293" s="21">
        <v>1.171491691985338E-2</v>
      </c>
      <c r="F293" s="5">
        <v>37691</v>
      </c>
      <c r="G293" s="5">
        <v>38241</v>
      </c>
      <c r="H293" s="16">
        <v>550</v>
      </c>
      <c r="I293" s="5">
        <v>38241</v>
      </c>
      <c r="J293" s="5">
        <v>38329</v>
      </c>
      <c r="K293" s="16">
        <v>638</v>
      </c>
      <c r="L293" s="13">
        <v>18418.22</v>
      </c>
      <c r="M293" s="15">
        <v>1122.2237066874538</v>
      </c>
      <c r="N293" s="13">
        <v>15917.62</v>
      </c>
      <c r="O293" s="13">
        <v>0</v>
      </c>
      <c r="P293" s="11">
        <v>0</v>
      </c>
    </row>
    <row r="294" spans="1:16" ht="15" thickBot="1" x14ac:dyDescent="0.3">
      <c r="A294" s="3" t="s">
        <v>1</v>
      </c>
      <c r="B294" s="4">
        <v>798364</v>
      </c>
      <c r="C294" s="3" t="s">
        <v>2</v>
      </c>
      <c r="D294" s="18">
        <v>9.2499999999999999E-2</v>
      </c>
      <c r="E294" s="21">
        <v>7.3996302871768282E-3</v>
      </c>
      <c r="F294" s="5">
        <v>38317</v>
      </c>
      <c r="G294" s="5">
        <v>40143</v>
      </c>
      <c r="H294" s="16">
        <v>1826</v>
      </c>
      <c r="I294" s="5">
        <v>40143</v>
      </c>
      <c r="J294" s="5">
        <v>39429</v>
      </c>
      <c r="K294" s="16">
        <v>1112</v>
      </c>
      <c r="L294" s="13">
        <v>60612</v>
      </c>
      <c r="M294" s="15">
        <v>1240.4645989072567</v>
      </c>
      <c r="N294" s="13">
        <v>34337.230000000003</v>
      </c>
      <c r="O294" s="13">
        <v>4000</v>
      </c>
      <c r="P294" s="11">
        <v>0</v>
      </c>
    </row>
    <row r="295" spans="1:16" ht="15" thickBot="1" x14ac:dyDescent="0.3">
      <c r="A295" s="3" t="s">
        <v>1</v>
      </c>
      <c r="B295" s="4">
        <v>681742</v>
      </c>
      <c r="C295" s="3" t="s">
        <v>4</v>
      </c>
      <c r="D295" s="18">
        <v>8.5000000000000006E-2</v>
      </c>
      <c r="E295" s="21">
        <v>6.8214933659622723E-3</v>
      </c>
      <c r="F295" s="5">
        <v>38897</v>
      </c>
      <c r="G295" s="5">
        <v>40359</v>
      </c>
      <c r="H295" s="16">
        <v>1462</v>
      </c>
      <c r="I295" s="5">
        <v>40359</v>
      </c>
      <c r="J295" s="5">
        <v>40123</v>
      </c>
      <c r="K295" s="16">
        <v>1226</v>
      </c>
      <c r="L295" s="13">
        <v>153000</v>
      </c>
      <c r="M295" s="15">
        <v>3700.8375436381584</v>
      </c>
      <c r="N295" s="13">
        <v>57923.09</v>
      </c>
      <c r="O295" s="13">
        <v>0</v>
      </c>
      <c r="P295" s="11">
        <v>0</v>
      </c>
    </row>
    <row r="296" spans="1:16" ht="15" thickBot="1" x14ac:dyDescent="0.3">
      <c r="A296" s="3" t="s">
        <v>1</v>
      </c>
      <c r="B296" s="4">
        <v>2632</v>
      </c>
      <c r="C296" s="3" t="s">
        <v>4</v>
      </c>
      <c r="D296" s="18">
        <v>9.5000000000000001E-2</v>
      </c>
      <c r="E296" s="21">
        <v>7.5915342905825689E-3</v>
      </c>
      <c r="F296" s="5">
        <v>39157</v>
      </c>
      <c r="G296" s="5">
        <v>42809</v>
      </c>
      <c r="H296" s="16">
        <v>3652</v>
      </c>
      <c r="I296" s="5">
        <v>42809</v>
      </c>
      <c r="J296" s="5">
        <v>40435</v>
      </c>
      <c r="K296" s="16">
        <v>1278</v>
      </c>
      <c r="L296" s="13">
        <v>150000</v>
      </c>
      <c r="M296" s="15">
        <v>1892.3926499357929</v>
      </c>
      <c r="N296" s="13">
        <v>123516.52</v>
      </c>
      <c r="O296" s="13">
        <v>0</v>
      </c>
      <c r="P296" s="11">
        <v>1</v>
      </c>
    </row>
    <row r="297" spans="1:16" ht="15" thickBot="1" x14ac:dyDescent="0.3">
      <c r="A297" s="3" t="s">
        <v>1</v>
      </c>
      <c r="B297" s="4">
        <v>574596</v>
      </c>
      <c r="C297" s="3" t="s">
        <v>4</v>
      </c>
      <c r="D297" s="18">
        <v>8.6499999999999994E-2</v>
      </c>
      <c r="E297" s="21">
        <v>6.9374131923856108E-3</v>
      </c>
      <c r="F297" s="5">
        <v>39493</v>
      </c>
      <c r="G297" s="5">
        <v>42415</v>
      </c>
      <c r="H297" s="16">
        <v>2922</v>
      </c>
      <c r="I297" s="5">
        <v>42415</v>
      </c>
      <c r="J297" s="5">
        <v>40332</v>
      </c>
      <c r="K297" s="16">
        <v>839</v>
      </c>
      <c r="L297" s="13">
        <v>125000</v>
      </c>
      <c r="M297" s="15">
        <v>1769.6995328666628</v>
      </c>
      <c r="N297" s="13">
        <v>62615.77</v>
      </c>
      <c r="O297" s="13">
        <v>1726.73</v>
      </c>
      <c r="P297" s="11">
        <v>1</v>
      </c>
    </row>
    <row r="298" spans="1:16" ht="15" thickBot="1" x14ac:dyDescent="0.3">
      <c r="A298" s="3" t="s">
        <v>1</v>
      </c>
      <c r="B298" s="4">
        <v>420928</v>
      </c>
      <c r="C298" s="3" t="s">
        <v>2</v>
      </c>
      <c r="D298" s="18">
        <v>7.2499999999999995E-2</v>
      </c>
      <c r="E298" s="21">
        <v>5.8497409526456767E-3</v>
      </c>
      <c r="F298" s="5">
        <v>35646</v>
      </c>
      <c r="G298" s="5">
        <v>37478</v>
      </c>
      <c r="H298" s="16">
        <v>1832</v>
      </c>
      <c r="I298" s="5">
        <v>37478</v>
      </c>
      <c r="J298" s="5">
        <v>37063</v>
      </c>
      <c r="K298" s="16">
        <v>1417</v>
      </c>
      <c r="L298" s="13">
        <v>31734.82</v>
      </c>
      <c r="M298" s="15">
        <v>619.51229807340974</v>
      </c>
      <c r="N298" s="13">
        <v>23545.97</v>
      </c>
      <c r="O298" s="13">
        <v>0</v>
      </c>
      <c r="P298" s="11">
        <v>0</v>
      </c>
    </row>
    <row r="299" spans="1:16" ht="15" thickBot="1" x14ac:dyDescent="0.3">
      <c r="A299" s="3" t="s">
        <v>1</v>
      </c>
      <c r="B299" s="4">
        <v>406734</v>
      </c>
      <c r="C299" s="3" t="s">
        <v>2</v>
      </c>
      <c r="D299" s="18">
        <v>0.09</v>
      </c>
      <c r="E299" s="21">
        <v>7.2073233161367156E-3</v>
      </c>
      <c r="F299" s="5">
        <v>36754</v>
      </c>
      <c r="G299" s="5">
        <v>37484</v>
      </c>
      <c r="H299" s="16">
        <v>730</v>
      </c>
      <c r="I299" s="5">
        <v>37174</v>
      </c>
      <c r="J299" s="5">
        <v>37347</v>
      </c>
      <c r="K299" s="16">
        <v>593</v>
      </c>
      <c r="L299" s="13">
        <v>8860</v>
      </c>
      <c r="M299" s="15">
        <v>398.27802737410121</v>
      </c>
      <c r="N299" s="13">
        <v>7208.14</v>
      </c>
      <c r="O299" s="13">
        <v>0</v>
      </c>
      <c r="P299" s="11">
        <v>0</v>
      </c>
    </row>
    <row r="300" spans="1:16" ht="15" thickBot="1" x14ac:dyDescent="0.3">
      <c r="A300" s="3" t="s">
        <v>1</v>
      </c>
      <c r="B300" s="4">
        <v>71284</v>
      </c>
      <c r="C300" s="3" t="s">
        <v>2</v>
      </c>
      <c r="D300" s="18">
        <v>8.2500000000000004E-2</v>
      </c>
      <c r="E300" s="21">
        <v>6.6279668043680573E-3</v>
      </c>
      <c r="F300" s="5">
        <v>39181</v>
      </c>
      <c r="G300" s="5">
        <v>41014</v>
      </c>
      <c r="H300" s="16">
        <v>1833</v>
      </c>
      <c r="I300" s="5">
        <v>41167</v>
      </c>
      <c r="J300" s="5">
        <v>40080</v>
      </c>
      <c r="K300" s="16">
        <v>899</v>
      </c>
      <c r="L300" s="13">
        <v>148954.74</v>
      </c>
      <c r="M300" s="15">
        <v>2972.7061453808001</v>
      </c>
      <c r="N300" s="13">
        <v>35568.559999999998</v>
      </c>
      <c r="O300" s="13">
        <v>18650.36</v>
      </c>
      <c r="P300" s="11">
        <v>0</v>
      </c>
    </row>
    <row r="301" spans="1:16" ht="15" thickBot="1" x14ac:dyDescent="0.3">
      <c r="A301" s="3" t="s">
        <v>1</v>
      </c>
      <c r="B301" s="4">
        <v>444583</v>
      </c>
      <c r="C301" s="3" t="s">
        <v>2</v>
      </c>
      <c r="D301" s="18">
        <v>0.09</v>
      </c>
      <c r="E301" s="21">
        <v>7.2073233161367156E-3</v>
      </c>
      <c r="F301" s="5">
        <v>36598</v>
      </c>
      <c r="G301" s="5">
        <v>36963</v>
      </c>
      <c r="H301" s="16">
        <v>365</v>
      </c>
      <c r="I301" s="5">
        <v>37174</v>
      </c>
      <c r="J301" s="5">
        <v>37256</v>
      </c>
      <c r="K301" s="16">
        <v>658</v>
      </c>
      <c r="L301" s="13">
        <v>10050</v>
      </c>
      <c r="M301" s="15">
        <v>865.74469499881013</v>
      </c>
      <c r="N301" s="13">
        <v>9450</v>
      </c>
      <c r="O301" s="13">
        <v>450</v>
      </c>
      <c r="P301" s="11">
        <v>0</v>
      </c>
    </row>
    <row r="302" spans="1:16" ht="15" thickBot="1" x14ac:dyDescent="0.3">
      <c r="A302" s="3" t="s">
        <v>1</v>
      </c>
      <c r="B302" s="4">
        <v>585009</v>
      </c>
      <c r="C302" s="3" t="s">
        <v>2</v>
      </c>
      <c r="D302" s="18">
        <v>0.11</v>
      </c>
      <c r="E302" s="21">
        <v>8.7345938235519061E-3</v>
      </c>
      <c r="F302" s="5">
        <v>36754</v>
      </c>
      <c r="G302" s="5">
        <v>36846</v>
      </c>
      <c r="H302" s="16">
        <v>92</v>
      </c>
      <c r="I302" s="5">
        <v>37174</v>
      </c>
      <c r="J302" s="5">
        <v>37347</v>
      </c>
      <c r="K302" s="16">
        <v>593</v>
      </c>
      <c r="L302" s="13">
        <v>11260</v>
      </c>
      <c r="M302" s="15">
        <v>3737.1458078645342</v>
      </c>
      <c r="N302" s="13">
        <v>7000</v>
      </c>
      <c r="O302" s="13">
        <v>0</v>
      </c>
      <c r="P302" s="11">
        <v>0</v>
      </c>
    </row>
    <row r="303" spans="1:16" ht="15" thickBot="1" x14ac:dyDescent="0.3">
      <c r="A303" s="3" t="s">
        <v>1</v>
      </c>
      <c r="B303" s="4">
        <v>854055</v>
      </c>
      <c r="C303" s="3" t="s">
        <v>10</v>
      </c>
      <c r="D303" s="18">
        <v>3.5000000000000003E-2</v>
      </c>
      <c r="E303" s="21">
        <v>2.8708987190766422E-3</v>
      </c>
      <c r="F303" s="5">
        <v>39260</v>
      </c>
      <c r="G303" s="5">
        <v>42926</v>
      </c>
      <c r="H303" s="16">
        <v>3666</v>
      </c>
      <c r="I303" s="5">
        <v>40436</v>
      </c>
      <c r="J303" s="5">
        <v>40996</v>
      </c>
      <c r="K303" s="16">
        <v>1736</v>
      </c>
      <c r="L303" s="13">
        <v>2350000</v>
      </c>
      <c r="M303" s="15">
        <v>22828.221911433273</v>
      </c>
      <c r="N303" s="13">
        <v>2042635.52</v>
      </c>
      <c r="O303" s="13">
        <v>341.25</v>
      </c>
      <c r="P303" s="11">
        <v>1</v>
      </c>
    </row>
    <row r="304" spans="1:16" ht="15" thickBot="1" x14ac:dyDescent="0.3">
      <c r="A304" s="3" t="s">
        <v>1</v>
      </c>
      <c r="B304" s="4">
        <v>747626</v>
      </c>
      <c r="C304" s="3" t="s">
        <v>2</v>
      </c>
      <c r="D304" s="18">
        <v>8.8999999999999996E-2</v>
      </c>
      <c r="E304" s="21">
        <v>7.1302872999576827E-3</v>
      </c>
      <c r="F304" s="5">
        <v>38966</v>
      </c>
      <c r="G304" s="5">
        <v>40427</v>
      </c>
      <c r="H304" s="16">
        <v>1461</v>
      </c>
      <c r="I304" s="5">
        <v>40427</v>
      </c>
      <c r="J304" s="5">
        <v>39906</v>
      </c>
      <c r="K304" s="16">
        <v>940</v>
      </c>
      <c r="L304" s="13">
        <v>177237</v>
      </c>
      <c r="M304" s="15">
        <v>4320.565299730898</v>
      </c>
      <c r="N304" s="13">
        <v>132667.46</v>
      </c>
      <c r="O304" s="13">
        <v>4600</v>
      </c>
      <c r="P304" s="11">
        <v>0</v>
      </c>
    </row>
    <row r="305" spans="1:16" ht="15" thickBot="1" x14ac:dyDescent="0.3">
      <c r="A305" s="3" t="s">
        <v>1</v>
      </c>
      <c r="B305" s="4">
        <v>870164</v>
      </c>
      <c r="C305" s="3" t="s">
        <v>2</v>
      </c>
      <c r="D305" s="18">
        <v>7.7499999999999999E-2</v>
      </c>
      <c r="E305" s="21">
        <v>6.2396814612857288E-3</v>
      </c>
      <c r="F305" s="5">
        <v>39038</v>
      </c>
      <c r="G305" s="5">
        <v>40864</v>
      </c>
      <c r="H305" s="16">
        <v>1826</v>
      </c>
      <c r="I305" s="5">
        <v>40864</v>
      </c>
      <c r="J305" s="5">
        <v>40246</v>
      </c>
      <c r="K305" s="16">
        <v>1208</v>
      </c>
      <c r="L305" s="13">
        <v>150762</v>
      </c>
      <c r="M305" s="15">
        <v>2984.6045660587001</v>
      </c>
      <c r="N305" s="13">
        <v>127195.31</v>
      </c>
      <c r="O305" s="13">
        <v>46200</v>
      </c>
      <c r="P305" s="11">
        <v>0</v>
      </c>
    </row>
    <row r="306" spans="1:16" ht="15" thickBot="1" x14ac:dyDescent="0.3">
      <c r="A306" s="3" t="s">
        <v>1</v>
      </c>
      <c r="B306" s="4">
        <v>160622</v>
      </c>
      <c r="C306" s="3" t="s">
        <v>2</v>
      </c>
      <c r="D306" s="18">
        <v>8.7499999999999994E-2</v>
      </c>
      <c r="E306" s="21">
        <v>7.0146116041400752E-3</v>
      </c>
      <c r="F306" s="5">
        <v>39093</v>
      </c>
      <c r="G306" s="5">
        <v>39458</v>
      </c>
      <c r="H306" s="16">
        <v>365</v>
      </c>
      <c r="I306" s="5">
        <v>40629</v>
      </c>
      <c r="J306" s="5">
        <v>40533</v>
      </c>
      <c r="K306" s="16">
        <v>1440</v>
      </c>
      <c r="L306" s="13">
        <v>50500</v>
      </c>
      <c r="M306" s="15">
        <v>4344.8548910640875</v>
      </c>
      <c r="N306" s="13">
        <v>40000</v>
      </c>
      <c r="O306" s="13">
        <v>0</v>
      </c>
      <c r="P306" s="11">
        <v>0</v>
      </c>
    </row>
    <row r="307" spans="1:16" ht="15" thickBot="1" x14ac:dyDescent="0.3">
      <c r="A307" s="3" t="s">
        <v>1</v>
      </c>
      <c r="B307" s="4">
        <v>739376</v>
      </c>
      <c r="C307" s="3" t="s">
        <v>2</v>
      </c>
      <c r="D307" s="18">
        <v>8.7499999999999994E-2</v>
      </c>
      <c r="E307" s="21">
        <v>7.0146116041400752E-3</v>
      </c>
      <c r="F307" s="5">
        <v>39134</v>
      </c>
      <c r="G307" s="5">
        <v>39499</v>
      </c>
      <c r="H307" s="16">
        <v>365</v>
      </c>
      <c r="I307" s="5">
        <v>40622</v>
      </c>
      <c r="J307" s="5">
        <v>40669</v>
      </c>
      <c r="K307" s="16">
        <v>1535</v>
      </c>
      <c r="L307" s="13">
        <v>20200</v>
      </c>
      <c r="M307" s="15">
        <v>1737.941956425635</v>
      </c>
      <c r="N307" s="13">
        <v>13997.38</v>
      </c>
      <c r="O307" s="13">
        <v>0</v>
      </c>
      <c r="P307" s="11">
        <v>0</v>
      </c>
    </row>
    <row r="308" spans="1:16" ht="15" thickBot="1" x14ac:dyDescent="0.3">
      <c r="A308" s="3" t="s">
        <v>1</v>
      </c>
      <c r="B308" s="4">
        <v>211799</v>
      </c>
      <c r="C308" s="3" t="s">
        <v>2</v>
      </c>
      <c r="D308" s="18">
        <v>9.2499999999999999E-2</v>
      </c>
      <c r="E308" s="21">
        <v>7.3996302871768282E-3</v>
      </c>
      <c r="F308" s="5">
        <v>39142</v>
      </c>
      <c r="G308" s="5">
        <v>40603</v>
      </c>
      <c r="H308" s="16">
        <v>1461</v>
      </c>
      <c r="I308" s="5">
        <v>40978</v>
      </c>
      <c r="J308" s="5">
        <v>40991</v>
      </c>
      <c r="K308" s="16">
        <v>1849</v>
      </c>
      <c r="L308" s="13">
        <v>50512</v>
      </c>
      <c r="M308" s="15">
        <v>1239.0843171207978</v>
      </c>
      <c r="N308" s="13">
        <v>19750.099999999999</v>
      </c>
      <c r="O308" s="13">
        <v>2200</v>
      </c>
      <c r="P308" s="11">
        <v>0</v>
      </c>
    </row>
    <row r="309" spans="1:16" ht="15" thickBot="1" x14ac:dyDescent="0.3">
      <c r="A309" s="3" t="s">
        <v>1</v>
      </c>
      <c r="B309" s="4">
        <v>139320</v>
      </c>
      <c r="C309" s="3" t="s">
        <v>2</v>
      </c>
      <c r="D309" s="18">
        <v>9.2499999999999999E-2</v>
      </c>
      <c r="E309" s="21">
        <v>7.3996302871768282E-3</v>
      </c>
      <c r="F309" s="5">
        <v>39142</v>
      </c>
      <c r="G309" s="5">
        <v>40603</v>
      </c>
      <c r="H309" s="16">
        <v>1461</v>
      </c>
      <c r="I309" s="5">
        <v>40978</v>
      </c>
      <c r="J309" s="5">
        <v>40991</v>
      </c>
      <c r="K309" s="16">
        <v>1849</v>
      </c>
      <c r="L309" s="13">
        <v>30300</v>
      </c>
      <c r="M309" s="15">
        <v>743.27397071508108</v>
      </c>
      <c r="N309" s="13">
        <v>25617.919999999998</v>
      </c>
      <c r="O309" s="13">
        <v>0</v>
      </c>
      <c r="P309" s="11">
        <v>0</v>
      </c>
    </row>
    <row r="310" spans="1:16" ht="15" thickBot="1" x14ac:dyDescent="0.3">
      <c r="A310" s="3" t="s">
        <v>1</v>
      </c>
      <c r="B310" s="4">
        <v>408964</v>
      </c>
      <c r="C310" s="3" t="s">
        <v>2</v>
      </c>
      <c r="D310" s="18">
        <v>0.08</v>
      </c>
      <c r="E310" s="21">
        <v>6.4340301100034303E-3</v>
      </c>
      <c r="F310" s="5">
        <v>39142</v>
      </c>
      <c r="G310" s="5">
        <v>40969</v>
      </c>
      <c r="H310" s="16">
        <v>1827</v>
      </c>
      <c r="I310" s="5">
        <v>40969</v>
      </c>
      <c r="J310" s="5">
        <v>39798</v>
      </c>
      <c r="K310" s="16">
        <v>656</v>
      </c>
      <c r="L310" s="13">
        <v>151512</v>
      </c>
      <c r="M310" s="15">
        <v>3014.9417384888443</v>
      </c>
      <c r="N310" s="13">
        <v>130711</v>
      </c>
      <c r="O310" s="13">
        <v>16320</v>
      </c>
      <c r="P310" s="11">
        <v>0</v>
      </c>
    </row>
    <row r="311" spans="1:16" ht="15" thickBot="1" x14ac:dyDescent="0.3">
      <c r="A311" s="3" t="s">
        <v>1</v>
      </c>
      <c r="B311" s="4">
        <v>288699</v>
      </c>
      <c r="C311" s="3" t="s">
        <v>2</v>
      </c>
      <c r="D311" s="18">
        <v>8.2500000000000004E-2</v>
      </c>
      <c r="E311" s="21">
        <v>6.6279668043680573E-3</v>
      </c>
      <c r="F311" s="5">
        <v>39211</v>
      </c>
      <c r="G311" s="5">
        <v>39577</v>
      </c>
      <c r="H311" s="16">
        <v>366</v>
      </c>
      <c r="I311" s="5">
        <v>40307</v>
      </c>
      <c r="J311" s="5">
        <v>40358</v>
      </c>
      <c r="K311" s="16">
        <v>1147</v>
      </c>
      <c r="L311" s="13">
        <v>25125</v>
      </c>
      <c r="M311" s="15">
        <v>2150.6257645624542</v>
      </c>
      <c r="N311" s="13">
        <v>25125</v>
      </c>
      <c r="O311" s="13">
        <v>0</v>
      </c>
      <c r="P311" s="11">
        <v>0</v>
      </c>
    </row>
    <row r="312" spans="1:16" ht="15" thickBot="1" x14ac:dyDescent="0.3">
      <c r="A312" s="3" t="s">
        <v>1</v>
      </c>
      <c r="B312" s="4">
        <v>490580</v>
      </c>
      <c r="C312" s="3" t="s">
        <v>2</v>
      </c>
      <c r="D312" s="18">
        <v>8.5000000000000006E-2</v>
      </c>
      <c r="E312" s="21">
        <v>6.8214933659622723E-3</v>
      </c>
      <c r="F312" s="5">
        <v>39315</v>
      </c>
      <c r="G312" s="5">
        <v>39681</v>
      </c>
      <c r="H312" s="16">
        <v>366</v>
      </c>
      <c r="I312" s="5">
        <v>40688</v>
      </c>
      <c r="J312" s="5">
        <v>40633</v>
      </c>
      <c r="K312" s="16">
        <v>1318</v>
      </c>
      <c r="L312" s="13">
        <v>20200</v>
      </c>
      <c r="M312" s="15">
        <v>1731.2279652901927</v>
      </c>
      <c r="N312" s="13">
        <v>24127.3</v>
      </c>
      <c r="O312" s="13">
        <v>0</v>
      </c>
      <c r="P312" s="11">
        <v>0</v>
      </c>
    </row>
    <row r="313" spans="1:16" ht="15" thickBot="1" x14ac:dyDescent="0.3">
      <c r="A313" s="3" t="s">
        <v>1</v>
      </c>
      <c r="B313" s="4">
        <v>17731</v>
      </c>
      <c r="C313" s="3" t="s">
        <v>2</v>
      </c>
      <c r="D313" s="18">
        <v>8.7499999999999994E-2</v>
      </c>
      <c r="E313" s="21">
        <v>7.0146116041400752E-3</v>
      </c>
      <c r="F313" s="5">
        <v>39337</v>
      </c>
      <c r="G313" s="5">
        <v>39398</v>
      </c>
      <c r="H313" s="16">
        <v>61</v>
      </c>
      <c r="I313" s="5">
        <v>40040</v>
      </c>
      <c r="J313" s="5">
        <v>39990</v>
      </c>
      <c r="K313" s="16">
        <v>653</v>
      </c>
      <c r="L313" s="13">
        <v>30300</v>
      </c>
      <c r="M313" s="15">
        <v>15060.366169663514</v>
      </c>
      <c r="N313" s="13">
        <v>30300</v>
      </c>
      <c r="O313" s="13">
        <v>0</v>
      </c>
      <c r="P313" s="11">
        <v>0</v>
      </c>
    </row>
    <row r="314" spans="1:16" ht="15" thickBot="1" x14ac:dyDescent="0.3">
      <c r="A314" s="3" t="s">
        <v>1</v>
      </c>
      <c r="B314" s="4">
        <v>430357</v>
      </c>
      <c r="C314" s="3" t="s">
        <v>2</v>
      </c>
      <c r="D314" s="18">
        <v>9.5000000000000001E-2</v>
      </c>
      <c r="E314" s="21">
        <v>7.5915342905825689E-3</v>
      </c>
      <c r="F314" s="5">
        <v>39423</v>
      </c>
      <c r="G314" s="5">
        <v>40884</v>
      </c>
      <c r="H314" s="16">
        <v>1461</v>
      </c>
      <c r="I314" s="5">
        <v>41950</v>
      </c>
      <c r="J314" s="5">
        <v>41968</v>
      </c>
      <c r="K314" s="16">
        <v>2545</v>
      </c>
      <c r="L314" s="13">
        <v>40412</v>
      </c>
      <c r="M314" s="15">
        <v>995.75049282382838</v>
      </c>
      <c r="N314" s="13">
        <v>17897.72</v>
      </c>
      <c r="O314" s="13">
        <v>1042.48</v>
      </c>
      <c r="P314" s="11">
        <v>0</v>
      </c>
    </row>
    <row r="315" spans="1:16" ht="15" thickBot="1" x14ac:dyDescent="0.3">
      <c r="A315" s="3" t="s">
        <v>1</v>
      </c>
      <c r="B315" s="4">
        <v>909535</v>
      </c>
      <c r="C315" s="3" t="s">
        <v>2</v>
      </c>
      <c r="D315" s="18">
        <v>9.2499999999999999E-2</v>
      </c>
      <c r="E315" s="21">
        <v>7.3996302871768282E-3</v>
      </c>
      <c r="F315" s="5">
        <v>39430</v>
      </c>
      <c r="G315" s="5">
        <v>40844</v>
      </c>
      <c r="H315" s="16">
        <v>1414</v>
      </c>
      <c r="I315" s="5">
        <v>40844</v>
      </c>
      <c r="J315" s="5">
        <v>39897</v>
      </c>
      <c r="K315" s="16">
        <v>467</v>
      </c>
      <c r="L315" s="13">
        <v>25262</v>
      </c>
      <c r="M315" s="15">
        <v>636.8162349628725</v>
      </c>
      <c r="N315" s="13">
        <v>20129.39</v>
      </c>
      <c r="O315" s="13">
        <v>0</v>
      </c>
      <c r="P315" s="11">
        <v>0</v>
      </c>
    </row>
    <row r="316" spans="1:16" ht="15" thickBot="1" x14ac:dyDescent="0.3">
      <c r="A316" s="3" t="s">
        <v>1</v>
      </c>
      <c r="B316" s="4">
        <v>827427</v>
      </c>
      <c r="C316" s="3" t="s">
        <v>2</v>
      </c>
      <c r="D316" s="18">
        <v>8.7499999999999994E-2</v>
      </c>
      <c r="E316" s="21">
        <v>7.0146116041400752E-3</v>
      </c>
      <c r="F316" s="5">
        <v>39479</v>
      </c>
      <c r="G316" s="5">
        <v>40940</v>
      </c>
      <c r="H316" s="16">
        <v>1461</v>
      </c>
      <c r="I316" s="5">
        <v>40940</v>
      </c>
      <c r="J316" s="5">
        <v>40074</v>
      </c>
      <c r="K316" s="16">
        <v>595</v>
      </c>
      <c r="L316" s="13">
        <v>30312</v>
      </c>
      <c r="M316" s="15">
        <v>736.93717160984272</v>
      </c>
      <c r="N316" s="13">
        <v>21750.15</v>
      </c>
      <c r="O316" s="13">
        <v>0</v>
      </c>
      <c r="P316" s="11">
        <v>0</v>
      </c>
    </row>
    <row r="317" spans="1:16" ht="15" thickBot="1" x14ac:dyDescent="0.3">
      <c r="A317" s="3" t="s">
        <v>1</v>
      </c>
      <c r="B317" s="4">
        <v>831199</v>
      </c>
      <c r="C317" s="3" t="s">
        <v>2</v>
      </c>
      <c r="D317" s="18">
        <v>8.5000000000000006E-2</v>
      </c>
      <c r="E317" s="21">
        <v>6.8214933659622723E-3</v>
      </c>
      <c r="F317" s="5">
        <v>39485</v>
      </c>
      <c r="G317" s="5">
        <v>41312</v>
      </c>
      <c r="H317" s="16">
        <v>1827</v>
      </c>
      <c r="I317" s="5">
        <v>41340</v>
      </c>
      <c r="J317" s="5">
        <v>40168</v>
      </c>
      <c r="K317" s="16">
        <v>683</v>
      </c>
      <c r="L317" s="13">
        <v>65662</v>
      </c>
      <c r="M317" s="15">
        <v>1321.2332015244808</v>
      </c>
      <c r="N317" s="13">
        <v>47642.52</v>
      </c>
      <c r="O317" s="13">
        <v>10500</v>
      </c>
      <c r="P317" s="11">
        <v>0</v>
      </c>
    </row>
    <row r="318" spans="1:16" ht="15" thickBot="1" x14ac:dyDescent="0.3">
      <c r="A318" s="3" t="s">
        <v>1</v>
      </c>
      <c r="B318" s="4">
        <v>193958</v>
      </c>
      <c r="C318" s="3" t="s">
        <v>2</v>
      </c>
      <c r="D318" s="18">
        <v>6.8900000000000003E-2</v>
      </c>
      <c r="E318" s="21">
        <v>5.5679505949390862E-3</v>
      </c>
      <c r="F318" s="5">
        <v>39486</v>
      </c>
      <c r="G318" s="5">
        <v>40947</v>
      </c>
      <c r="H318" s="16">
        <v>1461</v>
      </c>
      <c r="I318" s="5">
        <v>40947</v>
      </c>
      <c r="J318" s="5">
        <v>40022</v>
      </c>
      <c r="K318" s="16">
        <v>536</v>
      </c>
      <c r="L318" s="13">
        <v>48759.5</v>
      </c>
      <c r="M318" s="15">
        <v>1145.8621099823629</v>
      </c>
      <c r="N318" s="13">
        <v>28500</v>
      </c>
      <c r="O318" s="13">
        <v>0</v>
      </c>
      <c r="P318" s="11">
        <v>0</v>
      </c>
    </row>
    <row r="319" spans="1:16" ht="15" thickBot="1" x14ac:dyDescent="0.3">
      <c r="A319" s="3" t="s">
        <v>1</v>
      </c>
      <c r="B319" s="4">
        <v>282884</v>
      </c>
      <c r="C319" s="3" t="s">
        <v>2</v>
      </c>
      <c r="D319" s="18">
        <v>9.5000000000000001E-2</v>
      </c>
      <c r="E319" s="21">
        <v>7.5915342905825689E-3</v>
      </c>
      <c r="F319" s="5">
        <v>39626</v>
      </c>
      <c r="G319" s="5">
        <v>39991</v>
      </c>
      <c r="H319" s="16">
        <v>365</v>
      </c>
      <c r="I319" s="5">
        <v>39991</v>
      </c>
      <c r="J319" s="5">
        <v>39897</v>
      </c>
      <c r="K319" s="16">
        <v>271</v>
      </c>
      <c r="L319" s="13">
        <v>8100</v>
      </c>
      <c r="M319" s="15">
        <v>699.49444203501412</v>
      </c>
      <c r="N319" s="13">
        <v>8100</v>
      </c>
      <c r="O319" s="13">
        <v>0</v>
      </c>
      <c r="P319" s="11">
        <v>0</v>
      </c>
    </row>
    <row r="320" spans="1:16" ht="15" thickBot="1" x14ac:dyDescent="0.3">
      <c r="A320" s="3" t="s">
        <v>1</v>
      </c>
      <c r="B320" s="4">
        <v>837679</v>
      </c>
      <c r="C320" s="3" t="s">
        <v>2</v>
      </c>
      <c r="D320" s="18">
        <v>9.2499999999999999E-2</v>
      </c>
      <c r="E320" s="21">
        <v>7.3996302871768282E-3</v>
      </c>
      <c r="F320" s="5">
        <v>39639</v>
      </c>
      <c r="G320" s="5">
        <v>40004</v>
      </c>
      <c r="H320" s="16">
        <v>365</v>
      </c>
      <c r="I320" s="5">
        <v>40188</v>
      </c>
      <c r="J320" s="5">
        <v>40361</v>
      </c>
      <c r="K320" s="16">
        <v>722</v>
      </c>
      <c r="L320" s="13">
        <v>15180</v>
      </c>
      <c r="M320" s="15">
        <v>1309.2844103229095</v>
      </c>
      <c r="N320" s="13">
        <v>10565.18</v>
      </c>
      <c r="O320" s="13">
        <v>400</v>
      </c>
      <c r="P320" s="11">
        <v>0</v>
      </c>
    </row>
    <row r="321" spans="1:16" ht="15" thickBot="1" x14ac:dyDescent="0.3">
      <c r="A321" s="3" t="s">
        <v>1</v>
      </c>
      <c r="B321" s="4">
        <v>533148</v>
      </c>
      <c r="C321" s="3" t="s">
        <v>2</v>
      </c>
      <c r="D321" s="18">
        <v>0.09</v>
      </c>
      <c r="E321" s="21">
        <v>7.2073233161367156E-3</v>
      </c>
      <c r="F321" s="5">
        <v>39695</v>
      </c>
      <c r="G321" s="5">
        <v>41537</v>
      </c>
      <c r="H321" s="16">
        <v>1842</v>
      </c>
      <c r="I321" s="5">
        <v>40806</v>
      </c>
      <c r="J321" s="5">
        <v>40627</v>
      </c>
      <c r="K321" s="16">
        <v>932</v>
      </c>
      <c r="L321" s="13">
        <v>25250</v>
      </c>
      <c r="M321" s="15">
        <v>510.37593453485113</v>
      </c>
      <c r="N321" s="13">
        <v>16919.41</v>
      </c>
      <c r="O321" s="13">
        <v>0</v>
      </c>
      <c r="P321" s="11">
        <v>0</v>
      </c>
    </row>
    <row r="322" spans="1:16" ht="15" thickBot="1" x14ac:dyDescent="0.3">
      <c r="A322" s="3" t="s">
        <v>1</v>
      </c>
      <c r="B322" s="4">
        <v>509968</v>
      </c>
      <c r="C322" s="3" t="s">
        <v>2</v>
      </c>
      <c r="D322" s="18">
        <v>0.09</v>
      </c>
      <c r="E322" s="21">
        <v>7.2073233161367156E-3</v>
      </c>
      <c r="F322" s="5">
        <v>39695</v>
      </c>
      <c r="G322" s="5">
        <v>40060</v>
      </c>
      <c r="H322" s="16">
        <v>365</v>
      </c>
      <c r="I322" s="5">
        <v>40806</v>
      </c>
      <c r="J322" s="5">
        <v>40627</v>
      </c>
      <c r="K322" s="16">
        <v>932</v>
      </c>
      <c r="L322" s="13">
        <v>10112</v>
      </c>
      <c r="M322" s="15">
        <v>871.08560754507141</v>
      </c>
      <c r="N322" s="13">
        <v>9249.7199999999993</v>
      </c>
      <c r="O322" s="13">
        <v>0</v>
      </c>
      <c r="P322" s="11">
        <v>0</v>
      </c>
    </row>
    <row r="323" spans="1:16" ht="15" thickBot="1" x14ac:dyDescent="0.3">
      <c r="A323" s="3" t="s">
        <v>1</v>
      </c>
      <c r="B323" s="4">
        <v>964268</v>
      </c>
      <c r="C323" s="3" t="s">
        <v>4</v>
      </c>
      <c r="D323" s="18">
        <v>0.09</v>
      </c>
      <c r="E323" s="21">
        <v>7.2073233161367156E-3</v>
      </c>
      <c r="F323" s="5">
        <v>41066</v>
      </c>
      <c r="G323" s="5">
        <v>43622</v>
      </c>
      <c r="H323" s="16">
        <v>2556</v>
      </c>
      <c r="I323" s="5">
        <v>43622</v>
      </c>
      <c r="J323" s="5">
        <v>41541</v>
      </c>
      <c r="K323" s="16">
        <v>475</v>
      </c>
      <c r="L323" s="13">
        <v>61000</v>
      </c>
      <c r="M323" s="15">
        <v>960.64107768808503</v>
      </c>
      <c r="N323" s="13">
        <v>45906.15</v>
      </c>
      <c r="O323" s="13">
        <v>668.36</v>
      </c>
      <c r="P323" s="11">
        <v>1</v>
      </c>
    </row>
    <row r="324" spans="1:16" ht="15" thickBot="1" x14ac:dyDescent="0.3">
      <c r="A324" s="3" t="s">
        <v>1</v>
      </c>
      <c r="B324" s="4">
        <v>501491</v>
      </c>
      <c r="C324" s="3" t="s">
        <v>2</v>
      </c>
      <c r="D324" s="18">
        <v>9.2499999999999999E-2</v>
      </c>
      <c r="E324" s="21">
        <v>7.3996302871768282E-3</v>
      </c>
      <c r="F324" s="5">
        <v>42250</v>
      </c>
      <c r="G324" s="5">
        <v>42616</v>
      </c>
      <c r="H324" s="16">
        <v>366</v>
      </c>
      <c r="I324" s="5">
        <v>43865</v>
      </c>
      <c r="J324" s="5">
        <v>43325</v>
      </c>
      <c r="K324" s="16">
        <v>1075</v>
      </c>
      <c r="L324" s="13">
        <v>40000</v>
      </c>
      <c r="M324" s="15">
        <v>3441.0149538177079</v>
      </c>
      <c r="N324" s="13">
        <v>36534.080000000002</v>
      </c>
      <c r="O324" s="13">
        <v>7012.07</v>
      </c>
      <c r="P324" s="11">
        <v>1</v>
      </c>
    </row>
    <row r="325" spans="1:16" ht="15" thickBot="1" x14ac:dyDescent="0.3">
      <c r="A325" s="3" t="s">
        <v>1</v>
      </c>
      <c r="B325" s="4">
        <v>852204</v>
      </c>
      <c r="C325" s="3" t="s">
        <v>2</v>
      </c>
      <c r="D325" s="18">
        <v>0.12</v>
      </c>
      <c r="E325" s="21">
        <v>9.4887929345830457E-3</v>
      </c>
      <c r="F325" s="5">
        <v>39883</v>
      </c>
      <c r="G325" s="5">
        <v>40067</v>
      </c>
      <c r="H325" s="16">
        <v>184</v>
      </c>
      <c r="I325" s="5">
        <v>40067</v>
      </c>
      <c r="J325" s="5">
        <v>39889</v>
      </c>
      <c r="K325" s="16">
        <v>6</v>
      </c>
      <c r="L325" s="13">
        <v>12931.63</v>
      </c>
      <c r="M325" s="15">
        <v>2180.3504020284627</v>
      </c>
      <c r="N325" s="13">
        <v>12931.63</v>
      </c>
      <c r="O325" s="13">
        <v>98.87</v>
      </c>
      <c r="P325" s="11">
        <v>0</v>
      </c>
    </row>
    <row r="326" spans="1:16" ht="15" thickBot="1" x14ac:dyDescent="0.3">
      <c r="A326" s="3" t="s">
        <v>1</v>
      </c>
      <c r="B326" s="4">
        <v>200033</v>
      </c>
      <c r="C326" s="3" t="s">
        <v>4</v>
      </c>
      <c r="D326" s="18">
        <v>8.2500000000000004E-2</v>
      </c>
      <c r="E326" s="21">
        <v>6.6279668043680573E-3</v>
      </c>
      <c r="F326" s="5">
        <v>39335</v>
      </c>
      <c r="G326" s="5">
        <v>42257</v>
      </c>
      <c r="H326" s="16">
        <v>2922</v>
      </c>
      <c r="I326" s="5">
        <v>42257</v>
      </c>
      <c r="J326" s="5">
        <v>40074</v>
      </c>
      <c r="K326" s="16">
        <v>739</v>
      </c>
      <c r="L326" s="13">
        <v>35000</v>
      </c>
      <c r="M326" s="15">
        <v>488.87547880506099</v>
      </c>
      <c r="N326" s="13">
        <v>15557.13</v>
      </c>
      <c r="O326" s="13">
        <v>0</v>
      </c>
      <c r="P326" s="11">
        <v>1</v>
      </c>
    </row>
    <row r="327" spans="1:16" ht="15" thickBot="1" x14ac:dyDescent="0.3">
      <c r="A327" s="3" t="s">
        <v>1</v>
      </c>
      <c r="B327" s="4">
        <v>581267</v>
      </c>
      <c r="C327" s="3" t="s">
        <v>4</v>
      </c>
      <c r="D327" s="18">
        <v>7.7499999999999999E-2</v>
      </c>
      <c r="E327" s="21">
        <v>6.2396814612857288E-3</v>
      </c>
      <c r="F327" s="5">
        <v>39384</v>
      </c>
      <c r="G327" s="5">
        <v>42306</v>
      </c>
      <c r="H327" s="16">
        <v>2922</v>
      </c>
      <c r="I327" s="5">
        <v>42306</v>
      </c>
      <c r="J327" s="5">
        <v>40696</v>
      </c>
      <c r="K327" s="16">
        <v>1312</v>
      </c>
      <c r="L327" s="13">
        <v>75800</v>
      </c>
      <c r="M327" s="15">
        <v>1040.8778728048219</v>
      </c>
      <c r="N327" s="13">
        <v>38018.050000000003</v>
      </c>
      <c r="O327" s="13">
        <v>3995.27</v>
      </c>
      <c r="P327" s="11">
        <v>1</v>
      </c>
    </row>
    <row r="328" spans="1:16" ht="15" thickBot="1" x14ac:dyDescent="0.3">
      <c r="A328" s="3" t="s">
        <v>1</v>
      </c>
      <c r="B328" s="4">
        <v>170001</v>
      </c>
      <c r="C328" s="3" t="s">
        <v>2</v>
      </c>
      <c r="D328" s="18">
        <v>8.2500000000000004E-2</v>
      </c>
      <c r="E328" s="21">
        <v>6.6279668043680573E-3</v>
      </c>
      <c r="F328" s="5">
        <v>39428</v>
      </c>
      <c r="G328" s="5">
        <v>39794</v>
      </c>
      <c r="H328" s="16">
        <v>366</v>
      </c>
      <c r="I328" s="5">
        <v>40524</v>
      </c>
      <c r="J328" s="5">
        <v>40533</v>
      </c>
      <c r="K328" s="16">
        <v>1105</v>
      </c>
      <c r="L328" s="13">
        <v>10000</v>
      </c>
      <c r="M328" s="15">
        <v>855.9704535571957</v>
      </c>
      <c r="N328" s="13">
        <v>9911.7199999999993</v>
      </c>
      <c r="O328" s="13">
        <v>5081.8599999999997</v>
      </c>
      <c r="P328" s="11">
        <v>0</v>
      </c>
    </row>
    <row r="329" spans="1:16" ht="15" thickBot="1" x14ac:dyDescent="0.3">
      <c r="A329" s="3" t="s">
        <v>1</v>
      </c>
      <c r="B329" s="4">
        <v>522862</v>
      </c>
      <c r="C329" s="3" t="s">
        <v>2</v>
      </c>
      <c r="D329" s="18">
        <v>8.7499999999999994E-2</v>
      </c>
      <c r="E329" s="21">
        <v>7.0146116041400752E-3</v>
      </c>
      <c r="F329" s="5">
        <v>39626</v>
      </c>
      <c r="G329" s="5">
        <v>39991</v>
      </c>
      <c r="H329" s="16">
        <v>365</v>
      </c>
      <c r="I329" s="5">
        <v>41654</v>
      </c>
      <c r="J329" s="5">
        <v>41093</v>
      </c>
      <c r="K329" s="16">
        <v>1467</v>
      </c>
      <c r="L329" s="13">
        <v>100000</v>
      </c>
      <c r="M329" s="15">
        <v>8603.6730516120533</v>
      </c>
      <c r="N329" s="13">
        <v>93099.61</v>
      </c>
      <c r="O329" s="13">
        <v>1000</v>
      </c>
      <c r="P329" s="11">
        <v>0</v>
      </c>
    </row>
    <row r="330" spans="1:16" ht="15" thickBot="1" x14ac:dyDescent="0.3">
      <c r="A330" s="3" t="s">
        <v>1</v>
      </c>
      <c r="B330" s="4">
        <v>259853</v>
      </c>
      <c r="C330" s="3" t="s">
        <v>2</v>
      </c>
      <c r="D330" s="18">
        <v>9.2499999999999999E-2</v>
      </c>
      <c r="E330" s="21">
        <v>7.3996302871768282E-3</v>
      </c>
      <c r="F330" s="5">
        <v>39769</v>
      </c>
      <c r="G330" s="5">
        <v>40134</v>
      </c>
      <c r="H330" s="16">
        <v>365</v>
      </c>
      <c r="I330" s="5">
        <v>40499</v>
      </c>
      <c r="J330" s="5">
        <v>40619</v>
      </c>
      <c r="K330" s="16">
        <v>850</v>
      </c>
      <c r="L330" s="13">
        <v>25137</v>
      </c>
      <c r="M330" s="15">
        <v>2168.081832825229</v>
      </c>
      <c r="N330" s="13">
        <v>25064.06</v>
      </c>
      <c r="O330" s="13">
        <v>0</v>
      </c>
      <c r="P330" s="11">
        <v>0</v>
      </c>
    </row>
    <row r="331" spans="1:16" ht="15" thickBot="1" x14ac:dyDescent="0.3">
      <c r="A331" s="3" t="s">
        <v>1</v>
      </c>
      <c r="B331" s="4">
        <v>146270</v>
      </c>
      <c r="C331" s="3" t="s">
        <v>4</v>
      </c>
      <c r="D331" s="18">
        <v>8.7499999999999994E-2</v>
      </c>
      <c r="E331" s="21">
        <v>7.0146116041400752E-3</v>
      </c>
      <c r="F331" s="5">
        <v>39931</v>
      </c>
      <c r="G331" s="5">
        <v>42488</v>
      </c>
      <c r="H331" s="16">
        <v>2557</v>
      </c>
      <c r="I331" s="5">
        <v>42488</v>
      </c>
      <c r="J331" s="5">
        <v>42166</v>
      </c>
      <c r="K331" s="16">
        <v>2235</v>
      </c>
      <c r="L331" s="13">
        <v>158000</v>
      </c>
      <c r="M331" s="15">
        <v>2469.0871270881871</v>
      </c>
      <c r="N331" s="13">
        <v>94646.25</v>
      </c>
      <c r="O331" s="13">
        <v>2042.74</v>
      </c>
      <c r="P331" s="11">
        <v>1</v>
      </c>
    </row>
    <row r="332" spans="1:16" ht="15" thickBot="1" x14ac:dyDescent="0.3">
      <c r="A332" s="3" t="s">
        <v>1</v>
      </c>
      <c r="B332" s="4">
        <v>520384</v>
      </c>
      <c r="C332" s="3" t="s">
        <v>2</v>
      </c>
      <c r="D332" s="18">
        <v>0.105</v>
      </c>
      <c r="E332" s="21">
        <v>8.355155683635207E-3</v>
      </c>
      <c r="F332" s="5">
        <v>39980</v>
      </c>
      <c r="G332" s="5">
        <v>40041</v>
      </c>
      <c r="H332" s="16">
        <v>61</v>
      </c>
      <c r="I332" s="5">
        <v>42871</v>
      </c>
      <c r="J332" s="5">
        <v>42998</v>
      </c>
      <c r="K332" s="16">
        <v>3018</v>
      </c>
      <c r="L332" s="13">
        <v>15050</v>
      </c>
      <c r="M332" s="15">
        <v>7495.5672173070889</v>
      </c>
      <c r="N332" s="13">
        <v>1379.04</v>
      </c>
      <c r="O332" s="13">
        <v>255.49</v>
      </c>
      <c r="P332" s="11">
        <v>0</v>
      </c>
    </row>
    <row r="333" spans="1:16" ht="15" thickBot="1" x14ac:dyDescent="0.3">
      <c r="A333" s="3" t="s">
        <v>1</v>
      </c>
      <c r="B333" s="4">
        <v>779045</v>
      </c>
      <c r="C333" s="3" t="s">
        <v>2</v>
      </c>
      <c r="D333" s="18">
        <v>9.7500000000000003E-2</v>
      </c>
      <c r="E333" s="21">
        <v>7.7830370878799737E-3</v>
      </c>
      <c r="F333" s="5">
        <v>39220</v>
      </c>
      <c r="G333" s="5">
        <v>41351</v>
      </c>
      <c r="H333" s="16">
        <v>2131</v>
      </c>
      <c r="I333" s="5">
        <v>41351</v>
      </c>
      <c r="J333" s="5">
        <v>40513</v>
      </c>
      <c r="K333" s="16">
        <v>1293</v>
      </c>
      <c r="L333" s="13">
        <v>835993.98</v>
      </c>
      <c r="M333" s="15">
        <v>15365.170908578424</v>
      </c>
      <c r="N333" s="13">
        <v>835993.98</v>
      </c>
      <c r="O333" s="13">
        <v>0</v>
      </c>
      <c r="P333" s="11">
        <v>0</v>
      </c>
    </row>
    <row r="334" spans="1:16" ht="15" thickBot="1" x14ac:dyDescent="0.3">
      <c r="A334" s="3" t="s">
        <v>1</v>
      </c>
      <c r="B334" s="4">
        <v>5942</v>
      </c>
      <c r="C334" s="3" t="s">
        <v>2</v>
      </c>
      <c r="D334" s="18">
        <v>0.1</v>
      </c>
      <c r="E334" s="21">
        <v>7.9741404289037643E-3</v>
      </c>
      <c r="F334" s="5">
        <v>41257</v>
      </c>
      <c r="G334" s="5">
        <v>43813</v>
      </c>
      <c r="H334" s="16">
        <v>2556</v>
      </c>
      <c r="I334" s="5">
        <v>43813</v>
      </c>
      <c r="J334" s="5">
        <v>43496</v>
      </c>
      <c r="K334" s="16">
        <v>2239</v>
      </c>
      <c r="L334" s="13">
        <v>11125.21</v>
      </c>
      <c r="M334" s="15">
        <v>180.41948492261082</v>
      </c>
      <c r="N334" s="13">
        <v>11125.21</v>
      </c>
      <c r="O334" s="13">
        <v>0</v>
      </c>
      <c r="P334" s="11">
        <v>1</v>
      </c>
    </row>
    <row r="335" spans="1:16" ht="15" thickBot="1" x14ac:dyDescent="0.3">
      <c r="A335" s="3" t="s">
        <v>1</v>
      </c>
      <c r="B335" s="4">
        <v>964872</v>
      </c>
      <c r="C335" s="3" t="s">
        <v>2</v>
      </c>
      <c r="D335" s="18">
        <v>0.09</v>
      </c>
      <c r="E335" s="21">
        <v>7.2073233161367156E-3</v>
      </c>
      <c r="F335" s="5">
        <v>41330</v>
      </c>
      <c r="G335" s="5">
        <v>43276</v>
      </c>
      <c r="H335" s="16">
        <v>1946</v>
      </c>
      <c r="I335" s="5">
        <v>43276</v>
      </c>
      <c r="J335" s="5">
        <v>42916</v>
      </c>
      <c r="K335" s="16">
        <v>1586</v>
      </c>
      <c r="L335" s="13">
        <v>30000</v>
      </c>
      <c r="M335" s="15">
        <v>580.6250721536527</v>
      </c>
      <c r="N335" s="13">
        <v>30000</v>
      </c>
      <c r="O335" s="13">
        <v>0</v>
      </c>
      <c r="P335" s="11">
        <v>1</v>
      </c>
    </row>
    <row r="336" spans="1:16" ht="15" thickBot="1" x14ac:dyDescent="0.3">
      <c r="A336" s="3" t="s">
        <v>11</v>
      </c>
      <c r="B336" s="4">
        <v>896594</v>
      </c>
      <c r="C336" s="3" t="s">
        <v>12</v>
      </c>
      <c r="D336" s="18">
        <v>9.7500000000000003E-2</v>
      </c>
      <c r="E336" s="21">
        <v>7.7830370878799737E-3</v>
      </c>
      <c r="F336" s="5">
        <v>34607</v>
      </c>
      <c r="G336" s="5">
        <v>36443</v>
      </c>
      <c r="H336" s="16">
        <v>1836</v>
      </c>
      <c r="I336" s="5">
        <v>36717</v>
      </c>
      <c r="J336" s="5">
        <v>36595</v>
      </c>
      <c r="K336" s="16">
        <v>1988</v>
      </c>
      <c r="L336" s="13">
        <v>5531</v>
      </c>
      <c r="M336" s="15">
        <v>113.94680746911641</v>
      </c>
      <c r="N336" s="13">
        <v>560</v>
      </c>
      <c r="O336" s="13">
        <v>0</v>
      </c>
      <c r="P336" s="11">
        <v>0</v>
      </c>
    </row>
    <row r="337" spans="1:16" ht="15" thickBot="1" x14ac:dyDescent="0.3">
      <c r="A337" s="3" t="s">
        <v>11</v>
      </c>
      <c r="B337" s="4">
        <v>909519</v>
      </c>
      <c r="C337" s="3" t="s">
        <v>9</v>
      </c>
      <c r="D337" s="18">
        <v>8.7499999999999994E-2</v>
      </c>
      <c r="E337" s="21">
        <v>7.0146116041400752E-3</v>
      </c>
      <c r="F337" s="5">
        <v>35587</v>
      </c>
      <c r="G337" s="5">
        <v>37412</v>
      </c>
      <c r="H337" s="16">
        <v>1825</v>
      </c>
      <c r="I337" s="5">
        <v>37657</v>
      </c>
      <c r="J337" s="5">
        <v>37494</v>
      </c>
      <c r="K337" s="16">
        <v>1907</v>
      </c>
      <c r="L337" s="13">
        <v>10024.58</v>
      </c>
      <c r="M337" s="15">
        <v>203.00850452787182</v>
      </c>
      <c r="N337" s="13">
        <v>4156.0200000000004</v>
      </c>
      <c r="O337" s="13">
        <v>0</v>
      </c>
      <c r="P337" s="11">
        <v>0</v>
      </c>
    </row>
    <row r="338" spans="1:16" ht="15" thickBot="1" x14ac:dyDescent="0.3">
      <c r="A338" s="3" t="s">
        <v>11</v>
      </c>
      <c r="B338" s="4">
        <v>663852</v>
      </c>
      <c r="C338" s="3" t="s">
        <v>13</v>
      </c>
      <c r="D338" s="18">
        <v>0.09</v>
      </c>
      <c r="E338" s="21">
        <v>7.2073233161367156E-3</v>
      </c>
      <c r="F338" s="5">
        <v>35593</v>
      </c>
      <c r="G338" s="5">
        <v>37457</v>
      </c>
      <c r="H338" s="16">
        <v>1864</v>
      </c>
      <c r="I338" s="5">
        <v>37641</v>
      </c>
      <c r="J338" s="5">
        <v>37252</v>
      </c>
      <c r="K338" s="16">
        <v>1659</v>
      </c>
      <c r="L338" s="13">
        <v>12354.21</v>
      </c>
      <c r="M338" s="15">
        <v>247.36988185768664</v>
      </c>
      <c r="N338" s="13">
        <v>4932.7700000000004</v>
      </c>
      <c r="O338" s="13">
        <v>1.37</v>
      </c>
      <c r="P338" s="11">
        <v>0</v>
      </c>
    </row>
    <row r="339" spans="1:16" ht="15" thickBot="1" x14ac:dyDescent="0.3">
      <c r="A339" s="3" t="s">
        <v>11</v>
      </c>
      <c r="B339" s="4">
        <v>195112</v>
      </c>
      <c r="C339" s="3" t="s">
        <v>13</v>
      </c>
      <c r="D339" s="18">
        <v>0.1</v>
      </c>
      <c r="E339" s="21">
        <v>7.9741404289037643E-3</v>
      </c>
      <c r="F339" s="5">
        <v>35563</v>
      </c>
      <c r="G339" s="5">
        <v>37412</v>
      </c>
      <c r="H339" s="16">
        <v>1849</v>
      </c>
      <c r="I339" s="5">
        <v>37677</v>
      </c>
      <c r="J339" s="5">
        <v>36249</v>
      </c>
      <c r="K339" s="16">
        <v>686</v>
      </c>
      <c r="L339" s="13">
        <v>13312.38</v>
      </c>
      <c r="M339" s="15">
        <v>274.24386221446139</v>
      </c>
      <c r="N339" s="13">
        <v>5452.86</v>
      </c>
      <c r="O339" s="13">
        <v>7300</v>
      </c>
      <c r="P339" s="11">
        <v>0</v>
      </c>
    </row>
    <row r="340" spans="1:16" ht="15" thickBot="1" x14ac:dyDescent="0.3">
      <c r="A340" s="3" t="s">
        <v>11</v>
      </c>
      <c r="B340" s="4">
        <v>938721</v>
      </c>
      <c r="C340" s="3" t="s">
        <v>13</v>
      </c>
      <c r="D340" s="18">
        <v>0.125</v>
      </c>
      <c r="E340" s="21">
        <v>9.8635805532114595E-3</v>
      </c>
      <c r="F340" s="5">
        <v>35479</v>
      </c>
      <c r="G340" s="5">
        <v>37307</v>
      </c>
      <c r="H340" s="16">
        <v>1828</v>
      </c>
      <c r="I340" s="5">
        <v>37335</v>
      </c>
      <c r="J340" s="5">
        <v>36249</v>
      </c>
      <c r="K340" s="16">
        <v>770</v>
      </c>
      <c r="L340" s="13">
        <v>14777.25</v>
      </c>
      <c r="M340" s="15">
        <v>323.80893740815605</v>
      </c>
      <c r="N340" s="13">
        <v>7284.18</v>
      </c>
      <c r="O340" s="13">
        <v>1871.82</v>
      </c>
      <c r="P340" s="11">
        <v>0</v>
      </c>
    </row>
    <row r="341" spans="1:16" ht="15" thickBot="1" x14ac:dyDescent="0.3">
      <c r="A341" s="3" t="s">
        <v>11</v>
      </c>
      <c r="B341" s="4">
        <v>703289</v>
      </c>
      <c r="C341" s="3" t="s">
        <v>13</v>
      </c>
      <c r="D341" s="18">
        <v>0.105</v>
      </c>
      <c r="E341" s="21">
        <v>8.355155683635207E-3</v>
      </c>
      <c r="F341" s="5">
        <v>35429</v>
      </c>
      <c r="G341" s="5">
        <v>37665</v>
      </c>
      <c r="H341" s="16">
        <v>2236</v>
      </c>
      <c r="I341" s="5">
        <v>37631</v>
      </c>
      <c r="J341" s="5">
        <v>36357</v>
      </c>
      <c r="K341" s="16">
        <v>928</v>
      </c>
      <c r="L341" s="13">
        <v>36015.449999999997</v>
      </c>
      <c r="M341" s="15">
        <v>651.1381192296659</v>
      </c>
      <c r="N341" s="13">
        <v>24153.279999999999</v>
      </c>
      <c r="O341" s="13">
        <v>0</v>
      </c>
      <c r="P341" s="11">
        <v>0</v>
      </c>
    </row>
    <row r="342" spans="1:16" ht="15" thickBot="1" x14ac:dyDescent="0.3">
      <c r="A342" s="3" t="s">
        <v>11</v>
      </c>
      <c r="B342" s="4">
        <v>933114</v>
      </c>
      <c r="C342" s="3" t="s">
        <v>9</v>
      </c>
      <c r="D342" s="18">
        <v>0.11</v>
      </c>
      <c r="E342" s="21">
        <v>8.7345938235519061E-3</v>
      </c>
      <c r="F342" s="5">
        <v>35768</v>
      </c>
      <c r="G342" s="5">
        <v>36880</v>
      </c>
      <c r="H342" s="16">
        <v>1112</v>
      </c>
      <c r="I342" s="5">
        <v>37001</v>
      </c>
      <c r="J342" s="5">
        <v>36249</v>
      </c>
      <c r="K342" s="16">
        <v>481</v>
      </c>
      <c r="L342" s="13">
        <v>4072.67</v>
      </c>
      <c r="M342" s="15">
        <v>129.09385866906081</v>
      </c>
      <c r="N342" s="13">
        <v>3997.67</v>
      </c>
      <c r="O342" s="13">
        <v>300</v>
      </c>
      <c r="P342" s="11">
        <v>0</v>
      </c>
    </row>
    <row r="343" spans="1:16" ht="15" thickBot="1" x14ac:dyDescent="0.3">
      <c r="A343" s="3" t="s">
        <v>11</v>
      </c>
      <c r="B343" s="4">
        <v>706255</v>
      </c>
      <c r="C343" s="3" t="s">
        <v>9</v>
      </c>
      <c r="D343" s="18">
        <v>0.11</v>
      </c>
      <c r="E343" s="21">
        <v>8.7345938235519061E-3</v>
      </c>
      <c r="F343" s="5">
        <v>35845</v>
      </c>
      <c r="G343" s="5">
        <v>36758</v>
      </c>
      <c r="H343" s="16">
        <v>913</v>
      </c>
      <c r="I343" s="5">
        <v>36758</v>
      </c>
      <c r="J343" s="5">
        <v>36249</v>
      </c>
      <c r="K343" s="16">
        <v>404</v>
      </c>
      <c r="L343" s="13">
        <v>6083.76</v>
      </c>
      <c r="M343" s="15">
        <v>228.51651025063785</v>
      </c>
      <c r="N343" s="13">
        <v>2000</v>
      </c>
      <c r="O343" s="13">
        <v>3636</v>
      </c>
      <c r="P343" s="11">
        <v>0</v>
      </c>
    </row>
    <row r="344" spans="1:16" ht="15" thickBot="1" x14ac:dyDescent="0.3">
      <c r="A344" s="3" t="s">
        <v>11</v>
      </c>
      <c r="B344" s="4">
        <v>823424</v>
      </c>
      <c r="C344" s="3" t="s">
        <v>12</v>
      </c>
      <c r="D344" s="18">
        <v>9.7500000000000003E-2</v>
      </c>
      <c r="E344" s="21">
        <v>7.7830370878799737E-3</v>
      </c>
      <c r="F344" s="5">
        <v>35860</v>
      </c>
      <c r="G344" s="5">
        <v>36975</v>
      </c>
      <c r="H344" s="16">
        <v>1115</v>
      </c>
      <c r="I344" s="5">
        <v>36975</v>
      </c>
      <c r="J344" s="5">
        <v>36167</v>
      </c>
      <c r="K344" s="16">
        <v>307</v>
      </c>
      <c r="L344" s="13">
        <v>4644.87</v>
      </c>
      <c r="M344" s="15">
        <v>144.40226961589454</v>
      </c>
      <c r="N344" s="13">
        <v>3040</v>
      </c>
      <c r="O344" s="13">
        <v>195.13</v>
      </c>
      <c r="P344" s="11">
        <v>0</v>
      </c>
    </row>
    <row r="345" spans="1:16" ht="15" thickBot="1" x14ac:dyDescent="0.3">
      <c r="A345" s="3" t="s">
        <v>11</v>
      </c>
      <c r="B345" s="4">
        <v>860963</v>
      </c>
      <c r="C345" s="3" t="s">
        <v>9</v>
      </c>
      <c r="D345" s="18">
        <v>8.7499999999999994E-2</v>
      </c>
      <c r="E345" s="21">
        <v>7.0146116041400752E-3</v>
      </c>
      <c r="F345" s="5">
        <v>36084</v>
      </c>
      <c r="G345" s="5">
        <v>37006</v>
      </c>
      <c r="H345" s="16">
        <v>922</v>
      </c>
      <c r="I345" s="5">
        <v>37006</v>
      </c>
      <c r="J345" s="5">
        <v>37162</v>
      </c>
      <c r="K345" s="16">
        <v>1078</v>
      </c>
      <c r="L345" s="13">
        <v>3602.97</v>
      </c>
      <c r="M345" s="15">
        <v>130.73281837079946</v>
      </c>
      <c r="N345" s="13">
        <v>2060.48</v>
      </c>
      <c r="O345" s="13">
        <v>0</v>
      </c>
      <c r="P345" s="11">
        <v>0</v>
      </c>
    </row>
    <row r="346" spans="1:16" ht="15" thickBot="1" x14ac:dyDescent="0.3">
      <c r="A346" s="3" t="s">
        <v>11</v>
      </c>
      <c r="B346" s="4">
        <v>211373</v>
      </c>
      <c r="C346" s="3" t="s">
        <v>9</v>
      </c>
      <c r="D346" s="18">
        <v>8.7499999999999994E-2</v>
      </c>
      <c r="E346" s="21">
        <v>7.0146116041400752E-3</v>
      </c>
      <c r="F346" s="5">
        <v>36084</v>
      </c>
      <c r="G346" s="5">
        <v>37001</v>
      </c>
      <c r="H346" s="16">
        <v>917</v>
      </c>
      <c r="I346" s="5">
        <v>37001</v>
      </c>
      <c r="J346" s="5">
        <v>36523</v>
      </c>
      <c r="K346" s="16">
        <v>439</v>
      </c>
      <c r="L346" s="13">
        <v>3582.97</v>
      </c>
      <c r="M346" s="15">
        <v>130.64258967384976</v>
      </c>
      <c r="N346" s="13">
        <v>3301.36</v>
      </c>
      <c r="O346" s="13">
        <v>150</v>
      </c>
      <c r="P346" s="11">
        <v>0</v>
      </c>
    </row>
    <row r="347" spans="1:16" ht="15" thickBot="1" x14ac:dyDescent="0.3">
      <c r="A347" s="3" t="s">
        <v>11</v>
      </c>
      <c r="B347" s="4">
        <v>357355</v>
      </c>
      <c r="C347" s="3" t="s">
        <v>13</v>
      </c>
      <c r="D347" s="18">
        <v>0.1</v>
      </c>
      <c r="E347" s="21">
        <v>7.9741404289037643E-3</v>
      </c>
      <c r="F347" s="5">
        <v>36139</v>
      </c>
      <c r="G347" s="5">
        <v>37796</v>
      </c>
      <c r="H347" s="16">
        <v>1657</v>
      </c>
      <c r="I347" s="5">
        <v>37796</v>
      </c>
      <c r="J347" s="5">
        <v>36795</v>
      </c>
      <c r="K347" s="16">
        <v>656</v>
      </c>
      <c r="L347" s="13">
        <v>13187.5</v>
      </c>
      <c r="M347" s="15">
        <v>296.12207584003903</v>
      </c>
      <c r="N347" s="13">
        <v>18739.82</v>
      </c>
      <c r="O347" s="13">
        <v>11898.15</v>
      </c>
      <c r="P347" s="11">
        <v>0</v>
      </c>
    </row>
    <row r="348" spans="1:16" ht="15" thickBot="1" x14ac:dyDescent="0.3">
      <c r="A348" s="3" t="s">
        <v>11</v>
      </c>
      <c r="B348" s="4">
        <v>384190</v>
      </c>
      <c r="C348" s="3" t="s">
        <v>9</v>
      </c>
      <c r="D348" s="18">
        <v>8.5000000000000006E-2</v>
      </c>
      <c r="E348" s="21">
        <v>6.8214933659622723E-3</v>
      </c>
      <c r="F348" s="5">
        <v>36286</v>
      </c>
      <c r="G348" s="5">
        <v>38117</v>
      </c>
      <c r="H348" s="16">
        <v>1831</v>
      </c>
      <c r="I348" s="5">
        <v>38178</v>
      </c>
      <c r="J348" s="5">
        <v>37008</v>
      </c>
      <c r="K348" s="16">
        <v>722</v>
      </c>
      <c r="L348" s="13">
        <v>16090.54</v>
      </c>
      <c r="M348" s="15">
        <v>323.19859784964933</v>
      </c>
      <c r="N348" s="13">
        <v>8066.93</v>
      </c>
      <c r="O348" s="13">
        <v>0</v>
      </c>
      <c r="P348" s="11">
        <v>0</v>
      </c>
    </row>
    <row r="349" spans="1:16" ht="15" thickBot="1" x14ac:dyDescent="0.3">
      <c r="A349" s="3" t="s">
        <v>11</v>
      </c>
      <c r="B349" s="4">
        <v>780476</v>
      </c>
      <c r="C349" s="3" t="s">
        <v>9</v>
      </c>
      <c r="D349" s="18">
        <v>0.13750000000000001</v>
      </c>
      <c r="E349" s="21">
        <v>1.0793911082132235E-2</v>
      </c>
      <c r="F349" s="5">
        <v>36357</v>
      </c>
      <c r="G349" s="5">
        <v>37281</v>
      </c>
      <c r="H349" s="16">
        <v>924</v>
      </c>
      <c r="I349" s="5">
        <v>37281</v>
      </c>
      <c r="J349" s="5">
        <v>37252</v>
      </c>
      <c r="K349" s="16">
        <v>895</v>
      </c>
      <c r="L349" s="13">
        <v>4550</v>
      </c>
      <c r="M349" s="15">
        <v>174.43014593604346</v>
      </c>
      <c r="N349" s="13">
        <v>1724.8</v>
      </c>
      <c r="O349" s="13">
        <v>300</v>
      </c>
      <c r="P349" s="11">
        <v>0</v>
      </c>
    </row>
    <row r="350" spans="1:16" ht="15" thickBot="1" x14ac:dyDescent="0.3">
      <c r="A350" s="3" t="s">
        <v>11</v>
      </c>
      <c r="B350" s="4">
        <v>250562</v>
      </c>
      <c r="C350" s="3" t="s">
        <v>9</v>
      </c>
      <c r="D350" s="18">
        <v>0.12</v>
      </c>
      <c r="E350" s="21">
        <v>9.4887929345830457E-3</v>
      </c>
      <c r="F350" s="5">
        <v>36440</v>
      </c>
      <c r="G350" s="5">
        <v>37196</v>
      </c>
      <c r="H350" s="16">
        <v>756</v>
      </c>
      <c r="I350" s="5">
        <v>37196</v>
      </c>
      <c r="J350" s="5">
        <v>37252</v>
      </c>
      <c r="K350" s="16">
        <v>812</v>
      </c>
      <c r="L350" s="13">
        <v>28562.53</v>
      </c>
      <c r="M350" s="15">
        <v>1279.6847117715954</v>
      </c>
      <c r="N350" s="13">
        <v>26057.46</v>
      </c>
      <c r="O350" s="13">
        <v>13689.51</v>
      </c>
      <c r="P350" s="11">
        <v>0</v>
      </c>
    </row>
    <row r="351" spans="1:16" ht="15" thickBot="1" x14ac:dyDescent="0.3">
      <c r="A351" s="3" t="s">
        <v>11</v>
      </c>
      <c r="B351" s="4">
        <v>515119</v>
      </c>
      <c r="C351" s="3" t="s">
        <v>9</v>
      </c>
      <c r="D351" s="18">
        <v>0.1</v>
      </c>
      <c r="E351" s="21">
        <v>7.9741404289037643E-3</v>
      </c>
      <c r="F351" s="5">
        <v>36474</v>
      </c>
      <c r="G351" s="5">
        <v>37380</v>
      </c>
      <c r="H351" s="16">
        <v>906</v>
      </c>
      <c r="I351" s="5">
        <v>38331</v>
      </c>
      <c r="J351" s="5">
        <v>37610</v>
      </c>
      <c r="K351" s="16">
        <v>1136</v>
      </c>
      <c r="L351" s="13">
        <v>5050</v>
      </c>
      <c r="M351" s="15">
        <v>188.82323797537049</v>
      </c>
      <c r="N351" s="13">
        <v>2259.1799999999998</v>
      </c>
      <c r="O351" s="13">
        <v>3264.29</v>
      </c>
      <c r="P351" s="11">
        <v>0</v>
      </c>
    </row>
    <row r="352" spans="1:16" ht="15" thickBot="1" x14ac:dyDescent="0.3">
      <c r="A352" s="3" t="s">
        <v>11</v>
      </c>
      <c r="B352" s="4">
        <v>513153</v>
      </c>
      <c r="C352" s="3" t="s">
        <v>9</v>
      </c>
      <c r="D352" s="18">
        <v>0.1125</v>
      </c>
      <c r="E352" s="21">
        <v>8.9237257287477778E-3</v>
      </c>
      <c r="F352" s="5">
        <v>36508</v>
      </c>
      <c r="G352" s="5">
        <v>37610</v>
      </c>
      <c r="H352" s="16">
        <v>1102</v>
      </c>
      <c r="I352" s="5">
        <v>37610</v>
      </c>
      <c r="J352" s="5">
        <v>37334</v>
      </c>
      <c r="K352" s="16">
        <v>826</v>
      </c>
      <c r="L352" s="13">
        <v>13442.09</v>
      </c>
      <c r="M352" s="15">
        <v>430.80062290875088</v>
      </c>
      <c r="N352" s="13">
        <v>6647.77</v>
      </c>
      <c r="O352" s="13">
        <v>4846.53</v>
      </c>
      <c r="P352" s="11">
        <v>0</v>
      </c>
    </row>
    <row r="353" spans="1:16" ht="15" thickBot="1" x14ac:dyDescent="0.3">
      <c r="A353" s="3" t="s">
        <v>11</v>
      </c>
      <c r="B353" s="4">
        <v>530738</v>
      </c>
      <c r="C353" s="3" t="s">
        <v>9</v>
      </c>
      <c r="D353" s="18">
        <v>0.12</v>
      </c>
      <c r="E353" s="21">
        <v>9.4887929345830457E-3</v>
      </c>
      <c r="F353" s="5">
        <v>36640</v>
      </c>
      <c r="G353" s="5">
        <v>38132</v>
      </c>
      <c r="H353" s="16">
        <v>1492</v>
      </c>
      <c r="I353" s="5">
        <v>39483</v>
      </c>
      <c r="J353" s="5">
        <v>38250</v>
      </c>
      <c r="K353" s="16">
        <v>1610</v>
      </c>
      <c r="L353" s="13">
        <v>19996.740000000002</v>
      </c>
      <c r="M353" s="15">
        <v>506.25582910170323</v>
      </c>
      <c r="N353" s="13">
        <v>10019.1</v>
      </c>
      <c r="O353" s="13">
        <v>0</v>
      </c>
      <c r="P353" s="11">
        <v>0</v>
      </c>
    </row>
    <row r="354" spans="1:16" ht="15" thickBot="1" x14ac:dyDescent="0.3">
      <c r="A354" s="3" t="s">
        <v>11</v>
      </c>
      <c r="B354" s="4">
        <v>287787</v>
      </c>
      <c r="C354" s="3" t="s">
        <v>9</v>
      </c>
      <c r="D354" s="18">
        <v>0.125</v>
      </c>
      <c r="E354" s="21">
        <v>9.8635805532114595E-3</v>
      </c>
      <c r="F354" s="5">
        <v>36746</v>
      </c>
      <c r="G354" s="5">
        <v>38579</v>
      </c>
      <c r="H354" s="16">
        <v>1833</v>
      </c>
      <c r="I354" s="5">
        <v>38579</v>
      </c>
      <c r="J354" s="5">
        <v>38035</v>
      </c>
      <c r="K354" s="16">
        <v>1289</v>
      </c>
      <c r="L354" s="13">
        <v>12974.37</v>
      </c>
      <c r="M354" s="15">
        <v>283.73649198782016</v>
      </c>
      <c r="N354" s="13">
        <v>4858.3900000000003</v>
      </c>
      <c r="O354" s="13">
        <v>0</v>
      </c>
      <c r="P354" s="11">
        <v>0</v>
      </c>
    </row>
    <row r="355" spans="1:16" ht="15" thickBot="1" x14ac:dyDescent="0.3">
      <c r="A355" s="3" t="s">
        <v>11</v>
      </c>
      <c r="B355" s="4">
        <v>640944</v>
      </c>
      <c r="C355" s="3" t="s">
        <v>9</v>
      </c>
      <c r="D355" s="18">
        <v>0.11749999999999999</v>
      </c>
      <c r="E355" s="21">
        <v>9.300823618865417E-3</v>
      </c>
      <c r="F355" s="5">
        <v>36788</v>
      </c>
      <c r="G355" s="5">
        <v>37700</v>
      </c>
      <c r="H355" s="16">
        <v>912</v>
      </c>
      <c r="I355" s="5">
        <v>37700</v>
      </c>
      <c r="J355" s="5">
        <v>37342</v>
      </c>
      <c r="K355" s="16">
        <v>554</v>
      </c>
      <c r="L355" s="13">
        <v>8576.4500000000007</v>
      </c>
      <c r="M355" s="15">
        <v>325.18239026670045</v>
      </c>
      <c r="N355" s="13">
        <v>7504.02</v>
      </c>
      <c r="O355" s="13">
        <v>8874.2000000000007</v>
      </c>
      <c r="P355" s="11">
        <v>0</v>
      </c>
    </row>
    <row r="356" spans="1:16" ht="15" thickBot="1" x14ac:dyDescent="0.3">
      <c r="A356" s="3" t="s">
        <v>11</v>
      </c>
      <c r="B356" s="4">
        <v>836324</v>
      </c>
      <c r="C356" s="3" t="s">
        <v>9</v>
      </c>
      <c r="D356" s="18">
        <v>0.125</v>
      </c>
      <c r="E356" s="21">
        <v>9.8635805532114595E-3</v>
      </c>
      <c r="F356" s="5">
        <v>36815</v>
      </c>
      <c r="G356" s="5">
        <v>37909</v>
      </c>
      <c r="H356" s="16">
        <v>1094</v>
      </c>
      <c r="I356" s="5">
        <v>38001</v>
      </c>
      <c r="J356" s="5">
        <v>37887</v>
      </c>
      <c r="K356" s="16">
        <v>1072</v>
      </c>
      <c r="L356" s="13">
        <v>5694.05</v>
      </c>
      <c r="M356" s="15">
        <v>186.66629229726834</v>
      </c>
      <c r="N356" s="13">
        <v>1913.81</v>
      </c>
      <c r="O356" s="13">
        <v>200</v>
      </c>
      <c r="P356" s="11">
        <v>0</v>
      </c>
    </row>
    <row r="357" spans="1:16" ht="15" thickBot="1" x14ac:dyDescent="0.3">
      <c r="A357" s="3" t="s">
        <v>11</v>
      </c>
      <c r="B357" s="4">
        <v>107719</v>
      </c>
      <c r="C357" s="3" t="s">
        <v>9</v>
      </c>
      <c r="D357" s="18">
        <v>0.1</v>
      </c>
      <c r="E357" s="21">
        <v>7.9741404289037643E-3</v>
      </c>
      <c r="F357" s="5">
        <v>36930</v>
      </c>
      <c r="G357" s="5">
        <v>38768</v>
      </c>
      <c r="H357" s="16">
        <v>1838</v>
      </c>
      <c r="I357" s="5">
        <v>38860</v>
      </c>
      <c r="J357" s="5">
        <v>37610</v>
      </c>
      <c r="K357" s="16">
        <v>680</v>
      </c>
      <c r="L357" s="13">
        <v>16738.73</v>
      </c>
      <c r="M357" s="15">
        <v>346.42878351586734</v>
      </c>
      <c r="N357" s="13">
        <v>8846.2999999999993</v>
      </c>
      <c r="O357" s="13">
        <v>1402.48</v>
      </c>
      <c r="P357" s="11">
        <v>0</v>
      </c>
    </row>
    <row r="358" spans="1:16" ht="15" thickBot="1" x14ac:dyDescent="0.3">
      <c r="A358" s="3" t="s">
        <v>11</v>
      </c>
      <c r="B358" s="4">
        <v>942187</v>
      </c>
      <c r="C358" s="3" t="s">
        <v>9</v>
      </c>
      <c r="D358" s="18">
        <v>9.5000000000000001E-2</v>
      </c>
      <c r="E358" s="21">
        <v>7.5915342905825689E-3</v>
      </c>
      <c r="F358" s="5">
        <v>36966</v>
      </c>
      <c r="G358" s="5">
        <v>38792</v>
      </c>
      <c r="H358" s="16">
        <v>1826</v>
      </c>
      <c r="I358" s="5">
        <v>38823</v>
      </c>
      <c r="J358" s="5">
        <v>37524</v>
      </c>
      <c r="K358" s="16">
        <v>558</v>
      </c>
      <c r="L358" s="13">
        <v>16050</v>
      </c>
      <c r="M358" s="15">
        <v>330.27041972014808</v>
      </c>
      <c r="N358" s="13">
        <v>14622.9</v>
      </c>
      <c r="O358" s="13">
        <v>1200</v>
      </c>
      <c r="P358" s="11">
        <v>0</v>
      </c>
    </row>
    <row r="359" spans="1:16" ht="15" thickBot="1" x14ac:dyDescent="0.3">
      <c r="A359" s="3" t="s">
        <v>11</v>
      </c>
      <c r="B359" s="4">
        <v>760680</v>
      </c>
      <c r="C359" s="3" t="s">
        <v>9</v>
      </c>
      <c r="D359" s="18">
        <v>9.5000000000000001E-2</v>
      </c>
      <c r="E359" s="21">
        <v>7.5915342905825689E-3</v>
      </c>
      <c r="F359" s="5">
        <v>37025</v>
      </c>
      <c r="G359" s="5">
        <v>38851</v>
      </c>
      <c r="H359" s="16">
        <v>1826</v>
      </c>
      <c r="I359" s="5">
        <v>39004</v>
      </c>
      <c r="J359" s="5">
        <v>38202</v>
      </c>
      <c r="K359" s="16">
        <v>1177</v>
      </c>
      <c r="L359" s="13">
        <v>16075</v>
      </c>
      <c r="M359" s="15">
        <v>330.78485962625427</v>
      </c>
      <c r="N359" s="13">
        <v>5761.63</v>
      </c>
      <c r="O359" s="13">
        <v>0</v>
      </c>
      <c r="P359" s="11">
        <v>0</v>
      </c>
    </row>
    <row r="360" spans="1:16" ht="15" thickBot="1" x14ac:dyDescent="0.3">
      <c r="A360" s="3" t="s">
        <v>11</v>
      </c>
      <c r="B360" s="4">
        <v>812066</v>
      </c>
      <c r="C360" s="3" t="s">
        <v>9</v>
      </c>
      <c r="D360" s="18">
        <v>8.5000000000000006E-2</v>
      </c>
      <c r="E360" s="21">
        <v>6.8214933659622723E-3</v>
      </c>
      <c r="F360" s="5">
        <v>37042</v>
      </c>
      <c r="G360" s="5">
        <v>38878</v>
      </c>
      <c r="H360" s="16">
        <v>1836</v>
      </c>
      <c r="I360" s="5">
        <v>38939</v>
      </c>
      <c r="J360" s="5">
        <v>37799</v>
      </c>
      <c r="K360" s="16">
        <v>757</v>
      </c>
      <c r="L360" s="13">
        <v>12311.25</v>
      </c>
      <c r="M360" s="15">
        <v>246.74349802469254</v>
      </c>
      <c r="N360" s="13">
        <v>12728.65</v>
      </c>
      <c r="O360" s="13">
        <v>6500</v>
      </c>
      <c r="P360" s="11">
        <v>0</v>
      </c>
    </row>
    <row r="361" spans="1:16" ht="15" thickBot="1" x14ac:dyDescent="0.3">
      <c r="A361" s="3" t="s">
        <v>11</v>
      </c>
      <c r="B361" s="4">
        <v>986211</v>
      </c>
      <c r="C361" s="3" t="s">
        <v>9</v>
      </c>
      <c r="D361" s="18">
        <v>0.12</v>
      </c>
      <c r="E361" s="21">
        <v>9.4887929345830457E-3</v>
      </c>
      <c r="F361" s="5">
        <v>37067</v>
      </c>
      <c r="G361" s="5">
        <v>38153</v>
      </c>
      <c r="H361" s="16">
        <v>1086</v>
      </c>
      <c r="I361" s="5">
        <v>38732</v>
      </c>
      <c r="J361" s="5">
        <v>37966</v>
      </c>
      <c r="K361" s="16">
        <v>899</v>
      </c>
      <c r="L361" s="13">
        <v>5155.82</v>
      </c>
      <c r="M361" s="15">
        <v>168.95295652518686</v>
      </c>
      <c r="N361" s="13">
        <v>3118.71</v>
      </c>
      <c r="O361" s="13">
        <v>0</v>
      </c>
      <c r="P361" s="11">
        <v>0</v>
      </c>
    </row>
    <row r="362" spans="1:16" ht="15" thickBot="1" x14ac:dyDescent="0.3">
      <c r="A362" s="3" t="s">
        <v>11</v>
      </c>
      <c r="B362" s="4">
        <v>27159</v>
      </c>
      <c r="C362" s="3" t="s">
        <v>9</v>
      </c>
      <c r="D362" s="18">
        <v>0.1</v>
      </c>
      <c r="E362" s="21">
        <v>7.9741404289037643E-3</v>
      </c>
      <c r="F362" s="5">
        <v>37089</v>
      </c>
      <c r="G362" s="5">
        <v>38918</v>
      </c>
      <c r="H362" s="16">
        <v>1829</v>
      </c>
      <c r="I362" s="5">
        <v>39041</v>
      </c>
      <c r="J362" s="5">
        <v>38336</v>
      </c>
      <c r="K362" s="16">
        <v>1247</v>
      </c>
      <c r="L362" s="13">
        <v>20334.39</v>
      </c>
      <c r="M362" s="15">
        <v>422.45329620293666</v>
      </c>
      <c r="N362" s="13">
        <v>7048.4</v>
      </c>
      <c r="O362" s="13">
        <v>245.77</v>
      </c>
      <c r="P362" s="11">
        <v>0</v>
      </c>
    </row>
    <row r="363" spans="1:16" ht="15" thickBot="1" x14ac:dyDescent="0.3">
      <c r="A363" s="3" t="s">
        <v>11</v>
      </c>
      <c r="B363" s="4">
        <v>690814</v>
      </c>
      <c r="C363" s="3" t="s">
        <v>9</v>
      </c>
      <c r="D363" s="18">
        <v>8.5000000000000006E-2</v>
      </c>
      <c r="E363" s="21">
        <v>6.8214933659622723E-3</v>
      </c>
      <c r="F363" s="5">
        <v>37406</v>
      </c>
      <c r="G363" s="5">
        <v>38878</v>
      </c>
      <c r="H363" s="16">
        <v>1472</v>
      </c>
      <c r="I363" s="5">
        <v>38908</v>
      </c>
      <c r="J363" s="5">
        <v>37890</v>
      </c>
      <c r="K363" s="16">
        <v>484</v>
      </c>
      <c r="L363" s="13">
        <v>7252</v>
      </c>
      <c r="M363" s="15">
        <v>174.4097717985716</v>
      </c>
      <c r="N363" s="13">
        <v>6877.66</v>
      </c>
      <c r="O363" s="13">
        <v>3481.51</v>
      </c>
      <c r="P363" s="11">
        <v>0</v>
      </c>
    </row>
    <row r="364" spans="1:16" ht="15" thickBot="1" x14ac:dyDescent="0.3">
      <c r="A364" s="3" t="s">
        <v>11</v>
      </c>
      <c r="B364" s="4">
        <v>64916</v>
      </c>
      <c r="C364" s="3" t="s">
        <v>9</v>
      </c>
      <c r="D364" s="18">
        <v>9.5000000000000001E-2</v>
      </c>
      <c r="E364" s="21">
        <v>7.5915342905825689E-3</v>
      </c>
      <c r="F364" s="5">
        <v>37412</v>
      </c>
      <c r="G364" s="5">
        <v>38696</v>
      </c>
      <c r="H364" s="16">
        <v>1284</v>
      </c>
      <c r="I364" s="5">
        <v>38696</v>
      </c>
      <c r="J364" s="5">
        <v>38433</v>
      </c>
      <c r="K364" s="16">
        <v>1021</v>
      </c>
      <c r="L364" s="13">
        <v>11323.97</v>
      </c>
      <c r="M364" s="15">
        <v>310.87973923963784</v>
      </c>
      <c r="N364" s="13">
        <v>7795.46</v>
      </c>
      <c r="O364" s="13">
        <v>1339.76</v>
      </c>
      <c r="P364" s="11">
        <v>0</v>
      </c>
    </row>
    <row r="365" spans="1:16" ht="15" thickBot="1" x14ac:dyDescent="0.3">
      <c r="A365" s="3" t="s">
        <v>11</v>
      </c>
      <c r="B365" s="4">
        <v>745281</v>
      </c>
      <c r="C365" s="3" t="s">
        <v>9</v>
      </c>
      <c r="D365" s="18">
        <v>0.1225</v>
      </c>
      <c r="E365" s="21">
        <v>9.6763780332134175E-3</v>
      </c>
      <c r="F365" s="5">
        <v>37468</v>
      </c>
      <c r="G365" s="5">
        <v>38200</v>
      </c>
      <c r="H365" s="16">
        <v>732</v>
      </c>
      <c r="I365" s="5">
        <v>38280</v>
      </c>
      <c r="J365" s="5">
        <v>37966</v>
      </c>
      <c r="K365" s="16">
        <v>498</v>
      </c>
      <c r="L365" s="13">
        <v>7488.42</v>
      </c>
      <c r="M365" s="15">
        <v>346.03284972666893</v>
      </c>
      <c r="N365" s="13">
        <v>4859.1099999999997</v>
      </c>
      <c r="O365" s="13">
        <v>836.2</v>
      </c>
      <c r="P365" s="11">
        <v>0</v>
      </c>
    </row>
    <row r="366" spans="1:16" ht="15" thickBot="1" x14ac:dyDescent="0.3">
      <c r="A366" s="3" t="s">
        <v>11</v>
      </c>
      <c r="B366" s="4">
        <v>806603</v>
      </c>
      <c r="C366" s="3" t="s">
        <v>9</v>
      </c>
      <c r="D366" s="18">
        <v>0.125</v>
      </c>
      <c r="E366" s="21">
        <v>9.8635805532114595E-3</v>
      </c>
      <c r="F366" s="5">
        <v>37509</v>
      </c>
      <c r="G366" s="5">
        <v>38239</v>
      </c>
      <c r="H366" s="16">
        <v>730</v>
      </c>
      <c r="I366" s="5">
        <v>38239</v>
      </c>
      <c r="J366" s="5">
        <v>37887</v>
      </c>
      <c r="K366" s="16">
        <v>378</v>
      </c>
      <c r="L366" s="13">
        <v>2507.56</v>
      </c>
      <c r="M366" s="15">
        <v>116.41637023357731</v>
      </c>
      <c r="N366" s="13">
        <v>2108.7600000000002</v>
      </c>
      <c r="O366" s="13">
        <v>0</v>
      </c>
      <c r="P366" s="11">
        <v>0</v>
      </c>
    </row>
    <row r="367" spans="1:16" ht="15" thickBot="1" x14ac:dyDescent="0.3">
      <c r="A367" s="3" t="s">
        <v>11</v>
      </c>
      <c r="B367" s="4">
        <v>656124</v>
      </c>
      <c r="C367" s="3" t="s">
        <v>12</v>
      </c>
      <c r="D367" s="18">
        <v>9.2499999999999999E-2</v>
      </c>
      <c r="E367" s="21">
        <v>7.3996302871768282E-3</v>
      </c>
      <c r="F367" s="5">
        <v>37516</v>
      </c>
      <c r="G367" s="5">
        <v>39342</v>
      </c>
      <c r="H367" s="16">
        <v>1826</v>
      </c>
      <c r="I367" s="5">
        <v>40009</v>
      </c>
      <c r="J367" s="5">
        <v>39429</v>
      </c>
      <c r="K367" s="16">
        <v>1913</v>
      </c>
      <c r="L367" s="13">
        <v>14228.34</v>
      </c>
      <c r="M367" s="15">
        <v>291.19237232257763</v>
      </c>
      <c r="N367" s="13">
        <v>2504.11</v>
      </c>
      <c r="O367" s="13">
        <v>275</v>
      </c>
      <c r="P367" s="11">
        <v>0</v>
      </c>
    </row>
    <row r="368" spans="1:16" ht="15" thickBot="1" x14ac:dyDescent="0.3">
      <c r="A368" s="3" t="s">
        <v>11</v>
      </c>
      <c r="B368" s="4">
        <v>140690</v>
      </c>
      <c r="C368" s="3" t="s">
        <v>9</v>
      </c>
      <c r="D368" s="18">
        <v>0.1275</v>
      </c>
      <c r="E368" s="21">
        <v>1.0050402122422808E-2</v>
      </c>
      <c r="F368" s="5">
        <v>37606</v>
      </c>
      <c r="G368" s="5">
        <v>38337</v>
      </c>
      <c r="H368" s="16">
        <v>731</v>
      </c>
      <c r="I368" s="5">
        <v>38411</v>
      </c>
      <c r="J368" s="5">
        <v>38149</v>
      </c>
      <c r="K368" s="16">
        <v>543</v>
      </c>
      <c r="L368" s="13">
        <v>4566.42</v>
      </c>
      <c r="M368" s="15">
        <v>212.22274242872513</v>
      </c>
      <c r="N368" s="13">
        <v>2970.77</v>
      </c>
      <c r="O368" s="13">
        <v>0</v>
      </c>
      <c r="P368" s="11">
        <v>0</v>
      </c>
    </row>
    <row r="369" spans="1:16" ht="15" thickBot="1" x14ac:dyDescent="0.3">
      <c r="A369" s="3" t="s">
        <v>11</v>
      </c>
      <c r="B369" s="4">
        <v>110583</v>
      </c>
      <c r="C369" s="3" t="s">
        <v>9</v>
      </c>
      <c r="D369" s="18">
        <v>7.7499999999999999E-2</v>
      </c>
      <c r="E369" s="21">
        <v>6.2396814612857288E-3</v>
      </c>
      <c r="F369" s="5">
        <v>37718</v>
      </c>
      <c r="G369" s="5">
        <v>38817</v>
      </c>
      <c r="H369" s="16">
        <v>1099</v>
      </c>
      <c r="I369" s="5">
        <v>38878</v>
      </c>
      <c r="J369" s="5">
        <v>38531</v>
      </c>
      <c r="K369" s="16">
        <v>813</v>
      </c>
      <c r="L369" s="13">
        <v>5296.22</v>
      </c>
      <c r="M369" s="15">
        <v>162.17472462938011</v>
      </c>
      <c r="N369" s="13">
        <v>2684.02</v>
      </c>
      <c r="O369" s="13">
        <v>1460.71</v>
      </c>
      <c r="P369" s="11">
        <v>0</v>
      </c>
    </row>
    <row r="370" spans="1:16" ht="15" thickBot="1" x14ac:dyDescent="0.3">
      <c r="A370" s="3" t="s">
        <v>11</v>
      </c>
      <c r="B370" s="4">
        <v>79971</v>
      </c>
      <c r="C370" s="3" t="s">
        <v>9</v>
      </c>
      <c r="D370" s="18">
        <v>0.08</v>
      </c>
      <c r="E370" s="21">
        <v>6.4340301100034303E-3</v>
      </c>
      <c r="F370" s="5">
        <v>37735</v>
      </c>
      <c r="G370" s="5">
        <v>39196</v>
      </c>
      <c r="H370" s="16">
        <v>1461</v>
      </c>
      <c r="I370" s="5">
        <v>39226</v>
      </c>
      <c r="J370" s="5">
        <v>38162</v>
      </c>
      <c r="K370" s="16">
        <v>427</v>
      </c>
      <c r="L370" s="13">
        <v>9140.2000000000007</v>
      </c>
      <c r="M370" s="15">
        <v>219.21924356242329</v>
      </c>
      <c r="N370" s="13">
        <v>3831.48</v>
      </c>
      <c r="O370" s="13">
        <v>0</v>
      </c>
      <c r="P370" s="11">
        <v>0</v>
      </c>
    </row>
    <row r="371" spans="1:16" ht="15" thickBot="1" x14ac:dyDescent="0.3">
      <c r="A371" s="3" t="s">
        <v>11</v>
      </c>
      <c r="B371" s="4">
        <v>195335</v>
      </c>
      <c r="C371" s="3" t="s">
        <v>12</v>
      </c>
      <c r="D371" s="18">
        <v>7.4999999999999997E-2</v>
      </c>
      <c r="E371" s="21">
        <v>6.0449190242917172E-3</v>
      </c>
      <c r="F371" s="5">
        <v>37756</v>
      </c>
      <c r="G371" s="5">
        <v>38852</v>
      </c>
      <c r="H371" s="16">
        <v>1096</v>
      </c>
      <c r="I371" s="5">
        <v>38852</v>
      </c>
      <c r="J371" s="5">
        <v>38062</v>
      </c>
      <c r="K371" s="16">
        <v>306</v>
      </c>
      <c r="L371" s="13">
        <v>5904</v>
      </c>
      <c r="M371" s="15">
        <v>180.59269457678849</v>
      </c>
      <c r="N371" s="13">
        <v>6525.47</v>
      </c>
      <c r="O371" s="13">
        <v>54</v>
      </c>
      <c r="P371" s="11">
        <v>0</v>
      </c>
    </row>
    <row r="372" spans="1:16" ht="15" thickBot="1" x14ac:dyDescent="0.3">
      <c r="A372" s="3" t="s">
        <v>11</v>
      </c>
      <c r="B372" s="4">
        <v>375256</v>
      </c>
      <c r="C372" s="3" t="s">
        <v>16</v>
      </c>
      <c r="D372" s="18">
        <v>0.12</v>
      </c>
      <c r="E372" s="21">
        <v>9.4887929345830457E-3</v>
      </c>
      <c r="F372" s="5">
        <v>37756</v>
      </c>
      <c r="G372" s="5">
        <v>38487</v>
      </c>
      <c r="H372" s="16">
        <v>731</v>
      </c>
      <c r="I372" s="5">
        <v>39291</v>
      </c>
      <c r="J372" s="5">
        <v>39262</v>
      </c>
      <c r="K372" s="16">
        <v>1506</v>
      </c>
      <c r="L372" s="13">
        <v>15050</v>
      </c>
      <c r="M372" s="15">
        <v>694.71211353622766</v>
      </c>
      <c r="N372" s="13">
        <v>8211.73</v>
      </c>
      <c r="O372" s="13">
        <v>2465.7199999999998</v>
      </c>
      <c r="P372" s="11">
        <v>0</v>
      </c>
    </row>
    <row r="373" spans="1:16" ht="15" thickBot="1" x14ac:dyDescent="0.3">
      <c r="A373" s="3" t="s">
        <v>11</v>
      </c>
      <c r="B373" s="4">
        <v>337692</v>
      </c>
      <c r="C373" s="3" t="s">
        <v>16</v>
      </c>
      <c r="D373" s="18">
        <v>0.105</v>
      </c>
      <c r="E373" s="21">
        <v>8.355155683635207E-3</v>
      </c>
      <c r="F373" s="5">
        <v>37804</v>
      </c>
      <c r="G373" s="5">
        <v>38732</v>
      </c>
      <c r="H373" s="16">
        <v>928</v>
      </c>
      <c r="I373" s="5">
        <v>38791</v>
      </c>
      <c r="J373" s="5">
        <v>38694</v>
      </c>
      <c r="K373" s="16">
        <v>890</v>
      </c>
      <c r="L373" s="13">
        <v>3340.61</v>
      </c>
      <c r="M373" s="15">
        <v>122.99803237732192</v>
      </c>
      <c r="N373" s="13">
        <v>912.01</v>
      </c>
      <c r="O373" s="13">
        <v>130</v>
      </c>
      <c r="P373" s="11">
        <v>0</v>
      </c>
    </row>
    <row r="374" spans="1:16" ht="15" thickBot="1" x14ac:dyDescent="0.3">
      <c r="A374" s="3" t="s">
        <v>11</v>
      </c>
      <c r="B374" s="4">
        <v>359518</v>
      </c>
      <c r="C374" s="3" t="s">
        <v>9</v>
      </c>
      <c r="D374" s="18">
        <v>0.125</v>
      </c>
      <c r="E374" s="21">
        <v>9.8635805532114595E-3</v>
      </c>
      <c r="F374" s="5">
        <v>37834</v>
      </c>
      <c r="G374" s="5">
        <v>38563</v>
      </c>
      <c r="H374" s="16">
        <v>729</v>
      </c>
      <c r="I374" s="5">
        <v>38594</v>
      </c>
      <c r="J374" s="5">
        <v>38531</v>
      </c>
      <c r="K374" s="16">
        <v>697</v>
      </c>
      <c r="L374" s="13">
        <v>3550</v>
      </c>
      <c r="M374" s="15">
        <v>165.01300906791528</v>
      </c>
      <c r="N374" s="13">
        <v>664.74</v>
      </c>
      <c r="O374" s="13">
        <v>50</v>
      </c>
      <c r="P374" s="11">
        <v>0</v>
      </c>
    </row>
    <row r="375" spans="1:16" ht="15" thickBot="1" x14ac:dyDescent="0.3">
      <c r="A375" s="3" t="s">
        <v>11</v>
      </c>
      <c r="B375" s="4">
        <v>277004</v>
      </c>
      <c r="C375" s="3" t="s">
        <v>9</v>
      </c>
      <c r="D375" s="18">
        <v>0.06</v>
      </c>
      <c r="E375" s="21">
        <v>4.8675505653430484E-3</v>
      </c>
      <c r="F375" s="5">
        <v>37909</v>
      </c>
      <c r="G375" s="5">
        <v>39558</v>
      </c>
      <c r="H375" s="16">
        <v>1649</v>
      </c>
      <c r="I375" s="5">
        <v>39588</v>
      </c>
      <c r="J375" s="5">
        <v>38433</v>
      </c>
      <c r="K375" s="16">
        <v>524</v>
      </c>
      <c r="L375" s="13">
        <v>17189.75</v>
      </c>
      <c r="M375" s="15">
        <v>357.18575707874322</v>
      </c>
      <c r="N375" s="13">
        <v>13904.53</v>
      </c>
      <c r="O375" s="13">
        <v>6320</v>
      </c>
      <c r="P375" s="11">
        <v>0</v>
      </c>
    </row>
    <row r="376" spans="1:16" ht="15" thickBot="1" x14ac:dyDescent="0.3">
      <c r="A376" s="3" t="s">
        <v>11</v>
      </c>
      <c r="B376" s="4">
        <v>485370</v>
      </c>
      <c r="C376" s="3" t="s">
        <v>9</v>
      </c>
      <c r="D376" s="18">
        <v>7.7499999999999999E-2</v>
      </c>
      <c r="E376" s="21">
        <v>6.2396814612857288E-3</v>
      </c>
      <c r="F376" s="5">
        <v>37937</v>
      </c>
      <c r="G376" s="5">
        <v>39401</v>
      </c>
      <c r="H376" s="16">
        <v>1464</v>
      </c>
      <c r="I376" s="5">
        <v>39401</v>
      </c>
      <c r="J376" s="5">
        <v>38342</v>
      </c>
      <c r="K376" s="16">
        <v>405</v>
      </c>
      <c r="L376" s="13">
        <v>29715.91</v>
      </c>
      <c r="M376" s="15">
        <v>708.22240867566529</v>
      </c>
      <c r="N376" s="13">
        <v>27868.69</v>
      </c>
      <c r="O376" s="13">
        <v>3433.16</v>
      </c>
      <c r="P376" s="11">
        <v>0</v>
      </c>
    </row>
    <row r="377" spans="1:16" ht="15" thickBot="1" x14ac:dyDescent="0.3">
      <c r="A377" s="3" t="s">
        <v>11</v>
      </c>
      <c r="B377" s="4">
        <v>283972</v>
      </c>
      <c r="C377" s="3" t="s">
        <v>9</v>
      </c>
      <c r="D377" s="18">
        <v>8.5000000000000006E-2</v>
      </c>
      <c r="E377" s="21">
        <v>6.8214933659622723E-3</v>
      </c>
      <c r="F377" s="5">
        <v>38054</v>
      </c>
      <c r="G377" s="5">
        <v>39880</v>
      </c>
      <c r="H377" s="16">
        <v>1826</v>
      </c>
      <c r="I377" s="5">
        <v>39984</v>
      </c>
      <c r="J377" s="5">
        <v>38617</v>
      </c>
      <c r="K377" s="16">
        <v>563</v>
      </c>
      <c r="L377" s="13">
        <v>16355.24</v>
      </c>
      <c r="M377" s="15">
        <v>329.24125190772702</v>
      </c>
      <c r="N377" s="13">
        <v>13660.68</v>
      </c>
      <c r="O377" s="13">
        <v>4242</v>
      </c>
      <c r="P377" s="11">
        <v>0</v>
      </c>
    </row>
    <row r="378" spans="1:16" ht="15" thickBot="1" x14ac:dyDescent="0.3">
      <c r="A378" s="3" t="s">
        <v>11</v>
      </c>
      <c r="B378" s="4">
        <v>761894</v>
      </c>
      <c r="C378" s="3" t="s">
        <v>9</v>
      </c>
      <c r="D378" s="18">
        <v>7.1499999999999994E-2</v>
      </c>
      <c r="E378" s="21">
        <v>5.7715529303064006E-3</v>
      </c>
      <c r="F378" s="5">
        <v>38532</v>
      </c>
      <c r="G378" s="5">
        <v>40723</v>
      </c>
      <c r="H378" s="16">
        <v>2191</v>
      </c>
      <c r="I378" s="5">
        <v>40753</v>
      </c>
      <c r="J378" s="5">
        <v>39798</v>
      </c>
      <c r="K378" s="16">
        <v>1266</v>
      </c>
      <c r="L378" s="13">
        <v>36520.06</v>
      </c>
      <c r="M378" s="15">
        <v>614.23773649999293</v>
      </c>
      <c r="N378" s="13">
        <v>19325.02</v>
      </c>
      <c r="O378" s="13">
        <v>6020</v>
      </c>
      <c r="P378" s="11">
        <v>0</v>
      </c>
    </row>
    <row r="379" spans="1:16" ht="15" thickBot="1" x14ac:dyDescent="0.3">
      <c r="A379" s="3" t="s">
        <v>11</v>
      </c>
      <c r="B379" s="4">
        <v>612833</v>
      </c>
      <c r="C379" s="3" t="s">
        <v>9</v>
      </c>
      <c r="D379" s="18">
        <v>0.1</v>
      </c>
      <c r="E379" s="21">
        <v>7.9741404289037643E-3</v>
      </c>
      <c r="F379" s="5">
        <v>38561</v>
      </c>
      <c r="G379" s="5">
        <v>39161</v>
      </c>
      <c r="H379" s="16">
        <v>600</v>
      </c>
      <c r="I379" s="5">
        <v>39706</v>
      </c>
      <c r="J379" s="5">
        <v>39349</v>
      </c>
      <c r="K379" s="16">
        <v>788</v>
      </c>
      <c r="L379" s="13">
        <v>8475.1</v>
      </c>
      <c r="M379" s="15">
        <v>460.12736078621469</v>
      </c>
      <c r="N379" s="13">
        <v>2688.69</v>
      </c>
      <c r="O379" s="13">
        <v>1778.87</v>
      </c>
      <c r="P379" s="11">
        <v>0</v>
      </c>
    </row>
    <row r="380" spans="1:16" ht="15" thickBot="1" x14ac:dyDescent="0.3">
      <c r="A380" s="3" t="s">
        <v>11</v>
      </c>
      <c r="B380" s="4">
        <v>678491</v>
      </c>
      <c r="C380" s="3" t="s">
        <v>9</v>
      </c>
      <c r="D380" s="18">
        <v>0.13650000000000001</v>
      </c>
      <c r="E380" s="21">
        <v>1.0719830392053042E-2</v>
      </c>
      <c r="F380" s="5">
        <v>38566</v>
      </c>
      <c r="G380" s="5">
        <v>39314</v>
      </c>
      <c r="H380" s="16">
        <v>748</v>
      </c>
      <c r="I380" s="5">
        <v>39406</v>
      </c>
      <c r="J380" s="5">
        <v>38883</v>
      </c>
      <c r="K380" s="16">
        <v>317</v>
      </c>
      <c r="L380" s="13">
        <v>3126.83</v>
      </c>
      <c r="M380" s="15">
        <v>143.57988191413844</v>
      </c>
      <c r="N380" s="13">
        <v>2745.28</v>
      </c>
      <c r="O380" s="13">
        <v>0</v>
      </c>
      <c r="P380" s="11">
        <v>0</v>
      </c>
    </row>
    <row r="381" spans="1:16" ht="15" thickBot="1" x14ac:dyDescent="0.3">
      <c r="A381" s="3" t="s">
        <v>11</v>
      </c>
      <c r="B381" s="4">
        <v>575392</v>
      </c>
      <c r="C381" s="3" t="s">
        <v>9</v>
      </c>
      <c r="D381" s="18">
        <v>7.6499999999999999E-2</v>
      </c>
      <c r="E381" s="21">
        <v>6.1618262441982541E-3</v>
      </c>
      <c r="F381" s="5">
        <v>38579</v>
      </c>
      <c r="G381" s="5">
        <v>40405</v>
      </c>
      <c r="H381" s="16">
        <v>1826</v>
      </c>
      <c r="I381" s="5">
        <v>40405</v>
      </c>
      <c r="J381" s="5">
        <v>39429</v>
      </c>
      <c r="K381" s="16">
        <v>850</v>
      </c>
      <c r="L381" s="13">
        <v>20580.939999999999</v>
      </c>
      <c r="M381" s="15">
        <v>406.52251430890345</v>
      </c>
      <c r="N381" s="13">
        <v>1676.52</v>
      </c>
      <c r="O381" s="13">
        <v>337.84</v>
      </c>
      <c r="P381" s="11">
        <v>0</v>
      </c>
    </row>
    <row r="382" spans="1:16" ht="15" thickBot="1" x14ac:dyDescent="0.3">
      <c r="A382" s="3" t="s">
        <v>11</v>
      </c>
      <c r="B382" s="4">
        <v>262642</v>
      </c>
      <c r="C382" s="3" t="s">
        <v>16</v>
      </c>
      <c r="D382" s="18">
        <v>9.5000000000000001E-2</v>
      </c>
      <c r="E382" s="21">
        <v>7.5915342905825689E-3</v>
      </c>
      <c r="F382" s="5">
        <v>38580</v>
      </c>
      <c r="G382" s="5">
        <v>39156</v>
      </c>
      <c r="H382" s="16">
        <v>576</v>
      </c>
      <c r="I382" s="5">
        <v>39156</v>
      </c>
      <c r="J382" s="5">
        <v>39069</v>
      </c>
      <c r="K382" s="16">
        <v>489</v>
      </c>
      <c r="L382" s="13">
        <v>3550</v>
      </c>
      <c r="M382" s="15">
        <v>199.39773909007857</v>
      </c>
      <c r="N382" s="13">
        <v>3550</v>
      </c>
      <c r="O382" s="13">
        <v>0</v>
      </c>
      <c r="P382" s="11">
        <v>0</v>
      </c>
    </row>
    <row r="383" spans="1:16" ht="15" thickBot="1" x14ac:dyDescent="0.3">
      <c r="A383" s="3" t="s">
        <v>11</v>
      </c>
      <c r="B383" s="4">
        <v>936379</v>
      </c>
      <c r="C383" s="3" t="s">
        <v>9</v>
      </c>
      <c r="D383" s="18">
        <v>0.09</v>
      </c>
      <c r="E383" s="21">
        <v>7.2073233161367156E-3</v>
      </c>
      <c r="F383" s="5">
        <v>38653</v>
      </c>
      <c r="G383" s="5">
        <v>40118</v>
      </c>
      <c r="H383" s="16">
        <v>1465</v>
      </c>
      <c r="I383" s="5">
        <v>40959</v>
      </c>
      <c r="J383" s="5">
        <v>40171</v>
      </c>
      <c r="K383" s="16">
        <v>1518</v>
      </c>
      <c r="L383" s="13">
        <v>34238.51</v>
      </c>
      <c r="M383" s="15">
        <v>834.23447425816676</v>
      </c>
      <c r="N383" s="13">
        <v>12524.8</v>
      </c>
      <c r="O383" s="13">
        <v>2052.5500000000002</v>
      </c>
      <c r="P383" s="11">
        <v>0</v>
      </c>
    </row>
    <row r="384" spans="1:16" ht="15" thickBot="1" x14ac:dyDescent="0.3">
      <c r="A384" s="3" t="s">
        <v>11</v>
      </c>
      <c r="B384" s="4">
        <v>6359</v>
      </c>
      <c r="C384" s="3" t="s">
        <v>9</v>
      </c>
      <c r="D384" s="18">
        <v>0.12</v>
      </c>
      <c r="E384" s="21">
        <v>9.4887929345830457E-3</v>
      </c>
      <c r="F384" s="5">
        <v>39105</v>
      </c>
      <c r="G384" s="5">
        <v>39833</v>
      </c>
      <c r="H384" s="16">
        <v>728</v>
      </c>
      <c r="I384" s="5">
        <v>39833</v>
      </c>
      <c r="J384" s="5">
        <v>39429</v>
      </c>
      <c r="K384" s="16">
        <v>324</v>
      </c>
      <c r="L384" s="13">
        <v>1960</v>
      </c>
      <c r="M384" s="15">
        <v>90.805720335016431</v>
      </c>
      <c r="N384" s="13">
        <v>1183.98</v>
      </c>
      <c r="O384" s="13">
        <v>400</v>
      </c>
      <c r="P384" s="11">
        <v>0</v>
      </c>
    </row>
    <row r="385" spans="1:16" ht="15" thickBot="1" x14ac:dyDescent="0.3">
      <c r="A385" s="3" t="s">
        <v>11</v>
      </c>
      <c r="B385" s="4">
        <v>860711</v>
      </c>
      <c r="C385" s="3" t="s">
        <v>9</v>
      </c>
      <c r="D385" s="18">
        <v>9.4E-2</v>
      </c>
      <c r="E385" s="21">
        <v>7.5148209323356863E-3</v>
      </c>
      <c r="F385" s="5">
        <v>39111</v>
      </c>
      <c r="G385" s="5">
        <v>40571</v>
      </c>
      <c r="H385" s="16">
        <v>1460</v>
      </c>
      <c r="I385" s="5">
        <v>40571</v>
      </c>
      <c r="J385" s="5">
        <v>39798</v>
      </c>
      <c r="K385" s="16">
        <v>687</v>
      </c>
      <c r="L385" s="13">
        <v>9060</v>
      </c>
      <c r="M385" s="15">
        <v>222.96781747844705</v>
      </c>
      <c r="N385" s="13">
        <v>6093.82</v>
      </c>
      <c r="O385" s="13">
        <v>2428.7600000000002</v>
      </c>
      <c r="P385" s="11">
        <v>0</v>
      </c>
    </row>
    <row r="386" spans="1:16" ht="15" thickBot="1" x14ac:dyDescent="0.3">
      <c r="A386" s="3" t="s">
        <v>11</v>
      </c>
      <c r="B386" s="4">
        <v>474216</v>
      </c>
      <c r="C386" s="3" t="s">
        <v>2</v>
      </c>
      <c r="D386" s="18">
        <v>4.9799999999999997E-2</v>
      </c>
      <c r="E386" s="21">
        <v>4.0581847075893407E-3</v>
      </c>
      <c r="F386" s="5">
        <v>39121</v>
      </c>
      <c r="G386" s="5">
        <v>43511</v>
      </c>
      <c r="H386" s="16">
        <v>4390</v>
      </c>
      <c r="I386" s="5">
        <v>47557</v>
      </c>
      <c r="J386" s="5">
        <v>45441</v>
      </c>
      <c r="K386" s="16">
        <v>6320</v>
      </c>
      <c r="L386" s="13">
        <v>210039.82</v>
      </c>
      <c r="M386" s="15">
        <v>1906.3048002968781</v>
      </c>
      <c r="N386" s="13">
        <v>120478.85</v>
      </c>
      <c r="O386" s="13">
        <v>0</v>
      </c>
      <c r="P386" s="11">
        <v>1</v>
      </c>
    </row>
    <row r="387" spans="1:16" ht="15" thickBot="1" x14ac:dyDescent="0.3">
      <c r="A387" s="3" t="s">
        <v>11</v>
      </c>
      <c r="B387" s="4">
        <v>208871</v>
      </c>
      <c r="C387" s="3" t="s">
        <v>9</v>
      </c>
      <c r="D387" s="18">
        <v>0.14899999999999999</v>
      </c>
      <c r="E387" s="21">
        <v>1.1641575009651461E-2</v>
      </c>
      <c r="F387" s="5">
        <v>39171</v>
      </c>
      <c r="G387" s="5">
        <v>39918</v>
      </c>
      <c r="H387" s="16">
        <v>747</v>
      </c>
      <c r="I387" s="5">
        <v>39918</v>
      </c>
      <c r="J387" s="5">
        <v>39716</v>
      </c>
      <c r="K387" s="16">
        <v>545</v>
      </c>
      <c r="L387" s="13">
        <v>4259.6499999999996</v>
      </c>
      <c r="M387" s="15">
        <v>198.04796309124762</v>
      </c>
      <c r="N387" s="13">
        <v>2663.4</v>
      </c>
      <c r="O387" s="13">
        <v>50</v>
      </c>
      <c r="P387" s="11">
        <v>0</v>
      </c>
    </row>
    <row r="388" spans="1:16" ht="15" thickBot="1" x14ac:dyDescent="0.3">
      <c r="A388" s="3" t="s">
        <v>11</v>
      </c>
      <c r="B388" s="4">
        <v>561412</v>
      </c>
      <c r="C388" s="3" t="s">
        <v>9</v>
      </c>
      <c r="D388" s="18">
        <v>9.9000000000000005E-2</v>
      </c>
      <c r="E388" s="21">
        <v>7.8977469157408553E-3</v>
      </c>
      <c r="F388" s="5">
        <v>39204</v>
      </c>
      <c r="G388" s="5">
        <v>40684</v>
      </c>
      <c r="H388" s="16">
        <v>1480</v>
      </c>
      <c r="I388" s="5">
        <v>40684</v>
      </c>
      <c r="J388" s="5">
        <v>39393</v>
      </c>
      <c r="K388" s="16">
        <v>189</v>
      </c>
      <c r="L388" s="13">
        <v>12246.57</v>
      </c>
      <c r="M388" s="15">
        <v>300.70063194414877</v>
      </c>
      <c r="N388" s="13">
        <v>7110</v>
      </c>
      <c r="O388" s="13">
        <v>0</v>
      </c>
      <c r="P388" s="11">
        <v>0</v>
      </c>
    </row>
    <row r="389" spans="1:16" ht="15" thickBot="1" x14ac:dyDescent="0.3">
      <c r="A389" s="3" t="s">
        <v>11</v>
      </c>
      <c r="B389" s="4">
        <v>591865</v>
      </c>
      <c r="C389" s="3" t="s">
        <v>9</v>
      </c>
      <c r="D389" s="18">
        <v>0.1</v>
      </c>
      <c r="E389" s="21">
        <v>7.9741404289037643E-3</v>
      </c>
      <c r="F389" s="5">
        <v>39281</v>
      </c>
      <c r="G389" s="5">
        <v>40379</v>
      </c>
      <c r="H389" s="16">
        <v>1098</v>
      </c>
      <c r="I389" s="5">
        <v>40471</v>
      </c>
      <c r="J389" s="5">
        <v>39897</v>
      </c>
      <c r="K389" s="16">
        <v>616</v>
      </c>
      <c r="L389" s="13">
        <v>8181.57</v>
      </c>
      <c r="M389" s="15">
        <v>258.62896852151317</v>
      </c>
      <c r="N389" s="13">
        <v>2769.19</v>
      </c>
      <c r="O389" s="13">
        <v>0</v>
      </c>
      <c r="P389" s="11">
        <v>0</v>
      </c>
    </row>
    <row r="390" spans="1:16" ht="15" thickBot="1" x14ac:dyDescent="0.3">
      <c r="A390" s="3" t="s">
        <v>11</v>
      </c>
      <c r="B390" s="4">
        <v>683791</v>
      </c>
      <c r="C390" s="3" t="s">
        <v>9</v>
      </c>
      <c r="D390" s="18">
        <v>0.129</v>
      </c>
      <c r="E390" s="21">
        <v>1.0162312880815705E-2</v>
      </c>
      <c r="F390" s="5">
        <v>39317</v>
      </c>
      <c r="G390" s="5">
        <v>40612</v>
      </c>
      <c r="H390" s="16">
        <v>1295</v>
      </c>
      <c r="I390" s="5">
        <v>40688</v>
      </c>
      <c r="J390" s="5">
        <v>40078</v>
      </c>
      <c r="K390" s="16">
        <v>761</v>
      </c>
      <c r="L390" s="13">
        <v>9748.8799999999992</v>
      </c>
      <c r="M390" s="15">
        <v>280.11596100170919</v>
      </c>
      <c r="N390" s="13">
        <v>6741.17</v>
      </c>
      <c r="O390" s="13">
        <v>3150</v>
      </c>
      <c r="P390" s="11">
        <v>0</v>
      </c>
    </row>
    <row r="391" spans="1:16" ht="15" thickBot="1" x14ac:dyDescent="0.3">
      <c r="A391" s="3" t="s">
        <v>11</v>
      </c>
      <c r="B391" s="4">
        <v>443443</v>
      </c>
      <c r="C391" s="3" t="s">
        <v>9</v>
      </c>
      <c r="D391" s="18">
        <v>0.114</v>
      </c>
      <c r="E391" s="21">
        <v>9.0370179501075842E-3</v>
      </c>
      <c r="F391" s="5">
        <v>39345</v>
      </c>
      <c r="G391" s="5">
        <v>40801</v>
      </c>
      <c r="H391" s="16">
        <v>1456</v>
      </c>
      <c r="I391" s="5">
        <v>40801</v>
      </c>
      <c r="J391" s="5">
        <v>39794</v>
      </c>
      <c r="K391" s="16">
        <v>449</v>
      </c>
      <c r="L391" s="13">
        <v>13141.42</v>
      </c>
      <c r="M391" s="15">
        <v>335.67974083163023</v>
      </c>
      <c r="N391" s="13">
        <v>8105.58</v>
      </c>
      <c r="O391" s="13">
        <v>1.64</v>
      </c>
      <c r="P391" s="11">
        <v>0</v>
      </c>
    </row>
    <row r="392" spans="1:16" ht="15" thickBot="1" x14ac:dyDescent="0.3">
      <c r="A392" s="3" t="s">
        <v>11</v>
      </c>
      <c r="B392" s="4">
        <v>141508</v>
      </c>
      <c r="C392" s="3" t="s">
        <v>9</v>
      </c>
      <c r="D392" s="18">
        <v>0.124</v>
      </c>
      <c r="E392" s="21">
        <v>9.7887453502294441E-3</v>
      </c>
      <c r="F392" s="5">
        <v>39414</v>
      </c>
      <c r="G392" s="5">
        <v>40522</v>
      </c>
      <c r="H392" s="16">
        <v>1108</v>
      </c>
      <c r="I392" s="5">
        <v>40522</v>
      </c>
      <c r="J392" s="5">
        <v>39576</v>
      </c>
      <c r="K392" s="16">
        <v>162</v>
      </c>
      <c r="L392" s="13">
        <v>4597.3500000000004</v>
      </c>
      <c r="M392" s="15">
        <v>148.93269305583601</v>
      </c>
      <c r="N392" s="13">
        <v>4216.5200000000004</v>
      </c>
      <c r="O392" s="13">
        <v>0</v>
      </c>
      <c r="P392" s="11">
        <v>0</v>
      </c>
    </row>
    <row r="393" spans="1:16" ht="15" thickBot="1" x14ac:dyDescent="0.3">
      <c r="A393" s="3" t="s">
        <v>11</v>
      </c>
      <c r="B393" s="4">
        <v>606955</v>
      </c>
      <c r="C393" s="3" t="s">
        <v>9</v>
      </c>
      <c r="D393" s="18">
        <v>0.14899999999999999</v>
      </c>
      <c r="E393" s="21">
        <v>1.1641575009651461E-2</v>
      </c>
      <c r="F393" s="5">
        <v>39504</v>
      </c>
      <c r="G393" s="5">
        <v>40242</v>
      </c>
      <c r="H393" s="16">
        <v>738</v>
      </c>
      <c r="I393" s="5">
        <v>41430</v>
      </c>
      <c r="J393" s="5">
        <v>39994</v>
      </c>
      <c r="K393" s="16">
        <v>490</v>
      </c>
      <c r="L393" s="13">
        <v>3364.47</v>
      </c>
      <c r="M393" s="15">
        <v>158.07358891813905</v>
      </c>
      <c r="N393" s="13">
        <v>2913.3</v>
      </c>
      <c r="O393" s="13">
        <v>300</v>
      </c>
      <c r="P393" s="11">
        <v>0</v>
      </c>
    </row>
    <row r="394" spans="1:16" ht="15" thickBot="1" x14ac:dyDescent="0.3">
      <c r="A394" s="3" t="s">
        <v>11</v>
      </c>
      <c r="B394" s="4">
        <v>456295</v>
      </c>
      <c r="C394" s="3" t="s">
        <v>9</v>
      </c>
      <c r="D394" s="18">
        <v>9.5000000000000001E-2</v>
      </c>
      <c r="E394" s="21">
        <v>7.5915342905825689E-3</v>
      </c>
      <c r="F394" s="5">
        <v>39526</v>
      </c>
      <c r="G394" s="5">
        <v>41348</v>
      </c>
      <c r="H394" s="16">
        <v>1822</v>
      </c>
      <c r="I394" s="5">
        <v>41379</v>
      </c>
      <c r="J394" s="5">
        <v>40248</v>
      </c>
      <c r="K394" s="16">
        <v>722</v>
      </c>
      <c r="L394" s="13">
        <v>15340.21</v>
      </c>
      <c r="M394" s="15">
        <v>316.21036533759286</v>
      </c>
      <c r="N394" s="13">
        <v>7806.22</v>
      </c>
      <c r="O394" s="13">
        <v>0</v>
      </c>
      <c r="P394" s="11">
        <v>0</v>
      </c>
    </row>
    <row r="395" spans="1:16" ht="15" thickBot="1" x14ac:dyDescent="0.3">
      <c r="A395" s="3" t="s">
        <v>11</v>
      </c>
      <c r="B395" s="4">
        <v>956596</v>
      </c>
      <c r="C395" s="3" t="s">
        <v>9</v>
      </c>
      <c r="D395" s="18">
        <v>5.8900000000000001E-2</v>
      </c>
      <c r="E395" s="21">
        <v>4.7806102828795716E-3</v>
      </c>
      <c r="F395" s="5">
        <v>39605</v>
      </c>
      <c r="G395" s="5">
        <v>41430</v>
      </c>
      <c r="H395" s="16">
        <v>1825</v>
      </c>
      <c r="I395" s="5">
        <v>41460</v>
      </c>
      <c r="J395" s="5">
        <v>40814</v>
      </c>
      <c r="K395" s="16">
        <v>1209</v>
      </c>
      <c r="L395" s="13">
        <v>26269.15</v>
      </c>
      <c r="M395" s="15">
        <v>498.67628871974313</v>
      </c>
      <c r="N395" s="13">
        <v>12032.32</v>
      </c>
      <c r="O395" s="13">
        <v>10500</v>
      </c>
      <c r="P395" s="11">
        <v>0</v>
      </c>
    </row>
    <row r="396" spans="1:16" ht="15" thickBot="1" x14ac:dyDescent="0.3">
      <c r="A396" s="3" t="s">
        <v>11</v>
      </c>
      <c r="B396" s="4">
        <v>360003</v>
      </c>
      <c r="C396" s="3" t="s">
        <v>9</v>
      </c>
      <c r="D396" s="18">
        <v>9.7500000000000003E-2</v>
      </c>
      <c r="E396" s="21">
        <v>7.7830370878799737E-3</v>
      </c>
      <c r="F396" s="5">
        <v>39638</v>
      </c>
      <c r="G396" s="5">
        <v>41470</v>
      </c>
      <c r="H396" s="16">
        <v>1832</v>
      </c>
      <c r="I396" s="5">
        <v>41593</v>
      </c>
      <c r="J396" s="5">
        <v>41129</v>
      </c>
      <c r="K396" s="16">
        <v>1491</v>
      </c>
      <c r="L396" s="13">
        <v>16010</v>
      </c>
      <c r="M396" s="15">
        <v>330.39254455530158</v>
      </c>
      <c r="N396" s="13">
        <v>5010</v>
      </c>
      <c r="O396" s="13">
        <v>0</v>
      </c>
      <c r="P396" s="11">
        <v>0</v>
      </c>
    </row>
    <row r="397" spans="1:16" ht="15" thickBot="1" x14ac:dyDescent="0.3">
      <c r="A397" s="3" t="s">
        <v>11</v>
      </c>
      <c r="B397" s="4">
        <v>523552</v>
      </c>
      <c r="C397" s="3" t="s">
        <v>9</v>
      </c>
      <c r="D397" s="18">
        <v>6.6500000000000004E-2</v>
      </c>
      <c r="E397" s="21">
        <v>5.3796066408242638E-3</v>
      </c>
      <c r="F397" s="5">
        <v>39702</v>
      </c>
      <c r="G397" s="5">
        <v>41532</v>
      </c>
      <c r="H397" s="16">
        <v>1830</v>
      </c>
      <c r="I397" s="5">
        <v>41593</v>
      </c>
      <c r="J397" s="5">
        <v>41214</v>
      </c>
      <c r="K397" s="16">
        <v>1512</v>
      </c>
      <c r="L397" s="13">
        <v>6560</v>
      </c>
      <c r="M397" s="15">
        <v>126.43585660177965</v>
      </c>
      <c r="N397" s="13">
        <v>3162.96</v>
      </c>
      <c r="O397" s="13">
        <v>2981.47</v>
      </c>
      <c r="P397" s="11">
        <v>0</v>
      </c>
    </row>
    <row r="398" spans="1:16" ht="15" thickBot="1" x14ac:dyDescent="0.3">
      <c r="A398" s="3" t="s">
        <v>11</v>
      </c>
      <c r="B398" s="4">
        <v>666317</v>
      </c>
      <c r="C398" s="3" t="s">
        <v>12</v>
      </c>
      <c r="D398" s="18">
        <v>7.2499999999999995E-2</v>
      </c>
      <c r="E398" s="21">
        <v>5.8497409526456767E-3</v>
      </c>
      <c r="F398" s="5">
        <v>39982</v>
      </c>
      <c r="G398" s="5">
        <v>42175</v>
      </c>
      <c r="H398" s="16">
        <v>2193</v>
      </c>
      <c r="I398" s="5">
        <v>42205</v>
      </c>
      <c r="J398" s="5">
        <v>40401</v>
      </c>
      <c r="K398" s="16">
        <v>419</v>
      </c>
      <c r="L398" s="13">
        <v>18670.62</v>
      </c>
      <c r="M398" s="15">
        <v>314.63641604316985</v>
      </c>
      <c r="N398" s="13">
        <v>5908.07</v>
      </c>
      <c r="O398" s="13">
        <v>0</v>
      </c>
      <c r="P398" s="11">
        <v>1</v>
      </c>
    </row>
    <row r="399" spans="1:16" ht="15" thickBot="1" x14ac:dyDescent="0.3">
      <c r="A399" s="3" t="s">
        <v>11</v>
      </c>
      <c r="B399" s="4">
        <v>657650</v>
      </c>
      <c r="C399" s="3" t="s">
        <v>9</v>
      </c>
      <c r="D399" s="18">
        <v>9.5000000000000001E-2</v>
      </c>
      <c r="E399" s="21">
        <v>7.5915342905825689E-3</v>
      </c>
      <c r="F399" s="5">
        <v>40591</v>
      </c>
      <c r="G399" s="5">
        <v>42236</v>
      </c>
      <c r="H399" s="16">
        <v>1645</v>
      </c>
      <c r="I399" s="5">
        <v>42236</v>
      </c>
      <c r="J399" s="5">
        <v>41620</v>
      </c>
      <c r="K399" s="16">
        <v>1029</v>
      </c>
      <c r="L399" s="13">
        <v>8075</v>
      </c>
      <c r="M399" s="15">
        <v>180.58595433788841</v>
      </c>
      <c r="N399" s="13">
        <v>4208.3500000000004</v>
      </c>
      <c r="O399" s="13">
        <v>0</v>
      </c>
      <c r="P399" s="11">
        <v>1</v>
      </c>
    </row>
    <row r="400" spans="1:16" ht="15" thickBot="1" x14ac:dyDescent="0.3">
      <c r="A400" s="3" t="s">
        <v>11</v>
      </c>
      <c r="B400" s="4">
        <v>297584</v>
      </c>
      <c r="C400" s="3" t="s">
        <v>3</v>
      </c>
      <c r="D400" s="18">
        <v>5.5E-2</v>
      </c>
      <c r="E400" s="21">
        <v>4.471698917043021E-3</v>
      </c>
      <c r="F400" s="5">
        <v>40654</v>
      </c>
      <c r="G400" s="5">
        <v>41020</v>
      </c>
      <c r="H400" s="16">
        <v>366</v>
      </c>
      <c r="I400" s="5">
        <v>45037</v>
      </c>
      <c r="J400" s="5">
        <v>44869</v>
      </c>
      <c r="K400" s="16">
        <v>4215</v>
      </c>
      <c r="L400" s="13">
        <v>451500</v>
      </c>
      <c r="M400" s="15">
        <v>38109.523769961452</v>
      </c>
      <c r="N400" s="13">
        <v>137185</v>
      </c>
      <c r="O400" s="13">
        <v>0</v>
      </c>
      <c r="P400" s="11">
        <v>0</v>
      </c>
    </row>
    <row r="401" spans="1:16" ht="15" thickBot="1" x14ac:dyDescent="0.3">
      <c r="A401" s="3" t="s">
        <v>11</v>
      </c>
      <c r="B401" s="4">
        <v>977584</v>
      </c>
      <c r="C401" s="3" t="s">
        <v>4</v>
      </c>
      <c r="D401" s="18">
        <v>9.5000000000000001E-2</v>
      </c>
      <c r="E401" s="21">
        <v>7.5915342905825689E-3</v>
      </c>
      <c r="F401" s="5">
        <v>41177</v>
      </c>
      <c r="G401" s="5">
        <v>43009</v>
      </c>
      <c r="H401" s="16">
        <v>1832</v>
      </c>
      <c r="I401" s="5">
        <v>43009</v>
      </c>
      <c r="J401" s="5">
        <v>41908</v>
      </c>
      <c r="K401" s="16">
        <v>731</v>
      </c>
      <c r="L401" s="13">
        <v>100000</v>
      </c>
      <c r="M401" s="15">
        <v>2052.453114124834</v>
      </c>
      <c r="N401" s="13">
        <v>50000</v>
      </c>
      <c r="O401" s="13">
        <v>13587.37</v>
      </c>
      <c r="P401" s="11">
        <v>1</v>
      </c>
    </row>
    <row r="402" spans="1:16" ht="15" thickBot="1" x14ac:dyDescent="0.3">
      <c r="A402" s="3" t="s">
        <v>11</v>
      </c>
      <c r="B402" s="4">
        <v>188398</v>
      </c>
      <c r="C402" s="3" t="s">
        <v>2</v>
      </c>
      <c r="D402" s="18">
        <v>5.5E-2</v>
      </c>
      <c r="E402" s="21">
        <v>4.471698917043021E-3</v>
      </c>
      <c r="F402" s="5">
        <v>41045</v>
      </c>
      <c r="G402" s="5">
        <v>42161</v>
      </c>
      <c r="H402" s="16">
        <v>1116</v>
      </c>
      <c r="I402" s="5">
        <v>42161</v>
      </c>
      <c r="J402" s="5">
        <v>41908</v>
      </c>
      <c r="K402" s="16">
        <v>863</v>
      </c>
      <c r="L402" s="13">
        <v>25362</v>
      </c>
      <c r="M402" s="15">
        <v>741.57093076303147</v>
      </c>
      <c r="N402" s="13">
        <v>13207.58</v>
      </c>
      <c r="O402" s="13">
        <v>1884.98</v>
      </c>
      <c r="P402" s="11">
        <v>1</v>
      </c>
    </row>
    <row r="403" spans="1:16" ht="15" thickBot="1" x14ac:dyDescent="0.3">
      <c r="A403" s="3" t="s">
        <v>11</v>
      </c>
      <c r="B403" s="4">
        <v>640483</v>
      </c>
      <c r="C403" s="3" t="s">
        <v>2</v>
      </c>
      <c r="D403" s="18">
        <v>0.04</v>
      </c>
      <c r="E403" s="21">
        <v>3.2737397821989145E-3</v>
      </c>
      <c r="F403" s="5">
        <v>41411</v>
      </c>
      <c r="G403" s="5">
        <v>42139</v>
      </c>
      <c r="H403" s="16">
        <v>728</v>
      </c>
      <c r="I403" s="5">
        <v>42868</v>
      </c>
      <c r="J403" s="5">
        <v>42944</v>
      </c>
      <c r="K403" s="16">
        <v>1533</v>
      </c>
      <c r="L403" s="13">
        <v>125901.44</v>
      </c>
      <c r="M403" s="15">
        <v>5405.5421960719441</v>
      </c>
      <c r="N403" s="13">
        <v>73490.41</v>
      </c>
      <c r="O403" s="13">
        <v>0</v>
      </c>
      <c r="P403" s="11">
        <v>1</v>
      </c>
    </row>
    <row r="404" spans="1:16" ht="15" thickBot="1" x14ac:dyDescent="0.3">
      <c r="A404" s="3" t="s">
        <v>11</v>
      </c>
      <c r="B404" s="4">
        <v>785132</v>
      </c>
      <c r="C404" s="3" t="s">
        <v>3</v>
      </c>
      <c r="D404" s="18">
        <v>5.2499999999999998E-2</v>
      </c>
      <c r="E404" s="21">
        <v>4.2731277661580691E-3</v>
      </c>
      <c r="F404" s="5">
        <v>41929</v>
      </c>
      <c r="G404" s="5">
        <v>42278</v>
      </c>
      <c r="H404" s="16">
        <v>349</v>
      </c>
      <c r="I404" s="5">
        <v>44865</v>
      </c>
      <c r="J404" s="5">
        <v>44869</v>
      </c>
      <c r="K404" s="16">
        <v>2940</v>
      </c>
      <c r="L404" s="13">
        <v>603000</v>
      </c>
      <c r="M404" s="15">
        <v>53243.477393854213</v>
      </c>
      <c r="N404" s="13">
        <v>162815</v>
      </c>
      <c r="O404" s="13">
        <v>0</v>
      </c>
      <c r="P404" s="11">
        <v>1</v>
      </c>
    </row>
    <row r="405" spans="1:16" ht="15" thickBot="1" x14ac:dyDescent="0.3">
      <c r="A405" s="3" t="s">
        <v>11</v>
      </c>
      <c r="B405" s="4">
        <v>211227</v>
      </c>
      <c r="C405" s="3" t="s">
        <v>9</v>
      </c>
      <c r="D405" s="18">
        <v>5.7500000000000002E-2</v>
      </c>
      <c r="E405" s="21">
        <v>4.6698392000357192E-3</v>
      </c>
      <c r="F405" s="5">
        <v>42185</v>
      </c>
      <c r="G405" s="5">
        <v>43126</v>
      </c>
      <c r="H405" s="16">
        <v>941</v>
      </c>
      <c r="I405" s="5">
        <v>43126</v>
      </c>
      <c r="J405" s="5">
        <v>42451</v>
      </c>
      <c r="K405" s="16">
        <v>266</v>
      </c>
      <c r="L405" s="13">
        <v>5029.8999999999996</v>
      </c>
      <c r="M405" s="15">
        <v>172.76262014884176</v>
      </c>
      <c r="N405" s="13">
        <v>4629.79</v>
      </c>
      <c r="O405" s="13">
        <v>1260</v>
      </c>
      <c r="P405" s="11">
        <v>1</v>
      </c>
    </row>
    <row r="406" spans="1:16" ht="15" thickBot="1" x14ac:dyDescent="0.3">
      <c r="A406" s="3" t="s">
        <v>11</v>
      </c>
      <c r="B406" s="4">
        <v>897031</v>
      </c>
      <c r="C406" s="3" t="s">
        <v>9</v>
      </c>
      <c r="D406" s="18">
        <v>0.115</v>
      </c>
      <c r="E406" s="21">
        <v>9.1124684369046083E-3</v>
      </c>
      <c r="F406" s="5">
        <v>42604</v>
      </c>
      <c r="G406" s="5">
        <v>43521</v>
      </c>
      <c r="H406" s="16">
        <v>917</v>
      </c>
      <c r="I406" s="5">
        <v>43521</v>
      </c>
      <c r="J406" s="5">
        <v>43080</v>
      </c>
      <c r="K406" s="16">
        <v>476</v>
      </c>
      <c r="L406" s="13">
        <v>3080</v>
      </c>
      <c r="M406" s="15">
        <v>115.9026505677039</v>
      </c>
      <c r="N406" s="13">
        <v>2077.1999999999998</v>
      </c>
      <c r="O406" s="13">
        <v>0</v>
      </c>
      <c r="P406" s="11">
        <v>1</v>
      </c>
    </row>
    <row r="407" spans="1:16" ht="15" thickBot="1" x14ac:dyDescent="0.3">
      <c r="A407" s="3" t="s">
        <v>11</v>
      </c>
      <c r="B407" s="4">
        <v>757748</v>
      </c>
      <c r="C407" s="3" t="s">
        <v>9</v>
      </c>
      <c r="D407" s="18">
        <v>7.2499999999999995E-2</v>
      </c>
      <c r="E407" s="21">
        <v>5.8497409526456767E-3</v>
      </c>
      <c r="F407" s="5">
        <v>42878</v>
      </c>
      <c r="G407" s="5">
        <v>44727</v>
      </c>
      <c r="H407" s="16">
        <v>1849</v>
      </c>
      <c r="I407" s="5">
        <v>44727</v>
      </c>
      <c r="J407" s="5">
        <v>44739</v>
      </c>
      <c r="K407" s="16">
        <v>1861</v>
      </c>
      <c r="L407" s="13">
        <v>10875</v>
      </c>
      <c r="M407" s="15">
        <v>210.67195122257698</v>
      </c>
      <c r="N407" s="13">
        <v>880.52</v>
      </c>
      <c r="O407" s="13">
        <v>0</v>
      </c>
      <c r="P407" s="11">
        <v>1</v>
      </c>
    </row>
    <row r="408" spans="1:16" ht="15" thickBot="1" x14ac:dyDescent="0.3">
      <c r="A408" s="3" t="s">
        <v>11</v>
      </c>
      <c r="B408" s="4">
        <v>731543</v>
      </c>
      <c r="C408" s="3" t="s">
        <v>12</v>
      </c>
      <c r="D408" s="18">
        <v>0.08</v>
      </c>
      <c r="E408" s="21">
        <v>6.4340301100034303E-3</v>
      </c>
      <c r="F408" s="5">
        <v>42901</v>
      </c>
      <c r="G408" s="5">
        <v>43814</v>
      </c>
      <c r="H408" s="16">
        <v>913</v>
      </c>
      <c r="I408" s="5">
        <v>43905</v>
      </c>
      <c r="J408" s="5">
        <v>43714</v>
      </c>
      <c r="K408" s="16">
        <v>813</v>
      </c>
      <c r="L408" s="13">
        <v>4495</v>
      </c>
      <c r="M408" s="15">
        <v>163.10512334144101</v>
      </c>
      <c r="N408" s="13">
        <v>1978.87</v>
      </c>
      <c r="O408" s="13">
        <v>1978.87</v>
      </c>
      <c r="P408" s="11">
        <v>1</v>
      </c>
    </row>
    <row r="409" spans="1:16" ht="15" thickBot="1" x14ac:dyDescent="0.3">
      <c r="A409" s="3" t="s">
        <v>11</v>
      </c>
      <c r="B409" s="4">
        <v>323430</v>
      </c>
      <c r="C409" s="3" t="s">
        <v>9</v>
      </c>
      <c r="D409" s="18">
        <v>3.7499999999999999E-2</v>
      </c>
      <c r="E409" s="21">
        <v>3.0725417032555491E-3</v>
      </c>
      <c r="F409" s="5">
        <v>42949</v>
      </c>
      <c r="G409" s="5">
        <v>44593</v>
      </c>
      <c r="H409" s="16">
        <v>1644</v>
      </c>
      <c r="I409" s="5">
        <v>44621</v>
      </c>
      <c r="J409" s="5">
        <v>43455</v>
      </c>
      <c r="K409" s="16">
        <v>506</v>
      </c>
      <c r="L409" s="13">
        <v>20081</v>
      </c>
      <c r="M409" s="15">
        <v>398.7181178728261</v>
      </c>
      <c r="N409" s="13">
        <v>15883.93</v>
      </c>
      <c r="O409" s="13">
        <v>15883.93</v>
      </c>
      <c r="P409" s="11">
        <v>1</v>
      </c>
    </row>
    <row r="410" spans="1:16" ht="15" thickBot="1" x14ac:dyDescent="0.3">
      <c r="A410" s="3" t="s">
        <v>11</v>
      </c>
      <c r="B410" s="4">
        <v>77479</v>
      </c>
      <c r="C410" s="3" t="s">
        <v>9</v>
      </c>
      <c r="D410" s="18">
        <v>0.125</v>
      </c>
      <c r="E410" s="21">
        <v>9.8635805532114595E-3</v>
      </c>
      <c r="F410" s="5">
        <v>36740</v>
      </c>
      <c r="G410" s="5">
        <v>37853</v>
      </c>
      <c r="H410" s="16">
        <v>1113</v>
      </c>
      <c r="I410" s="5">
        <v>37853</v>
      </c>
      <c r="J410" s="5">
        <v>37334</v>
      </c>
      <c r="K410" s="16">
        <v>594</v>
      </c>
      <c r="L410" s="13">
        <v>6227.64</v>
      </c>
      <c r="M410" s="15">
        <v>201.26075205025404</v>
      </c>
      <c r="N410" s="13">
        <v>4860.95</v>
      </c>
      <c r="O410" s="13">
        <v>2427.94</v>
      </c>
      <c r="P410" s="11">
        <v>0</v>
      </c>
    </row>
    <row r="411" spans="1:16" ht="15" thickBot="1" x14ac:dyDescent="0.3">
      <c r="A411" s="3" t="s">
        <v>11</v>
      </c>
      <c r="B411" s="4">
        <v>277309</v>
      </c>
      <c r="C411" s="3" t="s">
        <v>9</v>
      </c>
      <c r="D411" s="18">
        <v>9.2499999999999999E-2</v>
      </c>
      <c r="E411" s="21">
        <v>7.3996302871768282E-3</v>
      </c>
      <c r="F411" s="5">
        <v>39423</v>
      </c>
      <c r="G411" s="5">
        <v>41105</v>
      </c>
      <c r="H411" s="16">
        <v>1682</v>
      </c>
      <c r="I411" s="5">
        <v>41105</v>
      </c>
      <c r="J411" s="5">
        <v>39808</v>
      </c>
      <c r="K411" s="16">
        <v>385</v>
      </c>
      <c r="L411" s="13">
        <v>31438.32</v>
      </c>
      <c r="M411" s="15">
        <v>687.10944131215695</v>
      </c>
      <c r="N411" s="13">
        <v>24138.86</v>
      </c>
      <c r="O411" s="13">
        <v>6200</v>
      </c>
      <c r="P411" s="11">
        <v>0</v>
      </c>
    </row>
    <row r="412" spans="1:16" ht="15" thickBot="1" x14ac:dyDescent="0.3">
      <c r="A412" s="3" t="s">
        <v>11</v>
      </c>
      <c r="B412" s="4">
        <v>568947</v>
      </c>
      <c r="C412" s="3" t="s">
        <v>17</v>
      </c>
      <c r="D412" s="18">
        <v>0.05</v>
      </c>
      <c r="E412" s="21">
        <v>4.0741237836483535E-3</v>
      </c>
      <c r="F412" s="5">
        <v>39547</v>
      </c>
      <c r="G412" s="5">
        <v>41379</v>
      </c>
      <c r="H412" s="16">
        <v>1832</v>
      </c>
      <c r="I412" s="5">
        <v>44722</v>
      </c>
      <c r="J412" s="5">
        <v>44768</v>
      </c>
      <c r="K412" s="16">
        <v>5221</v>
      </c>
      <c r="L412" s="13">
        <v>152905</v>
      </c>
      <c r="M412" s="15">
        <v>2833.3530291182278</v>
      </c>
      <c r="N412" s="13">
        <v>79761.41</v>
      </c>
      <c r="O412" s="13">
        <v>35889.360000000001</v>
      </c>
      <c r="P412" s="11">
        <v>0</v>
      </c>
    </row>
    <row r="413" spans="1:16" ht="15" thickBot="1" x14ac:dyDescent="0.3">
      <c r="A413" s="3" t="s">
        <v>11</v>
      </c>
      <c r="B413" s="4">
        <v>211451</v>
      </c>
      <c r="C413" s="3" t="s">
        <v>16</v>
      </c>
      <c r="D413" s="18">
        <v>8.5000000000000006E-2</v>
      </c>
      <c r="E413" s="21">
        <v>6.8214933659622723E-3</v>
      </c>
      <c r="F413" s="5">
        <v>44848</v>
      </c>
      <c r="G413" s="5">
        <v>45762</v>
      </c>
      <c r="H413" s="16">
        <v>914</v>
      </c>
      <c r="I413" s="5">
        <v>45762</v>
      </c>
      <c r="J413" s="5">
        <v>45190</v>
      </c>
      <c r="K413" s="16">
        <v>342</v>
      </c>
      <c r="L413" s="13">
        <v>3075</v>
      </c>
      <c r="M413" s="15">
        <v>112.12367386401007</v>
      </c>
      <c r="N413" s="13">
        <v>2318.64</v>
      </c>
      <c r="O413" s="13">
        <v>0</v>
      </c>
      <c r="P413" s="11">
        <v>1</v>
      </c>
    </row>
    <row r="414" spans="1:16" ht="15" thickBot="1" x14ac:dyDescent="0.3">
      <c r="A414" s="3" t="s">
        <v>11</v>
      </c>
      <c r="B414" s="4">
        <v>727071</v>
      </c>
      <c r="C414" s="3" t="s">
        <v>9</v>
      </c>
      <c r="D414" s="18">
        <v>0.13</v>
      </c>
      <c r="E414" s="21">
        <v>1.02368443581764E-2</v>
      </c>
      <c r="F414" s="5">
        <v>45028</v>
      </c>
      <c r="G414" s="5">
        <v>45945</v>
      </c>
      <c r="H414" s="16">
        <v>917</v>
      </c>
      <c r="I414" s="5">
        <v>46127</v>
      </c>
      <c r="J414" s="5">
        <v>46007</v>
      </c>
      <c r="K414" s="16">
        <v>979</v>
      </c>
      <c r="L414" s="13">
        <v>16665</v>
      </c>
      <c r="M414" s="15">
        <v>637.70474449498204</v>
      </c>
      <c r="N414" s="13">
        <v>4654.3900000000003</v>
      </c>
      <c r="O414" s="13">
        <v>0</v>
      </c>
      <c r="P414" s="11">
        <v>1</v>
      </c>
    </row>
    <row r="415" spans="1:16" ht="15" thickBot="1" x14ac:dyDescent="0.3">
      <c r="A415" s="3" t="s">
        <v>11</v>
      </c>
      <c r="B415" s="4">
        <v>889644</v>
      </c>
      <c r="C415" s="3" t="s">
        <v>2</v>
      </c>
      <c r="D415" s="18">
        <v>0.1075</v>
      </c>
      <c r="E415" s="21">
        <v>8.5450710394860963E-3</v>
      </c>
      <c r="F415" s="5">
        <v>45656</v>
      </c>
      <c r="G415" s="5">
        <v>46027</v>
      </c>
      <c r="H415" s="16">
        <v>371</v>
      </c>
      <c r="I415" s="5">
        <v>46027</v>
      </c>
      <c r="J415" s="5">
        <v>46009</v>
      </c>
      <c r="K415" s="16">
        <v>353</v>
      </c>
      <c r="L415" s="13">
        <v>9700</v>
      </c>
      <c r="M415" s="15">
        <v>829.88333661956938</v>
      </c>
      <c r="N415" s="13">
        <v>4257.8100000000004</v>
      </c>
      <c r="O415" s="13">
        <v>0</v>
      </c>
      <c r="P415" s="11">
        <v>1</v>
      </c>
    </row>
    <row r="416" spans="1:16" ht="15" thickBot="1" x14ac:dyDescent="0.3">
      <c r="A416" s="3" t="s">
        <v>11</v>
      </c>
      <c r="B416" s="4">
        <v>708758</v>
      </c>
      <c r="C416" s="3" t="s">
        <v>2</v>
      </c>
      <c r="D416" s="18">
        <v>0.06</v>
      </c>
      <c r="E416" s="21">
        <v>4.8675505653430484E-3</v>
      </c>
      <c r="F416" s="5">
        <v>43382</v>
      </c>
      <c r="G416" s="5">
        <v>43575</v>
      </c>
      <c r="H416" s="16">
        <v>193</v>
      </c>
      <c r="I416" s="5">
        <v>45402</v>
      </c>
      <c r="J416" s="5">
        <v>44279</v>
      </c>
      <c r="K416" s="16">
        <v>897</v>
      </c>
      <c r="L416" s="13">
        <v>122450</v>
      </c>
      <c r="M416" s="15">
        <v>19379.532321951945</v>
      </c>
      <c r="N416" s="13">
        <v>51415.91</v>
      </c>
      <c r="O416" s="13">
        <v>0</v>
      </c>
      <c r="P416" s="11">
        <v>1</v>
      </c>
    </row>
    <row r="417" spans="1:16" ht="15" thickBot="1" x14ac:dyDescent="0.3">
      <c r="A417" s="3" t="s">
        <v>11</v>
      </c>
      <c r="B417" s="4">
        <v>720744</v>
      </c>
      <c r="C417" s="3" t="s">
        <v>9</v>
      </c>
      <c r="D417" s="18">
        <v>0.13250000000000001</v>
      </c>
      <c r="E417" s="21">
        <v>1.0422908867375291E-2</v>
      </c>
      <c r="F417" s="5">
        <v>43525</v>
      </c>
      <c r="G417" s="5">
        <v>44444</v>
      </c>
      <c r="H417" s="16">
        <v>919</v>
      </c>
      <c r="I417" s="5">
        <v>44474</v>
      </c>
      <c r="J417" s="5">
        <v>44070</v>
      </c>
      <c r="K417" s="16">
        <v>545</v>
      </c>
      <c r="L417" s="13">
        <v>2428.1999999999998</v>
      </c>
      <c r="M417" s="15">
        <v>93.002222583592157</v>
      </c>
      <c r="N417" s="13">
        <v>1537.19</v>
      </c>
      <c r="O417" s="13">
        <v>391.46</v>
      </c>
      <c r="P417" s="11">
        <v>1</v>
      </c>
    </row>
    <row r="418" spans="1:16" ht="15" thickBot="1" x14ac:dyDescent="0.3">
      <c r="A418" s="3" t="s">
        <v>11</v>
      </c>
      <c r="B418" s="4">
        <v>496838</v>
      </c>
      <c r="C418" s="3" t="s">
        <v>12</v>
      </c>
      <c r="D418" s="18">
        <v>0.115</v>
      </c>
      <c r="E418" s="21">
        <v>9.1124684369046083E-3</v>
      </c>
      <c r="F418" s="5">
        <v>43586</v>
      </c>
      <c r="G418" s="5">
        <v>45413</v>
      </c>
      <c r="H418" s="16">
        <v>1827</v>
      </c>
      <c r="I418" s="5">
        <v>45413</v>
      </c>
      <c r="J418" s="5">
        <v>44460</v>
      </c>
      <c r="K418" s="16">
        <v>874</v>
      </c>
      <c r="L418" s="13">
        <v>6109</v>
      </c>
      <c r="M418" s="15">
        <v>131.15218865726882</v>
      </c>
      <c r="N418" s="13">
        <v>3984.96</v>
      </c>
      <c r="O418" s="13">
        <v>2822.64</v>
      </c>
      <c r="P418" s="11">
        <v>1</v>
      </c>
    </row>
    <row r="419" spans="1:16" ht="15" thickBot="1" x14ac:dyDescent="0.3">
      <c r="A419" s="3" t="s">
        <v>11</v>
      </c>
      <c r="B419" s="4">
        <v>862735</v>
      </c>
      <c r="C419" s="3" t="s">
        <v>9</v>
      </c>
      <c r="D419" s="18">
        <v>0.105</v>
      </c>
      <c r="E419" s="21">
        <v>8.355155683635207E-3</v>
      </c>
      <c r="F419" s="5">
        <v>34885</v>
      </c>
      <c r="G419" s="5">
        <v>36175</v>
      </c>
      <c r="H419" s="16">
        <v>1290</v>
      </c>
      <c r="I419" s="5">
        <v>36845</v>
      </c>
      <c r="J419" s="5">
        <v>36144</v>
      </c>
      <c r="K419" s="16">
        <v>1259</v>
      </c>
      <c r="L419" s="13">
        <v>7000.83</v>
      </c>
      <c r="M419" s="15">
        <v>194.4759764341519</v>
      </c>
      <c r="N419" s="13">
        <v>4749.79</v>
      </c>
      <c r="O419" s="13">
        <v>3000</v>
      </c>
      <c r="P419" s="11">
        <v>0</v>
      </c>
    </row>
    <row r="420" spans="1:16" ht="15" thickBot="1" x14ac:dyDescent="0.3">
      <c r="A420" s="3" t="s">
        <v>11</v>
      </c>
      <c r="B420" s="4">
        <v>998113</v>
      </c>
      <c r="C420" s="3" t="s">
        <v>9</v>
      </c>
      <c r="D420" s="18">
        <v>0.105</v>
      </c>
      <c r="E420" s="21">
        <v>8.355155683635207E-3</v>
      </c>
      <c r="F420" s="5">
        <v>35548</v>
      </c>
      <c r="G420" s="5">
        <v>36278</v>
      </c>
      <c r="H420" s="16">
        <v>730</v>
      </c>
      <c r="I420" s="5">
        <v>37284</v>
      </c>
      <c r="J420" s="5">
        <v>36455</v>
      </c>
      <c r="K420" s="16">
        <v>907</v>
      </c>
      <c r="L420" s="13">
        <v>5045</v>
      </c>
      <c r="M420" s="15">
        <v>229.98027792871329</v>
      </c>
      <c r="N420" s="13">
        <v>1679.96</v>
      </c>
      <c r="O420" s="13">
        <v>2185</v>
      </c>
      <c r="P420" s="11">
        <v>0</v>
      </c>
    </row>
    <row r="421" spans="1:16" ht="15" thickBot="1" x14ac:dyDescent="0.3">
      <c r="A421" s="3" t="s">
        <v>11</v>
      </c>
      <c r="B421" s="4">
        <v>382871</v>
      </c>
      <c r="C421" s="3" t="s">
        <v>9</v>
      </c>
      <c r="D421" s="18">
        <v>0.11</v>
      </c>
      <c r="E421" s="21">
        <v>8.7345938235519061E-3</v>
      </c>
      <c r="F421" s="5">
        <v>35751</v>
      </c>
      <c r="G421" s="5">
        <v>36852</v>
      </c>
      <c r="H421" s="16">
        <v>1101</v>
      </c>
      <c r="I421" s="5">
        <v>36882</v>
      </c>
      <c r="J421" s="5">
        <v>36144</v>
      </c>
      <c r="K421" s="16">
        <v>393</v>
      </c>
      <c r="L421" s="13">
        <v>6970.92</v>
      </c>
      <c r="M421" s="15">
        <v>222.8324563882264</v>
      </c>
      <c r="N421" s="13">
        <v>6482.18</v>
      </c>
      <c r="O421" s="13">
        <v>450</v>
      </c>
      <c r="P421" s="11">
        <v>0</v>
      </c>
    </row>
    <row r="422" spans="1:16" ht="15" thickBot="1" x14ac:dyDescent="0.3">
      <c r="A422" s="3" t="s">
        <v>11</v>
      </c>
      <c r="B422" s="4">
        <v>277815</v>
      </c>
      <c r="C422" s="3" t="s">
        <v>12</v>
      </c>
      <c r="D422" s="18">
        <v>0.12</v>
      </c>
      <c r="E422" s="21">
        <v>9.4887929345830457E-3</v>
      </c>
      <c r="F422" s="5">
        <v>35783</v>
      </c>
      <c r="G422" s="5">
        <v>37610</v>
      </c>
      <c r="H422" s="16">
        <v>1827</v>
      </c>
      <c r="I422" s="5">
        <v>37731</v>
      </c>
      <c r="J422" s="5">
        <v>36704</v>
      </c>
      <c r="K422" s="16">
        <v>921</v>
      </c>
      <c r="L422" s="13">
        <v>10050</v>
      </c>
      <c r="M422" s="15">
        <v>218.03310730005143</v>
      </c>
      <c r="N422" s="13">
        <v>5914.58</v>
      </c>
      <c r="O422" s="13">
        <v>14.33</v>
      </c>
      <c r="P422" s="11">
        <v>0</v>
      </c>
    </row>
    <row r="423" spans="1:16" ht="15" thickBot="1" x14ac:dyDescent="0.3">
      <c r="A423" s="3" t="s">
        <v>11</v>
      </c>
      <c r="B423" s="4">
        <v>723391</v>
      </c>
      <c r="C423" s="3" t="s">
        <v>9</v>
      </c>
      <c r="D423" s="18">
        <v>0.09</v>
      </c>
      <c r="E423" s="21">
        <v>7.2073233161367156E-3</v>
      </c>
      <c r="F423" s="5">
        <v>35979</v>
      </c>
      <c r="G423" s="5">
        <v>37805</v>
      </c>
      <c r="H423" s="16">
        <v>1826</v>
      </c>
      <c r="I423" s="5">
        <v>37805</v>
      </c>
      <c r="J423" s="5">
        <v>36704</v>
      </c>
      <c r="K423" s="16">
        <v>725</v>
      </c>
      <c r="L423" s="13">
        <v>11152.29</v>
      </c>
      <c r="M423" s="15">
        <v>226.99206432347103</v>
      </c>
      <c r="N423" s="13">
        <v>5916.27</v>
      </c>
      <c r="O423" s="13">
        <v>0</v>
      </c>
      <c r="P423" s="11">
        <v>0</v>
      </c>
    </row>
    <row r="424" spans="1:16" ht="15" thickBot="1" x14ac:dyDescent="0.3">
      <c r="A424" s="3" t="s">
        <v>11</v>
      </c>
      <c r="B424" s="4">
        <v>227838</v>
      </c>
      <c r="C424" s="3" t="s">
        <v>9</v>
      </c>
      <c r="D424" s="18">
        <v>0.105</v>
      </c>
      <c r="E424" s="21">
        <v>8.355155683635207E-3</v>
      </c>
      <c r="F424" s="5">
        <v>36175</v>
      </c>
      <c r="G424" s="5">
        <v>37636</v>
      </c>
      <c r="H424" s="16">
        <v>1461</v>
      </c>
      <c r="I424" s="5">
        <v>37636</v>
      </c>
      <c r="J424" s="5">
        <v>36795</v>
      </c>
      <c r="K424" s="16">
        <v>620</v>
      </c>
      <c r="L424" s="13">
        <v>6841.19</v>
      </c>
      <c r="M424" s="15">
        <v>171.56666243536938</v>
      </c>
      <c r="N424" s="13">
        <v>5477.12</v>
      </c>
      <c r="O424" s="13">
        <v>1450</v>
      </c>
      <c r="P424" s="11">
        <v>0</v>
      </c>
    </row>
    <row r="425" spans="1:16" ht="15" thickBot="1" x14ac:dyDescent="0.3">
      <c r="A425" s="3" t="s">
        <v>11</v>
      </c>
      <c r="B425" s="4">
        <v>416060</v>
      </c>
      <c r="C425" s="3" t="s">
        <v>9</v>
      </c>
      <c r="D425" s="18">
        <v>0.1</v>
      </c>
      <c r="E425" s="21">
        <v>7.9741404289037643E-3</v>
      </c>
      <c r="F425" s="5">
        <v>36389</v>
      </c>
      <c r="G425" s="5">
        <v>37120</v>
      </c>
      <c r="H425" s="16">
        <v>731</v>
      </c>
      <c r="I425" s="5">
        <v>37120</v>
      </c>
      <c r="J425" s="5">
        <v>37069</v>
      </c>
      <c r="K425" s="16">
        <v>680</v>
      </c>
      <c r="L425" s="13">
        <v>4716.78</v>
      </c>
      <c r="M425" s="15">
        <v>213.75823318996623</v>
      </c>
      <c r="N425" s="13">
        <v>1961.29</v>
      </c>
      <c r="O425" s="13">
        <v>0</v>
      </c>
      <c r="P425" s="11">
        <v>0</v>
      </c>
    </row>
    <row r="426" spans="1:16" ht="15" thickBot="1" x14ac:dyDescent="0.3">
      <c r="A426" s="3" t="s">
        <v>11</v>
      </c>
      <c r="B426" s="4">
        <v>470353</v>
      </c>
      <c r="C426" s="3" t="s">
        <v>9</v>
      </c>
      <c r="D426" s="18">
        <v>0.105</v>
      </c>
      <c r="E426" s="21">
        <v>8.355155683635207E-3</v>
      </c>
      <c r="F426" s="5">
        <v>36873</v>
      </c>
      <c r="G426" s="5">
        <v>38711</v>
      </c>
      <c r="H426" s="16">
        <v>1838</v>
      </c>
      <c r="I426" s="5">
        <v>38801</v>
      </c>
      <c r="J426" s="5">
        <v>38692</v>
      </c>
      <c r="K426" s="16">
        <v>1819</v>
      </c>
      <c r="L426" s="13">
        <v>13701.5</v>
      </c>
      <c r="M426" s="15">
        <v>286.65131032603966</v>
      </c>
      <c r="N426" s="13">
        <v>5983.89</v>
      </c>
      <c r="O426" s="13">
        <v>3450</v>
      </c>
      <c r="P426" s="11">
        <v>0</v>
      </c>
    </row>
    <row r="427" spans="1:16" ht="15" thickBot="1" x14ac:dyDescent="0.3">
      <c r="A427" s="3" t="s">
        <v>11</v>
      </c>
      <c r="B427" s="4">
        <v>261186</v>
      </c>
      <c r="C427" s="3" t="s">
        <v>9</v>
      </c>
      <c r="D427" s="18">
        <v>0.09</v>
      </c>
      <c r="E427" s="21">
        <v>7.2073233161367156E-3</v>
      </c>
      <c r="F427" s="5">
        <v>37130</v>
      </c>
      <c r="G427" s="5">
        <v>38219</v>
      </c>
      <c r="H427" s="16">
        <v>1089</v>
      </c>
      <c r="I427" s="5">
        <v>38311</v>
      </c>
      <c r="J427" s="5">
        <v>37931</v>
      </c>
      <c r="K427" s="16">
        <v>801</v>
      </c>
      <c r="L427" s="13">
        <v>15842.75</v>
      </c>
      <c r="M427" s="15">
        <v>497.57992199415514</v>
      </c>
      <c r="N427" s="13">
        <v>7700.75</v>
      </c>
      <c r="O427" s="13">
        <v>552.52</v>
      </c>
      <c r="P427" s="11">
        <v>0</v>
      </c>
    </row>
    <row r="428" spans="1:16" ht="15" thickBot="1" x14ac:dyDescent="0.3">
      <c r="A428" s="3" t="s">
        <v>11</v>
      </c>
      <c r="B428" s="4">
        <v>600909</v>
      </c>
      <c r="C428" s="3" t="s">
        <v>9</v>
      </c>
      <c r="D428" s="18">
        <v>0.1125</v>
      </c>
      <c r="E428" s="21">
        <v>8.9237257287477778E-3</v>
      </c>
      <c r="F428" s="5">
        <v>37322</v>
      </c>
      <c r="G428" s="5">
        <v>38791</v>
      </c>
      <c r="H428" s="16">
        <v>1469</v>
      </c>
      <c r="I428" s="5">
        <v>38852</v>
      </c>
      <c r="J428" s="5">
        <v>38800</v>
      </c>
      <c r="K428" s="16">
        <v>1478</v>
      </c>
      <c r="L428" s="13">
        <v>3897.98</v>
      </c>
      <c r="M428" s="15">
        <v>98.608733790583173</v>
      </c>
      <c r="N428" s="13">
        <v>567.67999999999995</v>
      </c>
      <c r="O428" s="13">
        <v>647.05999999999995</v>
      </c>
      <c r="P428" s="11">
        <v>0</v>
      </c>
    </row>
    <row r="429" spans="1:16" ht="15" thickBot="1" x14ac:dyDescent="0.3">
      <c r="A429" s="3" t="s">
        <v>11</v>
      </c>
      <c r="B429" s="4">
        <v>549946</v>
      </c>
      <c r="C429" s="3" t="s">
        <v>9</v>
      </c>
      <c r="D429" s="18">
        <v>0.09</v>
      </c>
      <c r="E429" s="21">
        <v>7.2073233161367156E-3</v>
      </c>
      <c r="F429" s="5">
        <v>37351</v>
      </c>
      <c r="G429" s="5">
        <v>37716</v>
      </c>
      <c r="H429" s="16">
        <v>365</v>
      </c>
      <c r="I429" s="5">
        <v>38822</v>
      </c>
      <c r="J429" s="5">
        <v>38895</v>
      </c>
      <c r="K429" s="16">
        <v>1544</v>
      </c>
      <c r="L429" s="13">
        <v>5186.99</v>
      </c>
      <c r="M429" s="15">
        <v>446.82677368277393</v>
      </c>
      <c r="N429" s="13">
        <v>4211.1000000000004</v>
      </c>
      <c r="O429" s="13">
        <v>410.14</v>
      </c>
      <c r="P429" s="11">
        <v>0</v>
      </c>
    </row>
    <row r="430" spans="1:16" ht="15" thickBot="1" x14ac:dyDescent="0.3">
      <c r="A430" s="3" t="s">
        <v>11</v>
      </c>
      <c r="B430" s="4">
        <v>677165</v>
      </c>
      <c r="C430" s="3" t="s">
        <v>9</v>
      </c>
      <c r="D430" s="18">
        <v>7.7499999999999999E-2</v>
      </c>
      <c r="E430" s="21">
        <v>6.2396814612857288E-3</v>
      </c>
      <c r="F430" s="5">
        <v>37782</v>
      </c>
      <c r="G430" s="5">
        <v>39243</v>
      </c>
      <c r="H430" s="16">
        <v>1461</v>
      </c>
      <c r="I430" s="5">
        <v>39182</v>
      </c>
      <c r="J430" s="5">
        <v>38336</v>
      </c>
      <c r="K430" s="16">
        <v>554</v>
      </c>
      <c r="L430" s="13">
        <v>19836.419999999998</v>
      </c>
      <c r="M430" s="15">
        <v>473.59436863547734</v>
      </c>
      <c r="N430" s="13">
        <v>7930.19</v>
      </c>
      <c r="O430" s="13">
        <v>3982.22</v>
      </c>
      <c r="P430" s="11">
        <v>0</v>
      </c>
    </row>
    <row r="431" spans="1:16" ht="15" thickBot="1" x14ac:dyDescent="0.3">
      <c r="A431" s="3" t="s">
        <v>11</v>
      </c>
      <c r="B431" s="4">
        <v>770701</v>
      </c>
      <c r="C431" s="3" t="s">
        <v>9</v>
      </c>
      <c r="D431" s="18">
        <v>0.1</v>
      </c>
      <c r="E431" s="21">
        <v>7.9741404289037643E-3</v>
      </c>
      <c r="F431" s="5">
        <v>37817</v>
      </c>
      <c r="G431" s="5">
        <v>38671</v>
      </c>
      <c r="H431" s="16">
        <v>854</v>
      </c>
      <c r="I431" s="5">
        <v>38791</v>
      </c>
      <c r="J431" s="5">
        <v>38845</v>
      </c>
      <c r="K431" s="16">
        <v>1028</v>
      </c>
      <c r="L431" s="13">
        <v>1856</v>
      </c>
      <c r="M431" s="15">
        <v>73.137290349824184</v>
      </c>
      <c r="N431" s="13">
        <v>334.08</v>
      </c>
      <c r="O431" s="13">
        <v>0</v>
      </c>
      <c r="P431" s="11">
        <v>0</v>
      </c>
    </row>
    <row r="432" spans="1:16" ht="15" thickBot="1" x14ac:dyDescent="0.3">
      <c r="A432" s="3" t="s">
        <v>11</v>
      </c>
      <c r="B432" s="4">
        <v>194529</v>
      </c>
      <c r="C432" s="3" t="s">
        <v>9</v>
      </c>
      <c r="D432" s="18">
        <v>0.06</v>
      </c>
      <c r="E432" s="21">
        <v>4.8675505653430484E-3</v>
      </c>
      <c r="F432" s="5">
        <v>38082</v>
      </c>
      <c r="G432" s="5">
        <v>39182</v>
      </c>
      <c r="H432" s="16">
        <v>1100</v>
      </c>
      <c r="I432" s="5">
        <v>39212</v>
      </c>
      <c r="J432" s="5">
        <v>38735</v>
      </c>
      <c r="K432" s="16">
        <v>653</v>
      </c>
      <c r="L432" s="13">
        <v>6056</v>
      </c>
      <c r="M432" s="15">
        <v>180.74135756117184</v>
      </c>
      <c r="N432" s="13">
        <v>4074.9</v>
      </c>
      <c r="O432" s="13">
        <v>193</v>
      </c>
      <c r="P432" s="11">
        <v>0</v>
      </c>
    </row>
    <row r="433" spans="1:16" ht="15" thickBot="1" x14ac:dyDescent="0.3">
      <c r="A433" s="3" t="s">
        <v>11</v>
      </c>
      <c r="B433" s="4">
        <v>165568</v>
      </c>
      <c r="C433" s="3" t="s">
        <v>9</v>
      </c>
      <c r="D433" s="18">
        <v>0.105</v>
      </c>
      <c r="E433" s="21">
        <v>8.355155683635207E-3</v>
      </c>
      <c r="F433" s="5">
        <v>38197</v>
      </c>
      <c r="G433" s="5">
        <v>38939</v>
      </c>
      <c r="H433" s="16">
        <v>742</v>
      </c>
      <c r="I433" s="5">
        <v>38939</v>
      </c>
      <c r="J433" s="5">
        <v>38554</v>
      </c>
      <c r="K433" s="16">
        <v>357</v>
      </c>
      <c r="L433" s="13">
        <v>9056</v>
      </c>
      <c r="M433" s="15">
        <v>406.80185711668599</v>
      </c>
      <c r="N433" s="13">
        <v>4756</v>
      </c>
      <c r="O433" s="13">
        <v>0</v>
      </c>
      <c r="P433" s="11">
        <v>0</v>
      </c>
    </row>
    <row r="434" spans="1:16" ht="15" thickBot="1" x14ac:dyDescent="0.3">
      <c r="A434" s="3" t="s">
        <v>11</v>
      </c>
      <c r="B434" s="4">
        <v>546447</v>
      </c>
      <c r="C434" s="3" t="s">
        <v>9</v>
      </c>
      <c r="D434" s="18">
        <v>0.129</v>
      </c>
      <c r="E434" s="21">
        <v>1.0162312880815705E-2</v>
      </c>
      <c r="F434" s="5">
        <v>38392</v>
      </c>
      <c r="G434" s="5">
        <v>38852</v>
      </c>
      <c r="H434" s="16">
        <v>460</v>
      </c>
      <c r="I434" s="5">
        <v>38913</v>
      </c>
      <c r="J434" s="5">
        <v>38800</v>
      </c>
      <c r="K434" s="16">
        <v>408</v>
      </c>
      <c r="L434" s="13">
        <v>1406</v>
      </c>
      <c r="M434" s="15">
        <v>99.489417596561296</v>
      </c>
      <c r="N434" s="13">
        <v>974.74</v>
      </c>
      <c r="O434" s="13">
        <v>809.97</v>
      </c>
      <c r="P434" s="11">
        <v>0</v>
      </c>
    </row>
    <row r="435" spans="1:16" ht="15" thickBot="1" x14ac:dyDescent="0.3">
      <c r="A435" s="3" t="s">
        <v>11</v>
      </c>
      <c r="B435" s="4">
        <v>358994</v>
      </c>
      <c r="C435" s="3" t="s">
        <v>9</v>
      </c>
      <c r="D435" s="18">
        <v>8.4000000000000005E-2</v>
      </c>
      <c r="E435" s="21">
        <v>6.7441318411856077E-3</v>
      </c>
      <c r="F435" s="5">
        <v>39366</v>
      </c>
      <c r="G435" s="5">
        <v>40831</v>
      </c>
      <c r="H435" s="16">
        <v>1465</v>
      </c>
      <c r="I435" s="5">
        <v>40862</v>
      </c>
      <c r="J435" s="5">
        <v>40135</v>
      </c>
      <c r="K435" s="16">
        <v>769</v>
      </c>
      <c r="L435" s="13">
        <v>17066</v>
      </c>
      <c r="M435" s="15">
        <v>411.34174491434214</v>
      </c>
      <c r="N435" s="13">
        <v>8900</v>
      </c>
      <c r="O435" s="13">
        <v>0</v>
      </c>
      <c r="P435" s="11">
        <v>0</v>
      </c>
    </row>
    <row r="436" spans="1:16" ht="15" thickBot="1" x14ac:dyDescent="0.3">
      <c r="A436" s="3" t="s">
        <v>11</v>
      </c>
      <c r="B436" s="4">
        <v>494804</v>
      </c>
      <c r="C436" s="3" t="s">
        <v>9</v>
      </c>
      <c r="D436" s="18">
        <v>7.0000000000000007E-2</v>
      </c>
      <c r="E436" s="21">
        <v>5.6541453874052738E-3</v>
      </c>
      <c r="F436" s="5">
        <v>44782</v>
      </c>
      <c r="G436" s="5">
        <v>45696</v>
      </c>
      <c r="H436" s="16">
        <v>914</v>
      </c>
      <c r="I436" s="5">
        <v>45999</v>
      </c>
      <c r="J436" s="5">
        <v>45833</v>
      </c>
      <c r="K436" s="16">
        <v>1051</v>
      </c>
      <c r="L436" s="13">
        <v>9081</v>
      </c>
      <c r="M436" s="15">
        <v>325.31259690643662</v>
      </c>
      <c r="N436" s="13">
        <v>2439.36</v>
      </c>
      <c r="O436" s="13">
        <v>0</v>
      </c>
      <c r="P436" s="11">
        <v>1</v>
      </c>
    </row>
    <row r="437" spans="1:16" ht="15" thickBot="1" x14ac:dyDescent="0.3">
      <c r="A437" s="3" t="s">
        <v>11</v>
      </c>
      <c r="B437" s="4">
        <v>481627</v>
      </c>
      <c r="C437" s="3" t="s">
        <v>9</v>
      </c>
      <c r="D437" s="18">
        <v>0.1575</v>
      </c>
      <c r="E437" s="21">
        <v>1.2263125240543182E-2</v>
      </c>
      <c r="F437" s="5">
        <v>45063</v>
      </c>
      <c r="G437" s="5">
        <v>45733</v>
      </c>
      <c r="H437" s="16">
        <v>670</v>
      </c>
      <c r="I437" s="5">
        <v>45870</v>
      </c>
      <c r="J437" s="5">
        <v>45930</v>
      </c>
      <c r="K437" s="16">
        <v>867</v>
      </c>
      <c r="L437" s="13">
        <v>4532.41</v>
      </c>
      <c r="M437" s="15">
        <v>233.23559097539336</v>
      </c>
      <c r="N437" s="13">
        <v>713.35</v>
      </c>
      <c r="O437" s="13">
        <v>0</v>
      </c>
      <c r="P437" s="11">
        <v>1</v>
      </c>
    </row>
    <row r="438" spans="1:16" ht="15" thickBot="1" x14ac:dyDescent="0.3">
      <c r="A438" s="3" t="s">
        <v>11</v>
      </c>
      <c r="B438" s="4">
        <v>915935</v>
      </c>
      <c r="C438" s="3" t="s">
        <v>9</v>
      </c>
      <c r="D438" s="18">
        <v>0.11</v>
      </c>
      <c r="E438" s="21">
        <v>8.7345938235519061E-3</v>
      </c>
      <c r="F438" s="5">
        <v>37174</v>
      </c>
      <c r="G438" s="5">
        <v>39000</v>
      </c>
      <c r="H438" s="16">
        <v>1826</v>
      </c>
      <c r="I438" s="5">
        <v>39075</v>
      </c>
      <c r="J438" s="5">
        <v>38623</v>
      </c>
      <c r="K438" s="16">
        <v>1449</v>
      </c>
      <c r="L438" s="13">
        <v>15803.97</v>
      </c>
      <c r="M438" s="15">
        <v>335.86291404347128</v>
      </c>
      <c r="N438" s="13">
        <v>5804</v>
      </c>
      <c r="O438" s="13">
        <v>71.62</v>
      </c>
      <c r="P438" s="11">
        <v>0</v>
      </c>
    </row>
    <row r="439" spans="1:16" ht="15" thickBot="1" x14ac:dyDescent="0.3">
      <c r="A439" s="3" t="s">
        <v>11</v>
      </c>
      <c r="B439" s="4">
        <v>343874</v>
      </c>
      <c r="C439" s="3" t="s">
        <v>12</v>
      </c>
      <c r="D439" s="18">
        <v>0.09</v>
      </c>
      <c r="E439" s="21">
        <v>7.2073233161367156E-3</v>
      </c>
      <c r="F439" s="5">
        <v>37435</v>
      </c>
      <c r="G439" s="5">
        <v>39264</v>
      </c>
      <c r="H439" s="16">
        <v>1829</v>
      </c>
      <c r="I439" s="5">
        <v>39264</v>
      </c>
      <c r="J439" s="5">
        <v>38743</v>
      </c>
      <c r="K439" s="16">
        <v>1308</v>
      </c>
      <c r="L439" s="13">
        <v>6204.29</v>
      </c>
      <c r="M439" s="15">
        <v>126.11605785483196</v>
      </c>
      <c r="N439" s="13">
        <v>842.59</v>
      </c>
      <c r="O439" s="13">
        <v>29.06</v>
      </c>
      <c r="P439" s="11">
        <v>0</v>
      </c>
    </row>
    <row r="440" spans="1:16" ht="15" thickBot="1" x14ac:dyDescent="0.3">
      <c r="A440" s="3" t="s">
        <v>11</v>
      </c>
      <c r="B440" s="4">
        <v>903067</v>
      </c>
      <c r="C440" s="3" t="s">
        <v>16</v>
      </c>
      <c r="D440" s="18">
        <v>0.12</v>
      </c>
      <c r="E440" s="21">
        <v>9.4887929345830457E-3</v>
      </c>
      <c r="F440" s="5">
        <v>38819</v>
      </c>
      <c r="G440" s="5">
        <v>39002</v>
      </c>
      <c r="H440" s="16">
        <v>183</v>
      </c>
      <c r="I440" s="5">
        <v>39156</v>
      </c>
      <c r="J440" s="5">
        <v>39170</v>
      </c>
      <c r="K440" s="16">
        <v>351</v>
      </c>
      <c r="L440" s="13">
        <v>1760</v>
      </c>
      <c r="M440" s="15">
        <v>298.32161743696804</v>
      </c>
      <c r="N440" s="13">
        <v>1334.06</v>
      </c>
      <c r="O440" s="13">
        <v>0</v>
      </c>
      <c r="P440" s="11">
        <v>0</v>
      </c>
    </row>
    <row r="441" spans="1:16" ht="15" thickBot="1" x14ac:dyDescent="0.3">
      <c r="A441" s="3" t="s">
        <v>11</v>
      </c>
      <c r="B441" s="4">
        <v>726596</v>
      </c>
      <c r="C441" s="3" t="s">
        <v>9</v>
      </c>
      <c r="D441" s="18">
        <v>0.104</v>
      </c>
      <c r="E441" s="21">
        <v>8.2790792398550472E-3</v>
      </c>
      <c r="F441" s="5">
        <v>39675</v>
      </c>
      <c r="G441" s="5">
        <v>41136</v>
      </c>
      <c r="H441" s="16">
        <v>1461</v>
      </c>
      <c r="I441" s="5">
        <v>41167</v>
      </c>
      <c r="J441" s="5">
        <v>40532</v>
      </c>
      <c r="K441" s="16">
        <v>857</v>
      </c>
      <c r="L441" s="13">
        <v>3894.74</v>
      </c>
      <c r="M441" s="15">
        <v>97.503214208179898</v>
      </c>
      <c r="N441" s="13">
        <v>2060.19</v>
      </c>
      <c r="O441" s="13">
        <v>250</v>
      </c>
      <c r="P441" s="11">
        <v>0</v>
      </c>
    </row>
    <row r="442" spans="1:16" ht="15" thickBot="1" x14ac:dyDescent="0.3">
      <c r="A442" s="3" t="s">
        <v>11</v>
      </c>
      <c r="B442" s="4">
        <v>291395</v>
      </c>
      <c r="C442" s="3" t="s">
        <v>9</v>
      </c>
      <c r="D442" s="18">
        <v>9.5000000000000001E-2</v>
      </c>
      <c r="E442" s="21">
        <v>7.5915342905825689E-3</v>
      </c>
      <c r="F442" s="5">
        <v>39906</v>
      </c>
      <c r="G442" s="5">
        <v>41009</v>
      </c>
      <c r="H442" s="16">
        <v>1103</v>
      </c>
      <c r="I442" s="5">
        <v>41039</v>
      </c>
      <c r="J442" s="5">
        <v>40799</v>
      </c>
      <c r="K442" s="16">
        <v>893</v>
      </c>
      <c r="L442" s="13">
        <v>4553.63</v>
      </c>
      <c r="M442" s="15">
        <v>142.40616658115982</v>
      </c>
      <c r="N442" s="13">
        <v>1641.16</v>
      </c>
      <c r="O442" s="13">
        <v>0</v>
      </c>
      <c r="P442" s="11">
        <v>0</v>
      </c>
    </row>
    <row r="443" spans="1:16" ht="15" thickBot="1" x14ac:dyDescent="0.3">
      <c r="A443" s="3" t="s">
        <v>11</v>
      </c>
      <c r="B443" s="4">
        <v>566606</v>
      </c>
      <c r="C443" s="3" t="s">
        <v>9</v>
      </c>
      <c r="D443" s="18">
        <v>7.9500000000000001E-2</v>
      </c>
      <c r="E443" s="21">
        <v>6.395193395115184E-3</v>
      </c>
      <c r="F443" s="5">
        <v>40380</v>
      </c>
      <c r="G443" s="5">
        <v>42206</v>
      </c>
      <c r="H443" s="16">
        <v>1826</v>
      </c>
      <c r="I443" s="5">
        <v>42206</v>
      </c>
      <c r="J443" s="5">
        <v>40861</v>
      </c>
      <c r="K443" s="16">
        <v>481</v>
      </c>
      <c r="L443" s="13">
        <v>13039.86</v>
      </c>
      <c r="M443" s="15">
        <v>259.3067158374721</v>
      </c>
      <c r="N443" s="13">
        <v>8100</v>
      </c>
      <c r="O443" s="13">
        <v>0</v>
      </c>
      <c r="P443" s="11">
        <v>1</v>
      </c>
    </row>
    <row r="444" spans="1:16" ht="15" thickBot="1" x14ac:dyDescent="0.3">
      <c r="A444" s="3" t="s">
        <v>11</v>
      </c>
      <c r="B444" s="4">
        <v>814010</v>
      </c>
      <c r="C444" s="3" t="s">
        <v>16</v>
      </c>
      <c r="D444" s="18">
        <v>0.105</v>
      </c>
      <c r="E444" s="21">
        <v>8.355155683635207E-3</v>
      </c>
      <c r="F444" s="5">
        <v>41466</v>
      </c>
      <c r="G444" s="5">
        <v>42210</v>
      </c>
      <c r="H444" s="16">
        <v>744</v>
      </c>
      <c r="I444" s="5">
        <v>42210</v>
      </c>
      <c r="J444" s="5">
        <v>42093</v>
      </c>
      <c r="K444" s="16">
        <v>627</v>
      </c>
      <c r="L444" s="13">
        <v>2975</v>
      </c>
      <c r="M444" s="15">
        <v>133.31553800881761</v>
      </c>
      <c r="N444" s="13">
        <v>1591.46</v>
      </c>
      <c r="O444" s="13">
        <v>409.91</v>
      </c>
      <c r="P444" s="11">
        <v>1</v>
      </c>
    </row>
    <row r="445" spans="1:16" ht="15" thickBot="1" x14ac:dyDescent="0.3">
      <c r="A445" s="3" t="s">
        <v>11</v>
      </c>
      <c r="B445" s="4">
        <v>376364</v>
      </c>
      <c r="C445" s="3" t="s">
        <v>2</v>
      </c>
      <c r="D445" s="18">
        <v>7.0000000000000007E-2</v>
      </c>
      <c r="E445" s="21">
        <v>5.6541453874052738E-3</v>
      </c>
      <c r="F445" s="5">
        <v>41415</v>
      </c>
      <c r="G445" s="5">
        <v>42541</v>
      </c>
      <c r="H445" s="16">
        <v>1126</v>
      </c>
      <c r="I445" s="5">
        <v>42541</v>
      </c>
      <c r="J445" s="5">
        <v>41997</v>
      </c>
      <c r="K445" s="16">
        <v>582</v>
      </c>
      <c r="L445" s="13">
        <v>85000</v>
      </c>
      <c r="M445" s="15">
        <v>2519.820296385044</v>
      </c>
      <c r="N445" s="13">
        <v>43000</v>
      </c>
      <c r="O445" s="13">
        <v>29480.28</v>
      </c>
      <c r="P445" s="11">
        <v>1</v>
      </c>
    </row>
    <row r="446" spans="1:16" ht="15" thickBot="1" x14ac:dyDescent="0.3">
      <c r="A446" s="3" t="s">
        <v>11</v>
      </c>
      <c r="B446" s="4">
        <v>843154</v>
      </c>
      <c r="C446" s="3" t="s">
        <v>9</v>
      </c>
      <c r="D446" s="18">
        <v>0.108</v>
      </c>
      <c r="E446" s="21">
        <v>8.5830069477084159E-3</v>
      </c>
      <c r="F446" s="5">
        <v>42044</v>
      </c>
      <c r="G446" s="5">
        <v>43505</v>
      </c>
      <c r="H446" s="16">
        <v>1461</v>
      </c>
      <c r="I446" s="5">
        <v>43594</v>
      </c>
      <c r="J446" s="5">
        <v>43349</v>
      </c>
      <c r="K446" s="16">
        <v>1305</v>
      </c>
      <c r="L446" s="13">
        <v>10081</v>
      </c>
      <c r="M446" s="15">
        <v>254.14420482539569</v>
      </c>
      <c r="N446" s="13">
        <v>728.23</v>
      </c>
      <c r="O446" s="13">
        <v>0</v>
      </c>
      <c r="P446" s="11">
        <v>1</v>
      </c>
    </row>
    <row r="447" spans="1:16" ht="15" thickBot="1" x14ac:dyDescent="0.3">
      <c r="A447" s="3" t="s">
        <v>11</v>
      </c>
      <c r="B447" s="4">
        <v>424464</v>
      </c>
      <c r="C447" s="3" t="s">
        <v>3</v>
      </c>
      <c r="D447" s="18">
        <v>8.7499999999999994E-2</v>
      </c>
      <c r="E447" s="21">
        <v>7.0146116041400752E-3</v>
      </c>
      <c r="F447" s="5">
        <v>42324</v>
      </c>
      <c r="G447" s="5">
        <v>44880</v>
      </c>
      <c r="H447" s="16">
        <v>2556</v>
      </c>
      <c r="I447" s="5">
        <v>45352</v>
      </c>
      <c r="J447" s="5">
        <v>43734</v>
      </c>
      <c r="K447" s="16">
        <v>1410</v>
      </c>
      <c r="L447" s="13">
        <v>62512</v>
      </c>
      <c r="M447" s="15">
        <v>977.16296401032548</v>
      </c>
      <c r="N447" s="13">
        <v>63425.120000000003</v>
      </c>
      <c r="O447" s="13">
        <v>20000</v>
      </c>
      <c r="P447" s="11">
        <v>1</v>
      </c>
    </row>
    <row r="448" spans="1:16" ht="15" thickBot="1" x14ac:dyDescent="0.3">
      <c r="A448" s="3" t="s">
        <v>11</v>
      </c>
      <c r="B448" s="4">
        <v>871585</v>
      </c>
      <c r="C448" s="3" t="s">
        <v>12</v>
      </c>
      <c r="D448" s="18">
        <v>0.12192</v>
      </c>
      <c r="E448" s="21">
        <v>9.6328924332678145E-3</v>
      </c>
      <c r="F448" s="5">
        <v>42790</v>
      </c>
      <c r="G448" s="5">
        <v>44255</v>
      </c>
      <c r="H448" s="16">
        <v>1465</v>
      </c>
      <c r="I448" s="5">
        <v>44375</v>
      </c>
      <c r="J448" s="5">
        <v>43550</v>
      </c>
      <c r="K448" s="16">
        <v>760</v>
      </c>
      <c r="L448" s="13">
        <v>10552.72</v>
      </c>
      <c r="M448" s="15">
        <v>271.91379591353541</v>
      </c>
      <c r="N448" s="13">
        <v>7472.76</v>
      </c>
      <c r="O448" s="13">
        <v>658.03</v>
      </c>
      <c r="P448" s="11">
        <v>1</v>
      </c>
    </row>
    <row r="449" spans="1:16" ht="15" thickBot="1" x14ac:dyDescent="0.3">
      <c r="A449" s="3" t="s">
        <v>11</v>
      </c>
      <c r="B449" s="4">
        <v>315406</v>
      </c>
      <c r="C449" s="3" t="s">
        <v>3</v>
      </c>
      <c r="D449" s="18">
        <v>8.7499999999999994E-2</v>
      </c>
      <c r="E449" s="21">
        <v>7.0146116041400752E-3</v>
      </c>
      <c r="F449" s="5">
        <v>42675</v>
      </c>
      <c r="G449" s="5">
        <v>43040</v>
      </c>
      <c r="H449" s="16">
        <v>365</v>
      </c>
      <c r="I449" s="5">
        <v>43770</v>
      </c>
      <c r="J449" s="5">
        <v>43909</v>
      </c>
      <c r="K449" s="16">
        <v>1234</v>
      </c>
      <c r="L449" s="13">
        <v>60474</v>
      </c>
      <c r="M449" s="15">
        <v>5202.9852412318742</v>
      </c>
      <c r="N449" s="13">
        <v>20000</v>
      </c>
      <c r="O449" s="13">
        <v>0</v>
      </c>
      <c r="P449" s="11">
        <v>1</v>
      </c>
    </row>
    <row r="450" spans="1:16" ht="15" thickBot="1" x14ac:dyDescent="0.3">
      <c r="A450" s="3" t="s">
        <v>11</v>
      </c>
      <c r="B450" s="4">
        <v>507762</v>
      </c>
      <c r="C450" s="3" t="s">
        <v>6</v>
      </c>
      <c r="D450" s="18">
        <v>8.2500000000000004E-2</v>
      </c>
      <c r="E450" s="21">
        <v>6.6279668043680573E-3</v>
      </c>
      <c r="F450" s="5">
        <v>42808</v>
      </c>
      <c r="G450" s="5">
        <v>45323</v>
      </c>
      <c r="H450" s="16">
        <v>2515</v>
      </c>
      <c r="I450" s="5">
        <v>45323</v>
      </c>
      <c r="J450" s="5">
        <v>44033</v>
      </c>
      <c r="K450" s="16">
        <v>1225</v>
      </c>
      <c r="L450" s="13">
        <v>324860</v>
      </c>
      <c r="M450" s="15">
        <v>5063.3441413671335</v>
      </c>
      <c r="N450" s="13">
        <v>247901.04</v>
      </c>
      <c r="O450" s="13">
        <v>0</v>
      </c>
      <c r="P450" s="11">
        <v>1</v>
      </c>
    </row>
    <row r="451" spans="1:16" ht="15" thickBot="1" x14ac:dyDescent="0.3">
      <c r="A451" s="3" t="s">
        <v>11</v>
      </c>
      <c r="B451" s="4">
        <v>425034</v>
      </c>
      <c r="C451" s="3" t="s">
        <v>2</v>
      </c>
      <c r="D451" s="18">
        <v>0.09</v>
      </c>
      <c r="E451" s="21">
        <v>7.2073233161367156E-3</v>
      </c>
      <c r="F451" s="5">
        <v>43005</v>
      </c>
      <c r="G451" s="5">
        <v>43370</v>
      </c>
      <c r="H451" s="16">
        <v>365</v>
      </c>
      <c r="I451" s="5">
        <v>43370</v>
      </c>
      <c r="J451" s="5">
        <v>43956</v>
      </c>
      <c r="K451" s="16">
        <v>951</v>
      </c>
      <c r="L451" s="13">
        <v>33150</v>
      </c>
      <c r="M451" s="15">
        <v>2855.665337234881</v>
      </c>
      <c r="N451" s="13">
        <v>21030.080000000002</v>
      </c>
      <c r="O451" s="13">
        <v>0</v>
      </c>
      <c r="P451" s="11">
        <v>1</v>
      </c>
    </row>
    <row r="452" spans="1:16" ht="15" thickBot="1" x14ac:dyDescent="0.3">
      <c r="A452" s="3" t="s">
        <v>11</v>
      </c>
      <c r="B452" s="4">
        <v>652788</v>
      </c>
      <c r="C452" s="3" t="s">
        <v>2</v>
      </c>
      <c r="D452" s="18">
        <v>7.7499999999999999E-2</v>
      </c>
      <c r="E452" s="21">
        <v>6.2396814612857288E-3</v>
      </c>
      <c r="F452" s="5">
        <v>43153</v>
      </c>
      <c r="G452" s="5">
        <v>44247</v>
      </c>
      <c r="H452" s="16">
        <v>1094</v>
      </c>
      <c r="I452" s="5">
        <v>44247</v>
      </c>
      <c r="J452" s="5">
        <v>43829</v>
      </c>
      <c r="K452" s="16">
        <v>676</v>
      </c>
      <c r="L452" s="13">
        <v>39900</v>
      </c>
      <c r="M452" s="15">
        <v>1226.7436573100099</v>
      </c>
      <c r="N452" s="13">
        <v>16922</v>
      </c>
      <c r="O452" s="13">
        <v>0</v>
      </c>
      <c r="P452" s="11">
        <v>1</v>
      </c>
    </row>
    <row r="453" spans="1:16" ht="15" thickBot="1" x14ac:dyDescent="0.3">
      <c r="A453" s="3" t="s">
        <v>11</v>
      </c>
      <c r="B453" s="4">
        <v>39224</v>
      </c>
      <c r="C453" s="3" t="s">
        <v>2</v>
      </c>
      <c r="D453" s="18">
        <v>8.5000000000000006E-2</v>
      </c>
      <c r="E453" s="21">
        <v>6.8214933659622723E-3</v>
      </c>
      <c r="F453" s="5">
        <v>43342</v>
      </c>
      <c r="G453" s="5">
        <v>43708</v>
      </c>
      <c r="H453" s="16">
        <v>366</v>
      </c>
      <c r="I453" s="5">
        <v>43708</v>
      </c>
      <c r="J453" s="5">
        <v>43829</v>
      </c>
      <c r="K453" s="16">
        <v>487</v>
      </c>
      <c r="L453" s="13">
        <v>15135</v>
      </c>
      <c r="M453" s="15">
        <v>1297.1354086468846</v>
      </c>
      <c r="N453" s="13">
        <v>14399.33</v>
      </c>
      <c r="O453" s="13">
        <v>12500</v>
      </c>
      <c r="P453" s="11">
        <v>1</v>
      </c>
    </row>
    <row r="454" spans="1:16" ht="15" thickBot="1" x14ac:dyDescent="0.3">
      <c r="A454" s="3" t="s">
        <v>11</v>
      </c>
      <c r="B454" s="4">
        <v>415220</v>
      </c>
      <c r="C454" s="3" t="s">
        <v>2</v>
      </c>
      <c r="D454" s="18">
        <v>0.09</v>
      </c>
      <c r="E454" s="21">
        <v>7.2073233161367156E-3</v>
      </c>
      <c r="F454" s="5">
        <v>43602</v>
      </c>
      <c r="G454" s="5">
        <v>45063</v>
      </c>
      <c r="H454" s="16">
        <v>1461</v>
      </c>
      <c r="I454" s="5">
        <v>45894</v>
      </c>
      <c r="J454" s="5">
        <v>44848</v>
      </c>
      <c r="K454" s="16">
        <v>1246</v>
      </c>
      <c r="L454" s="13">
        <v>549604.02</v>
      </c>
      <c r="M454" s="15">
        <v>13421.923906104568</v>
      </c>
      <c r="N454" s="13">
        <v>372226.21</v>
      </c>
      <c r="O454" s="13">
        <v>18610.52</v>
      </c>
      <c r="P454" s="11">
        <v>1</v>
      </c>
    </row>
    <row r="455" spans="1:16" ht="15" thickBot="1" x14ac:dyDescent="0.3">
      <c r="A455" s="3" t="s">
        <v>11</v>
      </c>
      <c r="B455" s="4">
        <v>602483</v>
      </c>
      <c r="C455" s="3" t="s">
        <v>9</v>
      </c>
      <c r="D455" s="18">
        <v>5.5E-2</v>
      </c>
      <c r="E455" s="21">
        <v>4.471698917043021E-3</v>
      </c>
      <c r="F455" s="5">
        <v>43166</v>
      </c>
      <c r="G455" s="5">
        <v>44262</v>
      </c>
      <c r="H455" s="16">
        <v>1096</v>
      </c>
      <c r="I455" s="5">
        <v>44354</v>
      </c>
      <c r="J455" s="5">
        <v>43811</v>
      </c>
      <c r="K455" s="16">
        <v>645</v>
      </c>
      <c r="L455" s="13">
        <v>3581</v>
      </c>
      <c r="M455" s="15">
        <v>106.46306332841364</v>
      </c>
      <c r="N455" s="13">
        <v>2093.98</v>
      </c>
      <c r="O455" s="13">
        <v>539.62</v>
      </c>
      <c r="P455" s="11">
        <v>1</v>
      </c>
    </row>
    <row r="456" spans="1:16" ht="15" thickBot="1" x14ac:dyDescent="0.3">
      <c r="A456" s="3" t="s">
        <v>11</v>
      </c>
      <c r="B456" s="4">
        <v>891096</v>
      </c>
      <c r="C456" s="3" t="s">
        <v>9</v>
      </c>
      <c r="D456" s="18">
        <v>0.06</v>
      </c>
      <c r="E456" s="21">
        <v>4.8675505653430484E-3</v>
      </c>
      <c r="F456" s="5">
        <v>43214</v>
      </c>
      <c r="G456" s="5">
        <v>44489</v>
      </c>
      <c r="H456" s="16">
        <v>1275</v>
      </c>
      <c r="I456" s="5">
        <v>44550</v>
      </c>
      <c r="J456" s="5">
        <v>44553</v>
      </c>
      <c r="K456" s="16">
        <v>1339</v>
      </c>
      <c r="L456" s="13">
        <v>13575</v>
      </c>
      <c r="M456" s="15">
        <v>354.36255968825066</v>
      </c>
      <c r="N456" s="13">
        <v>1703.07</v>
      </c>
      <c r="O456" s="13">
        <v>0</v>
      </c>
      <c r="P456" s="11">
        <v>1</v>
      </c>
    </row>
    <row r="457" spans="1:16" ht="15" thickBot="1" x14ac:dyDescent="0.3">
      <c r="A457" s="3" t="s">
        <v>11</v>
      </c>
      <c r="B457" s="4">
        <v>283482</v>
      </c>
      <c r="C457" s="3" t="s">
        <v>9</v>
      </c>
      <c r="D457" s="18">
        <v>0.04</v>
      </c>
      <c r="E457" s="21">
        <v>3.2737397821989145E-3</v>
      </c>
      <c r="F457" s="5">
        <v>43237</v>
      </c>
      <c r="G457" s="5">
        <v>44331</v>
      </c>
      <c r="H457" s="16">
        <v>1094</v>
      </c>
      <c r="I457" s="5">
        <v>44331</v>
      </c>
      <c r="J457" s="5">
        <v>43550</v>
      </c>
      <c r="K457" s="16">
        <v>313</v>
      </c>
      <c r="L457" s="13">
        <v>4961</v>
      </c>
      <c r="M457" s="15">
        <v>144.54639313992183</v>
      </c>
      <c r="N457" s="13">
        <v>4181.1499999999996</v>
      </c>
      <c r="O457" s="13">
        <v>652.05999999999995</v>
      </c>
      <c r="P457" s="11">
        <v>1</v>
      </c>
    </row>
    <row r="458" spans="1:16" ht="15" thickBot="1" x14ac:dyDescent="0.3">
      <c r="A458" s="3" t="s">
        <v>11</v>
      </c>
      <c r="B458" s="4">
        <v>52540</v>
      </c>
      <c r="C458" s="3" t="s">
        <v>9</v>
      </c>
      <c r="D458" s="18">
        <v>5.2499999999999998E-2</v>
      </c>
      <c r="E458" s="21">
        <v>4.2731277661580691E-3</v>
      </c>
      <c r="F458" s="5">
        <v>43329</v>
      </c>
      <c r="G458" s="5">
        <v>44423</v>
      </c>
      <c r="H458" s="16">
        <v>1094</v>
      </c>
      <c r="I458" s="5">
        <v>44423</v>
      </c>
      <c r="J458" s="5">
        <v>43550</v>
      </c>
      <c r="K458" s="16">
        <v>221</v>
      </c>
      <c r="L458" s="13">
        <v>6796.38</v>
      </c>
      <c r="M458" s="15">
        <v>201.66737749498191</v>
      </c>
      <c r="N458" s="13">
        <v>6444.42</v>
      </c>
      <c r="O458" s="13">
        <v>0</v>
      </c>
      <c r="P458" s="11">
        <v>1</v>
      </c>
    </row>
    <row r="459" spans="1:16" ht="15" thickBot="1" x14ac:dyDescent="0.3">
      <c r="A459" s="3" t="s">
        <v>11</v>
      </c>
      <c r="B459" s="4">
        <v>227116</v>
      </c>
      <c r="C459" s="3" t="s">
        <v>16</v>
      </c>
      <c r="D459" s="18">
        <v>0.14000000000000001</v>
      </c>
      <c r="E459" s="21">
        <v>1.0978851950173452E-2</v>
      </c>
      <c r="F459" s="5">
        <v>43382</v>
      </c>
      <c r="G459" s="5">
        <v>44486</v>
      </c>
      <c r="H459" s="16">
        <v>1104</v>
      </c>
      <c r="I459" s="5">
        <v>44486</v>
      </c>
      <c r="J459" s="5">
        <v>43829</v>
      </c>
      <c r="K459" s="16">
        <v>447</v>
      </c>
      <c r="L459" s="13">
        <v>4575</v>
      </c>
      <c r="M459" s="15">
        <v>151.79336735119071</v>
      </c>
      <c r="N459" s="13">
        <v>3547.89</v>
      </c>
      <c r="O459" s="13">
        <v>3547.89</v>
      </c>
      <c r="P459" s="11">
        <v>1</v>
      </c>
    </row>
    <row r="460" spans="1:16" ht="15" thickBot="1" x14ac:dyDescent="0.3">
      <c r="A460" s="3" t="s">
        <v>11</v>
      </c>
      <c r="B460" s="4">
        <v>933431</v>
      </c>
      <c r="C460" s="3" t="s">
        <v>2</v>
      </c>
      <c r="D460" s="18">
        <v>7.7499999999999999E-2</v>
      </c>
      <c r="E460" s="21">
        <v>6.2396814612857288E-3</v>
      </c>
      <c r="F460" s="5">
        <v>43385</v>
      </c>
      <c r="G460" s="5">
        <v>44854</v>
      </c>
      <c r="H460" s="16">
        <v>1469</v>
      </c>
      <c r="I460" s="5">
        <v>44854</v>
      </c>
      <c r="J460" s="5">
        <v>43900</v>
      </c>
      <c r="K460" s="16">
        <v>515</v>
      </c>
      <c r="L460" s="13">
        <v>46500</v>
      </c>
      <c r="M460" s="15">
        <v>1105.0109773512088</v>
      </c>
      <c r="N460" s="13">
        <v>20000</v>
      </c>
      <c r="O460" s="13">
        <v>0</v>
      </c>
      <c r="P460" s="11">
        <v>1</v>
      </c>
    </row>
    <row r="461" spans="1:16" ht="15" thickBot="1" x14ac:dyDescent="0.3">
      <c r="A461" s="3" t="s">
        <v>11</v>
      </c>
      <c r="B461" s="4">
        <v>245158</v>
      </c>
      <c r="C461" s="3" t="s">
        <v>9</v>
      </c>
      <c r="D461" s="18">
        <v>9.7500000000000003E-2</v>
      </c>
      <c r="E461" s="21">
        <v>7.7830370878799737E-3</v>
      </c>
      <c r="F461" s="5">
        <v>36868</v>
      </c>
      <c r="G461" s="5">
        <v>39066</v>
      </c>
      <c r="H461" s="16">
        <v>2198</v>
      </c>
      <c r="I461" s="5">
        <v>39097</v>
      </c>
      <c r="J461" s="5">
        <v>38007</v>
      </c>
      <c r="K461" s="16">
        <v>1139</v>
      </c>
      <c r="L461" s="13">
        <v>21050</v>
      </c>
      <c r="M461" s="15">
        <v>378.05349770033968</v>
      </c>
      <c r="N461" s="13">
        <v>7368.14</v>
      </c>
      <c r="O461" s="13">
        <v>0</v>
      </c>
      <c r="P461" s="11">
        <v>0</v>
      </c>
    </row>
    <row r="462" spans="1:16" ht="15" thickBot="1" x14ac:dyDescent="0.3">
      <c r="A462" s="3" t="s">
        <v>11</v>
      </c>
      <c r="B462" s="4">
        <v>694491</v>
      </c>
      <c r="C462" s="3" t="s">
        <v>9</v>
      </c>
      <c r="D462" s="18">
        <v>0.14000000000000001</v>
      </c>
      <c r="E462" s="21">
        <v>1.0978851950173452E-2</v>
      </c>
      <c r="F462" s="5">
        <v>39114</v>
      </c>
      <c r="G462" s="5">
        <v>40210</v>
      </c>
      <c r="H462" s="16">
        <v>1096</v>
      </c>
      <c r="I462" s="5">
        <v>40210</v>
      </c>
      <c r="J462" s="5">
        <v>40112</v>
      </c>
      <c r="K462" s="16">
        <v>998</v>
      </c>
      <c r="L462" s="13">
        <v>7966</v>
      </c>
      <c r="M462" s="15">
        <v>265.87060265229701</v>
      </c>
      <c r="N462" s="13">
        <v>993.38</v>
      </c>
      <c r="O462" s="13">
        <v>0</v>
      </c>
      <c r="P462" s="11">
        <v>0</v>
      </c>
    </row>
    <row r="463" spans="1:16" ht="15" thickBot="1" x14ac:dyDescent="0.3">
      <c r="A463" s="3" t="s">
        <v>11</v>
      </c>
      <c r="B463" s="4">
        <v>193875</v>
      </c>
      <c r="C463" s="3" t="s">
        <v>9</v>
      </c>
      <c r="D463" s="18">
        <v>7.3999999999999996E-2</v>
      </c>
      <c r="E463" s="21">
        <v>5.9668977756095476E-3</v>
      </c>
      <c r="F463" s="5">
        <v>39591</v>
      </c>
      <c r="G463" s="5">
        <v>41056</v>
      </c>
      <c r="H463" s="16">
        <v>1465</v>
      </c>
      <c r="I463" s="5">
        <v>41117</v>
      </c>
      <c r="J463" s="5">
        <v>40358</v>
      </c>
      <c r="K463" s="16">
        <v>767</v>
      </c>
      <c r="L463" s="13">
        <v>22639.63</v>
      </c>
      <c r="M463" s="15">
        <v>535.80200653589009</v>
      </c>
      <c r="N463" s="13">
        <v>10014.23</v>
      </c>
      <c r="O463" s="13">
        <v>0</v>
      </c>
      <c r="P463" s="11">
        <v>0</v>
      </c>
    </row>
    <row r="464" spans="1:16" ht="15" thickBot="1" x14ac:dyDescent="0.3">
      <c r="A464" s="3" t="s">
        <v>11</v>
      </c>
      <c r="B464" s="4">
        <v>190690</v>
      </c>
      <c r="C464" s="3" t="s">
        <v>16</v>
      </c>
      <c r="D464" s="18">
        <v>0.1</v>
      </c>
      <c r="E464" s="21">
        <v>7.9741404289037643E-3</v>
      </c>
      <c r="F464" s="5">
        <v>39643</v>
      </c>
      <c r="G464" s="5">
        <v>40373</v>
      </c>
      <c r="H464" s="16">
        <v>730</v>
      </c>
      <c r="I464" s="5">
        <v>40435</v>
      </c>
      <c r="J464" s="5">
        <v>40345</v>
      </c>
      <c r="K464" s="16">
        <v>702</v>
      </c>
      <c r="L464" s="13">
        <v>7310</v>
      </c>
      <c r="M464" s="15">
        <v>331.69084651034518</v>
      </c>
      <c r="N464" s="13">
        <v>1976.65</v>
      </c>
      <c r="O464" s="13">
        <v>0</v>
      </c>
      <c r="P464" s="11">
        <v>0</v>
      </c>
    </row>
    <row r="465" spans="1:16" ht="15" thickBot="1" x14ac:dyDescent="0.3">
      <c r="A465" s="3" t="s">
        <v>11</v>
      </c>
      <c r="B465" s="4">
        <v>920486</v>
      </c>
      <c r="C465" s="3" t="s">
        <v>9</v>
      </c>
      <c r="D465" s="18">
        <v>0.104</v>
      </c>
      <c r="E465" s="21">
        <v>8.2790792398550472E-3</v>
      </c>
      <c r="F465" s="5">
        <v>39762</v>
      </c>
      <c r="G465" s="5">
        <v>41227</v>
      </c>
      <c r="H465" s="16">
        <v>1465</v>
      </c>
      <c r="I465" s="5">
        <v>41288</v>
      </c>
      <c r="J465" s="5">
        <v>40451</v>
      </c>
      <c r="K465" s="16">
        <v>689</v>
      </c>
      <c r="L465" s="13">
        <v>8197.69</v>
      </c>
      <c r="M465" s="15">
        <v>204.77046043400384</v>
      </c>
      <c r="N465" s="13">
        <v>1889.69</v>
      </c>
      <c r="O465" s="13">
        <v>0</v>
      </c>
      <c r="P465" s="11">
        <v>0</v>
      </c>
    </row>
    <row r="466" spans="1:16" ht="15" thickBot="1" x14ac:dyDescent="0.3">
      <c r="A466" s="3" t="s">
        <v>11</v>
      </c>
      <c r="B466" s="4">
        <v>165975</v>
      </c>
      <c r="C466" s="3" t="s">
        <v>9</v>
      </c>
      <c r="D466" s="18">
        <v>0.05</v>
      </c>
      <c r="E466" s="21">
        <v>4.0741237836483535E-3</v>
      </c>
      <c r="F466" s="5">
        <v>39819</v>
      </c>
      <c r="G466" s="5">
        <v>41279</v>
      </c>
      <c r="H466" s="16">
        <v>1460</v>
      </c>
      <c r="I466" s="5">
        <v>41522</v>
      </c>
      <c r="J466" s="5">
        <v>40856</v>
      </c>
      <c r="K466" s="16">
        <v>1037</v>
      </c>
      <c r="L466" s="13">
        <v>22085.89</v>
      </c>
      <c r="M466" s="15">
        <v>501.21656247056484</v>
      </c>
      <c r="N466" s="13">
        <v>2654.97</v>
      </c>
      <c r="O466" s="13">
        <v>257.20999999999998</v>
      </c>
      <c r="P466" s="11">
        <v>0</v>
      </c>
    </row>
    <row r="467" spans="1:16" ht="15" thickBot="1" x14ac:dyDescent="0.3">
      <c r="A467" s="3" t="s">
        <v>11</v>
      </c>
      <c r="B467" s="4">
        <v>843429</v>
      </c>
      <c r="C467" s="3" t="s">
        <v>9</v>
      </c>
      <c r="D467" s="18">
        <v>0.109</v>
      </c>
      <c r="E467" s="21">
        <v>8.6588317099438594E-3</v>
      </c>
      <c r="F467" s="5">
        <v>39828</v>
      </c>
      <c r="G467" s="5">
        <v>40548</v>
      </c>
      <c r="H467" s="16">
        <v>720</v>
      </c>
      <c r="I467" s="5">
        <v>40548</v>
      </c>
      <c r="J467" s="5">
        <v>40437</v>
      </c>
      <c r="K467" s="16">
        <v>609</v>
      </c>
      <c r="L467" s="13">
        <v>3106.13</v>
      </c>
      <c r="M467" s="15">
        <v>143.89275962715487</v>
      </c>
      <c r="N467" s="13">
        <v>715.86</v>
      </c>
      <c r="O467" s="13">
        <v>50</v>
      </c>
      <c r="P467" s="11">
        <v>0</v>
      </c>
    </row>
    <row r="468" spans="1:16" ht="15" thickBot="1" x14ac:dyDescent="0.3">
      <c r="A468" s="3" t="s">
        <v>11</v>
      </c>
      <c r="B468" s="4">
        <v>502826</v>
      </c>
      <c r="C468" s="3" t="s">
        <v>9</v>
      </c>
      <c r="D468" s="18">
        <v>2.9899999999999999E-2</v>
      </c>
      <c r="E468" s="21">
        <v>2.4581588428482792E-3</v>
      </c>
      <c r="F468" s="5">
        <v>42502</v>
      </c>
      <c r="G468" s="5">
        <v>44701</v>
      </c>
      <c r="H468" s="16">
        <v>2199</v>
      </c>
      <c r="I468" s="5">
        <v>44824</v>
      </c>
      <c r="J468" s="5">
        <v>44216</v>
      </c>
      <c r="K468" s="16">
        <v>1714</v>
      </c>
      <c r="L468" s="13">
        <v>20394.91</v>
      </c>
      <c r="M468" s="15">
        <v>304.39912767024879</v>
      </c>
      <c r="N468" s="13">
        <v>5541.18</v>
      </c>
      <c r="O468" s="13">
        <v>0</v>
      </c>
      <c r="P468" s="11">
        <v>1</v>
      </c>
    </row>
    <row r="469" spans="1:16" ht="15" thickBot="1" x14ac:dyDescent="0.3">
      <c r="A469" s="3" t="s">
        <v>11</v>
      </c>
      <c r="B469" s="4">
        <v>694170</v>
      </c>
      <c r="C469" s="3" t="s">
        <v>2</v>
      </c>
      <c r="D469" s="18">
        <v>9.5000000000000001E-2</v>
      </c>
      <c r="E469" s="21">
        <v>7.5915342905825689E-3</v>
      </c>
      <c r="F469" s="5">
        <v>44526</v>
      </c>
      <c r="G469" s="5">
        <v>44891</v>
      </c>
      <c r="H469" s="16">
        <v>365</v>
      </c>
      <c r="I469" s="5">
        <v>45863</v>
      </c>
      <c r="J469" s="5">
        <v>45834</v>
      </c>
      <c r="K469" s="16">
        <v>1308</v>
      </c>
      <c r="L469" s="13">
        <v>20280</v>
      </c>
      <c r="M469" s="15">
        <v>1751.3268252432208</v>
      </c>
      <c r="N469" s="13">
        <v>8279.16</v>
      </c>
      <c r="O469" s="13">
        <v>0</v>
      </c>
      <c r="P469" s="11">
        <v>1</v>
      </c>
    </row>
    <row r="470" spans="1:16" ht="15" thickBot="1" x14ac:dyDescent="0.3">
      <c r="A470" s="3" t="s">
        <v>11</v>
      </c>
      <c r="B470" s="4">
        <v>985190</v>
      </c>
      <c r="C470" s="3" t="s">
        <v>9</v>
      </c>
      <c r="D470" s="18">
        <v>0.105</v>
      </c>
      <c r="E470" s="21">
        <v>8.355155683635207E-3</v>
      </c>
      <c r="F470" s="5">
        <v>36307</v>
      </c>
      <c r="G470" s="5">
        <v>37782</v>
      </c>
      <c r="H470" s="16">
        <v>1475</v>
      </c>
      <c r="I470" s="5">
        <v>37965</v>
      </c>
      <c r="J470" s="5">
        <v>37281</v>
      </c>
      <c r="K470" s="16">
        <v>974</v>
      </c>
      <c r="L470" s="13">
        <v>9345</v>
      </c>
      <c r="M470" s="15">
        <v>232.55455484196597</v>
      </c>
      <c r="N470" s="13">
        <v>4000</v>
      </c>
      <c r="O470" s="13">
        <v>0</v>
      </c>
      <c r="P470" s="11">
        <v>0</v>
      </c>
    </row>
    <row r="471" spans="1:16" ht="15" thickBot="1" x14ac:dyDescent="0.3">
      <c r="A471" s="3" t="s">
        <v>11</v>
      </c>
      <c r="B471" s="4">
        <v>364703</v>
      </c>
      <c r="C471" s="3" t="s">
        <v>16</v>
      </c>
      <c r="D471" s="18">
        <v>0.11</v>
      </c>
      <c r="E471" s="21">
        <v>8.7345938235519061E-3</v>
      </c>
      <c r="F471" s="5">
        <v>36517</v>
      </c>
      <c r="G471" s="5">
        <v>37261</v>
      </c>
      <c r="H471" s="16">
        <v>744</v>
      </c>
      <c r="I471" s="5">
        <v>37381</v>
      </c>
      <c r="J471" s="5">
        <v>36964</v>
      </c>
      <c r="K471" s="16">
        <v>447</v>
      </c>
      <c r="L471" s="13">
        <v>1525</v>
      </c>
      <c r="M471" s="15">
        <v>68.659448628580236</v>
      </c>
      <c r="N471" s="13">
        <v>1128.1099999999999</v>
      </c>
      <c r="O471" s="13">
        <v>0</v>
      </c>
      <c r="P471" s="11">
        <v>0</v>
      </c>
    </row>
    <row r="472" spans="1:16" ht="15" thickBot="1" x14ac:dyDescent="0.3">
      <c r="A472" s="3" t="s">
        <v>11</v>
      </c>
      <c r="B472" s="4">
        <v>846103</v>
      </c>
      <c r="C472" s="3" t="s">
        <v>16</v>
      </c>
      <c r="D472" s="18">
        <v>0.11</v>
      </c>
      <c r="E472" s="21">
        <v>8.7345938235519061E-3</v>
      </c>
      <c r="F472" s="5">
        <v>36683</v>
      </c>
      <c r="G472" s="5">
        <v>36800</v>
      </c>
      <c r="H472" s="16">
        <v>117</v>
      </c>
      <c r="I472" s="5">
        <v>36800</v>
      </c>
      <c r="J472" s="5">
        <v>36964</v>
      </c>
      <c r="K472" s="16">
        <v>281</v>
      </c>
      <c r="L472" s="13">
        <v>8550</v>
      </c>
      <c r="M472" s="15">
        <v>2239.4197368647428</v>
      </c>
      <c r="N472" s="13">
        <v>8550</v>
      </c>
      <c r="O472" s="13">
        <v>0</v>
      </c>
      <c r="P472" s="11">
        <v>0</v>
      </c>
    </row>
    <row r="473" spans="1:16" ht="15" thickBot="1" x14ac:dyDescent="0.3">
      <c r="A473" s="3" t="s">
        <v>11</v>
      </c>
      <c r="B473" s="4">
        <v>464657</v>
      </c>
      <c r="C473" s="3" t="s">
        <v>19</v>
      </c>
      <c r="D473" s="18">
        <v>0.12</v>
      </c>
      <c r="E473" s="21">
        <v>9.4887929345830457E-3</v>
      </c>
      <c r="F473" s="5">
        <v>37292</v>
      </c>
      <c r="G473" s="5">
        <v>38022</v>
      </c>
      <c r="H473" s="16">
        <v>730</v>
      </c>
      <c r="I473" s="5">
        <v>38051</v>
      </c>
      <c r="J473" s="5">
        <v>38155</v>
      </c>
      <c r="K473" s="16">
        <v>863</v>
      </c>
      <c r="L473" s="13">
        <v>3744.59</v>
      </c>
      <c r="M473" s="15">
        <v>173.06188151697307</v>
      </c>
      <c r="N473" s="13">
        <v>2316.0500000000002</v>
      </c>
      <c r="O473" s="13">
        <v>218.91</v>
      </c>
      <c r="P473" s="11">
        <v>0</v>
      </c>
    </row>
    <row r="474" spans="1:16" ht="15" thickBot="1" x14ac:dyDescent="0.3">
      <c r="A474" s="3" t="s">
        <v>11</v>
      </c>
      <c r="B474" s="4">
        <v>37491</v>
      </c>
      <c r="C474" s="3" t="s">
        <v>12</v>
      </c>
      <c r="D474" s="18">
        <v>8.7499999999999994E-2</v>
      </c>
      <c r="E474" s="21">
        <v>7.0146116041400752E-3</v>
      </c>
      <c r="F474" s="5">
        <v>37552</v>
      </c>
      <c r="G474" s="5">
        <v>39387</v>
      </c>
      <c r="H474" s="16">
        <v>1835</v>
      </c>
      <c r="I474" s="5">
        <v>39462</v>
      </c>
      <c r="J474" s="5">
        <v>39349</v>
      </c>
      <c r="K474" s="16">
        <v>1797</v>
      </c>
      <c r="L474" s="13">
        <v>6660.18</v>
      </c>
      <c r="M474" s="15">
        <v>134.28605841112159</v>
      </c>
      <c r="N474" s="13">
        <v>3683.53</v>
      </c>
      <c r="O474" s="13">
        <v>240.89</v>
      </c>
      <c r="P474" s="11">
        <v>0</v>
      </c>
    </row>
    <row r="475" spans="1:16" ht="15" thickBot="1" x14ac:dyDescent="0.3">
      <c r="A475" s="3" t="s">
        <v>11</v>
      </c>
      <c r="B475" s="4">
        <v>580323</v>
      </c>
      <c r="C475" s="3" t="s">
        <v>9</v>
      </c>
      <c r="D475" s="18">
        <v>0.08</v>
      </c>
      <c r="E475" s="21">
        <v>6.4340301100034303E-3</v>
      </c>
      <c r="F475" s="5">
        <v>38365</v>
      </c>
      <c r="G475" s="5">
        <v>39288</v>
      </c>
      <c r="H475" s="16">
        <v>923</v>
      </c>
      <c r="I475" s="5">
        <v>39258</v>
      </c>
      <c r="J475" s="5">
        <v>38694</v>
      </c>
      <c r="K475" s="16">
        <v>329</v>
      </c>
      <c r="L475" s="13">
        <v>4025</v>
      </c>
      <c r="M475" s="15">
        <v>144.61785404385353</v>
      </c>
      <c r="N475" s="13">
        <v>3450.75</v>
      </c>
      <c r="O475" s="13">
        <v>650</v>
      </c>
      <c r="P475" s="11">
        <v>0</v>
      </c>
    </row>
    <row r="476" spans="1:16" ht="15" thickBot="1" x14ac:dyDescent="0.3">
      <c r="A476" s="3" t="s">
        <v>11</v>
      </c>
      <c r="B476" s="4">
        <v>889641</v>
      </c>
      <c r="C476" s="3" t="s">
        <v>9</v>
      </c>
      <c r="D476" s="18">
        <v>6.25E-2</v>
      </c>
      <c r="E476" s="21">
        <v>5.0648349497708356E-3</v>
      </c>
      <c r="F476" s="5">
        <v>39225</v>
      </c>
      <c r="G476" s="5">
        <v>41052</v>
      </c>
      <c r="H476" s="16">
        <v>1827</v>
      </c>
      <c r="I476" s="5">
        <v>41266</v>
      </c>
      <c r="J476" s="5">
        <v>40150</v>
      </c>
      <c r="K476" s="16">
        <v>925</v>
      </c>
      <c r="L476" s="13">
        <v>23940</v>
      </c>
      <c r="M476" s="15">
        <v>457.82809637811795</v>
      </c>
      <c r="N476" s="13">
        <v>16793.009999999998</v>
      </c>
      <c r="O476" s="13">
        <v>11400</v>
      </c>
      <c r="P476" s="11">
        <v>0</v>
      </c>
    </row>
    <row r="477" spans="1:16" ht="15" thickBot="1" x14ac:dyDescent="0.3">
      <c r="A477" s="3" t="s">
        <v>11</v>
      </c>
      <c r="B477" s="4">
        <v>531150</v>
      </c>
      <c r="C477" s="3" t="s">
        <v>9</v>
      </c>
      <c r="D477" s="18">
        <v>0.114</v>
      </c>
      <c r="E477" s="21">
        <v>9.0370179501075842E-3</v>
      </c>
      <c r="F477" s="5">
        <v>39316</v>
      </c>
      <c r="G477" s="5">
        <v>40777</v>
      </c>
      <c r="H477" s="16">
        <v>1461</v>
      </c>
      <c r="I477" s="5">
        <v>40777</v>
      </c>
      <c r="J477" s="5">
        <v>39798</v>
      </c>
      <c r="K477" s="16">
        <v>482</v>
      </c>
      <c r="L477" s="13">
        <v>5060</v>
      </c>
      <c r="M477" s="15">
        <v>128.8980787319544</v>
      </c>
      <c r="N477" s="13">
        <v>4396.22</v>
      </c>
      <c r="O477" s="13">
        <v>4114.03</v>
      </c>
      <c r="P477" s="11">
        <v>0</v>
      </c>
    </row>
    <row r="478" spans="1:16" ht="15" thickBot="1" x14ac:dyDescent="0.3">
      <c r="A478" s="3" t="s">
        <v>11</v>
      </c>
      <c r="B478" s="4">
        <v>526170</v>
      </c>
      <c r="C478" s="3" t="s">
        <v>9</v>
      </c>
      <c r="D478" s="18">
        <v>7.3999999999999996E-2</v>
      </c>
      <c r="E478" s="21">
        <v>5.9668977756095476E-3</v>
      </c>
      <c r="F478" s="5">
        <v>39547</v>
      </c>
      <c r="G478" s="5">
        <v>41738</v>
      </c>
      <c r="H478" s="16">
        <v>2191</v>
      </c>
      <c r="I478" s="5">
        <v>41860</v>
      </c>
      <c r="J478" s="5">
        <v>40085</v>
      </c>
      <c r="K478" s="16">
        <v>538</v>
      </c>
      <c r="L478" s="13">
        <v>46364</v>
      </c>
      <c r="M478" s="15">
        <v>785.03549272281418</v>
      </c>
      <c r="N478" s="13">
        <v>29994</v>
      </c>
      <c r="O478" s="13">
        <v>0</v>
      </c>
      <c r="P478" s="11">
        <v>0</v>
      </c>
    </row>
    <row r="479" spans="1:16" ht="15" thickBot="1" x14ac:dyDescent="0.3">
      <c r="A479" s="3" t="s">
        <v>11</v>
      </c>
      <c r="B479" s="4">
        <v>709712</v>
      </c>
      <c r="C479" s="3" t="s">
        <v>9</v>
      </c>
      <c r="D479" s="18">
        <v>0.10199999999999999</v>
      </c>
      <c r="E479" s="21">
        <v>8.1267366616946113E-3</v>
      </c>
      <c r="F479" s="5">
        <v>39688</v>
      </c>
      <c r="G479" s="5">
        <v>41143</v>
      </c>
      <c r="H479" s="16">
        <v>1455</v>
      </c>
      <c r="I479" s="5">
        <v>41143</v>
      </c>
      <c r="J479" s="5">
        <v>40532</v>
      </c>
      <c r="K479" s="16">
        <v>844</v>
      </c>
      <c r="L479" s="13">
        <v>12060</v>
      </c>
      <c r="M479" s="15">
        <v>301.8709771486283</v>
      </c>
      <c r="N479" s="13">
        <v>8445.74</v>
      </c>
      <c r="O479" s="13">
        <v>1500</v>
      </c>
      <c r="P479" s="11">
        <v>0</v>
      </c>
    </row>
    <row r="480" spans="1:16" ht="15" thickBot="1" x14ac:dyDescent="0.3">
      <c r="A480" s="3" t="s">
        <v>11</v>
      </c>
      <c r="B480" s="4">
        <v>631478</v>
      </c>
      <c r="C480" s="3" t="s">
        <v>9</v>
      </c>
      <c r="D480" s="18">
        <v>0.05</v>
      </c>
      <c r="E480" s="21">
        <v>4.0741237836483535E-3</v>
      </c>
      <c r="F480" s="5">
        <v>39695</v>
      </c>
      <c r="G480" s="5">
        <v>41537</v>
      </c>
      <c r="H480" s="16">
        <v>1842</v>
      </c>
      <c r="I480" s="5">
        <v>41628</v>
      </c>
      <c r="J480" s="5">
        <v>40814</v>
      </c>
      <c r="K480" s="16">
        <v>1119</v>
      </c>
      <c r="L480" s="13">
        <v>18060</v>
      </c>
      <c r="M480" s="15">
        <v>333.05402701626383</v>
      </c>
      <c r="N480" s="13">
        <v>3700</v>
      </c>
      <c r="O480" s="13">
        <v>0</v>
      </c>
      <c r="P480" s="11">
        <v>0</v>
      </c>
    </row>
    <row r="481" spans="1:16" ht="15" thickBot="1" x14ac:dyDescent="0.3">
      <c r="A481" s="3" t="s">
        <v>11</v>
      </c>
      <c r="B481" s="4">
        <v>205803</v>
      </c>
      <c r="C481" s="3" t="s">
        <v>9</v>
      </c>
      <c r="D481" s="18">
        <v>0.08</v>
      </c>
      <c r="E481" s="21">
        <v>6.4340301100034303E-3</v>
      </c>
      <c r="F481" s="5">
        <v>40045</v>
      </c>
      <c r="G481" s="5">
        <v>42236</v>
      </c>
      <c r="H481" s="16">
        <v>2191</v>
      </c>
      <c r="I481" s="5">
        <v>42420</v>
      </c>
      <c r="J481" s="5">
        <v>41373</v>
      </c>
      <c r="K481" s="16">
        <v>1328</v>
      </c>
      <c r="L481" s="13">
        <v>21575</v>
      </c>
      <c r="M481" s="15">
        <v>371.16808142630003</v>
      </c>
      <c r="N481" s="13">
        <v>252.9</v>
      </c>
      <c r="O481" s="13">
        <v>0</v>
      </c>
      <c r="P481" s="11">
        <v>1</v>
      </c>
    </row>
    <row r="482" spans="1:16" ht="15" thickBot="1" x14ac:dyDescent="0.3">
      <c r="A482" s="3" t="s">
        <v>11</v>
      </c>
      <c r="B482" s="4">
        <v>610462</v>
      </c>
      <c r="C482" s="3" t="s">
        <v>9</v>
      </c>
      <c r="D482" s="18">
        <v>9.2499999999999999E-2</v>
      </c>
      <c r="E482" s="21">
        <v>7.3996302871768282E-3</v>
      </c>
      <c r="F482" s="5">
        <v>40064</v>
      </c>
      <c r="G482" s="5">
        <v>42270</v>
      </c>
      <c r="H482" s="16">
        <v>2206</v>
      </c>
      <c r="I482" s="5">
        <v>42239</v>
      </c>
      <c r="J482" s="5">
        <v>42181</v>
      </c>
      <c r="K482" s="16">
        <v>2117</v>
      </c>
      <c r="L482" s="13">
        <v>29991.68</v>
      </c>
      <c r="M482" s="15">
        <v>530.31303869972373</v>
      </c>
      <c r="N482" s="13">
        <v>946.59</v>
      </c>
      <c r="O482" s="13">
        <v>0</v>
      </c>
      <c r="P482" s="11">
        <v>1</v>
      </c>
    </row>
    <row r="483" spans="1:16" ht="15" thickBot="1" x14ac:dyDescent="0.3">
      <c r="A483" s="3" t="s">
        <v>11</v>
      </c>
      <c r="B483" s="4">
        <v>953937</v>
      </c>
      <c r="C483" s="3" t="s">
        <v>19</v>
      </c>
      <c r="D483" s="18">
        <v>0.115</v>
      </c>
      <c r="E483" s="21">
        <v>9.1124684369046083E-3</v>
      </c>
      <c r="F483" s="5">
        <v>40093</v>
      </c>
      <c r="G483" s="5">
        <v>40823</v>
      </c>
      <c r="H483" s="16">
        <v>730</v>
      </c>
      <c r="I483" s="5">
        <v>40823</v>
      </c>
      <c r="J483" s="5">
        <v>40631</v>
      </c>
      <c r="K483" s="16">
        <v>538</v>
      </c>
      <c r="L483" s="13">
        <v>27269.85</v>
      </c>
      <c r="M483" s="15">
        <v>1254.5921615921541</v>
      </c>
      <c r="N483" s="13">
        <v>24117.040000000001</v>
      </c>
      <c r="O483" s="13">
        <v>0</v>
      </c>
      <c r="P483" s="11">
        <v>0</v>
      </c>
    </row>
    <row r="484" spans="1:16" ht="15" thickBot="1" x14ac:dyDescent="0.3">
      <c r="A484" s="3" t="s">
        <v>11</v>
      </c>
      <c r="B484" s="4">
        <v>612357</v>
      </c>
      <c r="C484" s="3" t="s">
        <v>9</v>
      </c>
      <c r="D484" s="18">
        <v>0.08</v>
      </c>
      <c r="E484" s="21">
        <v>6.4340301100034303E-3</v>
      </c>
      <c r="F484" s="5">
        <v>40956</v>
      </c>
      <c r="G484" s="5">
        <v>43148</v>
      </c>
      <c r="H484" s="16">
        <v>2192</v>
      </c>
      <c r="I484" s="5">
        <v>43207</v>
      </c>
      <c r="J484" s="5">
        <v>41424</v>
      </c>
      <c r="K484" s="16">
        <v>468</v>
      </c>
      <c r="L484" s="13">
        <v>22976</v>
      </c>
      <c r="M484" s="15">
        <v>395.1289753391867</v>
      </c>
      <c r="N484" s="13">
        <v>13956.62</v>
      </c>
      <c r="O484" s="13">
        <v>1168.3800000000001</v>
      </c>
      <c r="P484" s="11">
        <v>1</v>
      </c>
    </row>
    <row r="485" spans="1:16" ht="15" thickBot="1" x14ac:dyDescent="0.3">
      <c r="A485" s="3" t="s">
        <v>11</v>
      </c>
      <c r="B485" s="4">
        <v>586664</v>
      </c>
      <c r="C485" s="3" t="s">
        <v>9</v>
      </c>
      <c r="D485" s="18">
        <v>0.115</v>
      </c>
      <c r="E485" s="21">
        <v>9.1124684369046083E-3</v>
      </c>
      <c r="F485" s="5">
        <v>41201</v>
      </c>
      <c r="G485" s="5">
        <v>43027</v>
      </c>
      <c r="H485" s="16">
        <v>1826</v>
      </c>
      <c r="I485" s="5">
        <v>43239</v>
      </c>
      <c r="J485" s="5">
        <v>41810</v>
      </c>
      <c r="K485" s="16">
        <v>609</v>
      </c>
      <c r="L485" s="13">
        <v>18110</v>
      </c>
      <c r="M485" s="15">
        <v>388.95736157629364</v>
      </c>
      <c r="N485" s="13">
        <v>14727.77</v>
      </c>
      <c r="O485" s="13">
        <v>0</v>
      </c>
      <c r="P485" s="11">
        <v>1</v>
      </c>
    </row>
    <row r="486" spans="1:16" ht="15" thickBot="1" x14ac:dyDescent="0.3">
      <c r="A486" s="3" t="s">
        <v>11</v>
      </c>
      <c r="B486" s="4">
        <v>263959</v>
      </c>
      <c r="C486" s="3" t="s">
        <v>9</v>
      </c>
      <c r="D486" s="18">
        <v>7.8E-2</v>
      </c>
      <c r="E486" s="21">
        <v>6.2785842352273136E-3</v>
      </c>
      <c r="F486" s="5">
        <v>41306</v>
      </c>
      <c r="G486" s="5">
        <v>42415</v>
      </c>
      <c r="H486" s="16">
        <v>1109</v>
      </c>
      <c r="I486" s="5">
        <v>42415</v>
      </c>
      <c r="J486" s="5">
        <v>41729</v>
      </c>
      <c r="K486" s="16">
        <v>423</v>
      </c>
      <c r="L486" s="13">
        <v>5825</v>
      </c>
      <c r="M486" s="15">
        <v>177.05945710602117</v>
      </c>
      <c r="N486" s="13">
        <v>4292.2700000000004</v>
      </c>
      <c r="O486" s="13">
        <v>2525</v>
      </c>
      <c r="P486" s="11">
        <v>1</v>
      </c>
    </row>
    <row r="487" spans="1:16" ht="15" thickBot="1" x14ac:dyDescent="0.3">
      <c r="A487" s="3" t="s">
        <v>11</v>
      </c>
      <c r="B487" s="4">
        <v>453886</v>
      </c>
      <c r="C487" s="3" t="s">
        <v>16</v>
      </c>
      <c r="D487" s="18">
        <v>0.09</v>
      </c>
      <c r="E487" s="21">
        <v>7.2073233161367156E-3</v>
      </c>
      <c r="F487" s="5">
        <v>42908</v>
      </c>
      <c r="G487" s="5">
        <v>44185</v>
      </c>
      <c r="H487" s="16">
        <v>1277</v>
      </c>
      <c r="I487" s="5">
        <v>44216</v>
      </c>
      <c r="J487" s="5">
        <v>43642</v>
      </c>
      <c r="K487" s="16">
        <v>734</v>
      </c>
      <c r="L487" s="13">
        <v>9075</v>
      </c>
      <c r="M487" s="15">
        <v>248.3291744802107</v>
      </c>
      <c r="N487" s="13">
        <v>5590.95</v>
      </c>
      <c r="O487" s="13">
        <v>0</v>
      </c>
      <c r="P487" s="11">
        <v>1</v>
      </c>
    </row>
    <row r="488" spans="1:16" ht="15" thickBot="1" x14ac:dyDescent="0.3">
      <c r="A488" s="3" t="s">
        <v>11</v>
      </c>
      <c r="B488" s="4">
        <v>633749</v>
      </c>
      <c r="C488" s="3" t="s">
        <v>16</v>
      </c>
      <c r="D488" s="18">
        <v>8.5000000000000006E-2</v>
      </c>
      <c r="E488" s="21">
        <v>6.8214933659622723E-3</v>
      </c>
      <c r="F488" s="5">
        <v>42933</v>
      </c>
      <c r="G488" s="5">
        <v>44028</v>
      </c>
      <c r="H488" s="16">
        <v>1095</v>
      </c>
      <c r="I488" s="5">
        <v>44028</v>
      </c>
      <c r="J488" s="5">
        <v>43088</v>
      </c>
      <c r="K488" s="16">
        <v>155</v>
      </c>
      <c r="L488" s="13">
        <v>3575</v>
      </c>
      <c r="M488" s="15">
        <v>110.97607330727391</v>
      </c>
      <c r="N488" s="13">
        <v>1370.99</v>
      </c>
      <c r="O488" s="13">
        <v>0</v>
      </c>
      <c r="P488" s="11">
        <v>1</v>
      </c>
    </row>
    <row r="489" spans="1:16" ht="15" thickBot="1" x14ac:dyDescent="0.3">
      <c r="A489" s="3" t="s">
        <v>11</v>
      </c>
      <c r="B489" s="4">
        <v>250887</v>
      </c>
      <c r="C489" s="3" t="s">
        <v>9</v>
      </c>
      <c r="D489" s="18">
        <v>0.1125</v>
      </c>
      <c r="E489" s="21">
        <v>8.9237257287477778E-3</v>
      </c>
      <c r="F489" s="5">
        <v>43334</v>
      </c>
      <c r="G489" s="5">
        <v>44430</v>
      </c>
      <c r="H489" s="16">
        <v>1096</v>
      </c>
      <c r="I489" s="5">
        <v>44522</v>
      </c>
      <c r="J489" s="5">
        <v>44195</v>
      </c>
      <c r="K489" s="16">
        <v>861</v>
      </c>
      <c r="L489" s="13">
        <v>11075</v>
      </c>
      <c r="M489" s="15">
        <v>356.58195135878537</v>
      </c>
      <c r="N489" s="13">
        <v>5160.21</v>
      </c>
      <c r="O489" s="13">
        <v>5160.21</v>
      </c>
      <c r="P489" s="11">
        <v>1</v>
      </c>
    </row>
    <row r="490" spans="1:16" ht="15" thickBot="1" x14ac:dyDescent="0.3">
      <c r="A490" s="3" t="s">
        <v>11</v>
      </c>
      <c r="B490" s="4">
        <v>746675</v>
      </c>
      <c r="C490" s="3" t="s">
        <v>9</v>
      </c>
      <c r="D490" s="18">
        <v>3.9899999999999998E-2</v>
      </c>
      <c r="E490" s="21">
        <v>3.2657003754898994E-3</v>
      </c>
      <c r="F490" s="5">
        <v>43581</v>
      </c>
      <c r="G490" s="5">
        <v>45956</v>
      </c>
      <c r="H490" s="16">
        <v>2375</v>
      </c>
      <c r="I490" s="5">
        <v>45956</v>
      </c>
      <c r="J490" s="5">
        <v>44186</v>
      </c>
      <c r="K490" s="16">
        <v>605</v>
      </c>
      <c r="L490" s="13">
        <v>58186.28</v>
      </c>
      <c r="M490" s="15">
        <v>835.27620708896097</v>
      </c>
      <c r="N490" s="13">
        <v>2151.9</v>
      </c>
      <c r="O490" s="13">
        <v>0</v>
      </c>
      <c r="P490" s="11">
        <v>1</v>
      </c>
    </row>
    <row r="491" spans="1:16" ht="15" thickBot="1" x14ac:dyDescent="0.3">
      <c r="A491" s="3" t="s">
        <v>11</v>
      </c>
      <c r="B491" s="4">
        <v>281405</v>
      </c>
      <c r="C491" s="3" t="s">
        <v>9</v>
      </c>
      <c r="D491" s="18">
        <v>0.18</v>
      </c>
      <c r="E491" s="21">
        <v>1.3888430348409919E-2</v>
      </c>
      <c r="F491" s="5">
        <v>30442</v>
      </c>
      <c r="G491" s="5">
        <v>31902</v>
      </c>
      <c r="H491" s="16">
        <v>1460</v>
      </c>
      <c r="I491" s="5">
        <v>31902</v>
      </c>
      <c r="J491" s="5">
        <v>32225</v>
      </c>
      <c r="K491" s="16">
        <v>1783</v>
      </c>
      <c r="L491" s="13">
        <v>8028.15</v>
      </c>
      <c r="M491" s="15">
        <v>228.04471453191698</v>
      </c>
      <c r="N491" s="13">
        <v>8028.15</v>
      </c>
      <c r="O491" s="13">
        <v>0</v>
      </c>
      <c r="P491" s="11">
        <v>0</v>
      </c>
    </row>
    <row r="492" spans="1:16" ht="15" thickBot="1" x14ac:dyDescent="0.3">
      <c r="A492" s="3" t="s">
        <v>11</v>
      </c>
      <c r="B492" s="4">
        <v>277992</v>
      </c>
      <c r="C492" s="3" t="s">
        <v>9</v>
      </c>
      <c r="D492" s="18">
        <v>0.19500000000000001</v>
      </c>
      <c r="E492" s="21">
        <v>1.4956257441789633E-2</v>
      </c>
      <c r="F492" s="5">
        <v>30532</v>
      </c>
      <c r="G492" s="5">
        <v>32008</v>
      </c>
      <c r="H492" s="16">
        <v>1476</v>
      </c>
      <c r="I492" s="5">
        <v>32008</v>
      </c>
      <c r="J492" s="5">
        <v>31580</v>
      </c>
      <c r="K492" s="16">
        <v>1048</v>
      </c>
      <c r="L492" s="13">
        <v>2300</v>
      </c>
      <c r="M492" s="15">
        <v>66.371777186673327</v>
      </c>
      <c r="N492" s="13">
        <v>2300</v>
      </c>
      <c r="O492" s="13">
        <v>0</v>
      </c>
      <c r="P492" s="11">
        <v>0</v>
      </c>
    </row>
    <row r="493" spans="1:16" ht="15" thickBot="1" x14ac:dyDescent="0.3">
      <c r="A493" s="3" t="s">
        <v>11</v>
      </c>
      <c r="B493" s="4">
        <v>815441</v>
      </c>
      <c r="C493" s="3" t="s">
        <v>9</v>
      </c>
      <c r="D493" s="18">
        <v>0.12</v>
      </c>
      <c r="E493" s="21">
        <v>9.4887929345830457E-3</v>
      </c>
      <c r="F493" s="5">
        <v>30637</v>
      </c>
      <c r="G493" s="5">
        <v>33194</v>
      </c>
      <c r="H493" s="16">
        <v>2557</v>
      </c>
      <c r="I493" s="5">
        <v>33194</v>
      </c>
      <c r="J493" s="5">
        <v>33123</v>
      </c>
      <c r="K493" s="16">
        <v>2486</v>
      </c>
      <c r="L493" s="13">
        <v>2942</v>
      </c>
      <c r="M493" s="15">
        <v>50.491196480468183</v>
      </c>
      <c r="N493" s="13">
        <v>2942</v>
      </c>
      <c r="O493" s="13">
        <v>0</v>
      </c>
      <c r="P493" s="11">
        <v>0</v>
      </c>
    </row>
    <row r="494" spans="1:16" ht="15" thickBot="1" x14ac:dyDescent="0.3">
      <c r="A494" s="3" t="s">
        <v>11</v>
      </c>
      <c r="B494" s="4">
        <v>152611</v>
      </c>
      <c r="C494" s="3" t="s">
        <v>9</v>
      </c>
      <c r="D494" s="18">
        <v>0.16</v>
      </c>
      <c r="E494" s="21">
        <v>1.2445137919713467E-2</v>
      </c>
      <c r="F494" s="5">
        <v>30637</v>
      </c>
      <c r="G494" s="5">
        <v>32098</v>
      </c>
      <c r="H494" s="16">
        <v>1461</v>
      </c>
      <c r="I494" s="5">
        <v>32098</v>
      </c>
      <c r="J494" s="5">
        <v>32981</v>
      </c>
      <c r="K494" s="16">
        <v>2344</v>
      </c>
      <c r="L494" s="13">
        <v>1283</v>
      </c>
      <c r="M494" s="15">
        <v>35.288782104680578</v>
      </c>
      <c r="N494" s="13">
        <v>1283</v>
      </c>
      <c r="O494" s="13">
        <v>0</v>
      </c>
      <c r="P494" s="11">
        <v>0</v>
      </c>
    </row>
    <row r="495" spans="1:16" ht="15" thickBot="1" x14ac:dyDescent="0.3">
      <c r="A495" s="3" t="s">
        <v>11</v>
      </c>
      <c r="B495" s="4">
        <v>925281</v>
      </c>
      <c r="C495" s="3" t="s">
        <v>9</v>
      </c>
      <c r="D495" s="18">
        <v>0.14249999999999999</v>
      </c>
      <c r="E495" s="21">
        <v>1.1163421416801933E-2</v>
      </c>
      <c r="F495" s="5">
        <v>30642</v>
      </c>
      <c r="G495" s="5">
        <v>31008</v>
      </c>
      <c r="H495" s="16">
        <v>366</v>
      </c>
      <c r="I495" s="5">
        <v>31008</v>
      </c>
      <c r="J495" s="5">
        <v>33903</v>
      </c>
      <c r="K495" s="16">
        <v>3261</v>
      </c>
      <c r="L495" s="13">
        <v>284.64</v>
      </c>
      <c r="M495" s="15">
        <v>25.085765273856975</v>
      </c>
      <c r="N495" s="13">
        <v>284.64</v>
      </c>
      <c r="O495" s="13">
        <v>0</v>
      </c>
      <c r="P495" s="11">
        <v>0</v>
      </c>
    </row>
    <row r="496" spans="1:16" ht="15" thickBot="1" x14ac:dyDescent="0.3">
      <c r="A496" s="3" t="s">
        <v>11</v>
      </c>
      <c r="B496" s="4">
        <v>633520</v>
      </c>
      <c r="C496" s="3" t="s">
        <v>9</v>
      </c>
      <c r="D496" s="18">
        <v>0.185</v>
      </c>
      <c r="E496" s="21">
        <v>1.4245748385667056E-2</v>
      </c>
      <c r="F496" s="5">
        <v>30750</v>
      </c>
      <c r="G496" s="5">
        <v>32136</v>
      </c>
      <c r="H496" s="16">
        <v>1386</v>
      </c>
      <c r="I496" s="5">
        <v>32136</v>
      </c>
      <c r="J496" s="5">
        <v>32436</v>
      </c>
      <c r="K496" s="16">
        <v>1686</v>
      </c>
      <c r="L496" s="13">
        <v>4250</v>
      </c>
      <c r="M496" s="15">
        <v>126.19121989866781</v>
      </c>
      <c r="N496" s="13">
        <v>4250</v>
      </c>
      <c r="O496" s="13">
        <v>0</v>
      </c>
      <c r="P496" s="11">
        <v>0</v>
      </c>
    </row>
    <row r="497" spans="1:16" ht="15" thickBot="1" x14ac:dyDescent="0.3">
      <c r="A497" s="3" t="s">
        <v>11</v>
      </c>
      <c r="B497" s="4">
        <v>676903</v>
      </c>
      <c r="C497" s="3" t="s">
        <v>9</v>
      </c>
      <c r="D497" s="18">
        <v>0.185</v>
      </c>
      <c r="E497" s="21">
        <v>1.4245748385667056E-2</v>
      </c>
      <c r="F497" s="5">
        <v>30770</v>
      </c>
      <c r="G497" s="5">
        <v>31872</v>
      </c>
      <c r="H497" s="16">
        <v>1102</v>
      </c>
      <c r="I497" s="5">
        <v>31872</v>
      </c>
      <c r="J497" s="5">
        <v>32811</v>
      </c>
      <c r="K497" s="16">
        <v>2041</v>
      </c>
      <c r="L497" s="13">
        <v>2193</v>
      </c>
      <c r="M497" s="15">
        <v>77.091932390907374</v>
      </c>
      <c r="N497" s="13">
        <v>2193</v>
      </c>
      <c r="O497" s="13">
        <v>0</v>
      </c>
      <c r="P497" s="11">
        <v>0</v>
      </c>
    </row>
    <row r="498" spans="1:16" ht="15" thickBot="1" x14ac:dyDescent="0.3">
      <c r="A498" s="3" t="s">
        <v>11</v>
      </c>
      <c r="B498" s="4">
        <v>782522</v>
      </c>
      <c r="C498" s="3" t="s">
        <v>9</v>
      </c>
      <c r="D498" s="18">
        <v>0.18</v>
      </c>
      <c r="E498" s="21">
        <v>1.3888430348409919E-2</v>
      </c>
      <c r="F498" s="5">
        <v>30787</v>
      </c>
      <c r="G498" s="5">
        <v>32248</v>
      </c>
      <c r="H498" s="16">
        <v>1461</v>
      </c>
      <c r="I498" s="5">
        <v>32248</v>
      </c>
      <c r="J498" s="5">
        <v>32507</v>
      </c>
      <c r="K498" s="16">
        <v>1720</v>
      </c>
      <c r="L498" s="13">
        <v>1927.65</v>
      </c>
      <c r="M498" s="15">
        <v>54.729830256975468</v>
      </c>
      <c r="N498" s="13">
        <v>1927.65</v>
      </c>
      <c r="O498" s="13">
        <v>0</v>
      </c>
      <c r="P498" s="11">
        <v>0</v>
      </c>
    </row>
    <row r="499" spans="1:16" ht="15" thickBot="1" x14ac:dyDescent="0.3">
      <c r="A499" s="3" t="s">
        <v>11</v>
      </c>
      <c r="B499" s="4">
        <v>589636</v>
      </c>
      <c r="C499" s="3" t="s">
        <v>9</v>
      </c>
      <c r="D499" s="18">
        <v>0.18</v>
      </c>
      <c r="E499" s="21">
        <v>1.3888430348409919E-2</v>
      </c>
      <c r="F499" s="5">
        <v>30817</v>
      </c>
      <c r="G499" s="5">
        <v>32096</v>
      </c>
      <c r="H499" s="16">
        <v>1279</v>
      </c>
      <c r="I499" s="5">
        <v>32096</v>
      </c>
      <c r="J499" s="5">
        <v>31904</v>
      </c>
      <c r="K499" s="16">
        <v>1087</v>
      </c>
      <c r="L499" s="13">
        <v>2300</v>
      </c>
      <c r="M499" s="15">
        <v>71.850234663676872</v>
      </c>
      <c r="N499" s="13">
        <v>2300</v>
      </c>
      <c r="O499" s="13">
        <v>0</v>
      </c>
      <c r="P499" s="11">
        <v>0</v>
      </c>
    </row>
    <row r="500" spans="1:16" ht="15" thickBot="1" x14ac:dyDescent="0.3">
      <c r="A500" s="3" t="s">
        <v>11</v>
      </c>
      <c r="B500" s="4">
        <v>49313</v>
      </c>
      <c r="C500" s="3" t="s">
        <v>9</v>
      </c>
      <c r="D500" s="18">
        <v>0.16500000000000001</v>
      </c>
      <c r="E500" s="21">
        <v>1.2808087081983555E-2</v>
      </c>
      <c r="F500" s="5">
        <v>30818</v>
      </c>
      <c r="G500" s="5">
        <v>32279</v>
      </c>
      <c r="H500" s="16">
        <v>1461</v>
      </c>
      <c r="I500" s="5">
        <v>32279</v>
      </c>
      <c r="J500" s="5">
        <v>32388</v>
      </c>
      <c r="K500" s="16">
        <v>1570</v>
      </c>
      <c r="L500" s="13">
        <v>250</v>
      </c>
      <c r="M500" s="15">
        <v>6.9316196720889369</v>
      </c>
      <c r="N500" s="13">
        <v>250</v>
      </c>
      <c r="O500" s="13">
        <v>0</v>
      </c>
      <c r="P500" s="11">
        <v>0</v>
      </c>
    </row>
    <row r="501" spans="1:16" ht="15" thickBot="1" x14ac:dyDescent="0.3">
      <c r="A501" s="3" t="s">
        <v>11</v>
      </c>
      <c r="B501" s="4">
        <v>727586</v>
      </c>
      <c r="C501" s="3" t="s">
        <v>9</v>
      </c>
      <c r="D501" s="18">
        <v>0.189</v>
      </c>
      <c r="E501" s="21">
        <v>1.4530609136026662E-2</v>
      </c>
      <c r="F501" s="5">
        <v>30841</v>
      </c>
      <c r="G501" s="5">
        <v>32314</v>
      </c>
      <c r="H501" s="16">
        <v>1473</v>
      </c>
      <c r="I501" s="5">
        <v>32314</v>
      </c>
      <c r="J501" s="5">
        <v>32587</v>
      </c>
      <c r="K501" s="16">
        <v>1746</v>
      </c>
      <c r="L501" s="13">
        <v>2800.94</v>
      </c>
      <c r="M501" s="15">
        <v>80.191254286197591</v>
      </c>
      <c r="N501" s="13">
        <v>2800.94</v>
      </c>
      <c r="O501" s="13">
        <v>0</v>
      </c>
      <c r="P501" s="11">
        <v>0</v>
      </c>
    </row>
    <row r="502" spans="1:16" ht="15" thickBot="1" x14ac:dyDescent="0.3">
      <c r="A502" s="3" t="s">
        <v>11</v>
      </c>
      <c r="B502" s="4">
        <v>924103</v>
      </c>
      <c r="C502" s="3" t="s">
        <v>9</v>
      </c>
      <c r="D502" s="18">
        <v>0.155</v>
      </c>
      <c r="E502" s="21">
        <v>1.20807518477275E-2</v>
      </c>
      <c r="F502" s="5">
        <v>30859</v>
      </c>
      <c r="G502" s="5">
        <v>30889</v>
      </c>
      <c r="H502" s="16">
        <v>30</v>
      </c>
      <c r="I502" s="5">
        <v>30889</v>
      </c>
      <c r="J502" s="5">
        <v>32646</v>
      </c>
      <c r="K502" s="16">
        <v>1787</v>
      </c>
      <c r="L502" s="13">
        <v>1224.53</v>
      </c>
      <c r="M502" s="15">
        <v>1239.3232430600976</v>
      </c>
      <c r="N502" s="13">
        <v>1224.53</v>
      </c>
      <c r="O502" s="13">
        <v>0</v>
      </c>
      <c r="P502" s="11">
        <v>0</v>
      </c>
    </row>
    <row r="503" spans="1:16" ht="15" thickBot="1" x14ac:dyDescent="0.3">
      <c r="A503" s="3" t="s">
        <v>11</v>
      </c>
      <c r="B503" s="4">
        <v>793315</v>
      </c>
      <c r="C503" s="3" t="s">
        <v>9</v>
      </c>
      <c r="D503" s="18">
        <v>0.17</v>
      </c>
      <c r="E503" s="21">
        <v>1.3169611131462311E-2</v>
      </c>
      <c r="F503" s="5">
        <v>30862</v>
      </c>
      <c r="G503" s="5">
        <v>31973</v>
      </c>
      <c r="H503" s="16">
        <v>1111</v>
      </c>
      <c r="I503" s="5">
        <v>31973</v>
      </c>
      <c r="J503" s="5">
        <v>31845</v>
      </c>
      <c r="K503" s="16">
        <v>983</v>
      </c>
      <c r="L503" s="13">
        <v>2206.7600000000002</v>
      </c>
      <c r="M503" s="15">
        <v>75.679981526702676</v>
      </c>
      <c r="N503" s="13">
        <v>2206.7600000000002</v>
      </c>
      <c r="O503" s="13">
        <v>0</v>
      </c>
      <c r="P503" s="11">
        <v>0</v>
      </c>
    </row>
    <row r="504" spans="1:16" ht="15" thickBot="1" x14ac:dyDescent="0.3">
      <c r="A504" s="3" t="s">
        <v>11</v>
      </c>
      <c r="B504" s="4">
        <v>906179</v>
      </c>
      <c r="C504" s="3" t="s">
        <v>9</v>
      </c>
      <c r="D504" s="18">
        <v>0.19</v>
      </c>
      <c r="E504" s="21">
        <v>1.4601687054440093E-2</v>
      </c>
      <c r="F504" s="5">
        <v>30873</v>
      </c>
      <c r="G504" s="5">
        <v>32339</v>
      </c>
      <c r="H504" s="16">
        <v>1466</v>
      </c>
      <c r="I504" s="5">
        <v>32339</v>
      </c>
      <c r="J504" s="5">
        <v>34242</v>
      </c>
      <c r="K504" s="16">
        <v>3369</v>
      </c>
      <c r="L504" s="13">
        <v>50</v>
      </c>
      <c r="M504" s="15">
        <v>1.4384283534437257</v>
      </c>
      <c r="N504" s="13">
        <v>50</v>
      </c>
      <c r="O504" s="13">
        <v>0</v>
      </c>
      <c r="P504" s="11">
        <v>0</v>
      </c>
    </row>
    <row r="505" spans="1:16" ht="15" thickBot="1" x14ac:dyDescent="0.3">
      <c r="A505" s="3" t="s">
        <v>11</v>
      </c>
      <c r="B505" s="4">
        <v>908729</v>
      </c>
      <c r="C505" s="3" t="s">
        <v>9</v>
      </c>
      <c r="D505" s="18">
        <v>0.18</v>
      </c>
      <c r="E505" s="21">
        <v>1.3888430348409919E-2</v>
      </c>
      <c r="F505" s="5">
        <v>30881</v>
      </c>
      <c r="G505" s="5">
        <v>32341</v>
      </c>
      <c r="H505" s="16">
        <v>1460</v>
      </c>
      <c r="I505" s="5">
        <v>32341</v>
      </c>
      <c r="J505" s="5">
        <v>31904</v>
      </c>
      <c r="K505" s="16">
        <v>1023</v>
      </c>
      <c r="L505" s="13">
        <v>1325</v>
      </c>
      <c r="M505" s="15">
        <v>37.637469000303923</v>
      </c>
      <c r="N505" s="13">
        <v>1325</v>
      </c>
      <c r="O505" s="13">
        <v>0</v>
      </c>
      <c r="P505" s="11">
        <v>0</v>
      </c>
    </row>
    <row r="506" spans="1:16" ht="15" thickBot="1" x14ac:dyDescent="0.3">
      <c r="A506" s="3" t="s">
        <v>11</v>
      </c>
      <c r="B506" s="4">
        <v>89510</v>
      </c>
      <c r="C506" s="3" t="s">
        <v>9</v>
      </c>
      <c r="D506" s="18">
        <v>0.17599999999999999</v>
      </c>
      <c r="E506" s="21">
        <v>1.3601575235204111E-2</v>
      </c>
      <c r="F506" s="5">
        <v>30894</v>
      </c>
      <c r="G506" s="5">
        <v>32358</v>
      </c>
      <c r="H506" s="16">
        <v>1464</v>
      </c>
      <c r="I506" s="5">
        <v>32358</v>
      </c>
      <c r="J506" s="5">
        <v>33912</v>
      </c>
      <c r="K506" s="16">
        <v>3018</v>
      </c>
      <c r="L506" s="13">
        <v>4880.34</v>
      </c>
      <c r="M506" s="15">
        <v>137.4965215599868</v>
      </c>
      <c r="N506" s="13">
        <v>4880.34</v>
      </c>
      <c r="O506" s="13">
        <v>0</v>
      </c>
      <c r="P506" s="11">
        <v>0</v>
      </c>
    </row>
    <row r="507" spans="1:16" ht="15" thickBot="1" x14ac:dyDescent="0.3">
      <c r="A507" s="3" t="s">
        <v>11</v>
      </c>
      <c r="B507" s="4">
        <v>786151</v>
      </c>
      <c r="C507" s="3" t="s">
        <v>9</v>
      </c>
      <c r="D507" s="18">
        <v>0.185</v>
      </c>
      <c r="E507" s="21">
        <v>1.4245748385667056E-2</v>
      </c>
      <c r="F507" s="5">
        <v>30932</v>
      </c>
      <c r="G507" s="5">
        <v>32027</v>
      </c>
      <c r="H507" s="16">
        <v>1095</v>
      </c>
      <c r="I507" s="5">
        <v>32027</v>
      </c>
      <c r="J507" s="5">
        <v>31903</v>
      </c>
      <c r="K507" s="16">
        <v>971</v>
      </c>
      <c r="L507" s="13">
        <v>2125</v>
      </c>
      <c r="M507" s="15">
        <v>75.065710340780655</v>
      </c>
      <c r="N507" s="13">
        <v>2125</v>
      </c>
      <c r="O507" s="13">
        <v>0</v>
      </c>
      <c r="P507" s="11">
        <v>0</v>
      </c>
    </row>
    <row r="508" spans="1:16" ht="15" thickBot="1" x14ac:dyDescent="0.3">
      <c r="A508" s="3" t="s">
        <v>11</v>
      </c>
      <c r="B508" s="4">
        <v>954094</v>
      </c>
      <c r="C508" s="3" t="s">
        <v>9</v>
      </c>
      <c r="D508" s="18">
        <v>0.185</v>
      </c>
      <c r="E508" s="21">
        <v>1.4245748385667056E-2</v>
      </c>
      <c r="F508" s="5">
        <v>30964</v>
      </c>
      <c r="G508" s="5">
        <v>31694</v>
      </c>
      <c r="H508" s="16">
        <v>730</v>
      </c>
      <c r="I508" s="5">
        <v>31694</v>
      </c>
      <c r="J508" s="5">
        <v>32836</v>
      </c>
      <c r="K508" s="16">
        <v>1872</v>
      </c>
      <c r="L508" s="13">
        <v>83.61</v>
      </c>
      <c r="M508" s="15">
        <v>4.0900847383128669</v>
      </c>
      <c r="N508" s="13">
        <v>83.61</v>
      </c>
      <c r="O508" s="13">
        <v>0</v>
      </c>
      <c r="P508" s="11">
        <v>0</v>
      </c>
    </row>
    <row r="509" spans="1:16" ht="15" thickBot="1" x14ac:dyDescent="0.3">
      <c r="A509" s="3" t="s">
        <v>11</v>
      </c>
      <c r="B509" s="4">
        <v>61026</v>
      </c>
      <c r="C509" s="3" t="s">
        <v>9</v>
      </c>
      <c r="D509" s="18">
        <v>0.19</v>
      </c>
      <c r="E509" s="21">
        <v>1.4601687054440093E-2</v>
      </c>
      <c r="F509" s="5">
        <v>30969</v>
      </c>
      <c r="G509" s="5">
        <v>32430</v>
      </c>
      <c r="H509" s="16">
        <v>1461</v>
      </c>
      <c r="I509" s="5">
        <v>32430</v>
      </c>
      <c r="J509" s="5">
        <v>34815</v>
      </c>
      <c r="K509" s="16">
        <v>3846</v>
      </c>
      <c r="L509" s="13">
        <v>520</v>
      </c>
      <c r="M509" s="15">
        <v>14.994846404416606</v>
      </c>
      <c r="N509" s="13">
        <v>520</v>
      </c>
      <c r="O509" s="13">
        <v>0</v>
      </c>
      <c r="P509" s="11">
        <v>0</v>
      </c>
    </row>
    <row r="510" spans="1:16" ht="15" thickBot="1" x14ac:dyDescent="0.3">
      <c r="A510" s="3" t="s">
        <v>11</v>
      </c>
      <c r="B510" s="4">
        <v>872180</v>
      </c>
      <c r="C510" s="3" t="s">
        <v>9</v>
      </c>
      <c r="D510" s="18">
        <v>0.18</v>
      </c>
      <c r="E510" s="21">
        <v>1.3888430348409919E-2</v>
      </c>
      <c r="F510" s="5">
        <v>30980</v>
      </c>
      <c r="G510" s="5">
        <v>32441</v>
      </c>
      <c r="H510" s="16">
        <v>1461</v>
      </c>
      <c r="I510" s="5">
        <v>32441</v>
      </c>
      <c r="J510" s="5">
        <v>31475</v>
      </c>
      <c r="K510" s="16">
        <v>495</v>
      </c>
      <c r="L510" s="13">
        <v>4256.1099999999997</v>
      </c>
      <c r="M510" s="15">
        <v>120.83945625762759</v>
      </c>
      <c r="N510" s="13">
        <v>4256.1099999999997</v>
      </c>
      <c r="O510" s="13">
        <v>0</v>
      </c>
      <c r="P510" s="11">
        <v>0</v>
      </c>
    </row>
    <row r="511" spans="1:16" ht="15" thickBot="1" x14ac:dyDescent="0.3">
      <c r="A511" s="3" t="s">
        <v>11</v>
      </c>
      <c r="B511" s="4">
        <v>722989</v>
      </c>
      <c r="C511" s="3" t="s">
        <v>9</v>
      </c>
      <c r="D511" s="18">
        <v>0.16500000000000001</v>
      </c>
      <c r="E511" s="21">
        <v>1.2808087081983555E-2</v>
      </c>
      <c r="F511" s="5">
        <v>31019</v>
      </c>
      <c r="G511" s="5">
        <v>32114</v>
      </c>
      <c r="H511" s="16">
        <v>1095</v>
      </c>
      <c r="I511" s="5">
        <v>32114</v>
      </c>
      <c r="J511" s="5">
        <v>33757</v>
      </c>
      <c r="K511" s="16">
        <v>2738</v>
      </c>
      <c r="L511" s="13">
        <v>453.58</v>
      </c>
      <c r="M511" s="15">
        <v>15.635092660180506</v>
      </c>
      <c r="N511" s="13">
        <v>453.58</v>
      </c>
      <c r="O511" s="13">
        <v>0</v>
      </c>
      <c r="P511" s="11">
        <v>0</v>
      </c>
    </row>
    <row r="512" spans="1:16" ht="15" thickBot="1" x14ac:dyDescent="0.3">
      <c r="A512" s="3" t="s">
        <v>11</v>
      </c>
      <c r="B512" s="4">
        <v>818746</v>
      </c>
      <c r="C512" s="3" t="s">
        <v>9</v>
      </c>
      <c r="D512" s="18">
        <v>0.18</v>
      </c>
      <c r="E512" s="21">
        <v>1.3888430348409919E-2</v>
      </c>
      <c r="F512" s="5">
        <v>31019</v>
      </c>
      <c r="G512" s="5">
        <v>32114</v>
      </c>
      <c r="H512" s="16">
        <v>1095</v>
      </c>
      <c r="I512" s="5">
        <v>32114</v>
      </c>
      <c r="J512" s="5">
        <v>32125</v>
      </c>
      <c r="K512" s="16">
        <v>1106</v>
      </c>
      <c r="L512" s="13">
        <v>3829.44</v>
      </c>
      <c r="M512" s="15">
        <v>134.45741967321106</v>
      </c>
      <c r="N512" s="13">
        <v>3829.44</v>
      </c>
      <c r="O512" s="13">
        <v>0</v>
      </c>
      <c r="P512" s="11">
        <v>0</v>
      </c>
    </row>
    <row r="513" spans="1:16" ht="15" thickBot="1" x14ac:dyDescent="0.3">
      <c r="A513" s="3" t="s">
        <v>11</v>
      </c>
      <c r="B513" s="4">
        <v>738885</v>
      </c>
      <c r="C513" s="3" t="s">
        <v>9</v>
      </c>
      <c r="D513" s="18">
        <v>0.185</v>
      </c>
      <c r="E513" s="21">
        <v>1.4245748385667056E-2</v>
      </c>
      <c r="F513" s="5">
        <v>31006</v>
      </c>
      <c r="G513" s="5">
        <v>31917</v>
      </c>
      <c r="H513" s="16">
        <v>911</v>
      </c>
      <c r="I513" s="5">
        <v>31917</v>
      </c>
      <c r="J513" s="5">
        <v>31905</v>
      </c>
      <c r="K513" s="16">
        <v>899</v>
      </c>
      <c r="L513" s="13">
        <v>2100</v>
      </c>
      <c r="M513" s="15">
        <v>85.671806212827974</v>
      </c>
      <c r="N513" s="13">
        <v>2100</v>
      </c>
      <c r="O513" s="13">
        <v>0</v>
      </c>
      <c r="P513" s="11">
        <v>0</v>
      </c>
    </row>
    <row r="514" spans="1:16" ht="15" thickBot="1" x14ac:dyDescent="0.3">
      <c r="A514" s="3" t="s">
        <v>11</v>
      </c>
      <c r="B514" s="4">
        <v>395644</v>
      </c>
      <c r="C514" s="3" t="s">
        <v>9</v>
      </c>
      <c r="D514" s="18">
        <v>0.18</v>
      </c>
      <c r="E514" s="21">
        <v>1.3888430348409919E-2</v>
      </c>
      <c r="F514" s="5">
        <v>31049</v>
      </c>
      <c r="G514" s="5">
        <v>31779</v>
      </c>
      <c r="H514" s="16">
        <v>730</v>
      </c>
      <c r="I514" s="5">
        <v>31779</v>
      </c>
      <c r="J514" s="5">
        <v>32632</v>
      </c>
      <c r="K514" s="16">
        <v>1583</v>
      </c>
      <c r="L514" s="13">
        <v>990.58</v>
      </c>
      <c r="M514" s="15">
        <v>48.253672541260926</v>
      </c>
      <c r="N514" s="13">
        <v>990.58</v>
      </c>
      <c r="O514" s="13">
        <v>0</v>
      </c>
      <c r="P514" s="11">
        <v>0</v>
      </c>
    </row>
    <row r="515" spans="1:16" ht="15" thickBot="1" x14ac:dyDescent="0.3">
      <c r="A515" s="3" t="s">
        <v>11</v>
      </c>
      <c r="B515" s="4">
        <v>52467</v>
      </c>
      <c r="C515" s="3" t="s">
        <v>9</v>
      </c>
      <c r="D515" s="18">
        <v>0.17</v>
      </c>
      <c r="E515" s="21">
        <v>1.3169611131462311E-2</v>
      </c>
      <c r="F515" s="5">
        <v>31041</v>
      </c>
      <c r="G515" s="5">
        <v>32502</v>
      </c>
      <c r="H515" s="16">
        <v>1461</v>
      </c>
      <c r="I515" s="5">
        <v>32502</v>
      </c>
      <c r="J515" s="5">
        <v>32724</v>
      </c>
      <c r="K515" s="16">
        <v>1683</v>
      </c>
      <c r="L515" s="13">
        <v>2850</v>
      </c>
      <c r="M515" s="15">
        <v>79.652353404915758</v>
      </c>
      <c r="N515" s="13">
        <v>2850</v>
      </c>
      <c r="O515" s="13">
        <v>0</v>
      </c>
      <c r="P515" s="11">
        <v>0</v>
      </c>
    </row>
    <row r="516" spans="1:16" ht="15" thickBot="1" x14ac:dyDescent="0.3">
      <c r="A516" s="3" t="s">
        <v>11</v>
      </c>
      <c r="B516" s="4">
        <v>820077</v>
      </c>
      <c r="C516" s="3" t="s">
        <v>9</v>
      </c>
      <c r="D516" s="18">
        <v>0.19600000000000001</v>
      </c>
      <c r="E516" s="21">
        <v>1.5027008291617738E-2</v>
      </c>
      <c r="F516" s="5">
        <v>31068</v>
      </c>
      <c r="G516" s="5">
        <v>31523</v>
      </c>
      <c r="H516" s="16">
        <v>455</v>
      </c>
      <c r="I516" s="5">
        <v>31523</v>
      </c>
      <c r="J516" s="5">
        <v>31923</v>
      </c>
      <c r="K516" s="16">
        <v>855</v>
      </c>
      <c r="L516" s="13">
        <v>668.39</v>
      </c>
      <c r="M516" s="15">
        <v>49.611094047118478</v>
      </c>
      <c r="N516" s="13">
        <v>668.39</v>
      </c>
      <c r="O516" s="13">
        <v>0</v>
      </c>
      <c r="P516" s="11">
        <v>0</v>
      </c>
    </row>
    <row r="517" spans="1:16" ht="15" thickBot="1" x14ac:dyDescent="0.3">
      <c r="A517" s="3" t="s">
        <v>11</v>
      </c>
      <c r="B517" s="4">
        <v>322381</v>
      </c>
      <c r="C517" s="3" t="s">
        <v>9</v>
      </c>
      <c r="D517" s="18">
        <v>0.17</v>
      </c>
      <c r="E517" s="21">
        <v>1.3169611131462311E-2</v>
      </c>
      <c r="F517" s="5">
        <v>31068</v>
      </c>
      <c r="G517" s="5">
        <v>32529</v>
      </c>
      <c r="H517" s="16">
        <v>1461</v>
      </c>
      <c r="I517" s="5">
        <v>32529</v>
      </c>
      <c r="J517" s="5">
        <v>33091</v>
      </c>
      <c r="K517" s="16">
        <v>2023</v>
      </c>
      <c r="L517" s="13">
        <v>1165.6600000000001</v>
      </c>
      <c r="M517" s="15">
        <v>32.578092024552319</v>
      </c>
      <c r="N517" s="13">
        <v>1165.6600000000001</v>
      </c>
      <c r="O517" s="13">
        <v>0</v>
      </c>
      <c r="P517" s="11">
        <v>0</v>
      </c>
    </row>
    <row r="518" spans="1:16" ht="15" thickBot="1" x14ac:dyDescent="0.3">
      <c r="A518" s="3" t="s">
        <v>11</v>
      </c>
      <c r="B518" s="4">
        <v>929948</v>
      </c>
      <c r="C518" s="3" t="s">
        <v>9</v>
      </c>
      <c r="D518" s="18">
        <v>0.16500000000000001</v>
      </c>
      <c r="E518" s="21">
        <v>1.2808087081983555E-2</v>
      </c>
      <c r="F518" s="5">
        <v>31093</v>
      </c>
      <c r="G518" s="5">
        <v>32568</v>
      </c>
      <c r="H518" s="16">
        <v>1475</v>
      </c>
      <c r="I518" s="5">
        <v>32568</v>
      </c>
      <c r="J518" s="5">
        <v>32233</v>
      </c>
      <c r="K518" s="16">
        <v>1140</v>
      </c>
      <c r="L518" s="13">
        <v>1000</v>
      </c>
      <c r="M518" s="15">
        <v>27.536553388241416</v>
      </c>
      <c r="N518" s="13">
        <v>1000</v>
      </c>
      <c r="O518" s="13">
        <v>0</v>
      </c>
      <c r="P518" s="11">
        <v>0</v>
      </c>
    </row>
    <row r="519" spans="1:16" ht="15" thickBot="1" x14ac:dyDescent="0.3">
      <c r="A519" s="3" t="s">
        <v>11</v>
      </c>
      <c r="B519" s="4">
        <v>801223</v>
      </c>
      <c r="C519" s="3" t="s">
        <v>9</v>
      </c>
      <c r="D519" s="18">
        <v>0.18</v>
      </c>
      <c r="E519" s="21">
        <v>1.3888430348409919E-2</v>
      </c>
      <c r="F519" s="5">
        <v>31100</v>
      </c>
      <c r="G519" s="5">
        <v>31646</v>
      </c>
      <c r="H519" s="16">
        <v>546</v>
      </c>
      <c r="I519" s="5">
        <v>31646</v>
      </c>
      <c r="J519" s="5">
        <v>31898</v>
      </c>
      <c r="K519" s="16">
        <v>798</v>
      </c>
      <c r="L519" s="13">
        <v>2575</v>
      </c>
      <c r="M519" s="15">
        <v>161.09244616724385</v>
      </c>
      <c r="N519" s="13">
        <v>2575</v>
      </c>
      <c r="O519" s="13">
        <v>0</v>
      </c>
      <c r="P519" s="11">
        <v>0</v>
      </c>
    </row>
    <row r="520" spans="1:16" ht="15" thickBot="1" x14ac:dyDescent="0.3">
      <c r="A520" s="3" t="s">
        <v>11</v>
      </c>
      <c r="B520" s="4">
        <v>55415</v>
      </c>
      <c r="C520" s="3" t="s">
        <v>9</v>
      </c>
      <c r="D520" s="18">
        <v>0.17</v>
      </c>
      <c r="E520" s="21">
        <v>1.3169611131462311E-2</v>
      </c>
      <c r="F520" s="5">
        <v>31128</v>
      </c>
      <c r="G520" s="5">
        <v>31858</v>
      </c>
      <c r="H520" s="16">
        <v>730</v>
      </c>
      <c r="I520" s="5">
        <v>31858</v>
      </c>
      <c r="J520" s="5">
        <v>31905</v>
      </c>
      <c r="K520" s="16">
        <v>777</v>
      </c>
      <c r="L520" s="13">
        <v>900</v>
      </c>
      <c r="M520" s="15">
        <v>43.469572371885377</v>
      </c>
      <c r="N520" s="13">
        <v>900</v>
      </c>
      <c r="O520" s="13">
        <v>0</v>
      </c>
      <c r="P520" s="11">
        <v>0</v>
      </c>
    </row>
    <row r="521" spans="1:16" ht="15" thickBot="1" x14ac:dyDescent="0.3">
      <c r="A521" s="3" t="s">
        <v>11</v>
      </c>
      <c r="B521" s="4">
        <v>368125</v>
      </c>
      <c r="C521" s="3" t="s">
        <v>9</v>
      </c>
      <c r="D521" s="18">
        <v>0.17</v>
      </c>
      <c r="E521" s="21">
        <v>1.3169611131462311E-2</v>
      </c>
      <c r="F521" s="5">
        <v>31141</v>
      </c>
      <c r="G521" s="5">
        <v>32602</v>
      </c>
      <c r="H521" s="16">
        <v>1461</v>
      </c>
      <c r="I521" s="5">
        <v>32602</v>
      </c>
      <c r="J521" s="5">
        <v>32233</v>
      </c>
      <c r="K521" s="16">
        <v>1092</v>
      </c>
      <c r="L521" s="13">
        <v>9000</v>
      </c>
      <c r="M521" s="15">
        <v>251.53374759447081</v>
      </c>
      <c r="N521" s="13">
        <v>9000</v>
      </c>
      <c r="O521" s="13">
        <v>0</v>
      </c>
      <c r="P521" s="11">
        <v>0</v>
      </c>
    </row>
    <row r="522" spans="1:16" ht="15" thickBot="1" x14ac:dyDescent="0.3">
      <c r="A522" s="3" t="s">
        <v>11</v>
      </c>
      <c r="B522" s="4">
        <v>839194</v>
      </c>
      <c r="C522" s="3" t="s">
        <v>9</v>
      </c>
      <c r="D522" s="18">
        <v>0.16</v>
      </c>
      <c r="E522" s="21">
        <v>1.2445137919713467E-2</v>
      </c>
      <c r="F522" s="5">
        <v>31146</v>
      </c>
      <c r="G522" s="5">
        <v>32607</v>
      </c>
      <c r="H522" s="16">
        <v>1461</v>
      </c>
      <c r="I522" s="5">
        <v>32607</v>
      </c>
      <c r="J522" s="5">
        <v>33485</v>
      </c>
      <c r="K522" s="16">
        <v>2339</v>
      </c>
      <c r="L522" s="13">
        <v>129.28</v>
      </c>
      <c r="M522" s="15">
        <v>3.5558330089579928</v>
      </c>
      <c r="N522" s="13">
        <v>129.28</v>
      </c>
      <c r="O522" s="13">
        <v>0</v>
      </c>
      <c r="P522" s="11">
        <v>0</v>
      </c>
    </row>
    <row r="523" spans="1:16" ht="15" thickBot="1" x14ac:dyDescent="0.3">
      <c r="A523" s="3" t="s">
        <v>11</v>
      </c>
      <c r="B523" s="4">
        <v>596874</v>
      </c>
      <c r="C523" s="3" t="s">
        <v>9</v>
      </c>
      <c r="D523" s="18">
        <v>0.16</v>
      </c>
      <c r="E523" s="21">
        <v>1.2445137919713467E-2</v>
      </c>
      <c r="F523" s="5">
        <v>31180</v>
      </c>
      <c r="G523" s="5">
        <v>32276</v>
      </c>
      <c r="H523" s="16">
        <v>1096</v>
      </c>
      <c r="I523" s="5">
        <v>32276</v>
      </c>
      <c r="J523" s="5">
        <v>33961</v>
      </c>
      <c r="K523" s="16">
        <v>2781</v>
      </c>
      <c r="L523" s="13">
        <v>4294.5600000000004</v>
      </c>
      <c r="M523" s="15">
        <v>147.0106799126097</v>
      </c>
      <c r="N523" s="13">
        <v>4294.5600000000004</v>
      </c>
      <c r="O523" s="13">
        <v>0</v>
      </c>
      <c r="P523" s="11">
        <v>0</v>
      </c>
    </row>
    <row r="524" spans="1:16" ht="15" thickBot="1" x14ac:dyDescent="0.3">
      <c r="A524" s="3" t="s">
        <v>11</v>
      </c>
      <c r="B524" s="4">
        <v>87226</v>
      </c>
      <c r="C524" s="3" t="s">
        <v>9</v>
      </c>
      <c r="D524" s="18">
        <v>0.16</v>
      </c>
      <c r="E524" s="21">
        <v>1.2445137919713467E-2</v>
      </c>
      <c r="F524" s="5">
        <v>31204</v>
      </c>
      <c r="G524" s="5">
        <v>32665</v>
      </c>
      <c r="H524" s="16">
        <v>1461</v>
      </c>
      <c r="I524" s="5">
        <v>32665</v>
      </c>
      <c r="J524" s="5">
        <v>32836</v>
      </c>
      <c r="K524" s="16">
        <v>1632</v>
      </c>
      <c r="L524" s="13">
        <v>3900</v>
      </c>
      <c r="M524" s="15">
        <v>107.2690960313751</v>
      </c>
      <c r="N524" s="13">
        <v>3900</v>
      </c>
      <c r="O524" s="13">
        <v>0</v>
      </c>
      <c r="P524" s="11">
        <v>0</v>
      </c>
    </row>
    <row r="525" spans="1:16" ht="15" thickBot="1" x14ac:dyDescent="0.3">
      <c r="A525" s="3" t="s">
        <v>11</v>
      </c>
      <c r="B525" s="4">
        <v>380186</v>
      </c>
      <c r="C525" s="3" t="s">
        <v>9</v>
      </c>
      <c r="D525" s="18">
        <v>0.16500000000000001</v>
      </c>
      <c r="E525" s="21">
        <v>1.2808087081983555E-2</v>
      </c>
      <c r="F525" s="5">
        <v>31208</v>
      </c>
      <c r="G525" s="5">
        <v>32121</v>
      </c>
      <c r="H525" s="16">
        <v>913</v>
      </c>
      <c r="I525" s="5">
        <v>32121</v>
      </c>
      <c r="J525" s="5">
        <v>31819</v>
      </c>
      <c r="K525" s="16">
        <v>611</v>
      </c>
      <c r="L525" s="13">
        <v>1481.85</v>
      </c>
      <c r="M525" s="15">
        <v>59.103740277474877</v>
      </c>
      <c r="N525" s="13">
        <v>1481.85</v>
      </c>
      <c r="O525" s="13">
        <v>0</v>
      </c>
      <c r="P525" s="11">
        <v>0</v>
      </c>
    </row>
    <row r="526" spans="1:16" ht="15" thickBot="1" x14ac:dyDescent="0.3">
      <c r="A526" s="3" t="s">
        <v>11</v>
      </c>
      <c r="B526" s="4">
        <v>660535</v>
      </c>
      <c r="C526" s="3" t="s">
        <v>9</v>
      </c>
      <c r="D526" s="18">
        <v>0.16</v>
      </c>
      <c r="E526" s="21">
        <v>1.2445137919713467E-2</v>
      </c>
      <c r="F526" s="5">
        <v>31238</v>
      </c>
      <c r="G526" s="5">
        <v>32699</v>
      </c>
      <c r="H526" s="16">
        <v>1461</v>
      </c>
      <c r="I526" s="5">
        <v>32699</v>
      </c>
      <c r="J526" s="5">
        <v>31768</v>
      </c>
      <c r="K526" s="16">
        <v>530</v>
      </c>
      <c r="L526" s="13">
        <v>5373.17</v>
      </c>
      <c r="M526" s="15">
        <v>147.78848428792404</v>
      </c>
      <c r="N526" s="13">
        <v>5373.17</v>
      </c>
      <c r="O526" s="13">
        <v>0</v>
      </c>
      <c r="P526" s="11">
        <v>0</v>
      </c>
    </row>
    <row r="527" spans="1:16" ht="15" thickBot="1" x14ac:dyDescent="0.3">
      <c r="A527" s="3" t="s">
        <v>11</v>
      </c>
      <c r="B527" s="4">
        <v>97868</v>
      </c>
      <c r="C527" s="3" t="s">
        <v>9</v>
      </c>
      <c r="D527" s="18">
        <v>0.16</v>
      </c>
      <c r="E527" s="21">
        <v>1.2445137919713467E-2</v>
      </c>
      <c r="F527" s="5">
        <v>31254</v>
      </c>
      <c r="G527" s="5">
        <v>32715</v>
      </c>
      <c r="H527" s="16">
        <v>1461</v>
      </c>
      <c r="I527" s="5">
        <v>32715</v>
      </c>
      <c r="J527" s="5">
        <v>32843</v>
      </c>
      <c r="K527" s="16">
        <v>1589</v>
      </c>
      <c r="L527" s="13">
        <v>4005.32</v>
      </c>
      <c r="M527" s="15">
        <v>110.16591172215058</v>
      </c>
      <c r="N527" s="13">
        <v>4005.32</v>
      </c>
      <c r="O527" s="13">
        <v>0</v>
      </c>
      <c r="P527" s="11">
        <v>0</v>
      </c>
    </row>
    <row r="528" spans="1:16" ht="15" thickBot="1" x14ac:dyDescent="0.3">
      <c r="A528" s="3" t="s">
        <v>11</v>
      </c>
      <c r="B528" s="4">
        <v>493417</v>
      </c>
      <c r="C528" s="3" t="s">
        <v>9</v>
      </c>
      <c r="D528" s="18">
        <v>0.16</v>
      </c>
      <c r="E528" s="21">
        <v>1.2445137919713467E-2</v>
      </c>
      <c r="F528" s="5">
        <v>31266</v>
      </c>
      <c r="G528" s="5">
        <v>32727</v>
      </c>
      <c r="H528" s="16">
        <v>1461</v>
      </c>
      <c r="I528" s="5">
        <v>32727</v>
      </c>
      <c r="J528" s="5">
        <v>33595</v>
      </c>
      <c r="K528" s="16">
        <v>2329</v>
      </c>
      <c r="L528" s="13">
        <v>3562.67</v>
      </c>
      <c r="M528" s="15">
        <v>97.990869322589518</v>
      </c>
      <c r="N528" s="13">
        <v>3562.67</v>
      </c>
      <c r="O528" s="13">
        <v>0</v>
      </c>
      <c r="P528" s="11">
        <v>0</v>
      </c>
    </row>
    <row r="529" spans="1:16" ht="15" thickBot="1" x14ac:dyDescent="0.3">
      <c r="A529" s="3" t="s">
        <v>11</v>
      </c>
      <c r="B529" s="4">
        <v>345502</v>
      </c>
      <c r="C529" s="3" t="s">
        <v>9</v>
      </c>
      <c r="D529" s="18">
        <v>0.16500000000000001</v>
      </c>
      <c r="E529" s="21">
        <v>1.2808087081983555E-2</v>
      </c>
      <c r="F529" s="5">
        <v>31262</v>
      </c>
      <c r="G529" s="5">
        <v>32358</v>
      </c>
      <c r="H529" s="16">
        <v>1096</v>
      </c>
      <c r="I529" s="5">
        <v>32358</v>
      </c>
      <c r="J529" s="5">
        <v>32286</v>
      </c>
      <c r="K529" s="16">
        <v>1024</v>
      </c>
      <c r="L529" s="13">
        <v>5333.19</v>
      </c>
      <c r="M529" s="15">
        <v>183.70551462846919</v>
      </c>
      <c r="N529" s="13">
        <v>5333.19</v>
      </c>
      <c r="O529" s="13">
        <v>0</v>
      </c>
      <c r="P529" s="11">
        <v>0</v>
      </c>
    </row>
    <row r="530" spans="1:16" ht="15" thickBot="1" x14ac:dyDescent="0.3">
      <c r="A530" s="3" t="s">
        <v>11</v>
      </c>
      <c r="B530" s="4">
        <v>964048</v>
      </c>
      <c r="C530" s="3" t="s">
        <v>9</v>
      </c>
      <c r="D530" s="18">
        <v>0.16</v>
      </c>
      <c r="E530" s="21">
        <v>1.2445137919713467E-2</v>
      </c>
      <c r="F530" s="5">
        <v>31286</v>
      </c>
      <c r="G530" s="5">
        <v>32747</v>
      </c>
      <c r="H530" s="16">
        <v>1461</v>
      </c>
      <c r="I530" s="5">
        <v>32747</v>
      </c>
      <c r="J530" s="5">
        <v>32507</v>
      </c>
      <c r="K530" s="16">
        <v>1221</v>
      </c>
      <c r="L530" s="13">
        <v>275</v>
      </c>
      <c r="M530" s="15">
        <v>7.5638465150328589</v>
      </c>
      <c r="N530" s="13">
        <v>275</v>
      </c>
      <c r="O530" s="13">
        <v>0</v>
      </c>
      <c r="P530" s="11">
        <v>0</v>
      </c>
    </row>
    <row r="531" spans="1:16" ht="15" thickBot="1" x14ac:dyDescent="0.3">
      <c r="A531" s="3" t="s">
        <v>11</v>
      </c>
      <c r="B531" s="4">
        <v>751240</v>
      </c>
      <c r="C531" s="3" t="s">
        <v>9</v>
      </c>
      <c r="D531" s="18">
        <v>0.16</v>
      </c>
      <c r="E531" s="21">
        <v>1.2445137919713467E-2</v>
      </c>
      <c r="F531" s="5">
        <v>31274</v>
      </c>
      <c r="G531" s="5">
        <v>32643</v>
      </c>
      <c r="H531" s="16">
        <v>1369</v>
      </c>
      <c r="I531" s="5">
        <v>32643</v>
      </c>
      <c r="J531" s="5">
        <v>32393</v>
      </c>
      <c r="K531" s="16">
        <v>1119</v>
      </c>
      <c r="L531" s="13">
        <v>475</v>
      </c>
      <c r="M531" s="15">
        <v>13.70598928532614</v>
      </c>
      <c r="N531" s="13">
        <v>475</v>
      </c>
      <c r="O531" s="13">
        <v>0</v>
      </c>
      <c r="P531" s="11">
        <v>0</v>
      </c>
    </row>
    <row r="532" spans="1:16" ht="15" thickBot="1" x14ac:dyDescent="0.3">
      <c r="A532" s="3" t="s">
        <v>11</v>
      </c>
      <c r="B532" s="4">
        <v>486051</v>
      </c>
      <c r="C532" s="3" t="s">
        <v>9</v>
      </c>
      <c r="D532" s="18">
        <v>0.16</v>
      </c>
      <c r="E532" s="21">
        <v>1.2445137919713467E-2</v>
      </c>
      <c r="F532" s="5">
        <v>31293</v>
      </c>
      <c r="G532" s="5">
        <v>32766</v>
      </c>
      <c r="H532" s="16">
        <v>1473</v>
      </c>
      <c r="I532" s="5">
        <v>32766</v>
      </c>
      <c r="J532" s="5">
        <v>33155</v>
      </c>
      <c r="K532" s="16">
        <v>1862</v>
      </c>
      <c r="L532" s="13">
        <v>1438.5</v>
      </c>
      <c r="M532" s="15">
        <v>39.330911551876909</v>
      </c>
      <c r="N532" s="13">
        <v>1438.5</v>
      </c>
      <c r="O532" s="13">
        <v>0</v>
      </c>
      <c r="P532" s="11">
        <v>0</v>
      </c>
    </row>
    <row r="533" spans="1:16" ht="15" thickBot="1" x14ac:dyDescent="0.3">
      <c r="A533" s="3" t="s">
        <v>11</v>
      </c>
      <c r="B533" s="4">
        <v>675892</v>
      </c>
      <c r="C533" s="3" t="s">
        <v>9</v>
      </c>
      <c r="D533" s="18">
        <v>0.16</v>
      </c>
      <c r="E533" s="21">
        <v>1.2445137919713467E-2</v>
      </c>
      <c r="F533" s="5">
        <v>31310</v>
      </c>
      <c r="G533" s="5">
        <v>32786</v>
      </c>
      <c r="H533" s="16">
        <v>1476</v>
      </c>
      <c r="I533" s="5">
        <v>32786</v>
      </c>
      <c r="J533" s="5">
        <v>32003</v>
      </c>
      <c r="K533" s="16">
        <v>693</v>
      </c>
      <c r="L533" s="13">
        <v>485.01</v>
      </c>
      <c r="M533" s="15">
        <v>13.241365024495872</v>
      </c>
      <c r="N533" s="13">
        <v>485.01</v>
      </c>
      <c r="O533" s="13">
        <v>485.01</v>
      </c>
      <c r="P533" s="11">
        <v>0</v>
      </c>
    </row>
    <row r="534" spans="1:16" ht="15" thickBot="1" x14ac:dyDescent="0.3">
      <c r="A534" s="3" t="s">
        <v>11</v>
      </c>
      <c r="B534" s="4">
        <v>955552</v>
      </c>
      <c r="C534" s="3" t="s">
        <v>9</v>
      </c>
      <c r="D534" s="18">
        <v>0.16</v>
      </c>
      <c r="E534" s="21">
        <v>1.2445137919713467E-2</v>
      </c>
      <c r="F534" s="5">
        <v>31345</v>
      </c>
      <c r="G534" s="5">
        <v>31802</v>
      </c>
      <c r="H534" s="16">
        <v>457</v>
      </c>
      <c r="I534" s="5">
        <v>31802</v>
      </c>
      <c r="J534" s="5">
        <v>32811</v>
      </c>
      <c r="K534" s="16">
        <v>1466</v>
      </c>
      <c r="L534" s="13">
        <v>1490.39</v>
      </c>
      <c r="M534" s="15">
        <v>108.01006768955401</v>
      </c>
      <c r="N534" s="13">
        <v>1490.39</v>
      </c>
      <c r="O534" s="13">
        <v>0</v>
      </c>
      <c r="P534" s="11">
        <v>0</v>
      </c>
    </row>
    <row r="535" spans="1:16" ht="15" thickBot="1" x14ac:dyDescent="0.3">
      <c r="A535" s="3" t="s">
        <v>11</v>
      </c>
      <c r="B535" s="4">
        <v>84920</v>
      </c>
      <c r="C535" s="3" t="s">
        <v>9</v>
      </c>
      <c r="D535" s="18">
        <v>0.16</v>
      </c>
      <c r="E535" s="21">
        <v>1.2445137919713467E-2</v>
      </c>
      <c r="F535" s="5">
        <v>31355</v>
      </c>
      <c r="G535" s="5">
        <v>31720</v>
      </c>
      <c r="H535" s="16">
        <v>365</v>
      </c>
      <c r="I535" s="5">
        <v>31720</v>
      </c>
      <c r="J535" s="5">
        <v>32507</v>
      </c>
      <c r="K535" s="16">
        <v>1152</v>
      </c>
      <c r="L535" s="13">
        <v>426.34</v>
      </c>
      <c r="M535" s="15">
        <v>37.978684452594081</v>
      </c>
      <c r="N535" s="13">
        <v>426.34</v>
      </c>
      <c r="O535" s="13">
        <v>0</v>
      </c>
      <c r="P535" s="11">
        <v>0</v>
      </c>
    </row>
    <row r="536" spans="1:16" ht="15" thickBot="1" x14ac:dyDescent="0.3">
      <c r="A536" s="3" t="s">
        <v>11</v>
      </c>
      <c r="B536" s="4">
        <v>437977</v>
      </c>
      <c r="C536" s="3" t="s">
        <v>9</v>
      </c>
      <c r="D536" s="18">
        <v>0.16</v>
      </c>
      <c r="E536" s="21">
        <v>1.2445137919713467E-2</v>
      </c>
      <c r="F536" s="5">
        <v>31358</v>
      </c>
      <c r="G536" s="5">
        <v>32454</v>
      </c>
      <c r="H536" s="16">
        <v>1096</v>
      </c>
      <c r="I536" s="5">
        <v>32454</v>
      </c>
      <c r="J536" s="5">
        <v>32388</v>
      </c>
      <c r="K536" s="16">
        <v>1030</v>
      </c>
      <c r="L536" s="13">
        <v>1100</v>
      </c>
      <c r="M536" s="15">
        <v>37.655021213784572</v>
      </c>
      <c r="N536" s="13">
        <v>1100</v>
      </c>
      <c r="O536" s="13">
        <v>0</v>
      </c>
      <c r="P536" s="11">
        <v>0</v>
      </c>
    </row>
    <row r="537" spans="1:16" ht="15" thickBot="1" x14ac:dyDescent="0.3">
      <c r="A537" s="3" t="s">
        <v>11</v>
      </c>
      <c r="B537" s="4">
        <v>258246</v>
      </c>
      <c r="C537" s="3" t="s">
        <v>9</v>
      </c>
      <c r="D537" s="18">
        <v>0.16</v>
      </c>
      <c r="E537" s="21">
        <v>1.2445137919713467E-2</v>
      </c>
      <c r="F537" s="5">
        <v>31363</v>
      </c>
      <c r="G537" s="5">
        <v>32093</v>
      </c>
      <c r="H537" s="16">
        <v>730</v>
      </c>
      <c r="I537" s="5">
        <v>32093</v>
      </c>
      <c r="J537" s="5">
        <v>31898</v>
      </c>
      <c r="K537" s="16">
        <v>535</v>
      </c>
      <c r="L537" s="13">
        <v>2000</v>
      </c>
      <c r="M537" s="15">
        <v>95.77062201165262</v>
      </c>
      <c r="N537" s="13">
        <v>2000</v>
      </c>
      <c r="O537" s="13">
        <v>0</v>
      </c>
      <c r="P537" s="11">
        <v>0</v>
      </c>
    </row>
    <row r="538" spans="1:16" ht="15" thickBot="1" x14ac:dyDescent="0.3">
      <c r="A538" s="3" t="s">
        <v>11</v>
      </c>
      <c r="B538" s="4">
        <v>479699</v>
      </c>
      <c r="C538" s="3" t="s">
        <v>9</v>
      </c>
      <c r="D538" s="18">
        <v>0.16</v>
      </c>
      <c r="E538" s="21">
        <v>1.2445137919713467E-2</v>
      </c>
      <c r="F538" s="5">
        <v>31365</v>
      </c>
      <c r="G538" s="5">
        <v>32461</v>
      </c>
      <c r="H538" s="16">
        <v>1096</v>
      </c>
      <c r="I538" s="5">
        <v>32461</v>
      </c>
      <c r="J538" s="5">
        <v>32686</v>
      </c>
      <c r="K538" s="16">
        <v>1321</v>
      </c>
      <c r="L538" s="13">
        <v>2100</v>
      </c>
      <c r="M538" s="15">
        <v>71.886858680861451</v>
      </c>
      <c r="N538" s="13">
        <v>2100</v>
      </c>
      <c r="O538" s="13">
        <v>0</v>
      </c>
      <c r="P538" s="11">
        <v>0</v>
      </c>
    </row>
    <row r="539" spans="1:16" ht="15" thickBot="1" x14ac:dyDescent="0.3">
      <c r="A539" s="3" t="s">
        <v>11</v>
      </c>
      <c r="B539" s="4">
        <v>914666</v>
      </c>
      <c r="C539" s="3" t="s">
        <v>9</v>
      </c>
      <c r="D539" s="18">
        <v>0.16</v>
      </c>
      <c r="E539" s="21">
        <v>1.2445137919713467E-2</v>
      </c>
      <c r="F539" s="5">
        <v>31359</v>
      </c>
      <c r="G539" s="5">
        <v>32119</v>
      </c>
      <c r="H539" s="16">
        <v>760</v>
      </c>
      <c r="I539" s="5">
        <v>32119</v>
      </c>
      <c r="J539" s="5">
        <v>32861</v>
      </c>
      <c r="K539" s="16">
        <v>1502</v>
      </c>
      <c r="L539" s="13">
        <v>1200</v>
      </c>
      <c r="M539" s="15">
        <v>55.518957805510411</v>
      </c>
      <c r="N539" s="13">
        <v>1200</v>
      </c>
      <c r="O539" s="13">
        <v>0</v>
      </c>
      <c r="P539" s="11">
        <v>0</v>
      </c>
    </row>
    <row r="540" spans="1:16" ht="15" thickBot="1" x14ac:dyDescent="0.3">
      <c r="A540" s="3" t="s">
        <v>11</v>
      </c>
      <c r="B540" s="4">
        <v>787455</v>
      </c>
      <c r="C540" s="3" t="s">
        <v>9</v>
      </c>
      <c r="D540" s="18">
        <v>0.16500000000000001</v>
      </c>
      <c r="E540" s="21">
        <v>1.2808087081983555E-2</v>
      </c>
      <c r="F540" s="5">
        <v>31390</v>
      </c>
      <c r="G540" s="5">
        <v>31978</v>
      </c>
      <c r="H540" s="16">
        <v>588</v>
      </c>
      <c r="I540" s="5">
        <v>31978</v>
      </c>
      <c r="J540" s="5">
        <v>33977</v>
      </c>
      <c r="K540" s="16">
        <v>2587</v>
      </c>
      <c r="L540" s="13">
        <v>1717.72</v>
      </c>
      <c r="M540" s="15">
        <v>99.656037198317776</v>
      </c>
      <c r="N540" s="13">
        <v>1717.72</v>
      </c>
      <c r="O540" s="13">
        <v>0</v>
      </c>
      <c r="P540" s="11">
        <v>0</v>
      </c>
    </row>
    <row r="541" spans="1:16" ht="15" thickBot="1" x14ac:dyDescent="0.3">
      <c r="A541" s="3" t="s">
        <v>11</v>
      </c>
      <c r="B541" s="4">
        <v>890372</v>
      </c>
      <c r="C541" s="3" t="s">
        <v>9</v>
      </c>
      <c r="D541" s="18">
        <v>0.16</v>
      </c>
      <c r="E541" s="21">
        <v>1.2445137919713467E-2</v>
      </c>
      <c r="F541" s="5">
        <v>31384</v>
      </c>
      <c r="G541" s="5">
        <v>32845</v>
      </c>
      <c r="H541" s="16">
        <v>1461</v>
      </c>
      <c r="I541" s="5">
        <v>32845</v>
      </c>
      <c r="J541" s="5">
        <v>31905</v>
      </c>
      <c r="K541" s="16">
        <v>521</v>
      </c>
      <c r="L541" s="13">
        <v>2075</v>
      </c>
      <c r="M541" s="15">
        <v>57.072660067975207</v>
      </c>
      <c r="N541" s="13">
        <v>2075</v>
      </c>
      <c r="O541" s="13">
        <v>0</v>
      </c>
      <c r="P541" s="11">
        <v>0</v>
      </c>
    </row>
    <row r="542" spans="1:16" ht="15" thickBot="1" x14ac:dyDescent="0.3">
      <c r="A542" s="3" t="s">
        <v>11</v>
      </c>
      <c r="B542" s="4">
        <v>890645</v>
      </c>
      <c r="C542" s="3" t="s">
        <v>9</v>
      </c>
      <c r="D542" s="18">
        <v>0.16</v>
      </c>
      <c r="E542" s="21">
        <v>1.2445137919713467E-2</v>
      </c>
      <c r="F542" s="5">
        <v>31389</v>
      </c>
      <c r="G542" s="5">
        <v>32850</v>
      </c>
      <c r="H542" s="16">
        <v>1461</v>
      </c>
      <c r="I542" s="5">
        <v>32850</v>
      </c>
      <c r="J542" s="5">
        <v>33333</v>
      </c>
      <c r="K542" s="16">
        <v>1944</v>
      </c>
      <c r="L542" s="13">
        <v>6111.04</v>
      </c>
      <c r="M542" s="15">
        <v>168.08352220809601</v>
      </c>
      <c r="N542" s="13">
        <v>6111.04</v>
      </c>
      <c r="O542" s="13">
        <v>0</v>
      </c>
      <c r="P542" s="11">
        <v>0</v>
      </c>
    </row>
    <row r="543" spans="1:16" ht="15" thickBot="1" x14ac:dyDescent="0.3">
      <c r="A543" s="3" t="s">
        <v>11</v>
      </c>
      <c r="B543" s="4">
        <v>409433</v>
      </c>
      <c r="C543" s="3" t="s">
        <v>9</v>
      </c>
      <c r="D543" s="18">
        <v>0.16</v>
      </c>
      <c r="E543" s="21">
        <v>1.2445137919713467E-2</v>
      </c>
      <c r="F543" s="5">
        <v>31402</v>
      </c>
      <c r="G543" s="5">
        <v>32863</v>
      </c>
      <c r="H543" s="16">
        <v>1461</v>
      </c>
      <c r="I543" s="5">
        <v>32863</v>
      </c>
      <c r="J543" s="5">
        <v>32763</v>
      </c>
      <c r="K543" s="16">
        <v>1361</v>
      </c>
      <c r="L543" s="13">
        <v>4044.77</v>
      </c>
      <c r="M543" s="15">
        <v>111.25097988585257</v>
      </c>
      <c r="N543" s="13">
        <v>3944.77</v>
      </c>
      <c r="O543" s="13">
        <v>0</v>
      </c>
      <c r="P543" s="11">
        <v>0</v>
      </c>
    </row>
    <row r="544" spans="1:16" ht="15" thickBot="1" x14ac:dyDescent="0.3">
      <c r="A544" s="3" t="s">
        <v>11</v>
      </c>
      <c r="B544" s="4">
        <v>961487</v>
      </c>
      <c r="C544" s="3" t="s">
        <v>9</v>
      </c>
      <c r="D544" s="18">
        <v>0.16</v>
      </c>
      <c r="E544" s="21">
        <v>1.2445137919713467E-2</v>
      </c>
      <c r="F544" s="5">
        <v>31396</v>
      </c>
      <c r="G544" s="5">
        <v>32704</v>
      </c>
      <c r="H544" s="16">
        <v>1308</v>
      </c>
      <c r="I544" s="5">
        <v>32704</v>
      </c>
      <c r="J544" s="5">
        <v>31717</v>
      </c>
      <c r="K544" s="16">
        <v>321</v>
      </c>
      <c r="L544" s="13">
        <v>6606.99</v>
      </c>
      <c r="M544" s="15">
        <v>197.26718114112415</v>
      </c>
      <c r="N544" s="13">
        <v>6606.99</v>
      </c>
      <c r="O544" s="13">
        <v>0</v>
      </c>
      <c r="P544" s="11">
        <v>0</v>
      </c>
    </row>
    <row r="545" spans="1:16" ht="15" thickBot="1" x14ac:dyDescent="0.3">
      <c r="A545" s="3" t="s">
        <v>11</v>
      </c>
      <c r="B545" s="4">
        <v>914128</v>
      </c>
      <c r="C545" s="3" t="s">
        <v>9</v>
      </c>
      <c r="D545" s="18">
        <v>0.16</v>
      </c>
      <c r="E545" s="21">
        <v>1.2445137919713467E-2</v>
      </c>
      <c r="F545" s="5">
        <v>31427</v>
      </c>
      <c r="G545" s="5">
        <v>32888</v>
      </c>
      <c r="H545" s="16">
        <v>1461</v>
      </c>
      <c r="I545" s="5">
        <v>32888</v>
      </c>
      <c r="J545" s="5">
        <v>31467</v>
      </c>
      <c r="K545" s="16">
        <v>40</v>
      </c>
      <c r="L545" s="13">
        <v>8272.99</v>
      </c>
      <c r="M545" s="15">
        <v>227.54773301964252</v>
      </c>
      <c r="N545" s="13">
        <v>8272.99</v>
      </c>
      <c r="O545" s="13">
        <v>0</v>
      </c>
      <c r="P545" s="11">
        <v>0</v>
      </c>
    </row>
    <row r="546" spans="1:16" ht="15" thickBot="1" x14ac:dyDescent="0.3">
      <c r="A546" s="3" t="s">
        <v>11</v>
      </c>
      <c r="B546" s="4">
        <v>594096</v>
      </c>
      <c r="C546" s="3" t="s">
        <v>9</v>
      </c>
      <c r="D546" s="18">
        <v>0.16</v>
      </c>
      <c r="E546" s="21">
        <v>1.2445137919713467E-2</v>
      </c>
      <c r="F546" s="5">
        <v>31427</v>
      </c>
      <c r="G546" s="5">
        <v>32888</v>
      </c>
      <c r="H546" s="16">
        <v>1461</v>
      </c>
      <c r="I546" s="5">
        <v>32888</v>
      </c>
      <c r="J546" s="5">
        <v>31427</v>
      </c>
      <c r="K546" s="16">
        <v>0</v>
      </c>
      <c r="L546" s="13">
        <v>5087.72</v>
      </c>
      <c r="M546" s="15">
        <v>139.93721160531993</v>
      </c>
      <c r="N546" s="13">
        <v>5087.72</v>
      </c>
      <c r="O546" s="13">
        <v>0</v>
      </c>
      <c r="P546" s="11">
        <v>0</v>
      </c>
    </row>
    <row r="547" spans="1:16" ht="15" thickBot="1" x14ac:dyDescent="0.3">
      <c r="A547" s="3" t="s">
        <v>11</v>
      </c>
      <c r="B547" s="4">
        <v>602090</v>
      </c>
      <c r="C547" s="3" t="s">
        <v>9</v>
      </c>
      <c r="D547" s="18">
        <v>0.16</v>
      </c>
      <c r="E547" s="21">
        <v>1.2445137919713467E-2</v>
      </c>
      <c r="F547" s="5">
        <v>31446</v>
      </c>
      <c r="G547" s="5">
        <v>33088</v>
      </c>
      <c r="H547" s="16">
        <v>1642</v>
      </c>
      <c r="I547" s="5">
        <v>33088</v>
      </c>
      <c r="J547" s="5">
        <v>32388</v>
      </c>
      <c r="K547" s="16">
        <v>942</v>
      </c>
      <c r="L547" s="13">
        <v>1688.2</v>
      </c>
      <c r="M547" s="15">
        <v>42.716849954807898</v>
      </c>
      <c r="N547" s="13">
        <v>1688.2</v>
      </c>
      <c r="O547" s="13">
        <v>0</v>
      </c>
      <c r="P547" s="11">
        <v>0</v>
      </c>
    </row>
    <row r="548" spans="1:16" ht="15" thickBot="1" x14ac:dyDescent="0.3">
      <c r="A548" s="3" t="s">
        <v>11</v>
      </c>
      <c r="B548" s="4">
        <v>311982</v>
      </c>
      <c r="C548" s="3" t="s">
        <v>9</v>
      </c>
      <c r="D548" s="18">
        <v>0.16</v>
      </c>
      <c r="E548" s="21">
        <v>1.2445137919713467E-2</v>
      </c>
      <c r="F548" s="5">
        <v>31424</v>
      </c>
      <c r="G548" s="5">
        <v>32887</v>
      </c>
      <c r="H548" s="16">
        <v>1463</v>
      </c>
      <c r="I548" s="5">
        <v>32887</v>
      </c>
      <c r="J548" s="5">
        <v>32854</v>
      </c>
      <c r="K548" s="16">
        <v>1430</v>
      </c>
      <c r="L548" s="13">
        <v>4275</v>
      </c>
      <c r="M548" s="15">
        <v>117.46627407026907</v>
      </c>
      <c r="N548" s="13">
        <v>4275</v>
      </c>
      <c r="O548" s="13">
        <v>0</v>
      </c>
      <c r="P548" s="11">
        <v>0</v>
      </c>
    </row>
    <row r="549" spans="1:16" ht="15" thickBot="1" x14ac:dyDescent="0.3">
      <c r="A549" s="3" t="s">
        <v>11</v>
      </c>
      <c r="B549" s="4">
        <v>809947</v>
      </c>
      <c r="C549" s="3" t="s">
        <v>9</v>
      </c>
      <c r="D549" s="18">
        <v>0.16</v>
      </c>
      <c r="E549" s="21">
        <v>1.2445137919713467E-2</v>
      </c>
      <c r="F549" s="5">
        <v>31443</v>
      </c>
      <c r="G549" s="5">
        <v>32904</v>
      </c>
      <c r="H549" s="16">
        <v>1461</v>
      </c>
      <c r="I549" s="5">
        <v>32904</v>
      </c>
      <c r="J549" s="5">
        <v>31903</v>
      </c>
      <c r="K549" s="16">
        <v>460</v>
      </c>
      <c r="L549" s="13">
        <v>2125</v>
      </c>
      <c r="M549" s="15">
        <v>58.447904888890271</v>
      </c>
      <c r="N549" s="13">
        <v>2125</v>
      </c>
      <c r="O549" s="13">
        <v>0</v>
      </c>
      <c r="P549" s="11">
        <v>0</v>
      </c>
    </row>
    <row r="550" spans="1:16" ht="15" thickBot="1" x14ac:dyDescent="0.3">
      <c r="A550" s="3" t="s">
        <v>11</v>
      </c>
      <c r="B550" s="4">
        <v>564389</v>
      </c>
      <c r="C550" s="3" t="s">
        <v>9</v>
      </c>
      <c r="D550" s="18">
        <v>0.16</v>
      </c>
      <c r="E550" s="21">
        <v>1.2445137919713467E-2</v>
      </c>
      <c r="F550" s="5">
        <v>31454</v>
      </c>
      <c r="G550" s="5">
        <v>31999</v>
      </c>
      <c r="H550" s="16">
        <v>545</v>
      </c>
      <c r="I550" s="5">
        <v>31999</v>
      </c>
      <c r="J550" s="5">
        <v>31763</v>
      </c>
      <c r="K550" s="16">
        <v>309</v>
      </c>
      <c r="L550" s="13">
        <v>866.34</v>
      </c>
      <c r="M550" s="15">
        <v>53.577143990337575</v>
      </c>
      <c r="N550" s="13">
        <v>866.34</v>
      </c>
      <c r="O550" s="13">
        <v>0</v>
      </c>
      <c r="P550" s="11">
        <v>0</v>
      </c>
    </row>
    <row r="551" spans="1:16" ht="15" thickBot="1" x14ac:dyDescent="0.3">
      <c r="A551" s="3" t="s">
        <v>11</v>
      </c>
      <c r="B551" s="4">
        <v>253733</v>
      </c>
      <c r="C551" s="3" t="s">
        <v>9</v>
      </c>
      <c r="D551" s="18">
        <v>0.16</v>
      </c>
      <c r="E551" s="21">
        <v>1.2445137919713467E-2</v>
      </c>
      <c r="F551" s="5">
        <v>31483</v>
      </c>
      <c r="G551" s="5">
        <v>32214</v>
      </c>
      <c r="H551" s="16">
        <v>731</v>
      </c>
      <c r="I551" s="5">
        <v>32214</v>
      </c>
      <c r="J551" s="5">
        <v>31905</v>
      </c>
      <c r="K551" s="16">
        <v>422</v>
      </c>
      <c r="L551" s="13">
        <v>825</v>
      </c>
      <c r="M551" s="15">
        <v>39.459064270504086</v>
      </c>
      <c r="N551" s="13">
        <v>825</v>
      </c>
      <c r="O551" s="13">
        <v>0</v>
      </c>
      <c r="P551" s="11">
        <v>0</v>
      </c>
    </row>
    <row r="552" spans="1:16" ht="15" thickBot="1" x14ac:dyDescent="0.3">
      <c r="A552" s="3" t="s">
        <v>11</v>
      </c>
      <c r="B552" s="4">
        <v>656017</v>
      </c>
      <c r="C552" s="3" t="s">
        <v>9</v>
      </c>
      <c r="D552" s="18">
        <v>0.16</v>
      </c>
      <c r="E552" s="21">
        <v>1.2445137919713467E-2</v>
      </c>
      <c r="F552" s="5">
        <v>31478</v>
      </c>
      <c r="G552" s="5">
        <v>32939</v>
      </c>
      <c r="H552" s="16">
        <v>1461</v>
      </c>
      <c r="I552" s="5">
        <v>32939</v>
      </c>
      <c r="J552" s="5">
        <v>32233</v>
      </c>
      <c r="K552" s="16">
        <v>755</v>
      </c>
      <c r="L552" s="13">
        <v>1000</v>
      </c>
      <c r="M552" s="15">
        <v>27.504896418301307</v>
      </c>
      <c r="N552" s="13">
        <v>1000</v>
      </c>
      <c r="O552" s="13">
        <v>0</v>
      </c>
      <c r="P552" s="11">
        <v>0</v>
      </c>
    </row>
    <row r="553" spans="1:16" ht="15" thickBot="1" x14ac:dyDescent="0.3">
      <c r="A553" s="3" t="s">
        <v>11</v>
      </c>
      <c r="B553" s="4">
        <v>404806</v>
      </c>
      <c r="C553" s="3" t="s">
        <v>9</v>
      </c>
      <c r="D553" s="18">
        <v>0.16</v>
      </c>
      <c r="E553" s="21">
        <v>1.2445137919713467E-2</v>
      </c>
      <c r="F553" s="5">
        <v>31468</v>
      </c>
      <c r="G553" s="5">
        <v>32929</v>
      </c>
      <c r="H553" s="16">
        <v>1461</v>
      </c>
      <c r="I553" s="5">
        <v>32929</v>
      </c>
      <c r="J553" s="5">
        <v>32227</v>
      </c>
      <c r="K553" s="16">
        <v>759</v>
      </c>
      <c r="L553" s="13">
        <v>4774.28</v>
      </c>
      <c r="M553" s="15">
        <v>131.31607687196757</v>
      </c>
      <c r="N553" s="13">
        <v>4774.28</v>
      </c>
      <c r="O553" s="13">
        <v>0</v>
      </c>
      <c r="P553" s="11">
        <v>0</v>
      </c>
    </row>
    <row r="554" spans="1:16" ht="15" thickBot="1" x14ac:dyDescent="0.3">
      <c r="A554" s="3" t="s">
        <v>11</v>
      </c>
      <c r="B554" s="4">
        <v>396276</v>
      </c>
      <c r="C554" s="3" t="s">
        <v>9</v>
      </c>
      <c r="D554" s="18">
        <v>0.16</v>
      </c>
      <c r="E554" s="21">
        <v>1.2445137919713467E-2</v>
      </c>
      <c r="F554" s="5">
        <v>31481</v>
      </c>
      <c r="G554" s="5">
        <v>32212</v>
      </c>
      <c r="H554" s="16">
        <v>731</v>
      </c>
      <c r="I554" s="5">
        <v>32212</v>
      </c>
      <c r="J554" s="5">
        <v>32388</v>
      </c>
      <c r="K554" s="16">
        <v>907</v>
      </c>
      <c r="L554" s="13">
        <v>2062.59</v>
      </c>
      <c r="M554" s="15">
        <v>98.651965301453373</v>
      </c>
      <c r="N554" s="13">
        <v>2062.59</v>
      </c>
      <c r="O554" s="13">
        <v>0</v>
      </c>
      <c r="P554" s="11">
        <v>0</v>
      </c>
    </row>
    <row r="555" spans="1:16" ht="15" thickBot="1" x14ac:dyDescent="0.3">
      <c r="A555" s="3" t="s">
        <v>11</v>
      </c>
      <c r="B555" s="4">
        <v>76468</v>
      </c>
      <c r="C555" s="3" t="s">
        <v>9</v>
      </c>
      <c r="D555" s="18">
        <v>0.16</v>
      </c>
      <c r="E555" s="21">
        <v>1.2445137919713467E-2</v>
      </c>
      <c r="F555" s="5">
        <v>31497</v>
      </c>
      <c r="G555" s="5">
        <v>32572</v>
      </c>
      <c r="H555" s="16">
        <v>1075</v>
      </c>
      <c r="I555" s="5">
        <v>32572</v>
      </c>
      <c r="J555" s="5">
        <v>31764</v>
      </c>
      <c r="K555" s="16">
        <v>267</v>
      </c>
      <c r="L555" s="13">
        <v>4855.17</v>
      </c>
      <c r="M555" s="15">
        <v>168.77047740360595</v>
      </c>
      <c r="N555" s="13">
        <v>4855.17</v>
      </c>
      <c r="O555" s="13">
        <v>0</v>
      </c>
      <c r="P555" s="11">
        <v>0</v>
      </c>
    </row>
    <row r="556" spans="1:16" ht="15" thickBot="1" x14ac:dyDescent="0.3">
      <c r="A556" s="3" t="s">
        <v>11</v>
      </c>
      <c r="B556" s="4">
        <v>221830</v>
      </c>
      <c r="C556" s="3" t="s">
        <v>9</v>
      </c>
      <c r="D556" s="18">
        <v>0.16</v>
      </c>
      <c r="E556" s="21">
        <v>1.2445137919713467E-2</v>
      </c>
      <c r="F556" s="5">
        <v>31481</v>
      </c>
      <c r="G556" s="5">
        <v>32942</v>
      </c>
      <c r="H556" s="16">
        <v>1461</v>
      </c>
      <c r="I556" s="5">
        <v>32942</v>
      </c>
      <c r="J556" s="5">
        <v>32388</v>
      </c>
      <c r="K556" s="16">
        <v>907</v>
      </c>
      <c r="L556" s="13">
        <v>1558.56</v>
      </c>
      <c r="M556" s="15">
        <v>42.868031361707679</v>
      </c>
      <c r="N556" s="13">
        <v>1558.56</v>
      </c>
      <c r="O556" s="13">
        <v>0</v>
      </c>
      <c r="P556" s="11">
        <v>0</v>
      </c>
    </row>
    <row r="557" spans="1:16" ht="15" thickBot="1" x14ac:dyDescent="0.3">
      <c r="A557" s="3" t="s">
        <v>11</v>
      </c>
      <c r="B557" s="4">
        <v>643325</v>
      </c>
      <c r="C557" s="3" t="s">
        <v>9</v>
      </c>
      <c r="D557" s="18">
        <v>0.16</v>
      </c>
      <c r="E557" s="21">
        <v>1.2445137919713467E-2</v>
      </c>
      <c r="F557" s="5">
        <v>31499</v>
      </c>
      <c r="G557" s="5">
        <v>32960</v>
      </c>
      <c r="H557" s="16">
        <v>1461</v>
      </c>
      <c r="I557" s="5">
        <v>32960</v>
      </c>
      <c r="J557" s="5">
        <v>32924</v>
      </c>
      <c r="K557" s="16">
        <v>1425</v>
      </c>
      <c r="L557" s="13">
        <v>18.489999999999998</v>
      </c>
      <c r="M557" s="15">
        <v>0.50856553477439104</v>
      </c>
      <c r="N557" s="13">
        <v>18.489999999999998</v>
      </c>
      <c r="O557" s="13">
        <v>0</v>
      </c>
      <c r="P557" s="11">
        <v>0</v>
      </c>
    </row>
    <row r="558" spans="1:16" ht="15" thickBot="1" x14ac:dyDescent="0.3">
      <c r="A558" s="3" t="s">
        <v>11</v>
      </c>
      <c r="B558" s="4">
        <v>859401</v>
      </c>
      <c r="C558" s="3" t="s">
        <v>9</v>
      </c>
      <c r="D558" s="18">
        <v>0.16</v>
      </c>
      <c r="E558" s="21">
        <v>1.2445137919713467E-2</v>
      </c>
      <c r="F558" s="5">
        <v>31537</v>
      </c>
      <c r="G558" s="5">
        <v>32452</v>
      </c>
      <c r="H558" s="16">
        <v>915</v>
      </c>
      <c r="I558" s="5">
        <v>32452</v>
      </c>
      <c r="J558" s="5">
        <v>32260</v>
      </c>
      <c r="K558" s="16">
        <v>723</v>
      </c>
      <c r="L558" s="13">
        <v>2726.07</v>
      </c>
      <c r="M558" s="15">
        <v>107.96151837438471</v>
      </c>
      <c r="N558" s="13">
        <v>2726.07</v>
      </c>
      <c r="O558" s="13">
        <v>0</v>
      </c>
      <c r="P558" s="11">
        <v>0</v>
      </c>
    </row>
    <row r="559" spans="1:16" ht="15" thickBot="1" x14ac:dyDescent="0.3">
      <c r="A559" s="3" t="s">
        <v>11</v>
      </c>
      <c r="B559" s="4">
        <v>961616</v>
      </c>
      <c r="C559" s="3" t="s">
        <v>9</v>
      </c>
      <c r="D559" s="18">
        <v>0.16</v>
      </c>
      <c r="E559" s="21">
        <v>1.2445137919713467E-2</v>
      </c>
      <c r="F559" s="5">
        <v>31537</v>
      </c>
      <c r="G559" s="5">
        <v>32086</v>
      </c>
      <c r="H559" s="16">
        <v>549</v>
      </c>
      <c r="I559" s="5">
        <v>32086</v>
      </c>
      <c r="J559" s="5">
        <v>32507</v>
      </c>
      <c r="K559" s="16">
        <v>970</v>
      </c>
      <c r="L559" s="13">
        <v>3048.15</v>
      </c>
      <c r="M559" s="15">
        <v>187.28212865160282</v>
      </c>
      <c r="N559" s="13">
        <v>3048.15</v>
      </c>
      <c r="O559" s="13">
        <v>0</v>
      </c>
      <c r="P559" s="11">
        <v>0</v>
      </c>
    </row>
    <row r="560" spans="1:16" ht="15" thickBot="1" x14ac:dyDescent="0.3">
      <c r="A560" s="3" t="s">
        <v>11</v>
      </c>
      <c r="B560" s="4">
        <v>277640</v>
      </c>
      <c r="C560" s="3" t="s">
        <v>9</v>
      </c>
      <c r="D560" s="18">
        <v>0.16</v>
      </c>
      <c r="E560" s="21">
        <v>1.2445137919713467E-2</v>
      </c>
      <c r="F560" s="5">
        <v>31525</v>
      </c>
      <c r="G560" s="5">
        <v>31800</v>
      </c>
      <c r="H560" s="16">
        <v>275</v>
      </c>
      <c r="I560" s="5">
        <v>31800</v>
      </c>
      <c r="J560" s="5">
        <v>32562</v>
      </c>
      <c r="K560" s="16">
        <v>1037</v>
      </c>
      <c r="L560" s="13">
        <v>495.6</v>
      </c>
      <c r="M560" s="15">
        <v>57.543353431664094</v>
      </c>
      <c r="N560" s="13">
        <v>495.6</v>
      </c>
      <c r="O560" s="13">
        <v>0</v>
      </c>
      <c r="P560" s="11">
        <v>0</v>
      </c>
    </row>
    <row r="561" spans="1:16" ht="15" thickBot="1" x14ac:dyDescent="0.3">
      <c r="A561" s="3" t="s">
        <v>11</v>
      </c>
      <c r="B561" s="4">
        <v>636069</v>
      </c>
      <c r="C561" s="3" t="s">
        <v>9</v>
      </c>
      <c r="D561" s="18">
        <v>0.16</v>
      </c>
      <c r="E561" s="21">
        <v>1.2445137919713467E-2</v>
      </c>
      <c r="F561" s="5">
        <v>31552</v>
      </c>
      <c r="G561" s="5">
        <v>33021</v>
      </c>
      <c r="H561" s="16">
        <v>1469</v>
      </c>
      <c r="I561" s="5">
        <v>33021</v>
      </c>
      <c r="J561" s="5">
        <v>32498</v>
      </c>
      <c r="K561" s="16">
        <v>946</v>
      </c>
      <c r="L561" s="13">
        <v>986.02</v>
      </c>
      <c r="M561" s="15">
        <v>27.012743610660319</v>
      </c>
      <c r="N561" s="13">
        <v>986.02</v>
      </c>
      <c r="O561" s="13">
        <v>0</v>
      </c>
      <c r="P561" s="11">
        <v>0</v>
      </c>
    </row>
    <row r="562" spans="1:16" ht="15" thickBot="1" x14ac:dyDescent="0.3">
      <c r="A562" s="3" t="s">
        <v>11</v>
      </c>
      <c r="B562" s="4">
        <v>877612</v>
      </c>
      <c r="C562" s="3" t="s">
        <v>9</v>
      </c>
      <c r="D562" s="18">
        <v>0.16</v>
      </c>
      <c r="E562" s="21">
        <v>1.2445137919713467E-2</v>
      </c>
      <c r="F562" s="5">
        <v>31552</v>
      </c>
      <c r="G562" s="5">
        <v>32832</v>
      </c>
      <c r="H562" s="16">
        <v>1280</v>
      </c>
      <c r="I562" s="5">
        <v>32832</v>
      </c>
      <c r="J562" s="5">
        <v>32601</v>
      </c>
      <c r="K562" s="16">
        <v>1049</v>
      </c>
      <c r="L562" s="13">
        <v>2023.47</v>
      </c>
      <c r="M562" s="15">
        <v>61.413078174219173</v>
      </c>
      <c r="N562" s="13">
        <v>2023.47</v>
      </c>
      <c r="O562" s="13">
        <v>0</v>
      </c>
      <c r="P562" s="11">
        <v>0</v>
      </c>
    </row>
    <row r="563" spans="1:16" ht="15" thickBot="1" x14ac:dyDescent="0.3">
      <c r="A563" s="3" t="s">
        <v>11</v>
      </c>
      <c r="B563" s="4">
        <v>855200</v>
      </c>
      <c r="C563" s="3" t="s">
        <v>9</v>
      </c>
      <c r="D563" s="18">
        <v>0.15</v>
      </c>
      <c r="E563" s="21">
        <v>1.171491691985338E-2</v>
      </c>
      <c r="F563" s="5">
        <v>31542</v>
      </c>
      <c r="G563" s="5">
        <v>33003</v>
      </c>
      <c r="H563" s="16">
        <v>1461</v>
      </c>
      <c r="I563" s="5">
        <v>33003</v>
      </c>
      <c r="J563" s="5">
        <v>32233</v>
      </c>
      <c r="K563" s="16">
        <v>691</v>
      </c>
      <c r="L563" s="13">
        <v>1500</v>
      </c>
      <c r="M563" s="15">
        <v>40.593242057923156</v>
      </c>
      <c r="N563" s="13">
        <v>1500</v>
      </c>
      <c r="O563" s="13">
        <v>0</v>
      </c>
      <c r="P563" s="11">
        <v>0</v>
      </c>
    </row>
    <row r="564" spans="1:16" ht="15" thickBot="1" x14ac:dyDescent="0.3">
      <c r="A564" s="3" t="s">
        <v>11</v>
      </c>
      <c r="B564" s="4">
        <v>347023</v>
      </c>
      <c r="C564" s="3" t="s">
        <v>9</v>
      </c>
      <c r="D564" s="18">
        <v>0.16</v>
      </c>
      <c r="E564" s="21">
        <v>1.2445137919713467E-2</v>
      </c>
      <c r="F564" s="5">
        <v>31569</v>
      </c>
      <c r="G564" s="5">
        <v>32056</v>
      </c>
      <c r="H564" s="16">
        <v>487</v>
      </c>
      <c r="I564" s="5">
        <v>32056</v>
      </c>
      <c r="J564" s="5">
        <v>31905</v>
      </c>
      <c r="K564" s="16">
        <v>336</v>
      </c>
      <c r="L564" s="13">
        <v>1500</v>
      </c>
      <c r="M564" s="15">
        <v>102.62224403875638</v>
      </c>
      <c r="N564" s="13">
        <v>1500</v>
      </c>
      <c r="O564" s="13">
        <v>0</v>
      </c>
      <c r="P564" s="11">
        <v>0</v>
      </c>
    </row>
    <row r="565" spans="1:16" ht="15" thickBot="1" x14ac:dyDescent="0.3">
      <c r="A565" s="3" t="s">
        <v>11</v>
      </c>
      <c r="B565" s="4">
        <v>437969</v>
      </c>
      <c r="C565" s="3" t="s">
        <v>9</v>
      </c>
      <c r="D565" s="18">
        <v>0.15</v>
      </c>
      <c r="E565" s="21">
        <v>1.171491691985338E-2</v>
      </c>
      <c r="F565" s="5">
        <v>31585</v>
      </c>
      <c r="G565" s="5">
        <v>33046</v>
      </c>
      <c r="H565" s="16">
        <v>1461</v>
      </c>
      <c r="I565" s="5">
        <v>33046</v>
      </c>
      <c r="J565" s="5">
        <v>32388</v>
      </c>
      <c r="K565" s="16">
        <v>803</v>
      </c>
      <c r="L565" s="13">
        <v>1267.5</v>
      </c>
      <c r="M565" s="15">
        <v>34.301289538945063</v>
      </c>
      <c r="N565" s="13">
        <v>1267.5</v>
      </c>
      <c r="O565" s="13">
        <v>0</v>
      </c>
      <c r="P565" s="11">
        <v>0</v>
      </c>
    </row>
    <row r="566" spans="1:16" ht="15" thickBot="1" x14ac:dyDescent="0.3">
      <c r="A566" s="3" t="s">
        <v>11</v>
      </c>
      <c r="B566" s="4">
        <v>249316</v>
      </c>
      <c r="C566" s="3" t="s">
        <v>9</v>
      </c>
      <c r="D566" s="18">
        <v>0.16</v>
      </c>
      <c r="E566" s="21">
        <v>1.2445137919713467E-2</v>
      </c>
      <c r="F566" s="5">
        <v>31602</v>
      </c>
      <c r="G566" s="5">
        <v>33063</v>
      </c>
      <c r="H566" s="16">
        <v>1461</v>
      </c>
      <c r="I566" s="5">
        <v>33063</v>
      </c>
      <c r="J566" s="5">
        <v>33490</v>
      </c>
      <c r="K566" s="16">
        <v>1888</v>
      </c>
      <c r="L566" s="13">
        <v>5514.19</v>
      </c>
      <c r="M566" s="15">
        <v>151.66722478083287</v>
      </c>
      <c r="N566" s="13">
        <v>5514.19</v>
      </c>
      <c r="O566" s="13">
        <v>0</v>
      </c>
      <c r="P566" s="11">
        <v>0</v>
      </c>
    </row>
    <row r="567" spans="1:16" ht="15" thickBot="1" x14ac:dyDescent="0.3">
      <c r="A567" s="3" t="s">
        <v>11</v>
      </c>
      <c r="B567" s="4">
        <v>599558</v>
      </c>
      <c r="C567" s="3" t="s">
        <v>9</v>
      </c>
      <c r="D567" s="18">
        <v>0.16</v>
      </c>
      <c r="E567" s="21">
        <v>1.2445137919713467E-2</v>
      </c>
      <c r="F567" s="5">
        <v>31600</v>
      </c>
      <c r="G567" s="5">
        <v>32331</v>
      </c>
      <c r="H567" s="16">
        <v>731</v>
      </c>
      <c r="I567" s="5">
        <v>32331</v>
      </c>
      <c r="J567" s="5">
        <v>32233</v>
      </c>
      <c r="K567" s="16">
        <v>633</v>
      </c>
      <c r="L567" s="13">
        <v>1000</v>
      </c>
      <c r="M567" s="15">
        <v>47.82916881273222</v>
      </c>
      <c r="N567" s="13">
        <v>1000</v>
      </c>
      <c r="O567" s="13">
        <v>0</v>
      </c>
      <c r="P567" s="11">
        <v>0</v>
      </c>
    </row>
    <row r="568" spans="1:16" ht="15" thickBot="1" x14ac:dyDescent="0.3">
      <c r="A568" s="3" t="s">
        <v>11</v>
      </c>
      <c r="B568" s="4">
        <v>752724</v>
      </c>
      <c r="C568" s="3" t="s">
        <v>9</v>
      </c>
      <c r="D568" s="18">
        <v>0.15</v>
      </c>
      <c r="E568" s="21">
        <v>1.171491691985338E-2</v>
      </c>
      <c r="F568" s="5">
        <v>31607</v>
      </c>
      <c r="G568" s="5">
        <v>32703</v>
      </c>
      <c r="H568" s="16">
        <v>1096</v>
      </c>
      <c r="I568" s="5">
        <v>32703</v>
      </c>
      <c r="J568" s="5">
        <v>31908</v>
      </c>
      <c r="K568" s="16">
        <v>301</v>
      </c>
      <c r="L568" s="13">
        <v>3526.96</v>
      </c>
      <c r="M568" s="15">
        <v>119.22494253023703</v>
      </c>
      <c r="N568" s="13">
        <v>3526.96</v>
      </c>
      <c r="O568" s="13">
        <v>0</v>
      </c>
      <c r="P568" s="11">
        <v>0</v>
      </c>
    </row>
    <row r="569" spans="1:16" ht="15" thickBot="1" x14ac:dyDescent="0.3">
      <c r="A569" s="3" t="s">
        <v>11</v>
      </c>
      <c r="B569" s="4">
        <v>84338</v>
      </c>
      <c r="C569" s="3" t="s">
        <v>9</v>
      </c>
      <c r="D569" s="18">
        <v>0.15</v>
      </c>
      <c r="E569" s="21">
        <v>1.171491691985338E-2</v>
      </c>
      <c r="F569" s="5">
        <v>31594</v>
      </c>
      <c r="G569" s="5">
        <v>33069</v>
      </c>
      <c r="H569" s="16">
        <v>1475</v>
      </c>
      <c r="I569" s="5">
        <v>33069</v>
      </c>
      <c r="J569" s="5">
        <v>32295</v>
      </c>
      <c r="K569" s="16">
        <v>701</v>
      </c>
      <c r="L569" s="13">
        <v>3708.16</v>
      </c>
      <c r="M569" s="15">
        <v>99.643247112467577</v>
      </c>
      <c r="N569" s="13">
        <v>3708.16</v>
      </c>
      <c r="O569" s="13">
        <v>0</v>
      </c>
      <c r="P569" s="11">
        <v>0</v>
      </c>
    </row>
    <row r="570" spans="1:16" ht="15" thickBot="1" x14ac:dyDescent="0.3">
      <c r="A570" s="3" t="s">
        <v>11</v>
      </c>
      <c r="B570" s="4">
        <v>917224</v>
      </c>
      <c r="C570" s="3" t="s">
        <v>9</v>
      </c>
      <c r="D570" s="18">
        <v>0.16</v>
      </c>
      <c r="E570" s="21">
        <v>1.2445137919713467E-2</v>
      </c>
      <c r="F570" s="5">
        <v>31604</v>
      </c>
      <c r="G570" s="5">
        <v>31969</v>
      </c>
      <c r="H570" s="16">
        <v>365</v>
      </c>
      <c r="I570" s="5">
        <v>31969</v>
      </c>
      <c r="J570" s="5">
        <v>31642</v>
      </c>
      <c r="K570" s="16">
        <v>38</v>
      </c>
      <c r="L570" s="13">
        <v>1133.9000000000001</v>
      </c>
      <c r="M570" s="15">
        <v>101.00865576956521</v>
      </c>
      <c r="N570" s="13">
        <v>1133.9000000000001</v>
      </c>
      <c r="O570" s="13">
        <v>0</v>
      </c>
      <c r="P570" s="11">
        <v>0</v>
      </c>
    </row>
    <row r="571" spans="1:16" ht="15" thickBot="1" x14ac:dyDescent="0.3">
      <c r="A571" s="3" t="s">
        <v>11</v>
      </c>
      <c r="B571" s="4">
        <v>862954</v>
      </c>
      <c r="C571" s="3" t="s">
        <v>9</v>
      </c>
      <c r="D571" s="18">
        <v>0.155</v>
      </c>
      <c r="E571" s="21">
        <v>1.20807518477275E-2</v>
      </c>
      <c r="F571" s="5">
        <v>31632</v>
      </c>
      <c r="G571" s="5">
        <v>32089</v>
      </c>
      <c r="H571" s="16">
        <v>457</v>
      </c>
      <c r="I571" s="5">
        <v>32089</v>
      </c>
      <c r="J571" s="5">
        <v>31790</v>
      </c>
      <c r="K571" s="16">
        <v>158</v>
      </c>
      <c r="L571" s="13">
        <v>1915.52</v>
      </c>
      <c r="M571" s="15">
        <v>138.42634743529351</v>
      </c>
      <c r="N571" s="13">
        <v>1915.52</v>
      </c>
      <c r="O571" s="13">
        <v>0</v>
      </c>
      <c r="P571" s="11">
        <v>0</v>
      </c>
    </row>
    <row r="572" spans="1:16" ht="15" thickBot="1" x14ac:dyDescent="0.3">
      <c r="A572" s="3" t="s">
        <v>11</v>
      </c>
      <c r="B572" s="4">
        <v>336095</v>
      </c>
      <c r="C572" s="3" t="s">
        <v>9</v>
      </c>
      <c r="D572" s="18">
        <v>0.15</v>
      </c>
      <c r="E572" s="21">
        <v>1.171491691985338E-2</v>
      </c>
      <c r="F572" s="5">
        <v>31613</v>
      </c>
      <c r="G572" s="5">
        <v>33074</v>
      </c>
      <c r="H572" s="16">
        <v>1461</v>
      </c>
      <c r="I572" s="5">
        <v>33074</v>
      </c>
      <c r="J572" s="5">
        <v>32233</v>
      </c>
      <c r="K572" s="16">
        <v>620</v>
      </c>
      <c r="L572" s="13">
        <v>6000</v>
      </c>
      <c r="M572" s="15">
        <v>162.37296823169262</v>
      </c>
      <c r="N572" s="13">
        <v>6000</v>
      </c>
      <c r="O572" s="13">
        <v>0</v>
      </c>
      <c r="P572" s="11">
        <v>0</v>
      </c>
    </row>
    <row r="573" spans="1:16" ht="15" thickBot="1" x14ac:dyDescent="0.3">
      <c r="A573" s="3" t="s">
        <v>11</v>
      </c>
      <c r="B573" s="4">
        <v>269674</v>
      </c>
      <c r="C573" s="3" t="s">
        <v>9</v>
      </c>
      <c r="D573" s="18">
        <v>0.15</v>
      </c>
      <c r="E573" s="21">
        <v>1.171491691985338E-2</v>
      </c>
      <c r="F573" s="5">
        <v>31653</v>
      </c>
      <c r="G573" s="5">
        <v>33114</v>
      </c>
      <c r="H573" s="16">
        <v>1461</v>
      </c>
      <c r="I573" s="5">
        <v>33114</v>
      </c>
      <c r="J573" s="5">
        <v>33977</v>
      </c>
      <c r="K573" s="16">
        <v>2324</v>
      </c>
      <c r="L573" s="13">
        <v>2740.26</v>
      </c>
      <c r="M573" s="15">
        <v>74.157358321096339</v>
      </c>
      <c r="N573" s="13">
        <v>2740.26</v>
      </c>
      <c r="O573" s="13">
        <v>0</v>
      </c>
      <c r="P573" s="11">
        <v>0</v>
      </c>
    </row>
    <row r="574" spans="1:16" ht="15" thickBot="1" x14ac:dyDescent="0.3">
      <c r="A574" s="3" t="s">
        <v>11</v>
      </c>
      <c r="B574" s="4">
        <v>22327</v>
      </c>
      <c r="C574" s="3" t="s">
        <v>9</v>
      </c>
      <c r="D574" s="18">
        <v>0.155</v>
      </c>
      <c r="E574" s="21">
        <v>1.20807518477275E-2</v>
      </c>
      <c r="F574" s="5">
        <v>31636</v>
      </c>
      <c r="G574" s="5">
        <v>33105</v>
      </c>
      <c r="H574" s="16">
        <v>1469</v>
      </c>
      <c r="I574" s="5">
        <v>33105</v>
      </c>
      <c r="J574" s="5">
        <v>33127</v>
      </c>
      <c r="K574" s="16">
        <v>1491</v>
      </c>
      <c r="L574" s="13">
        <v>608.22</v>
      </c>
      <c r="M574" s="15">
        <v>16.527846126059835</v>
      </c>
      <c r="N574" s="13">
        <v>608.22</v>
      </c>
      <c r="O574" s="13">
        <v>0</v>
      </c>
      <c r="P574" s="11">
        <v>0</v>
      </c>
    </row>
    <row r="575" spans="1:16" ht="15" thickBot="1" x14ac:dyDescent="0.3">
      <c r="A575" s="3" t="s">
        <v>11</v>
      </c>
      <c r="B575" s="4">
        <v>725707</v>
      </c>
      <c r="C575" s="3" t="s">
        <v>9</v>
      </c>
      <c r="D575" s="18">
        <v>0.16</v>
      </c>
      <c r="E575" s="21">
        <v>1.2445137919713467E-2</v>
      </c>
      <c r="F575" s="5">
        <v>31643</v>
      </c>
      <c r="G575" s="5">
        <v>32069</v>
      </c>
      <c r="H575" s="16">
        <v>426</v>
      </c>
      <c r="I575" s="5">
        <v>32069</v>
      </c>
      <c r="J575" s="5">
        <v>31944</v>
      </c>
      <c r="K575" s="16">
        <v>301</v>
      </c>
      <c r="L575" s="13">
        <v>1006.71</v>
      </c>
      <c r="M575" s="15">
        <v>77.782906217762829</v>
      </c>
      <c r="N575" s="13">
        <v>1006.71</v>
      </c>
      <c r="O575" s="13">
        <v>0</v>
      </c>
      <c r="P575" s="11">
        <v>0</v>
      </c>
    </row>
    <row r="576" spans="1:16" ht="15" thickBot="1" x14ac:dyDescent="0.3">
      <c r="A576" s="3" t="s">
        <v>11</v>
      </c>
      <c r="B576" s="4">
        <v>810428</v>
      </c>
      <c r="C576" s="3" t="s">
        <v>9</v>
      </c>
      <c r="D576" s="18">
        <v>0.13</v>
      </c>
      <c r="E576" s="21">
        <v>1.02368443581764E-2</v>
      </c>
      <c r="F576" s="5">
        <v>31692</v>
      </c>
      <c r="G576" s="5">
        <v>33153</v>
      </c>
      <c r="H576" s="16">
        <v>1461</v>
      </c>
      <c r="I576" s="5">
        <v>33153</v>
      </c>
      <c r="J576" s="5">
        <v>33459</v>
      </c>
      <c r="K576" s="16">
        <v>1767</v>
      </c>
      <c r="L576" s="13">
        <v>11346.65</v>
      </c>
      <c r="M576" s="15">
        <v>297.03968108213564</v>
      </c>
      <c r="N576" s="13">
        <v>11346.65</v>
      </c>
      <c r="O576" s="13">
        <v>0</v>
      </c>
      <c r="P576" s="11">
        <v>0</v>
      </c>
    </row>
    <row r="577" spans="1:16" ht="15" thickBot="1" x14ac:dyDescent="0.3">
      <c r="A577" s="3" t="s">
        <v>11</v>
      </c>
      <c r="B577" s="4">
        <v>141855</v>
      </c>
      <c r="C577" s="3" t="s">
        <v>9</v>
      </c>
      <c r="D577" s="18">
        <v>0.155</v>
      </c>
      <c r="E577" s="21">
        <v>1.20807518477275E-2</v>
      </c>
      <c r="F577" s="5">
        <v>31688</v>
      </c>
      <c r="G577" s="5">
        <v>32053</v>
      </c>
      <c r="H577" s="16">
        <v>365</v>
      </c>
      <c r="I577" s="5">
        <v>32053</v>
      </c>
      <c r="J577" s="5">
        <v>31720</v>
      </c>
      <c r="K577" s="16">
        <v>32</v>
      </c>
      <c r="L577" s="13">
        <v>2136.0500000000002</v>
      </c>
      <c r="M577" s="15">
        <v>189.8407281181633</v>
      </c>
      <c r="N577" s="13">
        <v>2136.0500000000002</v>
      </c>
      <c r="O577" s="13">
        <v>0</v>
      </c>
      <c r="P577" s="11">
        <v>0</v>
      </c>
    </row>
    <row r="578" spans="1:16" ht="15" thickBot="1" x14ac:dyDescent="0.3">
      <c r="A578" s="3" t="s">
        <v>11</v>
      </c>
      <c r="B578" s="4">
        <v>347951</v>
      </c>
      <c r="C578" s="3" t="s">
        <v>9</v>
      </c>
      <c r="D578" s="18">
        <v>0.15</v>
      </c>
      <c r="E578" s="21">
        <v>1.171491691985338E-2</v>
      </c>
      <c r="F578" s="5">
        <v>31684</v>
      </c>
      <c r="G578" s="5">
        <v>32780</v>
      </c>
      <c r="H578" s="16">
        <v>1096</v>
      </c>
      <c r="I578" s="5">
        <v>32780</v>
      </c>
      <c r="J578" s="5">
        <v>32157</v>
      </c>
      <c r="K578" s="16">
        <v>473</v>
      </c>
      <c r="L578" s="13">
        <v>2724.5</v>
      </c>
      <c r="M578" s="15">
        <v>92.098678727184549</v>
      </c>
      <c r="N578" s="13">
        <v>2724.5</v>
      </c>
      <c r="O578" s="13">
        <v>0</v>
      </c>
      <c r="P578" s="11">
        <v>0</v>
      </c>
    </row>
    <row r="579" spans="1:16" ht="15" thickBot="1" x14ac:dyDescent="0.3">
      <c r="A579" s="3" t="s">
        <v>11</v>
      </c>
      <c r="B579" s="4">
        <v>74125</v>
      </c>
      <c r="C579" s="3" t="s">
        <v>9</v>
      </c>
      <c r="D579" s="18">
        <v>0.15</v>
      </c>
      <c r="E579" s="21">
        <v>1.171491691985338E-2</v>
      </c>
      <c r="F579" s="5">
        <v>31713</v>
      </c>
      <c r="G579" s="5">
        <v>33174</v>
      </c>
      <c r="H579" s="16">
        <v>1461</v>
      </c>
      <c r="I579" s="5">
        <v>33174</v>
      </c>
      <c r="J579" s="5">
        <v>34675</v>
      </c>
      <c r="K579" s="16">
        <v>2962</v>
      </c>
      <c r="L579" s="13">
        <v>3207.54</v>
      </c>
      <c r="M579" s="15">
        <v>86.802965086980549</v>
      </c>
      <c r="N579" s="13">
        <v>3207.54</v>
      </c>
      <c r="O579" s="13">
        <v>0</v>
      </c>
      <c r="P579" s="11">
        <v>0</v>
      </c>
    </row>
    <row r="580" spans="1:16" ht="15" thickBot="1" x14ac:dyDescent="0.3">
      <c r="A580" s="3" t="s">
        <v>11</v>
      </c>
      <c r="B580" s="4">
        <v>767384</v>
      </c>
      <c r="C580" s="3" t="s">
        <v>9</v>
      </c>
      <c r="D580" s="18">
        <v>0.15</v>
      </c>
      <c r="E580" s="21">
        <v>1.171491691985338E-2</v>
      </c>
      <c r="F580" s="5">
        <v>31715</v>
      </c>
      <c r="G580" s="5">
        <v>32385</v>
      </c>
      <c r="H580" s="16">
        <v>670</v>
      </c>
      <c r="I580" s="5">
        <v>32385</v>
      </c>
      <c r="J580" s="5">
        <v>31866</v>
      </c>
      <c r="K580" s="16">
        <v>151</v>
      </c>
      <c r="L580" s="13">
        <v>6304.14</v>
      </c>
      <c r="M580" s="15">
        <v>322.45039482050936</v>
      </c>
      <c r="N580" s="13">
        <v>6304.14</v>
      </c>
      <c r="O580" s="13">
        <v>0</v>
      </c>
      <c r="P580" s="11">
        <v>0</v>
      </c>
    </row>
    <row r="581" spans="1:16" ht="15" thickBot="1" x14ac:dyDescent="0.3">
      <c r="A581" s="3" t="s">
        <v>11</v>
      </c>
      <c r="B581" s="4">
        <v>768658</v>
      </c>
      <c r="C581" s="3" t="s">
        <v>9</v>
      </c>
      <c r="D581" s="18">
        <v>0.16</v>
      </c>
      <c r="E581" s="21">
        <v>1.2445137919713467E-2</v>
      </c>
      <c r="F581" s="5">
        <v>31723</v>
      </c>
      <c r="G581" s="5">
        <v>33184</v>
      </c>
      <c r="H581" s="16">
        <v>1461</v>
      </c>
      <c r="I581" s="5">
        <v>33184</v>
      </c>
      <c r="J581" s="5">
        <v>33063</v>
      </c>
      <c r="K581" s="16">
        <v>1340</v>
      </c>
      <c r="L581" s="13">
        <v>567.83000000000004</v>
      </c>
      <c r="M581" s="15">
        <v>15.618105333204033</v>
      </c>
      <c r="N581" s="13">
        <v>567.83000000000004</v>
      </c>
      <c r="O581" s="13">
        <v>0</v>
      </c>
      <c r="P581" s="11">
        <v>0</v>
      </c>
    </row>
    <row r="582" spans="1:16" ht="15" thickBot="1" x14ac:dyDescent="0.3">
      <c r="A582" s="3" t="s">
        <v>11</v>
      </c>
      <c r="B582" s="4">
        <v>926879</v>
      </c>
      <c r="C582" s="3" t="s">
        <v>9</v>
      </c>
      <c r="D582" s="18">
        <v>0.16500000000000001</v>
      </c>
      <c r="E582" s="21">
        <v>1.2808087081983555E-2</v>
      </c>
      <c r="F582" s="5">
        <v>31735</v>
      </c>
      <c r="G582" s="5">
        <v>33012</v>
      </c>
      <c r="H582" s="16">
        <v>1277</v>
      </c>
      <c r="I582" s="5">
        <v>33012</v>
      </c>
      <c r="J582" s="5">
        <v>32689</v>
      </c>
      <c r="K582" s="16">
        <v>954</v>
      </c>
      <c r="L582" s="13">
        <v>1763.75</v>
      </c>
      <c r="M582" s="15">
        <v>54.00979998740037</v>
      </c>
      <c r="N582" s="13">
        <v>1763.75</v>
      </c>
      <c r="O582" s="13">
        <v>0</v>
      </c>
      <c r="P582" s="11">
        <v>0</v>
      </c>
    </row>
    <row r="583" spans="1:16" ht="15" thickBot="1" x14ac:dyDescent="0.3">
      <c r="A583" s="3" t="s">
        <v>11</v>
      </c>
      <c r="B583" s="4">
        <v>821811</v>
      </c>
      <c r="C583" s="3" t="s">
        <v>9</v>
      </c>
      <c r="D583" s="18">
        <v>0.15</v>
      </c>
      <c r="E583" s="21">
        <v>1.171491691985338E-2</v>
      </c>
      <c r="F583" s="5">
        <v>31733</v>
      </c>
      <c r="G583" s="5">
        <v>32829</v>
      </c>
      <c r="H583" s="16">
        <v>1096</v>
      </c>
      <c r="I583" s="5">
        <v>32829</v>
      </c>
      <c r="J583" s="5">
        <v>32651</v>
      </c>
      <c r="K583" s="16">
        <v>918</v>
      </c>
      <c r="L583" s="13">
        <v>784.04</v>
      </c>
      <c r="M583" s="15">
        <v>26.503596281615621</v>
      </c>
      <c r="N583" s="13">
        <v>784.04</v>
      </c>
      <c r="O583" s="13">
        <v>0</v>
      </c>
      <c r="P583" s="11">
        <v>0</v>
      </c>
    </row>
    <row r="584" spans="1:16" ht="15" thickBot="1" x14ac:dyDescent="0.3">
      <c r="A584" s="3" t="s">
        <v>11</v>
      </c>
      <c r="B584" s="4">
        <v>302526</v>
      </c>
      <c r="C584" s="3" t="s">
        <v>9</v>
      </c>
      <c r="D584" s="18">
        <v>0.155</v>
      </c>
      <c r="E584" s="21">
        <v>1.20807518477275E-2</v>
      </c>
      <c r="F584" s="5">
        <v>31729</v>
      </c>
      <c r="G584" s="5">
        <v>32186</v>
      </c>
      <c r="H584" s="16">
        <v>457</v>
      </c>
      <c r="I584" s="5">
        <v>32186</v>
      </c>
      <c r="J584" s="5">
        <v>32388</v>
      </c>
      <c r="K584" s="16">
        <v>659</v>
      </c>
      <c r="L584" s="13">
        <v>1828.58</v>
      </c>
      <c r="M584" s="15">
        <v>132.1435695754829</v>
      </c>
      <c r="N584" s="13">
        <v>1828.58</v>
      </c>
      <c r="O584" s="13">
        <v>0</v>
      </c>
      <c r="P584" s="11">
        <v>0</v>
      </c>
    </row>
    <row r="585" spans="1:16" ht="15" thickBot="1" x14ac:dyDescent="0.3">
      <c r="A585" s="3" t="s">
        <v>11</v>
      </c>
      <c r="B585" s="4">
        <v>31680</v>
      </c>
      <c r="C585" s="3" t="s">
        <v>9</v>
      </c>
      <c r="D585" s="18">
        <v>0.15</v>
      </c>
      <c r="E585" s="21">
        <v>1.171491691985338E-2</v>
      </c>
      <c r="F585" s="5">
        <v>31715</v>
      </c>
      <c r="G585" s="5">
        <v>31897</v>
      </c>
      <c r="H585" s="16">
        <v>182</v>
      </c>
      <c r="I585" s="5">
        <v>31897</v>
      </c>
      <c r="J585" s="5">
        <v>32696</v>
      </c>
      <c r="K585" s="16">
        <v>981</v>
      </c>
      <c r="L585" s="13">
        <v>9414.0499999999993</v>
      </c>
      <c r="M585" s="15">
        <v>1616.6299703580005</v>
      </c>
      <c r="N585" s="13">
        <v>9414.0499999999993</v>
      </c>
      <c r="O585" s="13">
        <v>0</v>
      </c>
      <c r="P585" s="11">
        <v>0</v>
      </c>
    </row>
    <row r="586" spans="1:16" ht="15" thickBot="1" x14ac:dyDescent="0.3">
      <c r="A586" s="3" t="s">
        <v>11</v>
      </c>
      <c r="B586" s="4">
        <v>905247</v>
      </c>
      <c r="C586" s="3" t="s">
        <v>9</v>
      </c>
      <c r="D586" s="18">
        <v>0.155</v>
      </c>
      <c r="E586" s="21">
        <v>1.20807518477275E-2</v>
      </c>
      <c r="F586" s="5">
        <v>31738</v>
      </c>
      <c r="G586" s="5">
        <v>32651</v>
      </c>
      <c r="H586" s="16">
        <v>913</v>
      </c>
      <c r="I586" s="5">
        <v>32651</v>
      </c>
      <c r="J586" s="5">
        <v>31786</v>
      </c>
      <c r="K586" s="16">
        <v>48</v>
      </c>
      <c r="L586" s="13">
        <v>3362.93</v>
      </c>
      <c r="M586" s="15">
        <v>132.71555254399991</v>
      </c>
      <c r="N586" s="13">
        <v>3362.93</v>
      </c>
      <c r="O586" s="13">
        <v>0</v>
      </c>
      <c r="P586" s="11">
        <v>0</v>
      </c>
    </row>
    <row r="587" spans="1:16" ht="15" thickBot="1" x14ac:dyDescent="0.3">
      <c r="A587" s="3" t="s">
        <v>11</v>
      </c>
      <c r="B587" s="4">
        <v>858085</v>
      </c>
      <c r="C587" s="3" t="s">
        <v>9</v>
      </c>
      <c r="D587" s="18">
        <v>0.15</v>
      </c>
      <c r="E587" s="21">
        <v>1.171491691985338E-2</v>
      </c>
      <c r="F587" s="5">
        <v>31744</v>
      </c>
      <c r="G587" s="5">
        <v>33205</v>
      </c>
      <c r="H587" s="16">
        <v>1461</v>
      </c>
      <c r="I587" s="5">
        <v>33205</v>
      </c>
      <c r="J587" s="5">
        <v>31763</v>
      </c>
      <c r="K587" s="16">
        <v>19</v>
      </c>
      <c r="L587" s="13">
        <v>8291.16</v>
      </c>
      <c r="M587" s="15">
        <v>224.37670988064676</v>
      </c>
      <c r="N587" s="13">
        <v>8291.16</v>
      </c>
      <c r="O587" s="13">
        <v>0</v>
      </c>
      <c r="P587" s="11">
        <v>0</v>
      </c>
    </row>
    <row r="588" spans="1:16" ht="15" thickBot="1" x14ac:dyDescent="0.3">
      <c r="A588" s="3" t="s">
        <v>11</v>
      </c>
      <c r="B588" s="4">
        <v>397639</v>
      </c>
      <c r="C588" s="3" t="s">
        <v>9</v>
      </c>
      <c r="D588" s="18">
        <v>0.15</v>
      </c>
      <c r="E588" s="21">
        <v>1.171491691985338E-2</v>
      </c>
      <c r="F588" s="5">
        <v>31741</v>
      </c>
      <c r="G588" s="5">
        <v>33202</v>
      </c>
      <c r="H588" s="16">
        <v>1461</v>
      </c>
      <c r="I588" s="5">
        <v>33202</v>
      </c>
      <c r="J588" s="5">
        <v>32413</v>
      </c>
      <c r="K588" s="16">
        <v>672</v>
      </c>
      <c r="L588" s="13">
        <v>3318.26</v>
      </c>
      <c r="M588" s="15">
        <v>89.799287594082728</v>
      </c>
      <c r="N588" s="13">
        <v>3318.26</v>
      </c>
      <c r="O588" s="13">
        <v>0</v>
      </c>
      <c r="P588" s="11">
        <v>0</v>
      </c>
    </row>
    <row r="589" spans="1:16" ht="15" thickBot="1" x14ac:dyDescent="0.3">
      <c r="A589" s="3" t="s">
        <v>11</v>
      </c>
      <c r="B589" s="4">
        <v>312328</v>
      </c>
      <c r="C589" s="3" t="s">
        <v>9</v>
      </c>
      <c r="D589" s="18">
        <v>0.15</v>
      </c>
      <c r="E589" s="21">
        <v>1.171491691985338E-2</v>
      </c>
      <c r="F589" s="5">
        <v>31744</v>
      </c>
      <c r="G589" s="5">
        <v>33205</v>
      </c>
      <c r="H589" s="16">
        <v>1461</v>
      </c>
      <c r="I589" s="5">
        <v>33205</v>
      </c>
      <c r="J589" s="5">
        <v>33001</v>
      </c>
      <c r="K589" s="16">
        <v>1257</v>
      </c>
      <c r="L589" s="13">
        <v>5861.03</v>
      </c>
      <c r="M589" s="15">
        <v>158.6121396658329</v>
      </c>
      <c r="N589" s="13">
        <v>5861.03</v>
      </c>
      <c r="O589" s="13">
        <v>0</v>
      </c>
      <c r="P589" s="11">
        <v>0</v>
      </c>
    </row>
    <row r="590" spans="1:16" ht="15" thickBot="1" x14ac:dyDescent="0.3">
      <c r="A590" s="3" t="s">
        <v>11</v>
      </c>
      <c r="B590" s="4">
        <v>108043</v>
      </c>
      <c r="C590" s="3" t="s">
        <v>9</v>
      </c>
      <c r="D590" s="18">
        <v>0.15</v>
      </c>
      <c r="E590" s="21">
        <v>1.171491691985338E-2</v>
      </c>
      <c r="F590" s="5">
        <v>31765</v>
      </c>
      <c r="G590" s="5">
        <v>32496</v>
      </c>
      <c r="H590" s="16">
        <v>731</v>
      </c>
      <c r="I590" s="5">
        <v>32496</v>
      </c>
      <c r="J590" s="5">
        <v>32622</v>
      </c>
      <c r="K590" s="16">
        <v>857</v>
      </c>
      <c r="L590" s="13">
        <v>4271.55</v>
      </c>
      <c r="M590" s="15">
        <v>202.53013040452507</v>
      </c>
      <c r="N590" s="13">
        <v>4271.55</v>
      </c>
      <c r="O590" s="13">
        <v>0</v>
      </c>
      <c r="P590" s="11">
        <v>0</v>
      </c>
    </row>
    <row r="591" spans="1:16" ht="15" thickBot="1" x14ac:dyDescent="0.3">
      <c r="A591" s="3" t="s">
        <v>11</v>
      </c>
      <c r="B591" s="4">
        <v>596993</v>
      </c>
      <c r="C591" s="3" t="s">
        <v>9</v>
      </c>
      <c r="D591" s="18">
        <v>0.15</v>
      </c>
      <c r="E591" s="21">
        <v>1.171491691985338E-2</v>
      </c>
      <c r="F591" s="5">
        <v>31766</v>
      </c>
      <c r="G591" s="5">
        <v>33227</v>
      </c>
      <c r="H591" s="16">
        <v>1461</v>
      </c>
      <c r="I591" s="5">
        <v>33227</v>
      </c>
      <c r="J591" s="5">
        <v>33589</v>
      </c>
      <c r="K591" s="16">
        <v>1823</v>
      </c>
      <c r="L591" s="13">
        <v>3301.14</v>
      </c>
      <c r="M591" s="15">
        <v>89.335983391394947</v>
      </c>
      <c r="N591" s="13">
        <v>3301.14</v>
      </c>
      <c r="O591" s="13">
        <v>0</v>
      </c>
      <c r="P591" s="11">
        <v>0</v>
      </c>
    </row>
    <row r="592" spans="1:16" ht="15" thickBot="1" x14ac:dyDescent="0.3">
      <c r="A592" s="3" t="s">
        <v>11</v>
      </c>
      <c r="B592" s="4">
        <v>85265</v>
      </c>
      <c r="C592" s="3" t="s">
        <v>9</v>
      </c>
      <c r="D592" s="18">
        <v>0.15</v>
      </c>
      <c r="E592" s="21">
        <v>1.171491691985338E-2</v>
      </c>
      <c r="F592" s="5">
        <v>31797</v>
      </c>
      <c r="G592" s="5">
        <v>33258</v>
      </c>
      <c r="H592" s="16">
        <v>1461</v>
      </c>
      <c r="I592" s="5">
        <v>33258</v>
      </c>
      <c r="J592" s="5">
        <v>33914</v>
      </c>
      <c r="K592" s="16">
        <v>2117</v>
      </c>
      <c r="L592" s="13">
        <v>6874.35</v>
      </c>
      <c r="M592" s="15">
        <v>186.03476902725603</v>
      </c>
      <c r="N592" s="13">
        <v>6874.35</v>
      </c>
      <c r="O592" s="13">
        <v>0</v>
      </c>
      <c r="P592" s="11">
        <v>0</v>
      </c>
    </row>
    <row r="593" spans="1:16" ht="15" thickBot="1" x14ac:dyDescent="0.3">
      <c r="A593" s="3" t="s">
        <v>11</v>
      </c>
      <c r="B593" s="4">
        <v>287019</v>
      </c>
      <c r="C593" s="3" t="s">
        <v>9</v>
      </c>
      <c r="D593" s="18">
        <v>0.15</v>
      </c>
      <c r="E593" s="21">
        <v>1.171491691985338E-2</v>
      </c>
      <c r="F593" s="5">
        <v>31819</v>
      </c>
      <c r="G593" s="5">
        <v>33280</v>
      </c>
      <c r="H593" s="16">
        <v>1461</v>
      </c>
      <c r="I593" s="5">
        <v>33280</v>
      </c>
      <c r="J593" s="5">
        <v>32710</v>
      </c>
      <c r="K593" s="16">
        <v>891</v>
      </c>
      <c r="L593" s="13">
        <v>6175</v>
      </c>
      <c r="M593" s="15">
        <v>167.10884647178364</v>
      </c>
      <c r="N593" s="13">
        <v>6175</v>
      </c>
      <c r="O593" s="13">
        <v>0</v>
      </c>
      <c r="P593" s="11">
        <v>0</v>
      </c>
    </row>
    <row r="594" spans="1:16" ht="15" thickBot="1" x14ac:dyDescent="0.3">
      <c r="A594" s="3" t="s">
        <v>11</v>
      </c>
      <c r="B594" s="4">
        <v>224187</v>
      </c>
      <c r="C594" s="3" t="s">
        <v>9</v>
      </c>
      <c r="D594" s="18">
        <v>0.15</v>
      </c>
      <c r="E594" s="21">
        <v>1.171491691985338E-2</v>
      </c>
      <c r="F594" s="5">
        <v>31825</v>
      </c>
      <c r="G594" s="5">
        <v>33528</v>
      </c>
      <c r="H594" s="16">
        <v>1703</v>
      </c>
      <c r="I594" s="5">
        <v>33528</v>
      </c>
      <c r="J594" s="5">
        <v>32748</v>
      </c>
      <c r="K594" s="16">
        <v>923</v>
      </c>
      <c r="L594" s="13">
        <v>770.22</v>
      </c>
      <c r="M594" s="15">
        <v>18.65257611371069</v>
      </c>
      <c r="N594" s="13">
        <v>2563.9299999999998</v>
      </c>
      <c r="O594" s="13">
        <v>0</v>
      </c>
      <c r="P594" s="11">
        <v>0</v>
      </c>
    </row>
    <row r="595" spans="1:16" ht="15" thickBot="1" x14ac:dyDescent="0.3">
      <c r="A595" s="3" t="s">
        <v>11</v>
      </c>
      <c r="B595" s="4">
        <v>967206</v>
      </c>
      <c r="C595" s="3" t="s">
        <v>9</v>
      </c>
      <c r="D595" s="18">
        <v>0.155</v>
      </c>
      <c r="E595" s="21">
        <v>1.20807518477275E-2</v>
      </c>
      <c r="F595" s="5">
        <v>31825</v>
      </c>
      <c r="G595" s="5">
        <v>32931</v>
      </c>
      <c r="H595" s="16">
        <v>1106</v>
      </c>
      <c r="I595" s="5">
        <v>32931</v>
      </c>
      <c r="J595" s="5">
        <v>33576</v>
      </c>
      <c r="K595" s="16">
        <v>1751</v>
      </c>
      <c r="L595" s="13">
        <v>3352.79</v>
      </c>
      <c r="M595" s="15">
        <v>113.23345521571441</v>
      </c>
      <c r="N595" s="13">
        <v>3352.79</v>
      </c>
      <c r="O595" s="13">
        <v>0</v>
      </c>
      <c r="P595" s="11">
        <v>0</v>
      </c>
    </row>
    <row r="596" spans="1:16" ht="15" thickBot="1" x14ac:dyDescent="0.3">
      <c r="A596" s="3" t="s">
        <v>11</v>
      </c>
      <c r="B596" s="4">
        <v>67284</v>
      </c>
      <c r="C596" s="3" t="s">
        <v>9</v>
      </c>
      <c r="D596" s="18">
        <v>0.15</v>
      </c>
      <c r="E596" s="21">
        <v>1.171491691985338E-2</v>
      </c>
      <c r="F596" s="5">
        <v>31813</v>
      </c>
      <c r="G596" s="5">
        <v>33277</v>
      </c>
      <c r="H596" s="16">
        <v>1464</v>
      </c>
      <c r="I596" s="5">
        <v>33277</v>
      </c>
      <c r="J596" s="5">
        <v>33002</v>
      </c>
      <c r="K596" s="16">
        <v>1189</v>
      </c>
      <c r="L596" s="13">
        <v>3056.58</v>
      </c>
      <c r="M596" s="15">
        <v>82.591715755705039</v>
      </c>
      <c r="N596" s="13">
        <v>3056.58</v>
      </c>
      <c r="O596" s="13">
        <v>0</v>
      </c>
      <c r="P596" s="11">
        <v>0</v>
      </c>
    </row>
    <row r="597" spans="1:16" ht="15" thickBot="1" x14ac:dyDescent="0.3">
      <c r="A597" s="3" t="s">
        <v>11</v>
      </c>
      <c r="B597" s="4">
        <v>114806</v>
      </c>
      <c r="C597" s="3" t="s">
        <v>9</v>
      </c>
      <c r="D597" s="18">
        <v>0.15</v>
      </c>
      <c r="E597" s="21">
        <v>1.171491691985338E-2</v>
      </c>
      <c r="F597" s="5">
        <v>31818</v>
      </c>
      <c r="G597" s="5">
        <v>32915</v>
      </c>
      <c r="H597" s="16">
        <v>1097</v>
      </c>
      <c r="I597" s="5">
        <v>32915</v>
      </c>
      <c r="J597" s="5">
        <v>32794</v>
      </c>
      <c r="K597" s="16">
        <v>976</v>
      </c>
      <c r="L597" s="13">
        <v>1010</v>
      </c>
      <c r="M597" s="15">
        <v>34.116952218191834</v>
      </c>
      <c r="N597" s="13">
        <v>1010</v>
      </c>
      <c r="O597" s="13">
        <v>0</v>
      </c>
      <c r="P597" s="11">
        <v>0</v>
      </c>
    </row>
    <row r="598" spans="1:16" ht="15" thickBot="1" x14ac:dyDescent="0.3">
      <c r="A598" s="3" t="s">
        <v>11</v>
      </c>
      <c r="B598" s="4">
        <v>363777</v>
      </c>
      <c r="C598" s="3" t="s">
        <v>9</v>
      </c>
      <c r="D598" s="18">
        <v>0.16</v>
      </c>
      <c r="E598" s="21">
        <v>1.2445137919713467E-2</v>
      </c>
      <c r="F598" s="5">
        <v>31846</v>
      </c>
      <c r="G598" s="5">
        <v>33126</v>
      </c>
      <c r="H598" s="16">
        <v>1280</v>
      </c>
      <c r="I598" s="5">
        <v>33126</v>
      </c>
      <c r="J598" s="5">
        <v>32416</v>
      </c>
      <c r="K598" s="16">
        <v>570</v>
      </c>
      <c r="L598" s="13">
        <v>2681.4</v>
      </c>
      <c r="M598" s="15">
        <v>81.381501982412033</v>
      </c>
      <c r="N598" s="13">
        <v>2681.4</v>
      </c>
      <c r="O598" s="13">
        <v>0</v>
      </c>
      <c r="P598" s="11">
        <v>0</v>
      </c>
    </row>
    <row r="599" spans="1:16" ht="15" thickBot="1" x14ac:dyDescent="0.3">
      <c r="A599" s="3" t="s">
        <v>11</v>
      </c>
      <c r="B599" s="4">
        <v>678964</v>
      </c>
      <c r="C599" s="3" t="s">
        <v>9</v>
      </c>
      <c r="D599" s="18">
        <v>0.15</v>
      </c>
      <c r="E599" s="21">
        <v>1.171491691985338E-2</v>
      </c>
      <c r="F599" s="5">
        <v>31840</v>
      </c>
      <c r="G599" s="5">
        <v>33302</v>
      </c>
      <c r="H599" s="16">
        <v>1462</v>
      </c>
      <c r="I599" s="5">
        <v>33302</v>
      </c>
      <c r="J599" s="5">
        <v>32748</v>
      </c>
      <c r="K599" s="16">
        <v>908</v>
      </c>
      <c r="L599" s="13">
        <v>2823.54</v>
      </c>
      <c r="M599" s="15">
        <v>76.372259614430433</v>
      </c>
      <c r="N599" s="13">
        <v>2823.54</v>
      </c>
      <c r="O599" s="13">
        <v>0</v>
      </c>
      <c r="P599" s="11">
        <v>0</v>
      </c>
    </row>
    <row r="600" spans="1:16" ht="15" thickBot="1" x14ac:dyDescent="0.3">
      <c r="A600" s="3" t="s">
        <v>11</v>
      </c>
      <c r="B600" s="4">
        <v>71710</v>
      </c>
      <c r="C600" s="3" t="s">
        <v>9</v>
      </c>
      <c r="D600" s="18">
        <v>0.16</v>
      </c>
      <c r="E600" s="21">
        <v>1.2445137919713467E-2</v>
      </c>
      <c r="F600" s="5">
        <v>31863</v>
      </c>
      <c r="G600" s="5">
        <v>32229</v>
      </c>
      <c r="H600" s="16">
        <v>366</v>
      </c>
      <c r="I600" s="5">
        <v>32229</v>
      </c>
      <c r="J600" s="5">
        <v>32812</v>
      </c>
      <c r="K600" s="16">
        <v>949</v>
      </c>
      <c r="L600" s="13">
        <v>595.99</v>
      </c>
      <c r="M600" s="15">
        <v>52.956816013103357</v>
      </c>
      <c r="N600" s="13">
        <v>595.99</v>
      </c>
      <c r="O600" s="13">
        <v>0</v>
      </c>
      <c r="P600" s="11">
        <v>0</v>
      </c>
    </row>
    <row r="601" spans="1:16" ht="15" thickBot="1" x14ac:dyDescent="0.3">
      <c r="A601" s="3" t="s">
        <v>11</v>
      </c>
      <c r="B601" s="4">
        <v>662356</v>
      </c>
      <c r="C601" s="3" t="s">
        <v>9</v>
      </c>
      <c r="D601" s="18">
        <v>0.15</v>
      </c>
      <c r="E601" s="21">
        <v>1.171491691985338E-2</v>
      </c>
      <c r="F601" s="5">
        <v>31891</v>
      </c>
      <c r="G601" s="5">
        <v>32987</v>
      </c>
      <c r="H601" s="16">
        <v>1096</v>
      </c>
      <c r="I601" s="5">
        <v>32987</v>
      </c>
      <c r="J601" s="5">
        <v>32895</v>
      </c>
      <c r="K601" s="16">
        <v>1004</v>
      </c>
      <c r="L601" s="13">
        <v>2896.66</v>
      </c>
      <c r="M601" s="15">
        <v>97.918355192470685</v>
      </c>
      <c r="N601" s="13">
        <v>2896.66</v>
      </c>
      <c r="O601" s="13">
        <v>0</v>
      </c>
      <c r="P601" s="11">
        <v>0</v>
      </c>
    </row>
    <row r="602" spans="1:16" ht="15" thickBot="1" x14ac:dyDescent="0.3">
      <c r="A602" s="3" t="s">
        <v>11</v>
      </c>
      <c r="B602" s="4">
        <v>287521</v>
      </c>
      <c r="C602" s="3" t="s">
        <v>9</v>
      </c>
      <c r="D602" s="18">
        <v>0.15</v>
      </c>
      <c r="E602" s="21">
        <v>1.171491691985338E-2</v>
      </c>
      <c r="F602" s="5">
        <v>31897</v>
      </c>
      <c r="G602" s="5">
        <v>32262</v>
      </c>
      <c r="H602" s="16">
        <v>365</v>
      </c>
      <c r="I602" s="5">
        <v>32262</v>
      </c>
      <c r="J602" s="5">
        <v>32122</v>
      </c>
      <c r="K602" s="16">
        <v>225</v>
      </c>
      <c r="L602" s="13">
        <v>733.75</v>
      </c>
      <c r="M602" s="15">
        <v>65.06016706489892</v>
      </c>
      <c r="N602" s="13">
        <v>733.75</v>
      </c>
      <c r="O602" s="13">
        <v>0</v>
      </c>
      <c r="P602" s="11">
        <v>0</v>
      </c>
    </row>
    <row r="603" spans="1:16" ht="15" thickBot="1" x14ac:dyDescent="0.3">
      <c r="A603" s="3" t="s">
        <v>11</v>
      </c>
      <c r="B603" s="4">
        <v>479471</v>
      </c>
      <c r="C603" s="3" t="s">
        <v>9</v>
      </c>
      <c r="D603" s="18">
        <v>0.15</v>
      </c>
      <c r="E603" s="21">
        <v>1.171491691985338E-2</v>
      </c>
      <c r="F603" s="5">
        <v>31894</v>
      </c>
      <c r="G603" s="5">
        <v>32321</v>
      </c>
      <c r="H603" s="16">
        <v>427</v>
      </c>
      <c r="I603" s="5">
        <v>32321</v>
      </c>
      <c r="J603" s="5">
        <v>31894</v>
      </c>
      <c r="K603" s="16">
        <v>0</v>
      </c>
      <c r="L603" s="13">
        <v>1499.8</v>
      </c>
      <c r="M603" s="15">
        <v>115.01600662967179</v>
      </c>
      <c r="N603" s="13">
        <v>1499.8</v>
      </c>
      <c r="O603" s="13">
        <v>0</v>
      </c>
      <c r="P603" s="11">
        <v>0</v>
      </c>
    </row>
    <row r="604" spans="1:16" ht="15" thickBot="1" x14ac:dyDescent="0.3">
      <c r="A604" s="3" t="s">
        <v>11</v>
      </c>
      <c r="B604" s="4">
        <v>299209</v>
      </c>
      <c r="C604" s="3" t="s">
        <v>9</v>
      </c>
      <c r="D604" s="18">
        <v>0.16</v>
      </c>
      <c r="E604" s="21">
        <v>1.2445137919713467E-2</v>
      </c>
      <c r="F604" s="5">
        <v>31909</v>
      </c>
      <c r="G604" s="5">
        <v>32763</v>
      </c>
      <c r="H604" s="16">
        <v>854</v>
      </c>
      <c r="I604" s="5">
        <v>32763</v>
      </c>
      <c r="J604" s="5">
        <v>32457</v>
      </c>
      <c r="K604" s="16">
        <v>548</v>
      </c>
      <c r="L604" s="13">
        <v>3026.87</v>
      </c>
      <c r="M604" s="15">
        <v>126.92849105746117</v>
      </c>
      <c r="N604" s="13">
        <v>3026.87</v>
      </c>
      <c r="O604" s="13">
        <v>0</v>
      </c>
      <c r="P604" s="11">
        <v>0</v>
      </c>
    </row>
    <row r="605" spans="1:16" ht="15" thickBot="1" x14ac:dyDescent="0.3">
      <c r="A605" s="3" t="s">
        <v>11</v>
      </c>
      <c r="B605" s="4">
        <v>312574</v>
      </c>
      <c r="C605" s="3" t="s">
        <v>9</v>
      </c>
      <c r="D605" s="18">
        <v>0.15</v>
      </c>
      <c r="E605" s="21">
        <v>1.171491691985338E-2</v>
      </c>
      <c r="F605" s="5">
        <v>31917</v>
      </c>
      <c r="G605" s="5">
        <v>32837</v>
      </c>
      <c r="H605" s="16">
        <v>920</v>
      </c>
      <c r="I605" s="5">
        <v>32837</v>
      </c>
      <c r="J605" s="5">
        <v>32373</v>
      </c>
      <c r="K605" s="16">
        <v>456</v>
      </c>
      <c r="L605" s="13">
        <v>2594.7600000000002</v>
      </c>
      <c r="M605" s="15">
        <v>101.20791963415803</v>
      </c>
      <c r="N605" s="13">
        <v>2594.7600000000002</v>
      </c>
      <c r="O605" s="13">
        <v>0</v>
      </c>
      <c r="P605" s="11">
        <v>0</v>
      </c>
    </row>
    <row r="606" spans="1:16" ht="15" thickBot="1" x14ac:dyDescent="0.3">
      <c r="A606" s="3" t="s">
        <v>11</v>
      </c>
      <c r="B606" s="4">
        <v>416414</v>
      </c>
      <c r="C606" s="3" t="s">
        <v>9</v>
      </c>
      <c r="D606" s="18">
        <v>0.15</v>
      </c>
      <c r="E606" s="21">
        <v>1.171491691985338E-2</v>
      </c>
      <c r="F606" s="5">
        <v>31934</v>
      </c>
      <c r="G606" s="5">
        <v>32483</v>
      </c>
      <c r="H606" s="16">
        <v>549</v>
      </c>
      <c r="I606" s="5">
        <v>32483</v>
      </c>
      <c r="J606" s="5">
        <v>32836</v>
      </c>
      <c r="K606" s="16">
        <v>902</v>
      </c>
      <c r="L606" s="13">
        <v>1145.55</v>
      </c>
      <c r="M606" s="15">
        <v>69.912506048926787</v>
      </c>
      <c r="N606" s="13">
        <v>1145.55</v>
      </c>
      <c r="O606" s="13">
        <v>0</v>
      </c>
      <c r="P606" s="11">
        <v>0</v>
      </c>
    </row>
    <row r="607" spans="1:16" ht="15" thickBot="1" x14ac:dyDescent="0.3">
      <c r="A607" s="3" t="s">
        <v>11</v>
      </c>
      <c r="B607" s="4">
        <v>990133</v>
      </c>
      <c r="C607" s="3" t="s">
        <v>9</v>
      </c>
      <c r="D607" s="18">
        <v>0.15</v>
      </c>
      <c r="E607" s="21">
        <v>1.171491691985338E-2</v>
      </c>
      <c r="F607" s="5">
        <v>31943</v>
      </c>
      <c r="G607" s="5">
        <v>32674</v>
      </c>
      <c r="H607" s="16">
        <v>731</v>
      </c>
      <c r="I607" s="5">
        <v>32674</v>
      </c>
      <c r="J607" s="5">
        <v>32372</v>
      </c>
      <c r="K607" s="16">
        <v>429</v>
      </c>
      <c r="L607" s="13">
        <v>2586.4499999999998</v>
      </c>
      <c r="M607" s="15">
        <v>122.63324923851617</v>
      </c>
      <c r="N607" s="13">
        <v>2586.4499999999998</v>
      </c>
      <c r="O607" s="13">
        <v>0</v>
      </c>
      <c r="P607" s="11">
        <v>0</v>
      </c>
    </row>
    <row r="608" spans="1:16" ht="15" thickBot="1" x14ac:dyDescent="0.3">
      <c r="A608" s="3" t="s">
        <v>11</v>
      </c>
      <c r="B608" s="4">
        <v>140812</v>
      </c>
      <c r="C608" s="3" t="s">
        <v>9</v>
      </c>
      <c r="D608" s="18">
        <v>0.14499999999999999</v>
      </c>
      <c r="E608" s="21">
        <v>1.1347621038123146E-2</v>
      </c>
      <c r="F608" s="5">
        <v>31957</v>
      </c>
      <c r="G608" s="5">
        <v>31987</v>
      </c>
      <c r="H608" s="16">
        <v>30</v>
      </c>
      <c r="I608" s="5">
        <v>31987</v>
      </c>
      <c r="J608" s="5">
        <v>32091</v>
      </c>
      <c r="K608" s="16">
        <v>134</v>
      </c>
      <c r="L608" s="13">
        <v>1735.26</v>
      </c>
      <c r="M608" s="15">
        <v>1754.9510728826131</v>
      </c>
      <c r="N608" s="13">
        <v>1735.26</v>
      </c>
      <c r="O608" s="13">
        <v>0</v>
      </c>
      <c r="P608" s="11">
        <v>0</v>
      </c>
    </row>
    <row r="609" spans="1:16" ht="15" thickBot="1" x14ac:dyDescent="0.3">
      <c r="A609" s="3" t="s">
        <v>11</v>
      </c>
      <c r="B609" s="4">
        <v>369399</v>
      </c>
      <c r="C609" s="3" t="s">
        <v>9</v>
      </c>
      <c r="D609" s="18">
        <v>0.15</v>
      </c>
      <c r="E609" s="21">
        <v>1.171491691985338E-2</v>
      </c>
      <c r="F609" s="5">
        <v>31958</v>
      </c>
      <c r="G609" s="5">
        <v>33327</v>
      </c>
      <c r="H609" s="16">
        <v>1369</v>
      </c>
      <c r="I609" s="5">
        <v>33327</v>
      </c>
      <c r="J609" s="5">
        <v>32724</v>
      </c>
      <c r="K609" s="16">
        <v>766</v>
      </c>
      <c r="L609" s="13">
        <v>3339.64</v>
      </c>
      <c r="M609" s="15">
        <v>94.898558922416527</v>
      </c>
      <c r="N609" s="13">
        <v>3339.64</v>
      </c>
      <c r="O609" s="13">
        <v>0</v>
      </c>
      <c r="P609" s="11">
        <v>0</v>
      </c>
    </row>
    <row r="610" spans="1:16" ht="15" thickBot="1" x14ac:dyDescent="0.3">
      <c r="A610" s="3" t="s">
        <v>11</v>
      </c>
      <c r="B610" s="4">
        <v>86595</v>
      </c>
      <c r="C610" s="3" t="s">
        <v>9</v>
      </c>
      <c r="D610" s="18">
        <v>0.15</v>
      </c>
      <c r="E610" s="21">
        <v>1.171491691985338E-2</v>
      </c>
      <c r="F610" s="5">
        <v>31937</v>
      </c>
      <c r="G610" s="5">
        <v>32303</v>
      </c>
      <c r="H610" s="16">
        <v>366</v>
      </c>
      <c r="I610" s="5">
        <v>32303</v>
      </c>
      <c r="J610" s="5">
        <v>32457</v>
      </c>
      <c r="K610" s="16">
        <v>520</v>
      </c>
      <c r="L610" s="13">
        <v>4275.3999999999996</v>
      </c>
      <c r="M610" s="15">
        <v>378.12718483053987</v>
      </c>
      <c r="N610" s="13">
        <v>4275.3999999999996</v>
      </c>
      <c r="O610" s="13">
        <v>0</v>
      </c>
      <c r="P610" s="11">
        <v>0</v>
      </c>
    </row>
    <row r="611" spans="1:16" ht="15" thickBot="1" x14ac:dyDescent="0.3">
      <c r="A611" s="3" t="s">
        <v>11</v>
      </c>
      <c r="B611" s="4">
        <v>57763</v>
      </c>
      <c r="C611" s="3" t="s">
        <v>9</v>
      </c>
      <c r="D611" s="18">
        <v>0.15</v>
      </c>
      <c r="E611" s="21">
        <v>1.171491691985338E-2</v>
      </c>
      <c r="F611" s="5">
        <v>31967</v>
      </c>
      <c r="G611" s="5">
        <v>33428</v>
      </c>
      <c r="H611" s="16">
        <v>1461</v>
      </c>
      <c r="I611" s="5">
        <v>33428</v>
      </c>
      <c r="J611" s="5">
        <v>32317</v>
      </c>
      <c r="K611" s="16">
        <v>350</v>
      </c>
      <c r="L611" s="13">
        <v>3387.09</v>
      </c>
      <c r="M611" s="15">
        <v>91.661976161313959</v>
      </c>
      <c r="N611" s="13">
        <v>3387.09</v>
      </c>
      <c r="O611" s="13">
        <v>0</v>
      </c>
      <c r="P611" s="11">
        <v>0</v>
      </c>
    </row>
    <row r="612" spans="1:16" ht="15" thickBot="1" x14ac:dyDescent="0.3">
      <c r="A612" s="3" t="s">
        <v>11</v>
      </c>
      <c r="B612" s="4">
        <v>236802</v>
      </c>
      <c r="C612" s="3" t="s">
        <v>9</v>
      </c>
      <c r="D612" s="18">
        <v>0.14000000000000001</v>
      </c>
      <c r="E612" s="21">
        <v>1.0978851950173452E-2</v>
      </c>
      <c r="F612" s="5">
        <v>31973</v>
      </c>
      <c r="G612" s="5">
        <v>33434</v>
      </c>
      <c r="H612" s="16">
        <v>1461</v>
      </c>
      <c r="I612" s="5">
        <v>33434</v>
      </c>
      <c r="J612" s="5">
        <v>33871</v>
      </c>
      <c r="K612" s="16">
        <v>1898</v>
      </c>
      <c r="L612" s="13">
        <v>2300</v>
      </c>
      <c r="M612" s="15">
        <v>61.226114344475917</v>
      </c>
      <c r="N612" s="13">
        <v>2300</v>
      </c>
      <c r="O612" s="13">
        <v>0</v>
      </c>
      <c r="P612" s="11">
        <v>0</v>
      </c>
    </row>
    <row r="613" spans="1:16" ht="15" thickBot="1" x14ac:dyDescent="0.3">
      <c r="A613" s="3" t="s">
        <v>11</v>
      </c>
      <c r="B613" s="4">
        <v>394271</v>
      </c>
      <c r="C613" s="3" t="s">
        <v>9</v>
      </c>
      <c r="D613" s="18">
        <v>0.15</v>
      </c>
      <c r="E613" s="21">
        <v>1.171491691985338E-2</v>
      </c>
      <c r="F613" s="5">
        <v>32007</v>
      </c>
      <c r="G613" s="5">
        <v>33103</v>
      </c>
      <c r="H613" s="16">
        <v>1096</v>
      </c>
      <c r="I613" s="5">
        <v>33103</v>
      </c>
      <c r="J613" s="5">
        <v>32118</v>
      </c>
      <c r="K613" s="16">
        <v>111</v>
      </c>
      <c r="L613" s="13">
        <v>4493.12</v>
      </c>
      <c r="M613" s="15">
        <v>151.88490194996785</v>
      </c>
      <c r="N613" s="13">
        <v>4493.12</v>
      </c>
      <c r="O613" s="13">
        <v>0</v>
      </c>
      <c r="P613" s="11">
        <v>0</v>
      </c>
    </row>
    <row r="614" spans="1:16" ht="15" thickBot="1" x14ac:dyDescent="0.3">
      <c r="A614" s="3" t="s">
        <v>11</v>
      </c>
      <c r="B614" s="4">
        <v>348494</v>
      </c>
      <c r="C614" s="3" t="s">
        <v>9</v>
      </c>
      <c r="D614" s="18">
        <v>0.14000000000000001</v>
      </c>
      <c r="E614" s="21">
        <v>1.0978851950173452E-2</v>
      </c>
      <c r="F614" s="5">
        <v>32023</v>
      </c>
      <c r="G614" s="5">
        <v>33666</v>
      </c>
      <c r="H614" s="16">
        <v>1643</v>
      </c>
      <c r="I614" s="5">
        <v>33666</v>
      </c>
      <c r="J614" s="5">
        <v>33088</v>
      </c>
      <c r="K614" s="16">
        <v>1065</v>
      </c>
      <c r="L614" s="13">
        <v>4800</v>
      </c>
      <c r="M614" s="15">
        <v>117.08465478250399</v>
      </c>
      <c r="N614" s="13">
        <v>1046.17</v>
      </c>
      <c r="O614" s="13">
        <v>0</v>
      </c>
      <c r="P614" s="11">
        <v>0</v>
      </c>
    </row>
    <row r="615" spans="1:16" ht="15" thickBot="1" x14ac:dyDescent="0.3">
      <c r="A615" s="3" t="s">
        <v>11</v>
      </c>
      <c r="B615" s="4">
        <v>47175</v>
      </c>
      <c r="C615" s="3" t="s">
        <v>9</v>
      </c>
      <c r="D615" s="18">
        <v>0.14000000000000001</v>
      </c>
      <c r="E615" s="21">
        <v>1.0978851950173452E-2</v>
      </c>
      <c r="F615" s="5">
        <v>32058</v>
      </c>
      <c r="G615" s="5">
        <v>32789</v>
      </c>
      <c r="H615" s="16">
        <v>731</v>
      </c>
      <c r="I615" s="5">
        <v>32789</v>
      </c>
      <c r="J615" s="5">
        <v>32450</v>
      </c>
      <c r="K615" s="16">
        <v>392</v>
      </c>
      <c r="L615" s="13">
        <v>2366.61</v>
      </c>
      <c r="M615" s="15">
        <v>111.22381821963563</v>
      </c>
      <c r="N615" s="13">
        <v>1341.92</v>
      </c>
      <c r="O615" s="13">
        <v>0</v>
      </c>
      <c r="P615" s="11">
        <v>0</v>
      </c>
    </row>
    <row r="616" spans="1:16" ht="15" thickBot="1" x14ac:dyDescent="0.3">
      <c r="A616" s="3" t="s">
        <v>11</v>
      </c>
      <c r="B616" s="4">
        <v>432751</v>
      </c>
      <c r="C616" s="3" t="s">
        <v>9</v>
      </c>
      <c r="D616" s="18">
        <v>0.14499999999999999</v>
      </c>
      <c r="E616" s="21">
        <v>1.1347621038123146E-2</v>
      </c>
      <c r="F616" s="5">
        <v>32079</v>
      </c>
      <c r="G616" s="5">
        <v>33540</v>
      </c>
      <c r="H616" s="16">
        <v>1461</v>
      </c>
      <c r="I616" s="5">
        <v>33540</v>
      </c>
      <c r="J616" s="5">
        <v>32724</v>
      </c>
      <c r="K616" s="16">
        <v>645</v>
      </c>
      <c r="L616" s="13">
        <v>3830.1</v>
      </c>
      <c r="M616" s="15">
        <v>102.80380512056655</v>
      </c>
      <c r="N616" s="13">
        <v>2935.1</v>
      </c>
      <c r="O616" s="13">
        <v>0</v>
      </c>
      <c r="P616" s="11">
        <v>0</v>
      </c>
    </row>
    <row r="617" spans="1:16" ht="15" thickBot="1" x14ac:dyDescent="0.3">
      <c r="A617" s="3" t="s">
        <v>11</v>
      </c>
      <c r="B617" s="4">
        <v>373513</v>
      </c>
      <c r="C617" s="3" t="s">
        <v>9</v>
      </c>
      <c r="D617" s="18">
        <v>0.14499999999999999</v>
      </c>
      <c r="E617" s="21">
        <v>1.1347621038123146E-2</v>
      </c>
      <c r="F617" s="5">
        <v>32078</v>
      </c>
      <c r="G617" s="5">
        <v>33539</v>
      </c>
      <c r="H617" s="16">
        <v>1461</v>
      </c>
      <c r="I617" s="5">
        <v>33539</v>
      </c>
      <c r="J617" s="5">
        <v>33171</v>
      </c>
      <c r="K617" s="16">
        <v>1093</v>
      </c>
      <c r="L617" s="13">
        <v>5574.18</v>
      </c>
      <c r="M617" s="15">
        <v>149.61669784782634</v>
      </c>
      <c r="N617" s="13">
        <v>1981.99</v>
      </c>
      <c r="O617" s="13">
        <v>0</v>
      </c>
      <c r="P617" s="11">
        <v>0</v>
      </c>
    </row>
    <row r="618" spans="1:16" ht="15" thickBot="1" x14ac:dyDescent="0.3">
      <c r="A618" s="3" t="s">
        <v>11</v>
      </c>
      <c r="B618" s="4">
        <v>541429</v>
      </c>
      <c r="C618" s="3" t="s">
        <v>9</v>
      </c>
      <c r="D618" s="18">
        <v>0.15</v>
      </c>
      <c r="E618" s="21">
        <v>1.171491691985338E-2</v>
      </c>
      <c r="F618" s="5">
        <v>32051</v>
      </c>
      <c r="G618" s="5">
        <v>32791</v>
      </c>
      <c r="H618" s="16">
        <v>740</v>
      </c>
      <c r="I618" s="5">
        <v>32791</v>
      </c>
      <c r="J618" s="5">
        <v>32938</v>
      </c>
      <c r="K618" s="16">
        <v>887</v>
      </c>
      <c r="L618" s="13">
        <v>2032.71</v>
      </c>
      <c r="M618" s="15">
        <v>95.364754070771042</v>
      </c>
      <c r="N618" s="13">
        <v>373.27</v>
      </c>
      <c r="O618" s="13">
        <v>0</v>
      </c>
      <c r="P618" s="11">
        <v>0</v>
      </c>
    </row>
    <row r="619" spans="1:16" ht="15" thickBot="1" x14ac:dyDescent="0.3">
      <c r="A619" s="3" t="s">
        <v>11</v>
      </c>
      <c r="B619" s="4">
        <v>830507</v>
      </c>
      <c r="C619" s="3" t="s">
        <v>9</v>
      </c>
      <c r="D619" s="18">
        <v>0.14000000000000001</v>
      </c>
      <c r="E619" s="21">
        <v>1.0978851950173452E-2</v>
      </c>
      <c r="F619" s="5">
        <v>32112</v>
      </c>
      <c r="G619" s="5">
        <v>33298</v>
      </c>
      <c r="H619" s="16">
        <v>1186</v>
      </c>
      <c r="I619" s="5">
        <v>33298</v>
      </c>
      <c r="J619" s="5">
        <v>32849</v>
      </c>
      <c r="K619" s="16">
        <v>737</v>
      </c>
      <c r="L619" s="13">
        <v>2869.53</v>
      </c>
      <c r="M619" s="15">
        <v>89.864640367619685</v>
      </c>
      <c r="N619" s="13">
        <v>2217.94</v>
      </c>
      <c r="O619" s="13">
        <v>0</v>
      </c>
      <c r="P619" s="11">
        <v>0</v>
      </c>
    </row>
    <row r="620" spans="1:16" ht="15" thickBot="1" x14ac:dyDescent="0.3">
      <c r="A620" s="3" t="s">
        <v>11</v>
      </c>
      <c r="B620" s="4">
        <v>730398</v>
      </c>
      <c r="C620" s="3" t="s">
        <v>9</v>
      </c>
      <c r="D620" s="18">
        <v>0.14000000000000001</v>
      </c>
      <c r="E620" s="21">
        <v>1.0978851950173452E-2</v>
      </c>
      <c r="F620" s="5">
        <v>32098</v>
      </c>
      <c r="G620" s="5">
        <v>33010</v>
      </c>
      <c r="H620" s="16">
        <v>912</v>
      </c>
      <c r="I620" s="5">
        <v>33010</v>
      </c>
      <c r="J620" s="5">
        <v>32618</v>
      </c>
      <c r="K620" s="16">
        <v>520</v>
      </c>
      <c r="L620" s="13">
        <v>12551.69</v>
      </c>
      <c r="M620" s="15">
        <v>487.85335013038059</v>
      </c>
      <c r="N620" s="13">
        <v>7358.44</v>
      </c>
      <c r="O620" s="13">
        <v>0</v>
      </c>
      <c r="P620" s="11">
        <v>0</v>
      </c>
    </row>
    <row r="621" spans="1:16" ht="15" thickBot="1" x14ac:dyDescent="0.3">
      <c r="A621" s="3" t="s">
        <v>11</v>
      </c>
      <c r="B621" s="4">
        <v>219918</v>
      </c>
      <c r="C621" s="3" t="s">
        <v>9</v>
      </c>
      <c r="D621" s="18">
        <v>0.14499999999999999</v>
      </c>
      <c r="E621" s="21">
        <v>1.1347621038123146E-2</v>
      </c>
      <c r="F621" s="5">
        <v>32101</v>
      </c>
      <c r="G621" s="5">
        <v>32983</v>
      </c>
      <c r="H621" s="16">
        <v>882</v>
      </c>
      <c r="I621" s="5">
        <v>32983</v>
      </c>
      <c r="J621" s="5">
        <v>32177</v>
      </c>
      <c r="K621" s="16">
        <v>76</v>
      </c>
      <c r="L621" s="13">
        <v>3944.64</v>
      </c>
      <c r="M621" s="15">
        <v>158.54759459659093</v>
      </c>
      <c r="N621" s="13">
        <v>3900.73</v>
      </c>
      <c r="O621" s="13">
        <v>0</v>
      </c>
      <c r="P621" s="11">
        <v>0</v>
      </c>
    </row>
    <row r="622" spans="1:16" ht="15" thickBot="1" x14ac:dyDescent="0.3">
      <c r="A622" s="3" t="s">
        <v>11</v>
      </c>
      <c r="B622" s="4">
        <v>412299</v>
      </c>
      <c r="C622" s="3" t="s">
        <v>9</v>
      </c>
      <c r="D622" s="18">
        <v>0.14499999999999999</v>
      </c>
      <c r="E622" s="21">
        <v>1.1347621038123146E-2</v>
      </c>
      <c r="F622" s="5">
        <v>32113</v>
      </c>
      <c r="G622" s="5">
        <v>33209</v>
      </c>
      <c r="H622" s="16">
        <v>1096</v>
      </c>
      <c r="I622" s="5">
        <v>33209</v>
      </c>
      <c r="J622" s="5">
        <v>37322</v>
      </c>
      <c r="K622" s="16">
        <v>5209</v>
      </c>
      <c r="L622" s="13">
        <v>4044.09</v>
      </c>
      <c r="M622" s="15">
        <v>135.84020492290017</v>
      </c>
      <c r="N622" s="13">
        <v>452.09</v>
      </c>
      <c r="O622" s="13">
        <v>0</v>
      </c>
      <c r="P622" s="11">
        <v>0</v>
      </c>
    </row>
    <row r="623" spans="1:16" ht="15" thickBot="1" x14ac:dyDescent="0.3">
      <c r="A623" s="3" t="s">
        <v>11</v>
      </c>
      <c r="B623" s="4">
        <v>333601</v>
      </c>
      <c r="C623" s="3" t="s">
        <v>9</v>
      </c>
      <c r="D623" s="18">
        <v>0.14000000000000001</v>
      </c>
      <c r="E623" s="21">
        <v>1.0978851950173452E-2</v>
      </c>
      <c r="F623" s="5">
        <v>32134</v>
      </c>
      <c r="G623" s="5">
        <v>32590</v>
      </c>
      <c r="H623" s="16">
        <v>456</v>
      </c>
      <c r="I623" s="5">
        <v>32590</v>
      </c>
      <c r="J623" s="5">
        <v>32618</v>
      </c>
      <c r="K623" s="16">
        <v>484</v>
      </c>
      <c r="L623" s="13">
        <v>1300</v>
      </c>
      <c r="M623" s="15">
        <v>93.328514617356802</v>
      </c>
      <c r="N623" s="13">
        <v>109.95</v>
      </c>
      <c r="O623" s="13">
        <v>0</v>
      </c>
      <c r="P623" s="11">
        <v>0</v>
      </c>
    </row>
    <row r="624" spans="1:16" ht="15" thickBot="1" x14ac:dyDescent="0.3">
      <c r="A624" s="3" t="s">
        <v>11</v>
      </c>
      <c r="B624" s="4">
        <v>515296</v>
      </c>
      <c r="C624" s="3" t="s">
        <v>9</v>
      </c>
      <c r="D624" s="18">
        <v>0.14000000000000001</v>
      </c>
      <c r="E624" s="21">
        <v>1.0978851950173452E-2</v>
      </c>
      <c r="F624" s="5">
        <v>32146</v>
      </c>
      <c r="G624" s="5">
        <v>33759</v>
      </c>
      <c r="H624" s="16">
        <v>1613</v>
      </c>
      <c r="I624" s="5">
        <v>33759</v>
      </c>
      <c r="J624" s="5">
        <v>33564</v>
      </c>
      <c r="K624" s="16">
        <v>1418</v>
      </c>
      <c r="L624" s="13">
        <v>6462.62</v>
      </c>
      <c r="M624" s="15">
        <v>159.78364328726607</v>
      </c>
      <c r="N624" s="13">
        <v>1963.58</v>
      </c>
      <c r="O624" s="13">
        <v>0</v>
      </c>
      <c r="P624" s="11">
        <v>0</v>
      </c>
    </row>
    <row r="625" spans="1:16" ht="15" thickBot="1" x14ac:dyDescent="0.3">
      <c r="A625" s="3" t="s">
        <v>11</v>
      </c>
      <c r="B625" s="4">
        <v>238423</v>
      </c>
      <c r="C625" s="3" t="s">
        <v>9</v>
      </c>
      <c r="D625" s="18">
        <v>0.14000000000000001</v>
      </c>
      <c r="E625" s="21">
        <v>1.0978851950173452E-2</v>
      </c>
      <c r="F625" s="5">
        <v>32119</v>
      </c>
      <c r="G625" s="5">
        <v>33642</v>
      </c>
      <c r="H625" s="16">
        <v>1523</v>
      </c>
      <c r="I625" s="5">
        <v>33642</v>
      </c>
      <c r="J625" s="5">
        <v>32569</v>
      </c>
      <c r="K625" s="16">
        <v>450</v>
      </c>
      <c r="L625" s="13">
        <v>7780.97</v>
      </c>
      <c r="M625" s="15">
        <v>200.74823069800897</v>
      </c>
      <c r="N625" s="13">
        <v>3336.53</v>
      </c>
      <c r="O625" s="13">
        <v>0</v>
      </c>
      <c r="P625" s="11">
        <v>0</v>
      </c>
    </row>
    <row r="626" spans="1:16" ht="15" thickBot="1" x14ac:dyDescent="0.3">
      <c r="A626" s="3" t="s">
        <v>11</v>
      </c>
      <c r="B626" s="4">
        <v>621943</v>
      </c>
      <c r="C626" s="3" t="s">
        <v>9</v>
      </c>
      <c r="D626" s="18">
        <v>0.14000000000000001</v>
      </c>
      <c r="E626" s="21">
        <v>1.0978851950173452E-2</v>
      </c>
      <c r="F626" s="5">
        <v>32157</v>
      </c>
      <c r="G626" s="5">
        <v>33618</v>
      </c>
      <c r="H626" s="16">
        <v>1461</v>
      </c>
      <c r="I626" s="5">
        <v>33618</v>
      </c>
      <c r="J626" s="5">
        <v>32710</v>
      </c>
      <c r="K626" s="16">
        <v>553</v>
      </c>
      <c r="L626" s="13">
        <v>6600.15</v>
      </c>
      <c r="M626" s="15">
        <v>175.69632112638814</v>
      </c>
      <c r="N626" s="13">
        <v>6550.15</v>
      </c>
      <c r="O626" s="13">
        <v>0</v>
      </c>
      <c r="P626" s="11">
        <v>0</v>
      </c>
    </row>
    <row r="627" spans="1:16" ht="15" thickBot="1" x14ac:dyDescent="0.3">
      <c r="A627" s="3" t="s">
        <v>11</v>
      </c>
      <c r="B627" s="4">
        <v>133647</v>
      </c>
      <c r="C627" s="3" t="s">
        <v>9</v>
      </c>
      <c r="D627" s="18">
        <v>0.14000000000000001</v>
      </c>
      <c r="E627" s="21">
        <v>1.0978851950173452E-2</v>
      </c>
      <c r="F627" s="5">
        <v>32169</v>
      </c>
      <c r="G627" s="5">
        <v>33630</v>
      </c>
      <c r="H627" s="16">
        <v>1461</v>
      </c>
      <c r="I627" s="5">
        <v>33630</v>
      </c>
      <c r="J627" s="5">
        <v>33554</v>
      </c>
      <c r="K627" s="16">
        <v>1385</v>
      </c>
      <c r="L627" s="13">
        <v>8667.49</v>
      </c>
      <c r="M627" s="15">
        <v>230.72901470417457</v>
      </c>
      <c r="N627" s="13">
        <v>8090.1</v>
      </c>
      <c r="O627" s="13">
        <v>0</v>
      </c>
      <c r="P627" s="11">
        <v>0</v>
      </c>
    </row>
    <row r="628" spans="1:16" ht="15" thickBot="1" x14ac:dyDescent="0.3">
      <c r="A628" s="3" t="s">
        <v>11</v>
      </c>
      <c r="B628" s="4">
        <v>883248</v>
      </c>
      <c r="C628" s="3" t="s">
        <v>9</v>
      </c>
      <c r="D628" s="18">
        <v>0.14000000000000001</v>
      </c>
      <c r="E628" s="21">
        <v>1.0978851950173452E-2</v>
      </c>
      <c r="F628" s="5">
        <v>32210</v>
      </c>
      <c r="G628" s="5">
        <v>33671</v>
      </c>
      <c r="H628" s="16">
        <v>1461</v>
      </c>
      <c r="I628" s="5">
        <v>33671</v>
      </c>
      <c r="J628" s="5">
        <v>32666</v>
      </c>
      <c r="K628" s="16">
        <v>456</v>
      </c>
      <c r="L628" s="13">
        <v>12113.1</v>
      </c>
      <c r="M628" s="15">
        <v>322.45132420263968</v>
      </c>
      <c r="N628" s="13">
        <v>5702.95</v>
      </c>
      <c r="O628" s="13">
        <v>0</v>
      </c>
      <c r="P628" s="11">
        <v>0</v>
      </c>
    </row>
    <row r="629" spans="1:16" ht="15" thickBot="1" x14ac:dyDescent="0.3">
      <c r="A629" s="3" t="s">
        <v>11</v>
      </c>
      <c r="B629" s="4">
        <v>17532</v>
      </c>
      <c r="C629" s="3" t="s">
        <v>9</v>
      </c>
      <c r="D629" s="18">
        <v>0.14000000000000001</v>
      </c>
      <c r="E629" s="21">
        <v>1.0978851950173452E-2</v>
      </c>
      <c r="F629" s="5">
        <v>32115</v>
      </c>
      <c r="G629" s="5">
        <v>32401</v>
      </c>
      <c r="H629" s="16">
        <v>286</v>
      </c>
      <c r="I629" s="5">
        <v>32401</v>
      </c>
      <c r="J629" s="5">
        <v>33175</v>
      </c>
      <c r="K629" s="16">
        <v>1060</v>
      </c>
      <c r="L629" s="13">
        <v>3509.04</v>
      </c>
      <c r="M629" s="15">
        <v>389.69474013135317</v>
      </c>
      <c r="N629" s="13">
        <v>3509.04</v>
      </c>
      <c r="O629" s="13">
        <v>0</v>
      </c>
      <c r="P629" s="11">
        <v>0</v>
      </c>
    </row>
    <row r="630" spans="1:16" ht="15" thickBot="1" x14ac:dyDescent="0.3">
      <c r="A630" s="3" t="s">
        <v>11</v>
      </c>
      <c r="B630" s="4">
        <v>295704</v>
      </c>
      <c r="C630" s="3" t="s">
        <v>9</v>
      </c>
      <c r="D630" s="18">
        <v>0.14000000000000001</v>
      </c>
      <c r="E630" s="21">
        <v>1.0978851950173452E-2</v>
      </c>
      <c r="F630" s="5">
        <v>32217</v>
      </c>
      <c r="G630" s="5">
        <v>35139</v>
      </c>
      <c r="H630" s="16">
        <v>2922</v>
      </c>
      <c r="I630" s="5">
        <v>35139</v>
      </c>
      <c r="J630" s="5">
        <v>33022</v>
      </c>
      <c r="K630" s="16">
        <v>805</v>
      </c>
      <c r="L630" s="13">
        <v>17500</v>
      </c>
      <c r="M630" s="15">
        <v>293.43604505344433</v>
      </c>
      <c r="N630" s="13">
        <v>9427.27</v>
      </c>
      <c r="O630" s="13">
        <v>0</v>
      </c>
      <c r="P630" s="11">
        <v>0</v>
      </c>
    </row>
    <row r="631" spans="1:16" ht="15" thickBot="1" x14ac:dyDescent="0.3">
      <c r="A631" s="3" t="s">
        <v>11</v>
      </c>
      <c r="B631" s="4">
        <v>863708</v>
      </c>
      <c r="C631" s="3" t="s">
        <v>9</v>
      </c>
      <c r="D631" s="18">
        <v>0.14000000000000001</v>
      </c>
      <c r="E631" s="21">
        <v>1.0978851950173452E-2</v>
      </c>
      <c r="F631" s="5">
        <v>32220</v>
      </c>
      <c r="G631" s="5">
        <v>33680</v>
      </c>
      <c r="H631" s="16">
        <v>1460</v>
      </c>
      <c r="I631" s="5">
        <v>33680</v>
      </c>
      <c r="J631" s="5">
        <v>32560</v>
      </c>
      <c r="K631" s="16">
        <v>340</v>
      </c>
      <c r="L631" s="13">
        <v>7541.35</v>
      </c>
      <c r="M631" s="15">
        <v>200.85528076363394</v>
      </c>
      <c r="N631" s="13">
        <v>2500</v>
      </c>
      <c r="O631" s="13">
        <v>0</v>
      </c>
      <c r="P631" s="11">
        <v>0</v>
      </c>
    </row>
    <row r="632" spans="1:16" ht="15" thickBot="1" x14ac:dyDescent="0.3">
      <c r="A632" s="3" t="s">
        <v>11</v>
      </c>
      <c r="B632" s="4">
        <v>500581</v>
      </c>
      <c r="C632" s="3" t="s">
        <v>9</v>
      </c>
      <c r="D632" s="18">
        <v>0.14000000000000001</v>
      </c>
      <c r="E632" s="21">
        <v>1.0978851950173452E-2</v>
      </c>
      <c r="F632" s="5">
        <v>32221</v>
      </c>
      <c r="G632" s="5">
        <v>33680</v>
      </c>
      <c r="H632" s="16">
        <v>1459</v>
      </c>
      <c r="I632" s="5">
        <v>33680</v>
      </c>
      <c r="J632" s="5">
        <v>32475</v>
      </c>
      <c r="K632" s="16">
        <v>254</v>
      </c>
      <c r="L632" s="13">
        <v>2757.5</v>
      </c>
      <c r="M632" s="15">
        <v>73.481019351020862</v>
      </c>
      <c r="N632" s="13">
        <v>2548.9899999999998</v>
      </c>
      <c r="O632" s="13">
        <v>0</v>
      </c>
      <c r="P632" s="11">
        <v>0</v>
      </c>
    </row>
    <row r="633" spans="1:16" ht="15" thickBot="1" x14ac:dyDescent="0.3">
      <c r="A633" s="3" t="s">
        <v>11</v>
      </c>
      <c r="B633" s="4">
        <v>309706</v>
      </c>
      <c r="C633" s="3" t="s">
        <v>9</v>
      </c>
      <c r="D633" s="18">
        <v>0.15</v>
      </c>
      <c r="E633" s="21">
        <v>1.171491691985338E-2</v>
      </c>
      <c r="F633" s="5">
        <v>32240</v>
      </c>
      <c r="G633" s="5">
        <v>33153</v>
      </c>
      <c r="H633" s="16">
        <v>913</v>
      </c>
      <c r="I633" s="5">
        <v>33153</v>
      </c>
      <c r="J633" s="5">
        <v>32878</v>
      </c>
      <c r="K633" s="16">
        <v>638</v>
      </c>
      <c r="L633" s="13">
        <v>3810.2</v>
      </c>
      <c r="M633" s="15">
        <v>149.56395107756552</v>
      </c>
      <c r="N633" s="13">
        <v>3502.39</v>
      </c>
      <c r="O633" s="13">
        <v>0</v>
      </c>
      <c r="P633" s="11">
        <v>0</v>
      </c>
    </row>
    <row r="634" spans="1:16" ht="15" thickBot="1" x14ac:dyDescent="0.3">
      <c r="A634" s="3" t="s">
        <v>11</v>
      </c>
      <c r="B634" s="4">
        <v>164507</v>
      </c>
      <c r="C634" s="3" t="s">
        <v>9</v>
      </c>
      <c r="D634" s="18">
        <v>0.15</v>
      </c>
      <c r="E634" s="21">
        <v>1.171491691985338E-2</v>
      </c>
      <c r="F634" s="5">
        <v>32258</v>
      </c>
      <c r="G634" s="5">
        <v>33171</v>
      </c>
      <c r="H634" s="16">
        <v>913</v>
      </c>
      <c r="I634" s="5">
        <v>33171</v>
      </c>
      <c r="J634" s="5">
        <v>32748</v>
      </c>
      <c r="K634" s="16">
        <v>490</v>
      </c>
      <c r="L634" s="13">
        <v>3917.69</v>
      </c>
      <c r="M634" s="15">
        <v>153.78331727916321</v>
      </c>
      <c r="N634" s="13">
        <v>935</v>
      </c>
      <c r="O634" s="13">
        <v>0</v>
      </c>
      <c r="P634" s="11">
        <v>0</v>
      </c>
    </row>
    <row r="635" spans="1:16" ht="15" thickBot="1" x14ac:dyDescent="0.3">
      <c r="A635" s="3" t="s">
        <v>11</v>
      </c>
      <c r="B635" s="4">
        <v>581521</v>
      </c>
      <c r="C635" s="3" t="s">
        <v>9</v>
      </c>
      <c r="D635" s="18">
        <v>0.15</v>
      </c>
      <c r="E635" s="21">
        <v>1.171491691985338E-2</v>
      </c>
      <c r="F635" s="5">
        <v>32274</v>
      </c>
      <c r="G635" s="5">
        <v>33373</v>
      </c>
      <c r="H635" s="16">
        <v>1099</v>
      </c>
      <c r="I635" s="5">
        <v>33373</v>
      </c>
      <c r="J635" s="5">
        <v>33079</v>
      </c>
      <c r="K635" s="16">
        <v>805</v>
      </c>
      <c r="L635" s="13">
        <v>6862.99</v>
      </c>
      <c r="M635" s="15">
        <v>231.48764528851103</v>
      </c>
      <c r="N635" s="13">
        <v>6134.08</v>
      </c>
      <c r="O635" s="13">
        <v>0</v>
      </c>
      <c r="P635" s="11">
        <v>0</v>
      </c>
    </row>
    <row r="636" spans="1:16" ht="15" thickBot="1" x14ac:dyDescent="0.3">
      <c r="A636" s="3" t="s">
        <v>11</v>
      </c>
      <c r="B636" s="4">
        <v>703630</v>
      </c>
      <c r="C636" s="3" t="s">
        <v>9</v>
      </c>
      <c r="D636" s="18">
        <v>0.14000000000000001</v>
      </c>
      <c r="E636" s="21">
        <v>1.0978851950173452E-2</v>
      </c>
      <c r="F636" s="5">
        <v>32272</v>
      </c>
      <c r="G636" s="5">
        <v>33733</v>
      </c>
      <c r="H636" s="16">
        <v>1461</v>
      </c>
      <c r="I636" s="5">
        <v>33733</v>
      </c>
      <c r="J636" s="5">
        <v>32632</v>
      </c>
      <c r="K636" s="16">
        <v>360</v>
      </c>
      <c r="L636" s="13">
        <v>9783.2999999999993</v>
      </c>
      <c r="M636" s="15">
        <v>260.43193237665702</v>
      </c>
      <c r="N636" s="13">
        <v>1601.2</v>
      </c>
      <c r="O636" s="13">
        <v>0</v>
      </c>
      <c r="P636" s="11">
        <v>0</v>
      </c>
    </row>
    <row r="637" spans="1:16" ht="15" thickBot="1" x14ac:dyDescent="0.3">
      <c r="A637" s="3" t="s">
        <v>11</v>
      </c>
      <c r="B637" s="4">
        <v>484160</v>
      </c>
      <c r="C637" s="3" t="s">
        <v>9</v>
      </c>
      <c r="D637" s="18">
        <v>0.14000000000000001</v>
      </c>
      <c r="E637" s="21">
        <v>1.0978851950173452E-2</v>
      </c>
      <c r="F637" s="5">
        <v>32286</v>
      </c>
      <c r="G637" s="5">
        <v>34051</v>
      </c>
      <c r="H637" s="16">
        <v>1765</v>
      </c>
      <c r="I637" s="5">
        <v>34051</v>
      </c>
      <c r="J637" s="5">
        <v>33459</v>
      </c>
      <c r="K637" s="16">
        <v>1173</v>
      </c>
      <c r="L637" s="13">
        <v>15207.87</v>
      </c>
      <c r="M637" s="15">
        <v>352.26691342067164</v>
      </c>
      <c r="N637" s="13">
        <v>10380.84</v>
      </c>
      <c r="O637" s="13">
        <v>0</v>
      </c>
      <c r="P637" s="11">
        <v>0</v>
      </c>
    </row>
    <row r="638" spans="1:16" ht="15" thickBot="1" x14ac:dyDescent="0.3">
      <c r="A638" s="3" t="s">
        <v>11</v>
      </c>
      <c r="B638" s="4">
        <v>110818</v>
      </c>
      <c r="C638" s="3" t="s">
        <v>9</v>
      </c>
      <c r="D638" s="18">
        <v>0.14499999999999999</v>
      </c>
      <c r="E638" s="21">
        <v>1.1347621038123146E-2</v>
      </c>
      <c r="F638" s="5">
        <v>32294</v>
      </c>
      <c r="G638" s="5">
        <v>33389</v>
      </c>
      <c r="H638" s="16">
        <v>1095</v>
      </c>
      <c r="I638" s="5">
        <v>33389</v>
      </c>
      <c r="J638" s="5">
        <v>32783</v>
      </c>
      <c r="K638" s="16">
        <v>489</v>
      </c>
      <c r="L638" s="13">
        <v>4644.38</v>
      </c>
      <c r="M638" s="15">
        <v>156.11894791629499</v>
      </c>
      <c r="N638" s="13">
        <v>3968.48</v>
      </c>
      <c r="O638" s="13">
        <v>0</v>
      </c>
      <c r="P638" s="11">
        <v>0</v>
      </c>
    </row>
    <row r="639" spans="1:16" ht="15" thickBot="1" x14ac:dyDescent="0.3">
      <c r="A639" s="3" t="s">
        <v>11</v>
      </c>
      <c r="B639" s="4">
        <v>320934</v>
      </c>
      <c r="C639" s="3" t="s">
        <v>9</v>
      </c>
      <c r="D639" s="18">
        <v>0.14000000000000001</v>
      </c>
      <c r="E639" s="21">
        <v>1.0978851950173452E-2</v>
      </c>
      <c r="F639" s="5">
        <v>32323</v>
      </c>
      <c r="G639" s="5">
        <v>32932</v>
      </c>
      <c r="H639" s="16">
        <v>609</v>
      </c>
      <c r="I639" s="5">
        <v>32932</v>
      </c>
      <c r="J639" s="5">
        <v>32758</v>
      </c>
      <c r="K639" s="16">
        <v>435</v>
      </c>
      <c r="L639" s="13">
        <v>2590.73</v>
      </c>
      <c r="M639" s="15">
        <v>143.06804077628365</v>
      </c>
      <c r="N639" s="13">
        <v>1507.06</v>
      </c>
      <c r="O639" s="13">
        <v>0</v>
      </c>
      <c r="P639" s="11">
        <v>0</v>
      </c>
    </row>
    <row r="640" spans="1:16" ht="15" thickBot="1" x14ac:dyDescent="0.3">
      <c r="A640" s="3" t="s">
        <v>11</v>
      </c>
      <c r="B640" s="4">
        <v>791293</v>
      </c>
      <c r="C640" s="3" t="s">
        <v>9</v>
      </c>
      <c r="D640" s="18">
        <v>0.14000000000000001</v>
      </c>
      <c r="E640" s="21">
        <v>1.0978851950173452E-2</v>
      </c>
      <c r="F640" s="5">
        <v>32335</v>
      </c>
      <c r="G640" s="5">
        <v>33919</v>
      </c>
      <c r="H640" s="16">
        <v>1584</v>
      </c>
      <c r="I640" s="5">
        <v>33919</v>
      </c>
      <c r="J640" s="5">
        <v>33780</v>
      </c>
      <c r="K640" s="16">
        <v>1445</v>
      </c>
      <c r="L640" s="13">
        <v>11355.94</v>
      </c>
      <c r="M640" s="15">
        <v>284.54763612596565</v>
      </c>
      <c r="N640" s="13">
        <v>172.27</v>
      </c>
      <c r="O640" s="13">
        <v>0</v>
      </c>
      <c r="P640" s="11">
        <v>0</v>
      </c>
    </row>
    <row r="641" spans="1:16" ht="15" thickBot="1" x14ac:dyDescent="0.3">
      <c r="A641" s="3" t="s">
        <v>11</v>
      </c>
      <c r="B641" s="4">
        <v>58830</v>
      </c>
      <c r="C641" s="3" t="s">
        <v>9</v>
      </c>
      <c r="D641" s="18">
        <v>0.16</v>
      </c>
      <c r="E641" s="21">
        <v>1.2445137919713467E-2</v>
      </c>
      <c r="F641" s="5">
        <v>31517</v>
      </c>
      <c r="G641" s="5">
        <v>32339</v>
      </c>
      <c r="H641" s="16">
        <v>822</v>
      </c>
      <c r="I641" s="5">
        <v>32339</v>
      </c>
      <c r="J641" s="5">
        <v>32093</v>
      </c>
      <c r="K641" s="16">
        <v>576</v>
      </c>
      <c r="L641" s="13">
        <v>1312.69</v>
      </c>
      <c r="M641" s="15">
        <v>56.83467888618339</v>
      </c>
      <c r="N641" s="13">
        <v>1312.69</v>
      </c>
      <c r="O641" s="13">
        <v>0</v>
      </c>
      <c r="P641" s="11">
        <v>0</v>
      </c>
    </row>
    <row r="642" spans="1:16" ht="15" thickBot="1" x14ac:dyDescent="0.3">
      <c r="A642" s="3" t="s">
        <v>11</v>
      </c>
      <c r="B642" s="4">
        <v>973184</v>
      </c>
      <c r="C642" s="3" t="s">
        <v>9</v>
      </c>
      <c r="D642" s="18">
        <v>0.14000000000000001</v>
      </c>
      <c r="E642" s="21">
        <v>1.0978851950173452E-2</v>
      </c>
      <c r="F642" s="5">
        <v>32340</v>
      </c>
      <c r="G642" s="5">
        <v>33801</v>
      </c>
      <c r="H642" s="16">
        <v>1461</v>
      </c>
      <c r="I642" s="5">
        <v>33801</v>
      </c>
      <c r="J642" s="5">
        <v>32955</v>
      </c>
      <c r="K642" s="16">
        <v>615</v>
      </c>
      <c r="L642" s="13">
        <v>12982.03</v>
      </c>
      <c r="M642" s="15">
        <v>345.5822840014855</v>
      </c>
      <c r="N642" s="13">
        <v>9347.6</v>
      </c>
      <c r="O642" s="13">
        <v>0</v>
      </c>
      <c r="P642" s="11">
        <v>0</v>
      </c>
    </row>
    <row r="643" spans="1:16" ht="15" thickBot="1" x14ac:dyDescent="0.3">
      <c r="A643" s="3" t="s">
        <v>11</v>
      </c>
      <c r="B643" s="4">
        <v>145316</v>
      </c>
      <c r="C643" s="3" t="s">
        <v>9</v>
      </c>
      <c r="D643" s="18">
        <v>0.14000000000000001</v>
      </c>
      <c r="E643" s="21">
        <v>1.0978851950173452E-2</v>
      </c>
      <c r="F643" s="5">
        <v>32360</v>
      </c>
      <c r="G643" s="5">
        <v>33821</v>
      </c>
      <c r="H643" s="16">
        <v>1461</v>
      </c>
      <c r="I643" s="5">
        <v>33821</v>
      </c>
      <c r="J643" s="5">
        <v>33073</v>
      </c>
      <c r="K643" s="16">
        <v>713</v>
      </c>
      <c r="L643" s="13">
        <v>8496.36</v>
      </c>
      <c r="M643" s="15">
        <v>226.17352559644846</v>
      </c>
      <c r="N643" s="13">
        <v>1985.85</v>
      </c>
      <c r="O643" s="13">
        <v>0</v>
      </c>
      <c r="P643" s="11">
        <v>0</v>
      </c>
    </row>
    <row r="644" spans="1:16" ht="15" thickBot="1" x14ac:dyDescent="0.3">
      <c r="A644" s="3" t="s">
        <v>11</v>
      </c>
      <c r="B644" s="4">
        <v>343550</v>
      </c>
      <c r="C644" s="3" t="s">
        <v>9</v>
      </c>
      <c r="D644" s="18">
        <v>0.14000000000000001</v>
      </c>
      <c r="E644" s="21">
        <v>1.0978851950173452E-2</v>
      </c>
      <c r="F644" s="5">
        <v>32447</v>
      </c>
      <c r="G644" s="5">
        <v>33358</v>
      </c>
      <c r="H644" s="16">
        <v>911</v>
      </c>
      <c r="I644" s="5">
        <v>33358</v>
      </c>
      <c r="J644" s="5">
        <v>32582</v>
      </c>
      <c r="K644" s="16">
        <v>135</v>
      </c>
      <c r="L644" s="13">
        <v>2014.26</v>
      </c>
      <c r="M644" s="15">
        <v>78.361800191916572</v>
      </c>
      <c r="N644" s="13">
        <v>731.82</v>
      </c>
      <c r="O644" s="13">
        <v>0</v>
      </c>
      <c r="P644" s="11">
        <v>0</v>
      </c>
    </row>
    <row r="645" spans="1:16" ht="15" thickBot="1" x14ac:dyDescent="0.3">
      <c r="A645" s="3" t="s">
        <v>11</v>
      </c>
      <c r="B645" s="4">
        <v>911941</v>
      </c>
      <c r="C645" s="3" t="s">
        <v>9</v>
      </c>
      <c r="D645" s="18">
        <v>0.14000000000000001</v>
      </c>
      <c r="E645" s="21">
        <v>1.0978851950173452E-2</v>
      </c>
      <c r="F645" s="5">
        <v>32480</v>
      </c>
      <c r="G645" s="5">
        <v>33210</v>
      </c>
      <c r="H645" s="16">
        <v>730</v>
      </c>
      <c r="I645" s="5">
        <v>33210</v>
      </c>
      <c r="J645" s="5">
        <v>32797</v>
      </c>
      <c r="K645" s="16">
        <v>317</v>
      </c>
      <c r="L645" s="13">
        <v>4449.33</v>
      </c>
      <c r="M645" s="15">
        <v>209.3556582471071</v>
      </c>
      <c r="N645" s="13">
        <v>2966.55</v>
      </c>
      <c r="O645" s="13">
        <v>0</v>
      </c>
      <c r="P645" s="11">
        <v>0</v>
      </c>
    </row>
    <row r="646" spans="1:16" ht="15" thickBot="1" x14ac:dyDescent="0.3">
      <c r="A646" s="3" t="s">
        <v>11</v>
      </c>
      <c r="B646" s="4">
        <v>195380</v>
      </c>
      <c r="C646" s="3" t="s">
        <v>9</v>
      </c>
      <c r="D646" s="18">
        <v>0.14000000000000001</v>
      </c>
      <c r="E646" s="21">
        <v>1.0978851950173452E-2</v>
      </c>
      <c r="F646" s="5">
        <v>32520</v>
      </c>
      <c r="G646" s="5">
        <v>32885</v>
      </c>
      <c r="H646" s="16">
        <v>365</v>
      </c>
      <c r="I646" s="5">
        <v>32885</v>
      </c>
      <c r="J646" s="5">
        <v>32646</v>
      </c>
      <c r="K646" s="16">
        <v>126</v>
      </c>
      <c r="L646" s="13">
        <v>3877.4</v>
      </c>
      <c r="M646" s="15">
        <v>342.19248842108942</v>
      </c>
      <c r="N646" s="13">
        <v>710.35</v>
      </c>
      <c r="O646" s="13">
        <v>0</v>
      </c>
      <c r="P646" s="11">
        <v>0</v>
      </c>
    </row>
    <row r="647" spans="1:16" ht="15" thickBot="1" x14ac:dyDescent="0.3">
      <c r="A647" s="3" t="s">
        <v>11</v>
      </c>
      <c r="B647" s="4">
        <v>294517</v>
      </c>
      <c r="C647" s="3" t="s">
        <v>9</v>
      </c>
      <c r="D647" s="18">
        <v>0.16</v>
      </c>
      <c r="E647" s="21">
        <v>1.2445137919713467E-2</v>
      </c>
      <c r="F647" s="5">
        <v>29809</v>
      </c>
      <c r="G647" s="5">
        <v>32366</v>
      </c>
      <c r="H647" s="16">
        <v>2557</v>
      </c>
      <c r="I647" s="5">
        <v>32366</v>
      </c>
      <c r="J647" s="5">
        <v>30156</v>
      </c>
      <c r="K647" s="16">
        <v>347</v>
      </c>
      <c r="L647" s="13">
        <v>19902.939999999999</v>
      </c>
      <c r="M647" s="15">
        <v>380.17589672534723</v>
      </c>
      <c r="N647" s="13">
        <v>19902.939999999999</v>
      </c>
      <c r="O647" s="13">
        <v>0</v>
      </c>
      <c r="P647" s="11">
        <v>0</v>
      </c>
    </row>
    <row r="648" spans="1:16" ht="15" thickBot="1" x14ac:dyDescent="0.3">
      <c r="A648" s="3" t="s">
        <v>11</v>
      </c>
      <c r="B648" s="4">
        <v>115929</v>
      </c>
      <c r="C648" s="3" t="s">
        <v>9</v>
      </c>
      <c r="D648" s="18">
        <v>0.14000000000000001</v>
      </c>
      <c r="E648" s="21">
        <v>1.0978851950173452E-2</v>
      </c>
      <c r="F648" s="5">
        <v>32619</v>
      </c>
      <c r="G648" s="5">
        <v>34080</v>
      </c>
      <c r="H648" s="16">
        <v>1461</v>
      </c>
      <c r="I648" s="5">
        <v>34080</v>
      </c>
      <c r="J648" s="5">
        <v>32980</v>
      </c>
      <c r="K648" s="16">
        <v>361</v>
      </c>
      <c r="L648" s="13">
        <v>6327.57</v>
      </c>
      <c r="M648" s="15">
        <v>168.44022797507628</v>
      </c>
      <c r="N648" s="13">
        <v>1673.08</v>
      </c>
      <c r="O648" s="13">
        <v>0</v>
      </c>
      <c r="P648" s="11">
        <v>0</v>
      </c>
    </row>
    <row r="649" spans="1:16" ht="15" thickBot="1" x14ac:dyDescent="0.3">
      <c r="A649" s="3" t="s">
        <v>11</v>
      </c>
      <c r="B649" s="4">
        <v>477378</v>
      </c>
      <c r="C649" s="3" t="s">
        <v>9</v>
      </c>
      <c r="D649" s="18">
        <v>0.13</v>
      </c>
      <c r="E649" s="21">
        <v>1.02368443581764E-2</v>
      </c>
      <c r="F649" s="5">
        <v>32622</v>
      </c>
      <c r="G649" s="5">
        <v>32987</v>
      </c>
      <c r="H649" s="16">
        <v>365</v>
      </c>
      <c r="I649" s="5">
        <v>32987</v>
      </c>
      <c r="J649" s="5">
        <v>33396</v>
      </c>
      <c r="K649" s="16">
        <v>774</v>
      </c>
      <c r="L649" s="13">
        <v>11400</v>
      </c>
      <c r="M649" s="15">
        <v>1001.3288311500953</v>
      </c>
      <c r="N649" s="13">
        <v>10900</v>
      </c>
      <c r="O649" s="13">
        <v>0</v>
      </c>
      <c r="P649" s="11">
        <v>0</v>
      </c>
    </row>
    <row r="650" spans="1:16" ht="15" thickBot="1" x14ac:dyDescent="0.3">
      <c r="A650" s="3" t="s">
        <v>11</v>
      </c>
      <c r="B650" s="4">
        <v>385776</v>
      </c>
      <c r="C650" s="3" t="s">
        <v>9</v>
      </c>
      <c r="D650" s="18">
        <v>0.14000000000000001</v>
      </c>
      <c r="E650" s="21">
        <v>1.0978851950173452E-2</v>
      </c>
      <c r="F650" s="5">
        <v>32643</v>
      </c>
      <c r="G650" s="5">
        <v>33739</v>
      </c>
      <c r="H650" s="16">
        <v>1096</v>
      </c>
      <c r="I650" s="5">
        <v>33739</v>
      </c>
      <c r="J650" s="5">
        <v>34227</v>
      </c>
      <c r="K650" s="16">
        <v>1584</v>
      </c>
      <c r="L650" s="13">
        <v>9111.89</v>
      </c>
      <c r="M650" s="15">
        <v>304.11545136849588</v>
      </c>
      <c r="N650" s="13">
        <v>1296.3699999999999</v>
      </c>
      <c r="O650" s="13">
        <v>0</v>
      </c>
      <c r="P650" s="11">
        <v>0</v>
      </c>
    </row>
    <row r="651" spans="1:16" ht="15" thickBot="1" x14ac:dyDescent="0.3">
      <c r="A651" s="3" t="s">
        <v>11</v>
      </c>
      <c r="B651" s="4">
        <v>219170</v>
      </c>
      <c r="C651" s="3" t="s">
        <v>9</v>
      </c>
      <c r="D651" s="18">
        <v>0.14000000000000001</v>
      </c>
      <c r="E651" s="21">
        <v>1.0978851950173452E-2</v>
      </c>
      <c r="F651" s="5">
        <v>32665</v>
      </c>
      <c r="G651" s="5">
        <v>33030</v>
      </c>
      <c r="H651" s="16">
        <v>365</v>
      </c>
      <c r="I651" s="5">
        <v>33030</v>
      </c>
      <c r="J651" s="5">
        <v>34675</v>
      </c>
      <c r="K651" s="16">
        <v>2010</v>
      </c>
      <c r="L651" s="13">
        <v>12557.14</v>
      </c>
      <c r="M651" s="15">
        <v>1108.2062681312216</v>
      </c>
      <c r="N651" s="13">
        <v>7225.72</v>
      </c>
      <c r="O651" s="13">
        <v>0</v>
      </c>
      <c r="P651" s="11">
        <v>0</v>
      </c>
    </row>
    <row r="652" spans="1:16" ht="15" thickBot="1" x14ac:dyDescent="0.3">
      <c r="A652" s="3" t="s">
        <v>11</v>
      </c>
      <c r="B652" s="4">
        <v>174464</v>
      </c>
      <c r="C652" s="3" t="s">
        <v>9</v>
      </c>
      <c r="D652" s="18">
        <v>0.18</v>
      </c>
      <c r="E652" s="21">
        <v>1.3888430348409919E-2</v>
      </c>
      <c r="F652" s="5">
        <v>30001</v>
      </c>
      <c r="G652" s="5">
        <v>30182</v>
      </c>
      <c r="H652" s="16">
        <v>181</v>
      </c>
      <c r="I652" s="5">
        <v>30182</v>
      </c>
      <c r="J652" s="5">
        <v>30001</v>
      </c>
      <c r="K652" s="16">
        <v>0</v>
      </c>
      <c r="L652" s="13">
        <v>12000</v>
      </c>
      <c r="M652" s="15">
        <v>2087.216426509302</v>
      </c>
      <c r="N652" s="13">
        <v>12000</v>
      </c>
      <c r="O652" s="13">
        <v>0</v>
      </c>
      <c r="P652" s="11">
        <v>0</v>
      </c>
    </row>
    <row r="653" spans="1:16" ht="15" thickBot="1" x14ac:dyDescent="0.3">
      <c r="A653" s="3" t="s">
        <v>11</v>
      </c>
      <c r="B653" s="4">
        <v>704955</v>
      </c>
      <c r="C653" s="3" t="s">
        <v>9</v>
      </c>
      <c r="D653" s="18">
        <v>0.14000000000000001</v>
      </c>
      <c r="E653" s="21">
        <v>1.0978851950173452E-2</v>
      </c>
      <c r="F653" s="5">
        <v>32889</v>
      </c>
      <c r="G653" s="5">
        <v>33254</v>
      </c>
      <c r="H653" s="16">
        <v>365</v>
      </c>
      <c r="I653" s="5">
        <v>33254</v>
      </c>
      <c r="J653" s="5">
        <v>33106</v>
      </c>
      <c r="K653" s="16">
        <v>217</v>
      </c>
      <c r="L653" s="13">
        <v>2191.33</v>
      </c>
      <c r="M653" s="15">
        <v>193.39161955222207</v>
      </c>
      <c r="N653" s="13">
        <v>2091.33</v>
      </c>
      <c r="O653" s="13">
        <v>0</v>
      </c>
      <c r="P653" s="11">
        <v>0</v>
      </c>
    </row>
    <row r="654" spans="1:16" ht="15" thickBot="1" x14ac:dyDescent="0.3">
      <c r="A654" s="3" t="s">
        <v>11</v>
      </c>
      <c r="B654" s="4">
        <v>548530</v>
      </c>
      <c r="C654" s="3" t="s">
        <v>9</v>
      </c>
      <c r="D654" s="18">
        <v>0.11</v>
      </c>
      <c r="E654" s="21">
        <v>8.7345938235519061E-3</v>
      </c>
      <c r="F654" s="5">
        <v>32937</v>
      </c>
      <c r="G654" s="5">
        <v>33302</v>
      </c>
      <c r="H654" s="16">
        <v>365</v>
      </c>
      <c r="I654" s="5">
        <v>33302</v>
      </c>
      <c r="J654" s="5">
        <v>33071</v>
      </c>
      <c r="K654" s="16">
        <v>134</v>
      </c>
      <c r="L654" s="13">
        <v>24000</v>
      </c>
      <c r="M654" s="15">
        <v>2087.8683810980851</v>
      </c>
      <c r="N654" s="13">
        <v>20463.759999999998</v>
      </c>
      <c r="O654" s="13">
        <v>0</v>
      </c>
      <c r="P654" s="11">
        <v>0</v>
      </c>
    </row>
    <row r="655" spans="1:16" ht="15" thickBot="1" x14ac:dyDescent="0.3">
      <c r="A655" s="3" t="s">
        <v>11</v>
      </c>
      <c r="B655" s="4">
        <v>808375</v>
      </c>
      <c r="C655" s="3" t="s">
        <v>9</v>
      </c>
      <c r="D655" s="18">
        <v>0.14000000000000001</v>
      </c>
      <c r="E655" s="21">
        <v>1.0978851950173452E-2</v>
      </c>
      <c r="F655" s="5">
        <v>33014</v>
      </c>
      <c r="G655" s="5">
        <v>33290</v>
      </c>
      <c r="H655" s="16">
        <v>276</v>
      </c>
      <c r="I655" s="5">
        <v>33290</v>
      </c>
      <c r="J655" s="5">
        <v>33315</v>
      </c>
      <c r="K655" s="16">
        <v>301</v>
      </c>
      <c r="L655" s="13">
        <v>1000</v>
      </c>
      <c r="M655" s="15">
        <v>114.87256029487476</v>
      </c>
      <c r="N655" s="13">
        <v>384.31</v>
      </c>
      <c r="O655" s="13">
        <v>0</v>
      </c>
      <c r="P655" s="11">
        <v>0</v>
      </c>
    </row>
    <row r="656" spans="1:16" ht="15" thickBot="1" x14ac:dyDescent="0.3">
      <c r="A656" s="3" t="s">
        <v>11</v>
      </c>
      <c r="B656" s="4">
        <v>847783</v>
      </c>
      <c r="C656" s="3" t="s">
        <v>9</v>
      </c>
      <c r="D656" s="18">
        <v>0.14000000000000001</v>
      </c>
      <c r="E656" s="21">
        <v>1.0978851950173452E-2</v>
      </c>
      <c r="F656" s="5">
        <v>33029</v>
      </c>
      <c r="G656" s="5">
        <v>33943</v>
      </c>
      <c r="H656" s="16">
        <v>914</v>
      </c>
      <c r="I656" s="5">
        <v>33943</v>
      </c>
      <c r="J656" s="5">
        <v>33238</v>
      </c>
      <c r="K656" s="16">
        <v>209</v>
      </c>
      <c r="L656" s="13">
        <v>1450.96</v>
      </c>
      <c r="M656" s="15">
        <v>56.291199147470167</v>
      </c>
      <c r="N656" s="13">
        <v>1136.47</v>
      </c>
      <c r="O656" s="13">
        <v>0</v>
      </c>
      <c r="P656" s="11">
        <v>0</v>
      </c>
    </row>
    <row r="657" spans="1:16" ht="15" thickBot="1" x14ac:dyDescent="0.3">
      <c r="A657" s="3" t="s">
        <v>11</v>
      </c>
      <c r="B657" s="4">
        <v>719185</v>
      </c>
      <c r="C657" s="3" t="s">
        <v>9</v>
      </c>
      <c r="D657" s="18">
        <v>0.14000000000000001</v>
      </c>
      <c r="E657" s="21">
        <v>1.0978851950173452E-2</v>
      </c>
      <c r="F657" s="5">
        <v>33089</v>
      </c>
      <c r="G657" s="5">
        <v>33576</v>
      </c>
      <c r="H657" s="16">
        <v>487</v>
      </c>
      <c r="I657" s="5">
        <v>33576</v>
      </c>
      <c r="J657" s="5">
        <v>34138</v>
      </c>
      <c r="K657" s="16">
        <v>1049</v>
      </c>
      <c r="L657" s="13">
        <v>1800.09</v>
      </c>
      <c r="M657" s="15">
        <v>121.66933385958116</v>
      </c>
      <c r="N657" s="13">
        <v>678.75</v>
      </c>
      <c r="O657" s="13">
        <v>0</v>
      </c>
      <c r="P657" s="11">
        <v>0</v>
      </c>
    </row>
    <row r="658" spans="1:16" ht="15" thickBot="1" x14ac:dyDescent="0.3">
      <c r="A658" s="3" t="s">
        <v>11</v>
      </c>
      <c r="B658" s="4">
        <v>146204</v>
      </c>
      <c r="C658" s="3" t="s">
        <v>9</v>
      </c>
      <c r="D658" s="18">
        <v>0.21</v>
      </c>
      <c r="E658" s="21">
        <v>1.6011867773387367E-2</v>
      </c>
      <c r="F658" s="5">
        <v>30286</v>
      </c>
      <c r="G658" s="5">
        <v>31017</v>
      </c>
      <c r="H658" s="16">
        <v>731</v>
      </c>
      <c r="I658" s="5">
        <v>31017</v>
      </c>
      <c r="J658" s="5">
        <v>41339</v>
      </c>
      <c r="K658" s="16">
        <v>11053</v>
      </c>
      <c r="L658" s="13">
        <v>15.9</v>
      </c>
      <c r="M658" s="15">
        <v>0.79322685331898379</v>
      </c>
      <c r="N658" s="13">
        <v>15.9</v>
      </c>
      <c r="O658" s="13">
        <v>0</v>
      </c>
      <c r="P658" s="11">
        <v>0</v>
      </c>
    </row>
    <row r="659" spans="1:16" ht="15" thickBot="1" x14ac:dyDescent="0.3">
      <c r="A659" s="3" t="s">
        <v>11</v>
      </c>
      <c r="B659" s="4">
        <v>217745</v>
      </c>
      <c r="C659" s="3" t="s">
        <v>9</v>
      </c>
      <c r="D659" s="18">
        <v>0.14000000000000001</v>
      </c>
      <c r="E659" s="21">
        <v>1.0978851950173452E-2</v>
      </c>
      <c r="F659" s="5">
        <v>33200</v>
      </c>
      <c r="G659" s="5">
        <v>34127</v>
      </c>
      <c r="H659" s="16">
        <v>927</v>
      </c>
      <c r="I659" s="5">
        <v>34127</v>
      </c>
      <c r="J659" s="5">
        <v>34096</v>
      </c>
      <c r="K659" s="16">
        <v>896</v>
      </c>
      <c r="L659" s="13">
        <v>3697</v>
      </c>
      <c r="M659" s="15">
        <v>141.73305781895672</v>
      </c>
      <c r="N659" s="13">
        <v>1033.48</v>
      </c>
      <c r="O659" s="13">
        <v>0</v>
      </c>
      <c r="P659" s="11">
        <v>0</v>
      </c>
    </row>
    <row r="660" spans="1:16" ht="15" thickBot="1" x14ac:dyDescent="0.3">
      <c r="A660" s="3" t="s">
        <v>11</v>
      </c>
      <c r="B660" s="4">
        <v>366531</v>
      </c>
      <c r="C660" s="3" t="s">
        <v>9</v>
      </c>
      <c r="D660" s="18">
        <v>0.18</v>
      </c>
      <c r="E660" s="21">
        <v>1.3888430348409919E-2</v>
      </c>
      <c r="F660" s="5">
        <v>33203</v>
      </c>
      <c r="G660" s="5">
        <v>33424</v>
      </c>
      <c r="H660" s="16">
        <v>221</v>
      </c>
      <c r="I660" s="5">
        <v>33424</v>
      </c>
      <c r="J660" s="5">
        <v>33452</v>
      </c>
      <c r="K660" s="16">
        <v>249</v>
      </c>
      <c r="L660" s="13">
        <v>500</v>
      </c>
      <c r="M660" s="15">
        <v>71.874442653920511</v>
      </c>
      <c r="N660" s="13">
        <v>40.04</v>
      </c>
      <c r="O660" s="13">
        <v>0</v>
      </c>
      <c r="P660" s="11">
        <v>0</v>
      </c>
    </row>
    <row r="661" spans="1:16" ht="15" thickBot="1" x14ac:dyDescent="0.3">
      <c r="A661" s="3" t="s">
        <v>11</v>
      </c>
      <c r="B661" s="4">
        <v>770340</v>
      </c>
      <c r="C661" s="3" t="s">
        <v>9</v>
      </c>
      <c r="D661" s="18">
        <v>0.14000000000000001</v>
      </c>
      <c r="E661" s="21">
        <v>1.0978851950173452E-2</v>
      </c>
      <c r="F661" s="5">
        <v>33205</v>
      </c>
      <c r="G661" s="5">
        <v>34452</v>
      </c>
      <c r="H661" s="16">
        <v>1247</v>
      </c>
      <c r="I661" s="5">
        <v>34452</v>
      </c>
      <c r="J661" s="5">
        <v>33786</v>
      </c>
      <c r="K661" s="16">
        <v>581</v>
      </c>
      <c r="L661" s="13">
        <v>6557.94</v>
      </c>
      <c r="M661" s="15">
        <v>197.34686797447185</v>
      </c>
      <c r="N661" s="13">
        <v>4846.18</v>
      </c>
      <c r="O661" s="13">
        <v>0</v>
      </c>
      <c r="P661" s="11">
        <v>0</v>
      </c>
    </row>
    <row r="662" spans="1:16" ht="15" thickBot="1" x14ac:dyDescent="0.3">
      <c r="A662" s="3" t="s">
        <v>11</v>
      </c>
      <c r="B662" s="4">
        <v>805799</v>
      </c>
      <c r="C662" s="3" t="s">
        <v>9</v>
      </c>
      <c r="D662" s="18">
        <v>0.18</v>
      </c>
      <c r="E662" s="21">
        <v>1.3888430348409919E-2</v>
      </c>
      <c r="F662" s="5">
        <v>33262</v>
      </c>
      <c r="G662" s="5">
        <v>33535</v>
      </c>
      <c r="H662" s="16">
        <v>273</v>
      </c>
      <c r="I662" s="5">
        <v>33535</v>
      </c>
      <c r="J662" s="5">
        <v>33702</v>
      </c>
      <c r="K662" s="16">
        <v>440</v>
      </c>
      <c r="L662" s="13">
        <v>500</v>
      </c>
      <c r="M662" s="15">
        <v>58.870450307253734</v>
      </c>
      <c r="N662" s="13">
        <v>465.79</v>
      </c>
      <c r="O662" s="13">
        <v>0</v>
      </c>
      <c r="P662" s="11">
        <v>0</v>
      </c>
    </row>
    <row r="663" spans="1:16" ht="15" thickBot="1" x14ac:dyDescent="0.3">
      <c r="A663" s="3" t="s">
        <v>11</v>
      </c>
      <c r="B663" s="4">
        <v>259821</v>
      </c>
      <c r="C663" s="3" t="s">
        <v>9</v>
      </c>
      <c r="D663" s="18">
        <v>0.15</v>
      </c>
      <c r="E663" s="21">
        <v>1.171491691985338E-2</v>
      </c>
      <c r="F663" s="5">
        <v>33290</v>
      </c>
      <c r="G663" s="5">
        <v>34202</v>
      </c>
      <c r="H663" s="16">
        <v>912</v>
      </c>
      <c r="I663" s="5">
        <v>34202</v>
      </c>
      <c r="J663" s="5">
        <v>34675</v>
      </c>
      <c r="K663" s="16">
        <v>1385</v>
      </c>
      <c r="L663" s="13">
        <v>3817.92</v>
      </c>
      <c r="M663" s="15">
        <v>150.00391175737346</v>
      </c>
      <c r="N663" s="13">
        <v>1461.33</v>
      </c>
      <c r="O663" s="13">
        <v>0</v>
      </c>
      <c r="P663" s="11">
        <v>0</v>
      </c>
    </row>
    <row r="664" spans="1:16" ht="15" thickBot="1" x14ac:dyDescent="0.3">
      <c r="A664" s="3" t="s">
        <v>11</v>
      </c>
      <c r="B664" s="4">
        <v>919501</v>
      </c>
      <c r="C664" s="3" t="s">
        <v>9</v>
      </c>
      <c r="D664" s="18">
        <v>0.14000000000000001</v>
      </c>
      <c r="E664" s="21">
        <v>1.0978851950173452E-2</v>
      </c>
      <c r="F664" s="5">
        <v>33309</v>
      </c>
      <c r="G664" s="5">
        <v>34770</v>
      </c>
      <c r="H664" s="16">
        <v>1461</v>
      </c>
      <c r="I664" s="5">
        <v>34770</v>
      </c>
      <c r="J664" s="5">
        <v>35052</v>
      </c>
      <c r="K664" s="16">
        <v>1743</v>
      </c>
      <c r="L664" s="13">
        <v>11921.89</v>
      </c>
      <c r="M664" s="15">
        <v>317.36130449663654</v>
      </c>
      <c r="N664" s="13">
        <v>2130.56</v>
      </c>
      <c r="O664" s="13">
        <v>0</v>
      </c>
      <c r="P664" s="11">
        <v>0</v>
      </c>
    </row>
    <row r="665" spans="1:16" ht="15" thickBot="1" x14ac:dyDescent="0.3">
      <c r="A665" s="3" t="s">
        <v>11</v>
      </c>
      <c r="B665" s="4">
        <v>906889</v>
      </c>
      <c r="C665" s="3" t="s">
        <v>9</v>
      </c>
      <c r="D665" s="18">
        <v>0.14000000000000001</v>
      </c>
      <c r="E665" s="21">
        <v>1.0978851950173452E-2</v>
      </c>
      <c r="F665" s="5">
        <v>33400</v>
      </c>
      <c r="G665" s="5">
        <v>33674</v>
      </c>
      <c r="H665" s="16">
        <v>274</v>
      </c>
      <c r="I665" s="5">
        <v>33674</v>
      </c>
      <c r="J665" s="5">
        <v>33753</v>
      </c>
      <c r="K665" s="16">
        <v>353</v>
      </c>
      <c r="L665" s="13">
        <v>550</v>
      </c>
      <c r="M665" s="15">
        <v>63.618302515541373</v>
      </c>
      <c r="N665" s="13">
        <v>192.05</v>
      </c>
      <c r="O665" s="13">
        <v>0</v>
      </c>
      <c r="P665" s="11">
        <v>0</v>
      </c>
    </row>
    <row r="666" spans="1:16" ht="15" thickBot="1" x14ac:dyDescent="0.3">
      <c r="A666" s="3" t="s">
        <v>11</v>
      </c>
      <c r="B666" s="4">
        <v>25942</v>
      </c>
      <c r="C666" s="3" t="s">
        <v>9</v>
      </c>
      <c r="D666" s="18">
        <v>0.11</v>
      </c>
      <c r="E666" s="21">
        <v>8.7345938235519061E-3</v>
      </c>
      <c r="F666" s="5">
        <v>33541</v>
      </c>
      <c r="G666" s="5">
        <v>34509</v>
      </c>
      <c r="H666" s="16">
        <v>968</v>
      </c>
      <c r="I666" s="5">
        <v>34509</v>
      </c>
      <c r="J666" s="5">
        <v>35048</v>
      </c>
      <c r="K666" s="16">
        <v>1507</v>
      </c>
      <c r="L666" s="13">
        <v>11261.21</v>
      </c>
      <c r="M666" s="15">
        <v>402.00460955663743</v>
      </c>
      <c r="N666" s="13">
        <v>7261.21</v>
      </c>
      <c r="O666" s="13">
        <v>0</v>
      </c>
      <c r="P666" s="11">
        <v>0</v>
      </c>
    </row>
    <row r="667" spans="1:16" ht="15" thickBot="1" x14ac:dyDescent="0.3">
      <c r="A667" s="3" t="s">
        <v>11</v>
      </c>
      <c r="B667" s="4">
        <v>637415</v>
      </c>
      <c r="C667" s="3" t="s">
        <v>9</v>
      </c>
      <c r="D667" s="18">
        <v>0.18</v>
      </c>
      <c r="E667" s="21">
        <v>1.3888430348409919E-2</v>
      </c>
      <c r="F667" s="5">
        <v>33695</v>
      </c>
      <c r="G667" s="5">
        <v>34060</v>
      </c>
      <c r="H667" s="16">
        <v>365</v>
      </c>
      <c r="I667" s="5">
        <v>34060</v>
      </c>
      <c r="J667" s="5">
        <v>33921</v>
      </c>
      <c r="K667" s="16">
        <v>226</v>
      </c>
      <c r="L667" s="13">
        <v>700</v>
      </c>
      <c r="M667" s="15">
        <v>62.929700495555906</v>
      </c>
      <c r="N667" s="13">
        <v>510.65</v>
      </c>
      <c r="O667" s="13">
        <v>0</v>
      </c>
      <c r="P667" s="11">
        <v>0</v>
      </c>
    </row>
    <row r="668" spans="1:16" ht="15" thickBot="1" x14ac:dyDescent="0.3">
      <c r="A668" s="3" t="s">
        <v>11</v>
      </c>
      <c r="B668" s="4">
        <v>443536</v>
      </c>
      <c r="C668" s="3" t="s">
        <v>9</v>
      </c>
      <c r="D668" s="18">
        <v>0.14000000000000001</v>
      </c>
      <c r="E668" s="21">
        <v>1.0978851950173452E-2</v>
      </c>
      <c r="F668" s="5">
        <v>33695</v>
      </c>
      <c r="G668" s="5">
        <v>35886</v>
      </c>
      <c r="H668" s="16">
        <v>2191</v>
      </c>
      <c r="I668" s="5">
        <v>35886</v>
      </c>
      <c r="J668" s="5">
        <v>34844</v>
      </c>
      <c r="K668" s="16">
        <v>1149</v>
      </c>
      <c r="L668" s="13">
        <v>4009.19</v>
      </c>
      <c r="M668" s="15">
        <v>80.098827666069496</v>
      </c>
      <c r="N668" s="13">
        <v>1873.19</v>
      </c>
      <c r="O668" s="13">
        <v>0</v>
      </c>
      <c r="P668" s="11">
        <v>0</v>
      </c>
    </row>
    <row r="669" spans="1:16" ht="15" thickBot="1" x14ac:dyDescent="0.3">
      <c r="A669" s="3" t="s">
        <v>11</v>
      </c>
      <c r="B669" s="4">
        <v>65449</v>
      </c>
      <c r="C669" s="3" t="s">
        <v>9</v>
      </c>
      <c r="D669" s="18">
        <v>0.125</v>
      </c>
      <c r="E669" s="21">
        <v>9.8635805532114595E-3</v>
      </c>
      <c r="F669" s="5">
        <v>33715</v>
      </c>
      <c r="G669" s="5">
        <v>34445</v>
      </c>
      <c r="H669" s="16">
        <v>730</v>
      </c>
      <c r="I669" s="5">
        <v>34445</v>
      </c>
      <c r="J669" s="5">
        <v>34124</v>
      </c>
      <c r="K669" s="16">
        <v>409</v>
      </c>
      <c r="L669" s="13">
        <v>2000</v>
      </c>
      <c r="M669" s="15">
        <v>92.852310799005664</v>
      </c>
      <c r="N669" s="13">
        <v>2000</v>
      </c>
      <c r="O669" s="13">
        <v>0</v>
      </c>
      <c r="P669" s="11">
        <v>0</v>
      </c>
    </row>
    <row r="670" spans="1:16" ht="15" thickBot="1" x14ac:dyDescent="0.3">
      <c r="A670" s="3" t="s">
        <v>11</v>
      </c>
      <c r="B670" s="4">
        <v>869003</v>
      </c>
      <c r="C670" s="3" t="s">
        <v>9</v>
      </c>
      <c r="D670" s="18">
        <v>0.14000000000000001</v>
      </c>
      <c r="E670" s="21">
        <v>1.0978851950173452E-2</v>
      </c>
      <c r="F670" s="5">
        <v>33718</v>
      </c>
      <c r="G670" s="5">
        <v>34083</v>
      </c>
      <c r="H670" s="16">
        <v>365</v>
      </c>
      <c r="I670" s="5">
        <v>34083</v>
      </c>
      <c r="J670" s="5">
        <v>34005</v>
      </c>
      <c r="K670" s="16">
        <v>287</v>
      </c>
      <c r="L670" s="13">
        <v>1000</v>
      </c>
      <c r="M670" s="15">
        <v>88.25307897588317</v>
      </c>
      <c r="N670" s="13">
        <v>299.32</v>
      </c>
      <c r="O670" s="13">
        <v>0</v>
      </c>
      <c r="P670" s="11">
        <v>0</v>
      </c>
    </row>
    <row r="671" spans="1:16" ht="15" thickBot="1" x14ac:dyDescent="0.3">
      <c r="A671" s="3" t="s">
        <v>11</v>
      </c>
      <c r="B671" s="4">
        <v>191960</v>
      </c>
      <c r="C671" s="3" t="s">
        <v>9</v>
      </c>
      <c r="D671" s="18">
        <v>0.14000000000000001</v>
      </c>
      <c r="E671" s="21">
        <v>1.0978851950173452E-2</v>
      </c>
      <c r="F671" s="5">
        <v>33721</v>
      </c>
      <c r="G671" s="5">
        <v>34542</v>
      </c>
      <c r="H671" s="16">
        <v>821</v>
      </c>
      <c r="I671" s="5">
        <v>34542</v>
      </c>
      <c r="J671" s="5">
        <v>34096</v>
      </c>
      <c r="K671" s="16">
        <v>375</v>
      </c>
      <c r="L671" s="13">
        <v>2650</v>
      </c>
      <c r="M671" s="15">
        <v>112.63410555761504</v>
      </c>
      <c r="N671" s="13">
        <v>1813.54</v>
      </c>
      <c r="O671" s="13">
        <v>0</v>
      </c>
      <c r="P671" s="11">
        <v>0</v>
      </c>
    </row>
    <row r="672" spans="1:16" ht="15" thickBot="1" x14ac:dyDescent="0.3">
      <c r="A672" s="3" t="s">
        <v>11</v>
      </c>
      <c r="B672" s="4">
        <v>213558</v>
      </c>
      <c r="C672" s="3" t="s">
        <v>9</v>
      </c>
      <c r="D672" s="18">
        <v>0.14000000000000001</v>
      </c>
      <c r="E672" s="21">
        <v>1.0978851950173452E-2</v>
      </c>
      <c r="F672" s="5">
        <v>33779</v>
      </c>
      <c r="G672" s="5">
        <v>34692</v>
      </c>
      <c r="H672" s="16">
        <v>913</v>
      </c>
      <c r="I672" s="5">
        <v>34692</v>
      </c>
      <c r="J672" s="5">
        <v>36999</v>
      </c>
      <c r="K672" s="16">
        <v>3220</v>
      </c>
      <c r="L672" s="13">
        <v>4300.49</v>
      </c>
      <c r="M672" s="15">
        <v>166.99511136545803</v>
      </c>
      <c r="N672" s="13">
        <v>1854</v>
      </c>
      <c r="O672" s="13">
        <v>0</v>
      </c>
      <c r="P672" s="11">
        <v>0</v>
      </c>
    </row>
    <row r="673" spans="1:16" ht="15" thickBot="1" x14ac:dyDescent="0.3">
      <c r="A673" s="3" t="s">
        <v>11</v>
      </c>
      <c r="B673" s="4">
        <v>355659</v>
      </c>
      <c r="C673" s="3" t="s">
        <v>9</v>
      </c>
      <c r="D673" s="18">
        <v>0.13</v>
      </c>
      <c r="E673" s="21">
        <v>1.02368443581764E-2</v>
      </c>
      <c r="F673" s="5">
        <v>33787</v>
      </c>
      <c r="G673" s="5">
        <v>33971</v>
      </c>
      <c r="H673" s="16">
        <v>184</v>
      </c>
      <c r="I673" s="5">
        <v>33971</v>
      </c>
      <c r="J673" s="5">
        <v>34233</v>
      </c>
      <c r="K673" s="16">
        <v>446</v>
      </c>
      <c r="L673" s="13">
        <v>2000</v>
      </c>
      <c r="M673" s="15">
        <v>338.09658864064613</v>
      </c>
      <c r="N673" s="13">
        <v>1400</v>
      </c>
      <c r="O673" s="13">
        <v>0</v>
      </c>
      <c r="P673" s="11">
        <v>0</v>
      </c>
    </row>
    <row r="674" spans="1:16" ht="15" thickBot="1" x14ac:dyDescent="0.3">
      <c r="A674" s="3" t="s">
        <v>11</v>
      </c>
      <c r="B674" s="4">
        <v>932853</v>
      </c>
      <c r="C674" s="3" t="s">
        <v>9</v>
      </c>
      <c r="D674" s="18">
        <v>0.14000000000000001</v>
      </c>
      <c r="E674" s="21">
        <v>1.0978851950173452E-2</v>
      </c>
      <c r="F674" s="5">
        <v>33791</v>
      </c>
      <c r="G674" s="5">
        <v>34340</v>
      </c>
      <c r="H674" s="16">
        <v>549</v>
      </c>
      <c r="I674" s="5">
        <v>34340</v>
      </c>
      <c r="J674" s="5">
        <v>34583</v>
      </c>
      <c r="K674" s="16">
        <v>792</v>
      </c>
      <c r="L674" s="13">
        <v>2200</v>
      </c>
      <c r="M674" s="15">
        <v>133.35597079986428</v>
      </c>
      <c r="N674" s="13">
        <v>1179.1600000000001</v>
      </c>
      <c r="O674" s="13">
        <v>0</v>
      </c>
      <c r="P674" s="11">
        <v>0</v>
      </c>
    </row>
    <row r="675" spans="1:16" ht="15" thickBot="1" x14ac:dyDescent="0.3">
      <c r="A675" s="3" t="s">
        <v>11</v>
      </c>
      <c r="B675" s="4">
        <v>378346</v>
      </c>
      <c r="C675" s="3" t="s">
        <v>9</v>
      </c>
      <c r="D675" s="18">
        <v>0.14000000000000001</v>
      </c>
      <c r="E675" s="21">
        <v>1.0978851950173452E-2</v>
      </c>
      <c r="F675" s="5">
        <v>33833</v>
      </c>
      <c r="G675" s="5">
        <v>34382</v>
      </c>
      <c r="H675" s="16">
        <v>549</v>
      </c>
      <c r="I675" s="5">
        <v>34382</v>
      </c>
      <c r="J675" s="5">
        <v>34821</v>
      </c>
      <c r="K675" s="16">
        <v>988</v>
      </c>
      <c r="L675" s="13">
        <v>3097.69</v>
      </c>
      <c r="M675" s="15">
        <v>187.77066235774163</v>
      </c>
      <c r="N675" s="13">
        <v>774.39</v>
      </c>
      <c r="O675" s="13">
        <v>0</v>
      </c>
      <c r="P675" s="11">
        <v>0</v>
      </c>
    </row>
    <row r="676" spans="1:16" ht="15" thickBot="1" x14ac:dyDescent="0.3">
      <c r="A676" s="3" t="s">
        <v>11</v>
      </c>
      <c r="B676" s="4">
        <v>174413</v>
      </c>
      <c r="C676" s="3" t="s">
        <v>9</v>
      </c>
      <c r="D676" s="18">
        <v>0.14000000000000001</v>
      </c>
      <c r="E676" s="21">
        <v>1.0978851950173452E-2</v>
      </c>
      <c r="F676" s="5">
        <v>33840</v>
      </c>
      <c r="G676" s="5">
        <v>34692</v>
      </c>
      <c r="H676" s="16">
        <v>852</v>
      </c>
      <c r="I676" s="5">
        <v>34692</v>
      </c>
      <c r="J676" s="5">
        <v>34194</v>
      </c>
      <c r="K676" s="16">
        <v>354</v>
      </c>
      <c r="L676" s="13">
        <v>3000</v>
      </c>
      <c r="M676" s="15">
        <v>123.53066952028396</v>
      </c>
      <c r="N676" s="13">
        <v>2191.08</v>
      </c>
      <c r="O676" s="13">
        <v>0</v>
      </c>
      <c r="P676" s="11">
        <v>0</v>
      </c>
    </row>
    <row r="677" spans="1:16" ht="15" thickBot="1" x14ac:dyDescent="0.3">
      <c r="A677" s="3" t="s">
        <v>11</v>
      </c>
      <c r="B677" s="4">
        <v>721377</v>
      </c>
      <c r="C677" s="3" t="s">
        <v>9</v>
      </c>
      <c r="D677" s="18">
        <v>0.15</v>
      </c>
      <c r="E677" s="21">
        <v>1.171491691985338E-2</v>
      </c>
      <c r="F677" s="5">
        <v>33956</v>
      </c>
      <c r="G677" s="5">
        <v>34352</v>
      </c>
      <c r="H677" s="16">
        <v>396</v>
      </c>
      <c r="I677" s="5">
        <v>34352</v>
      </c>
      <c r="J677" s="5">
        <v>34096</v>
      </c>
      <c r="K677" s="16">
        <v>140</v>
      </c>
      <c r="L677" s="13">
        <v>600</v>
      </c>
      <c r="M677" s="15">
        <v>49.324767840577088</v>
      </c>
      <c r="N677" s="13">
        <v>464.33</v>
      </c>
      <c r="O677" s="13">
        <v>0</v>
      </c>
      <c r="P677" s="11">
        <v>0</v>
      </c>
    </row>
    <row r="678" spans="1:16" ht="15" thickBot="1" x14ac:dyDescent="0.3">
      <c r="A678" s="3" t="s">
        <v>11</v>
      </c>
      <c r="B678" s="4">
        <v>992175</v>
      </c>
      <c r="C678" s="3" t="s">
        <v>9</v>
      </c>
      <c r="D678" s="18">
        <v>0.12</v>
      </c>
      <c r="E678" s="21">
        <v>9.4887929345830457E-3</v>
      </c>
      <c r="F678" s="5">
        <v>33974</v>
      </c>
      <c r="G678" s="5">
        <v>35221</v>
      </c>
      <c r="H678" s="16">
        <v>1247</v>
      </c>
      <c r="I678" s="5">
        <v>35221</v>
      </c>
      <c r="J678" s="5">
        <v>34432</v>
      </c>
      <c r="K678" s="16">
        <v>458</v>
      </c>
      <c r="L678" s="13">
        <v>5828.36</v>
      </c>
      <c r="M678" s="15">
        <v>170.33795301545499</v>
      </c>
      <c r="N678" s="13">
        <v>5165.5</v>
      </c>
      <c r="O678" s="13">
        <v>0</v>
      </c>
      <c r="P678" s="11">
        <v>0</v>
      </c>
    </row>
    <row r="679" spans="1:16" ht="15" thickBot="1" x14ac:dyDescent="0.3">
      <c r="A679" s="3" t="s">
        <v>11</v>
      </c>
      <c r="B679" s="4">
        <v>527715</v>
      </c>
      <c r="C679" s="3" t="s">
        <v>9</v>
      </c>
      <c r="D679" s="18">
        <v>0.12</v>
      </c>
      <c r="E679" s="21">
        <v>9.4887929345830457E-3</v>
      </c>
      <c r="F679" s="5">
        <v>34129</v>
      </c>
      <c r="G679" s="5">
        <v>35104</v>
      </c>
      <c r="H679" s="16">
        <v>975</v>
      </c>
      <c r="I679" s="5">
        <v>35104</v>
      </c>
      <c r="J679" s="5">
        <v>34809</v>
      </c>
      <c r="K679" s="16">
        <v>680</v>
      </c>
      <c r="L679" s="13">
        <v>2400</v>
      </c>
      <c r="M679" s="15">
        <v>86.164079381919024</v>
      </c>
      <c r="N679" s="13">
        <v>1180.99</v>
      </c>
      <c r="O679" s="13">
        <v>0</v>
      </c>
      <c r="P679" s="11">
        <v>0</v>
      </c>
    </row>
    <row r="680" spans="1:16" ht="15" thickBot="1" x14ac:dyDescent="0.3">
      <c r="A680" s="3" t="s">
        <v>11</v>
      </c>
      <c r="B680" s="4">
        <v>508144</v>
      </c>
      <c r="C680" s="3" t="s">
        <v>9</v>
      </c>
      <c r="D680" s="18">
        <v>0.14000000000000001</v>
      </c>
      <c r="E680" s="21">
        <v>1.0978851950173452E-2</v>
      </c>
      <c r="F680" s="5">
        <v>34141</v>
      </c>
      <c r="G680" s="5">
        <v>34506</v>
      </c>
      <c r="H680" s="16">
        <v>365</v>
      </c>
      <c r="I680" s="5">
        <v>34506</v>
      </c>
      <c r="J680" s="5">
        <v>34242</v>
      </c>
      <c r="K680" s="16">
        <v>101</v>
      </c>
      <c r="L680" s="13">
        <v>1230.53</v>
      </c>
      <c r="M680" s="15">
        <v>108.59806127219352</v>
      </c>
      <c r="N680" s="13">
        <v>933.96</v>
      </c>
      <c r="O680" s="13">
        <v>0</v>
      </c>
      <c r="P680" s="11">
        <v>0</v>
      </c>
    </row>
    <row r="681" spans="1:16" ht="15" thickBot="1" x14ac:dyDescent="0.3">
      <c r="A681" s="3" t="s">
        <v>11</v>
      </c>
      <c r="B681" s="4">
        <v>781053</v>
      </c>
      <c r="C681" s="3" t="s">
        <v>9</v>
      </c>
      <c r="D681" s="18">
        <v>0.12</v>
      </c>
      <c r="E681" s="21">
        <v>9.4887929345830457E-3</v>
      </c>
      <c r="F681" s="5">
        <v>34208</v>
      </c>
      <c r="G681" s="5">
        <v>35730</v>
      </c>
      <c r="H681" s="16">
        <v>1522</v>
      </c>
      <c r="I681" s="5">
        <v>35730</v>
      </c>
      <c r="J681" s="5">
        <v>35124</v>
      </c>
      <c r="K681" s="16">
        <v>916</v>
      </c>
      <c r="L681" s="13">
        <v>8028.82</v>
      </c>
      <c r="M681" s="15">
        <v>200.12711596651414</v>
      </c>
      <c r="N681" s="13">
        <v>6198.5</v>
      </c>
      <c r="O681" s="13">
        <v>0</v>
      </c>
      <c r="P681" s="11">
        <v>0</v>
      </c>
    </row>
    <row r="682" spans="1:16" ht="15" thickBot="1" x14ac:dyDescent="0.3">
      <c r="A682" s="3" t="s">
        <v>11</v>
      </c>
      <c r="B682" s="4">
        <v>404728</v>
      </c>
      <c r="C682" s="3" t="s">
        <v>9</v>
      </c>
      <c r="D682" s="18">
        <v>0.12</v>
      </c>
      <c r="E682" s="21">
        <v>9.4887929345830457E-3</v>
      </c>
      <c r="F682" s="5">
        <v>34234</v>
      </c>
      <c r="G682" s="5">
        <v>34415</v>
      </c>
      <c r="H682" s="16">
        <v>181</v>
      </c>
      <c r="I682" s="5">
        <v>34415</v>
      </c>
      <c r="J682" s="5">
        <v>38478</v>
      </c>
      <c r="K682" s="16">
        <v>4244</v>
      </c>
      <c r="L682" s="13">
        <v>915.85</v>
      </c>
      <c r="M682" s="15">
        <v>156.90381762078221</v>
      </c>
      <c r="N682" s="13">
        <v>587.64</v>
      </c>
      <c r="O682" s="13">
        <v>0</v>
      </c>
      <c r="P682" s="11">
        <v>0</v>
      </c>
    </row>
    <row r="683" spans="1:16" ht="15" thickBot="1" x14ac:dyDescent="0.3">
      <c r="A683" s="3" t="s">
        <v>11</v>
      </c>
      <c r="B683" s="4">
        <v>692899</v>
      </c>
      <c r="C683" s="3" t="s">
        <v>9</v>
      </c>
      <c r="D683" s="18">
        <v>0.12</v>
      </c>
      <c r="E683" s="21">
        <v>9.4887929345830457E-3</v>
      </c>
      <c r="F683" s="5">
        <v>34590</v>
      </c>
      <c r="G683" s="5">
        <v>34893</v>
      </c>
      <c r="H683" s="16">
        <v>303</v>
      </c>
      <c r="I683" s="5">
        <v>34893</v>
      </c>
      <c r="J683" s="5">
        <v>34947</v>
      </c>
      <c r="K683" s="16">
        <v>357</v>
      </c>
      <c r="L683" s="13">
        <v>1800</v>
      </c>
      <c r="M683" s="15">
        <v>187.7376832092842</v>
      </c>
      <c r="N683" s="13">
        <v>174.57</v>
      </c>
      <c r="O683" s="13">
        <v>0</v>
      </c>
      <c r="P683" s="11">
        <v>0</v>
      </c>
    </row>
    <row r="684" spans="1:16" ht="15" thickBot="1" x14ac:dyDescent="0.3">
      <c r="A684" s="3" t="s">
        <v>11</v>
      </c>
      <c r="B684" s="4">
        <v>827214</v>
      </c>
      <c r="C684" s="3" t="s">
        <v>9</v>
      </c>
      <c r="D684" s="18">
        <v>0.11</v>
      </c>
      <c r="E684" s="21">
        <v>8.7345938235519061E-3</v>
      </c>
      <c r="F684" s="5">
        <v>34661</v>
      </c>
      <c r="G684" s="5">
        <v>34842</v>
      </c>
      <c r="H684" s="16">
        <v>181</v>
      </c>
      <c r="I684" s="5">
        <v>34842</v>
      </c>
      <c r="J684" s="5">
        <v>34950</v>
      </c>
      <c r="K684" s="16">
        <v>289</v>
      </c>
      <c r="L684" s="13">
        <v>2625.51</v>
      </c>
      <c r="M684" s="15">
        <v>448.63180432239614</v>
      </c>
      <c r="N684" s="13">
        <v>2425.5100000000002</v>
      </c>
      <c r="O684" s="13">
        <v>0</v>
      </c>
      <c r="P684" s="11">
        <v>0</v>
      </c>
    </row>
    <row r="685" spans="1:16" ht="15" thickBot="1" x14ac:dyDescent="0.3">
      <c r="A685" s="3" t="s">
        <v>11</v>
      </c>
      <c r="B685" s="4">
        <v>609646</v>
      </c>
      <c r="C685" s="3" t="s">
        <v>9</v>
      </c>
      <c r="D685" s="18">
        <v>0.14000000000000001</v>
      </c>
      <c r="E685" s="21">
        <v>1.0978851950173452E-2</v>
      </c>
      <c r="F685" s="5">
        <v>34705</v>
      </c>
      <c r="G685" s="5">
        <v>35039</v>
      </c>
      <c r="H685" s="16">
        <v>334</v>
      </c>
      <c r="I685" s="5">
        <v>35039</v>
      </c>
      <c r="J685" s="5">
        <v>41800</v>
      </c>
      <c r="K685" s="16">
        <v>7095</v>
      </c>
      <c r="L685" s="13">
        <v>1000</v>
      </c>
      <c r="M685" s="15">
        <v>95.913143240215859</v>
      </c>
      <c r="N685" s="13">
        <v>46</v>
      </c>
      <c r="O685" s="13">
        <v>0</v>
      </c>
      <c r="P685" s="11">
        <v>0</v>
      </c>
    </row>
    <row r="686" spans="1:16" ht="15" thickBot="1" x14ac:dyDescent="0.3">
      <c r="A686" s="3" t="s">
        <v>11</v>
      </c>
      <c r="B686" s="4">
        <v>920142</v>
      </c>
      <c r="C686" s="3" t="s">
        <v>9</v>
      </c>
      <c r="D686" s="18">
        <v>0.125</v>
      </c>
      <c r="E686" s="21">
        <v>9.8635805532114595E-3</v>
      </c>
      <c r="F686" s="5">
        <v>34709</v>
      </c>
      <c r="G686" s="5">
        <v>35805</v>
      </c>
      <c r="H686" s="16">
        <v>1096</v>
      </c>
      <c r="I686" s="5">
        <v>35805</v>
      </c>
      <c r="J686" s="5">
        <v>37447</v>
      </c>
      <c r="K686" s="16">
        <v>2738</v>
      </c>
      <c r="L686" s="13">
        <v>4568.54</v>
      </c>
      <c r="M686" s="15">
        <v>149.54174660171503</v>
      </c>
      <c r="N686" s="13">
        <v>3182.72</v>
      </c>
      <c r="O686" s="13">
        <v>0</v>
      </c>
      <c r="P686" s="11">
        <v>0</v>
      </c>
    </row>
    <row r="687" spans="1:16" ht="15" thickBot="1" x14ac:dyDescent="0.3">
      <c r="A687" s="3" t="s">
        <v>11</v>
      </c>
      <c r="B687" s="4">
        <v>396364</v>
      </c>
      <c r="C687" s="3" t="s">
        <v>9</v>
      </c>
      <c r="D687" s="18">
        <v>0.12</v>
      </c>
      <c r="E687" s="21">
        <v>9.4887929345830457E-3</v>
      </c>
      <c r="F687" s="5">
        <v>34740</v>
      </c>
      <c r="G687" s="5">
        <v>35836</v>
      </c>
      <c r="H687" s="16">
        <v>1096</v>
      </c>
      <c r="I687" s="5">
        <v>35836</v>
      </c>
      <c r="J687" s="5">
        <v>34996</v>
      </c>
      <c r="K687" s="16">
        <v>256</v>
      </c>
      <c r="L687" s="13">
        <v>9383.41</v>
      </c>
      <c r="M687" s="15">
        <v>305.13536433444563</v>
      </c>
      <c r="N687" s="13">
        <v>3146.59</v>
      </c>
      <c r="O687" s="13">
        <v>0</v>
      </c>
      <c r="P687" s="11">
        <v>0</v>
      </c>
    </row>
    <row r="688" spans="1:16" ht="15" thickBot="1" x14ac:dyDescent="0.3">
      <c r="A688" s="3" t="s">
        <v>11</v>
      </c>
      <c r="B688" s="4">
        <v>573555</v>
      </c>
      <c r="C688" s="3" t="s">
        <v>9</v>
      </c>
      <c r="D688" s="18">
        <v>0.125</v>
      </c>
      <c r="E688" s="21">
        <v>9.8635805532114595E-3</v>
      </c>
      <c r="F688" s="5">
        <v>34743</v>
      </c>
      <c r="G688" s="5">
        <v>35108</v>
      </c>
      <c r="H688" s="16">
        <v>365</v>
      </c>
      <c r="I688" s="5">
        <v>35108</v>
      </c>
      <c r="J688" s="5">
        <v>35216</v>
      </c>
      <c r="K688" s="16">
        <v>473</v>
      </c>
      <c r="L688" s="13">
        <v>1275</v>
      </c>
      <c r="M688" s="15">
        <v>111.72365422043237</v>
      </c>
      <c r="N688" s="13">
        <v>140.22</v>
      </c>
      <c r="O688" s="13">
        <v>0</v>
      </c>
      <c r="P688" s="11">
        <v>0</v>
      </c>
    </row>
    <row r="689" spans="1:16" ht="15" thickBot="1" x14ac:dyDescent="0.3">
      <c r="A689" s="3" t="s">
        <v>11</v>
      </c>
      <c r="B689" s="4">
        <v>956677</v>
      </c>
      <c r="C689" s="3" t="s">
        <v>9</v>
      </c>
      <c r="D689" s="18">
        <v>0.125</v>
      </c>
      <c r="E689" s="21">
        <v>9.8635805532114595E-3</v>
      </c>
      <c r="F689" s="5">
        <v>34828</v>
      </c>
      <c r="G689" s="5">
        <v>35194</v>
      </c>
      <c r="H689" s="16">
        <v>366</v>
      </c>
      <c r="I689" s="5">
        <v>35194</v>
      </c>
      <c r="J689" s="5">
        <v>37448</v>
      </c>
      <c r="K689" s="16">
        <v>2620</v>
      </c>
      <c r="L689" s="13">
        <v>1275</v>
      </c>
      <c r="M689" s="15">
        <v>111.43626325099352</v>
      </c>
      <c r="N689" s="13">
        <v>100.39</v>
      </c>
      <c r="O689" s="13">
        <v>0</v>
      </c>
      <c r="P689" s="11">
        <v>0</v>
      </c>
    </row>
    <row r="690" spans="1:16" ht="15" thickBot="1" x14ac:dyDescent="0.3">
      <c r="A690" s="3" t="s">
        <v>11</v>
      </c>
      <c r="B690" s="4">
        <v>846651</v>
      </c>
      <c r="C690" s="3" t="s">
        <v>9</v>
      </c>
      <c r="D690" s="18">
        <v>0.12</v>
      </c>
      <c r="E690" s="21">
        <v>9.4887929345830457E-3</v>
      </c>
      <c r="F690" s="5">
        <v>34838</v>
      </c>
      <c r="G690" s="5">
        <v>35022</v>
      </c>
      <c r="H690" s="16">
        <v>184</v>
      </c>
      <c r="I690" s="5">
        <v>35022</v>
      </c>
      <c r="J690" s="5">
        <v>34974</v>
      </c>
      <c r="K690" s="16">
        <v>136</v>
      </c>
      <c r="L690" s="13">
        <v>600</v>
      </c>
      <c r="M690" s="15">
        <v>101.16359973314097</v>
      </c>
      <c r="N690" s="13">
        <v>312.43</v>
      </c>
      <c r="O690" s="13">
        <v>0</v>
      </c>
      <c r="P690" s="11">
        <v>0</v>
      </c>
    </row>
    <row r="691" spans="1:16" ht="15" thickBot="1" x14ac:dyDescent="0.3">
      <c r="A691" s="3" t="s">
        <v>11</v>
      </c>
      <c r="B691" s="4">
        <v>614869</v>
      </c>
      <c r="C691" s="3" t="s">
        <v>9</v>
      </c>
      <c r="D691" s="18">
        <v>0.12</v>
      </c>
      <c r="E691" s="21">
        <v>9.4887929345830457E-3</v>
      </c>
      <c r="F691" s="5">
        <v>34899</v>
      </c>
      <c r="G691" s="5">
        <v>35083</v>
      </c>
      <c r="H691" s="16">
        <v>184</v>
      </c>
      <c r="I691" s="5">
        <v>35083</v>
      </c>
      <c r="J691" s="5">
        <v>35046</v>
      </c>
      <c r="K691" s="16">
        <v>147</v>
      </c>
      <c r="L691" s="13">
        <v>800</v>
      </c>
      <c r="M691" s="15">
        <v>134.88479964418798</v>
      </c>
      <c r="N691" s="13">
        <v>280.18</v>
      </c>
      <c r="O691" s="13">
        <v>0</v>
      </c>
      <c r="P691" s="11">
        <v>0</v>
      </c>
    </row>
    <row r="692" spans="1:16" ht="15" thickBot="1" x14ac:dyDescent="0.3">
      <c r="A692" s="3" t="s">
        <v>11</v>
      </c>
      <c r="B692" s="4">
        <v>283834</v>
      </c>
      <c r="C692" s="3" t="s">
        <v>9</v>
      </c>
      <c r="D692" s="18">
        <v>0.11</v>
      </c>
      <c r="E692" s="21">
        <v>8.7345938235519061E-3</v>
      </c>
      <c r="F692" s="5">
        <v>35003</v>
      </c>
      <c r="G692" s="5">
        <v>36556</v>
      </c>
      <c r="H692" s="16">
        <v>1553</v>
      </c>
      <c r="I692" s="5">
        <v>36556</v>
      </c>
      <c r="J692" s="5">
        <v>36333</v>
      </c>
      <c r="K692" s="16">
        <v>1330</v>
      </c>
      <c r="L692" s="13">
        <v>4653.18</v>
      </c>
      <c r="M692" s="15">
        <v>112.12106715475167</v>
      </c>
      <c r="N692" s="13">
        <v>4653.18</v>
      </c>
      <c r="O692" s="13">
        <v>0</v>
      </c>
      <c r="P692" s="11">
        <v>0</v>
      </c>
    </row>
    <row r="693" spans="1:16" ht="15" thickBot="1" x14ac:dyDescent="0.3">
      <c r="A693" s="3" t="s">
        <v>11</v>
      </c>
      <c r="B693" s="4">
        <v>108252</v>
      </c>
      <c r="C693" s="3" t="s">
        <v>9</v>
      </c>
      <c r="D693" s="18">
        <v>0.12</v>
      </c>
      <c r="E693" s="21">
        <v>9.4887929345830457E-3</v>
      </c>
      <c r="F693" s="5">
        <v>35191</v>
      </c>
      <c r="G693" s="5">
        <v>35375</v>
      </c>
      <c r="H693" s="16">
        <v>184</v>
      </c>
      <c r="I693" s="5">
        <v>35375</v>
      </c>
      <c r="J693" s="5">
        <v>37448</v>
      </c>
      <c r="K693" s="16">
        <v>2257</v>
      </c>
      <c r="L693" s="13">
        <v>251.69</v>
      </c>
      <c r="M693" s="15">
        <v>42.436444028057089</v>
      </c>
      <c r="N693" s="13">
        <v>251.69</v>
      </c>
      <c r="O693" s="13">
        <v>0</v>
      </c>
      <c r="P693" s="11">
        <v>0</v>
      </c>
    </row>
    <row r="694" spans="1:16" ht="15" thickBot="1" x14ac:dyDescent="0.3">
      <c r="A694" s="3" t="s">
        <v>11</v>
      </c>
      <c r="B694" s="4">
        <v>354012</v>
      </c>
      <c r="C694" s="3" t="s">
        <v>9</v>
      </c>
      <c r="D694" s="18">
        <v>0.12</v>
      </c>
      <c r="E694" s="21">
        <v>9.4887929345830457E-3</v>
      </c>
      <c r="F694" s="5">
        <v>35187</v>
      </c>
      <c r="G694" s="5">
        <v>35736</v>
      </c>
      <c r="H694" s="16">
        <v>549</v>
      </c>
      <c r="I694" s="5">
        <v>35736</v>
      </c>
      <c r="J694" s="5">
        <v>35461</v>
      </c>
      <c r="K694" s="16">
        <v>274</v>
      </c>
      <c r="L694" s="13">
        <v>1270.47</v>
      </c>
      <c r="M694" s="15">
        <v>75.954598142214962</v>
      </c>
      <c r="N694" s="13">
        <v>1270.47</v>
      </c>
      <c r="O694" s="13">
        <v>0</v>
      </c>
      <c r="P694" s="11">
        <v>0</v>
      </c>
    </row>
    <row r="695" spans="1:16" ht="15" thickBot="1" x14ac:dyDescent="0.3">
      <c r="A695" s="3" t="s">
        <v>11</v>
      </c>
      <c r="B695" s="4">
        <v>855378</v>
      </c>
      <c r="C695" s="3" t="s">
        <v>9</v>
      </c>
      <c r="D695" s="18">
        <v>0.115</v>
      </c>
      <c r="E695" s="21">
        <v>9.1124684369046083E-3</v>
      </c>
      <c r="F695" s="5">
        <v>35219</v>
      </c>
      <c r="G695" s="5">
        <v>36314</v>
      </c>
      <c r="H695" s="16">
        <v>1095</v>
      </c>
      <c r="I695" s="5">
        <v>36314</v>
      </c>
      <c r="J695" s="5">
        <v>43629</v>
      </c>
      <c r="K695" s="16">
        <v>8410</v>
      </c>
      <c r="L695" s="13">
        <v>150.56</v>
      </c>
      <c r="M695" s="15">
        <v>4.8674697787781085</v>
      </c>
      <c r="N695" s="13">
        <v>150.56</v>
      </c>
      <c r="O695" s="13">
        <v>0</v>
      </c>
      <c r="P695" s="11">
        <v>0</v>
      </c>
    </row>
    <row r="696" spans="1:16" ht="15" thickBot="1" x14ac:dyDescent="0.3">
      <c r="A696" s="3" t="s">
        <v>11</v>
      </c>
      <c r="B696" s="4">
        <v>45381</v>
      </c>
      <c r="C696" s="3" t="s">
        <v>9</v>
      </c>
      <c r="D696" s="18">
        <v>0.12</v>
      </c>
      <c r="E696" s="21">
        <v>9.4887929345830457E-3</v>
      </c>
      <c r="F696" s="5">
        <v>35354</v>
      </c>
      <c r="G696" s="5">
        <v>35719</v>
      </c>
      <c r="H696" s="16">
        <v>365</v>
      </c>
      <c r="I696" s="5">
        <v>35719</v>
      </c>
      <c r="J696" s="5">
        <v>35550</v>
      </c>
      <c r="K696" s="16">
        <v>196</v>
      </c>
      <c r="L696" s="13">
        <v>780.17</v>
      </c>
      <c r="M696" s="15">
        <v>68.199614743779236</v>
      </c>
      <c r="N696" s="13">
        <v>780.17</v>
      </c>
      <c r="O696" s="13">
        <v>0</v>
      </c>
      <c r="P696" s="11">
        <v>0</v>
      </c>
    </row>
    <row r="697" spans="1:16" ht="15" thickBot="1" x14ac:dyDescent="0.3">
      <c r="A697" s="3" t="s">
        <v>11</v>
      </c>
      <c r="B697" s="4">
        <v>407559</v>
      </c>
      <c r="C697" s="3" t="s">
        <v>9</v>
      </c>
      <c r="D697" s="18">
        <v>0.11</v>
      </c>
      <c r="E697" s="21">
        <v>8.7345938235519061E-3</v>
      </c>
      <c r="F697" s="5">
        <v>35355</v>
      </c>
      <c r="G697" s="5">
        <v>36816</v>
      </c>
      <c r="H697" s="16">
        <v>1461</v>
      </c>
      <c r="I697" s="5">
        <v>36816</v>
      </c>
      <c r="J697" s="5">
        <v>37449</v>
      </c>
      <c r="K697" s="16">
        <v>2094</v>
      </c>
      <c r="L697" s="13">
        <v>11025.76</v>
      </c>
      <c r="M697" s="15">
        <v>278.93062728448257</v>
      </c>
      <c r="N697" s="13">
        <v>11025.76</v>
      </c>
      <c r="O697" s="13">
        <v>0</v>
      </c>
      <c r="P697" s="11">
        <v>0</v>
      </c>
    </row>
    <row r="698" spans="1:16" ht="15" thickBot="1" x14ac:dyDescent="0.3">
      <c r="A698" s="3" t="s">
        <v>11</v>
      </c>
      <c r="B698" s="4">
        <v>973549</v>
      </c>
      <c r="C698" s="3" t="s">
        <v>9</v>
      </c>
      <c r="D698" s="18">
        <v>0.12</v>
      </c>
      <c r="E698" s="21">
        <v>9.4887929345830457E-3</v>
      </c>
      <c r="F698" s="5">
        <v>35429</v>
      </c>
      <c r="G698" s="5">
        <v>35976</v>
      </c>
      <c r="H698" s="16">
        <v>547</v>
      </c>
      <c r="I698" s="5">
        <v>35976</v>
      </c>
      <c r="J698" s="5">
        <v>35550</v>
      </c>
      <c r="K698" s="16">
        <v>121</v>
      </c>
      <c r="L698" s="13">
        <v>1459.62</v>
      </c>
      <c r="M698" s="15">
        <v>87.555149067902576</v>
      </c>
      <c r="N698" s="13">
        <v>1459.62</v>
      </c>
      <c r="O698" s="13">
        <v>0</v>
      </c>
      <c r="P698" s="11">
        <v>0</v>
      </c>
    </row>
    <row r="699" spans="1:16" ht="15" thickBot="1" x14ac:dyDescent="0.3">
      <c r="A699" s="3" t="s">
        <v>11</v>
      </c>
      <c r="B699" s="4">
        <v>585581</v>
      </c>
      <c r="C699" s="3" t="s">
        <v>9</v>
      </c>
      <c r="D699" s="18">
        <v>0.12</v>
      </c>
      <c r="E699" s="21">
        <v>9.4887929345830457E-3</v>
      </c>
      <c r="F699" s="5">
        <v>35451</v>
      </c>
      <c r="G699" s="5">
        <v>36728</v>
      </c>
      <c r="H699" s="16">
        <v>1277</v>
      </c>
      <c r="I699" s="5">
        <v>36728</v>
      </c>
      <c r="J699" s="5">
        <v>37449</v>
      </c>
      <c r="K699" s="16">
        <v>1998</v>
      </c>
      <c r="L699" s="13">
        <v>6956.03</v>
      </c>
      <c r="M699" s="15">
        <v>199.39642950158193</v>
      </c>
      <c r="N699" s="13">
        <v>6956.03</v>
      </c>
      <c r="O699" s="13">
        <v>0</v>
      </c>
      <c r="P699" s="11">
        <v>0</v>
      </c>
    </row>
    <row r="700" spans="1:16" ht="15" thickBot="1" x14ac:dyDescent="0.3">
      <c r="A700" s="3" t="s">
        <v>11</v>
      </c>
      <c r="B700" s="4">
        <v>361772</v>
      </c>
      <c r="C700" s="3" t="s">
        <v>9</v>
      </c>
      <c r="D700" s="18">
        <v>0.12</v>
      </c>
      <c r="E700" s="21">
        <v>9.4887929345830457E-3</v>
      </c>
      <c r="F700" s="5">
        <v>35464</v>
      </c>
      <c r="G700" s="5">
        <v>35829</v>
      </c>
      <c r="H700" s="16">
        <v>365</v>
      </c>
      <c r="I700" s="5">
        <v>35829</v>
      </c>
      <c r="J700" s="5">
        <v>37453</v>
      </c>
      <c r="K700" s="16">
        <v>1989</v>
      </c>
      <c r="L700" s="13">
        <v>1358.85</v>
      </c>
      <c r="M700" s="15">
        <v>118.78570887701966</v>
      </c>
      <c r="N700" s="13">
        <v>1358.85</v>
      </c>
      <c r="O700" s="13">
        <v>0</v>
      </c>
      <c r="P700" s="11">
        <v>0</v>
      </c>
    </row>
    <row r="701" spans="1:16" ht="15" thickBot="1" x14ac:dyDescent="0.3">
      <c r="A701" s="3" t="s">
        <v>11</v>
      </c>
      <c r="B701" s="4">
        <v>803637</v>
      </c>
      <c r="C701" s="3" t="s">
        <v>9</v>
      </c>
      <c r="D701" s="18">
        <v>0.12</v>
      </c>
      <c r="E701" s="21">
        <v>9.4887929345830457E-3</v>
      </c>
      <c r="F701" s="5">
        <v>35598</v>
      </c>
      <c r="G701" s="5">
        <v>36328</v>
      </c>
      <c r="H701" s="16">
        <v>730</v>
      </c>
      <c r="I701" s="5">
        <v>36328</v>
      </c>
      <c r="J701" s="5">
        <v>41772</v>
      </c>
      <c r="K701" s="16">
        <v>6174</v>
      </c>
      <c r="L701" s="13">
        <v>727.21</v>
      </c>
      <c r="M701" s="15">
        <v>33.609108302366344</v>
      </c>
      <c r="N701" s="13">
        <v>727.21</v>
      </c>
      <c r="O701" s="13">
        <v>0</v>
      </c>
      <c r="P701" s="11">
        <v>0</v>
      </c>
    </row>
    <row r="702" spans="1:16" ht="15" thickBot="1" x14ac:dyDescent="0.3">
      <c r="A702" s="3" t="s">
        <v>11</v>
      </c>
      <c r="B702" s="4">
        <v>491732</v>
      </c>
      <c r="C702" s="3" t="s">
        <v>9</v>
      </c>
      <c r="D702" s="18">
        <v>0.12</v>
      </c>
      <c r="E702" s="21">
        <v>9.4887929345830457E-3</v>
      </c>
      <c r="F702" s="5">
        <v>35596</v>
      </c>
      <c r="G702" s="5">
        <v>36144</v>
      </c>
      <c r="H702" s="16">
        <v>548</v>
      </c>
      <c r="I702" s="5">
        <v>36144</v>
      </c>
      <c r="J702" s="5">
        <v>37448</v>
      </c>
      <c r="K702" s="16">
        <v>1852</v>
      </c>
      <c r="L702" s="13">
        <v>1306.45</v>
      </c>
      <c r="M702" s="15">
        <v>78.236217074900679</v>
      </c>
      <c r="N702" s="13">
        <v>1306.45</v>
      </c>
      <c r="O702" s="13">
        <v>0</v>
      </c>
      <c r="P702" s="11">
        <v>0</v>
      </c>
    </row>
    <row r="703" spans="1:16" ht="15" thickBot="1" x14ac:dyDescent="0.3">
      <c r="A703" s="3" t="s">
        <v>11</v>
      </c>
      <c r="B703" s="4">
        <v>1895</v>
      </c>
      <c r="C703" s="3" t="s">
        <v>9</v>
      </c>
      <c r="D703" s="18">
        <v>0.11</v>
      </c>
      <c r="E703" s="21">
        <v>8.7345938235519061E-3</v>
      </c>
      <c r="F703" s="5">
        <v>35601</v>
      </c>
      <c r="G703" s="5">
        <v>37549</v>
      </c>
      <c r="H703" s="16">
        <v>1948</v>
      </c>
      <c r="I703" s="5">
        <v>37549</v>
      </c>
      <c r="J703" s="5">
        <v>37307</v>
      </c>
      <c r="K703" s="16">
        <v>1706</v>
      </c>
      <c r="L703" s="13">
        <v>1728.02</v>
      </c>
      <c r="M703" s="15">
        <v>34.981584484399953</v>
      </c>
      <c r="N703" s="13">
        <v>1728.02</v>
      </c>
      <c r="O703" s="13">
        <v>0</v>
      </c>
      <c r="P703" s="11">
        <v>0</v>
      </c>
    </row>
    <row r="704" spans="1:16" ht="15" thickBot="1" x14ac:dyDescent="0.3">
      <c r="A704" s="3" t="s">
        <v>11</v>
      </c>
      <c r="B704" s="4">
        <v>743091</v>
      </c>
      <c r="C704" s="3" t="s">
        <v>9</v>
      </c>
      <c r="D704" s="18">
        <v>0.11</v>
      </c>
      <c r="E704" s="21">
        <v>8.7345938235519061E-3</v>
      </c>
      <c r="F704" s="5">
        <v>35692</v>
      </c>
      <c r="G704" s="5">
        <v>37832</v>
      </c>
      <c r="H704" s="16">
        <v>2140</v>
      </c>
      <c r="I704" s="5">
        <v>37832</v>
      </c>
      <c r="J704" s="5">
        <v>36762</v>
      </c>
      <c r="K704" s="16">
        <v>1070</v>
      </c>
      <c r="L704" s="13">
        <v>2084.3200000000002</v>
      </c>
      <c r="M704" s="15">
        <v>39.384903412351527</v>
      </c>
      <c r="N704" s="13">
        <v>2084.3200000000002</v>
      </c>
      <c r="O704" s="13">
        <v>0</v>
      </c>
      <c r="P704" s="11">
        <v>0</v>
      </c>
    </row>
    <row r="705" spans="1:16" ht="15" thickBot="1" x14ac:dyDescent="0.3">
      <c r="A705" s="3" t="s">
        <v>11</v>
      </c>
      <c r="B705" s="4">
        <v>90504</v>
      </c>
      <c r="C705" s="3" t="s">
        <v>9</v>
      </c>
      <c r="D705" s="18">
        <v>0.11</v>
      </c>
      <c r="E705" s="21">
        <v>8.7345938235519061E-3</v>
      </c>
      <c r="F705" s="5">
        <v>35702</v>
      </c>
      <c r="G705" s="5">
        <v>36604</v>
      </c>
      <c r="H705" s="16">
        <v>902</v>
      </c>
      <c r="I705" s="5">
        <v>36604</v>
      </c>
      <c r="J705" s="5">
        <v>38793</v>
      </c>
      <c r="K705" s="16">
        <v>3091</v>
      </c>
      <c r="L705" s="13">
        <v>3978.05</v>
      </c>
      <c r="M705" s="15">
        <v>151.01423203456753</v>
      </c>
      <c r="N705" s="13">
        <v>3978.05</v>
      </c>
      <c r="O705" s="13">
        <v>0</v>
      </c>
      <c r="P705" s="11">
        <v>0</v>
      </c>
    </row>
    <row r="706" spans="1:16" ht="15" thickBot="1" x14ac:dyDescent="0.3">
      <c r="A706" s="3" t="s">
        <v>11</v>
      </c>
      <c r="B706" s="4">
        <v>315377</v>
      </c>
      <c r="C706" s="3" t="s">
        <v>9</v>
      </c>
      <c r="D706" s="18">
        <v>0.11</v>
      </c>
      <c r="E706" s="21">
        <v>8.7345938235519061E-3</v>
      </c>
      <c r="F706" s="5">
        <v>35727</v>
      </c>
      <c r="G706" s="5">
        <v>36823</v>
      </c>
      <c r="H706" s="16">
        <v>1096</v>
      </c>
      <c r="I706" s="5">
        <v>36823</v>
      </c>
      <c r="J706" s="5">
        <v>35907</v>
      </c>
      <c r="K706" s="16">
        <v>180</v>
      </c>
      <c r="L706" s="13">
        <v>3832.11</v>
      </c>
      <c r="M706" s="15">
        <v>122.97165396835028</v>
      </c>
      <c r="N706" s="13">
        <v>3832.11</v>
      </c>
      <c r="O706" s="13">
        <v>0</v>
      </c>
      <c r="P706" s="11">
        <v>0</v>
      </c>
    </row>
    <row r="707" spans="1:16" ht="15" thickBot="1" x14ac:dyDescent="0.3">
      <c r="A707" s="3" t="s">
        <v>11</v>
      </c>
      <c r="B707" s="4">
        <v>302788</v>
      </c>
      <c r="C707" s="3" t="s">
        <v>9</v>
      </c>
      <c r="D707" s="18">
        <v>0.11</v>
      </c>
      <c r="E707" s="21">
        <v>8.7345938235519061E-3</v>
      </c>
      <c r="F707" s="5">
        <v>35856</v>
      </c>
      <c r="G707" s="5">
        <v>36952</v>
      </c>
      <c r="H707" s="16">
        <v>1096</v>
      </c>
      <c r="I707" s="5">
        <v>36952</v>
      </c>
      <c r="J707" s="5">
        <v>36427</v>
      </c>
      <c r="K707" s="16">
        <v>571</v>
      </c>
      <c r="L707" s="13">
        <v>148.69999999999999</v>
      </c>
      <c r="M707" s="15">
        <v>4.7717536670642762</v>
      </c>
      <c r="N707" s="13">
        <v>148.69999999999999</v>
      </c>
      <c r="O707" s="13">
        <v>0</v>
      </c>
      <c r="P707" s="11">
        <v>0</v>
      </c>
    </row>
    <row r="708" spans="1:16" ht="15" thickBot="1" x14ac:dyDescent="0.3">
      <c r="A708" s="3" t="s">
        <v>11</v>
      </c>
      <c r="B708" s="4">
        <v>334454</v>
      </c>
      <c r="C708" s="3" t="s">
        <v>9</v>
      </c>
      <c r="D708" s="18">
        <v>0.11</v>
      </c>
      <c r="E708" s="21">
        <v>8.7345938235519061E-3</v>
      </c>
      <c r="F708" s="5">
        <v>35881</v>
      </c>
      <c r="G708" s="5">
        <v>36612</v>
      </c>
      <c r="H708" s="16">
        <v>731</v>
      </c>
      <c r="I708" s="5">
        <v>36612</v>
      </c>
      <c r="J708" s="5">
        <v>36104</v>
      </c>
      <c r="K708" s="16">
        <v>223</v>
      </c>
      <c r="L708" s="13">
        <v>2319.54</v>
      </c>
      <c r="M708" s="15">
        <v>106.09592359794991</v>
      </c>
      <c r="N708" s="13">
        <v>2319.54</v>
      </c>
      <c r="O708" s="13">
        <v>0</v>
      </c>
      <c r="P708" s="11">
        <v>0</v>
      </c>
    </row>
    <row r="709" spans="1:16" ht="15" thickBot="1" x14ac:dyDescent="0.3">
      <c r="A709" s="3" t="s">
        <v>11</v>
      </c>
      <c r="B709" s="4">
        <v>613535</v>
      </c>
      <c r="C709" s="3" t="s">
        <v>9</v>
      </c>
      <c r="D709" s="18">
        <v>0.11</v>
      </c>
      <c r="E709" s="21">
        <v>8.7345938235519061E-3</v>
      </c>
      <c r="F709" s="5">
        <v>35950</v>
      </c>
      <c r="G709" s="5">
        <v>36864</v>
      </c>
      <c r="H709" s="16">
        <v>914</v>
      </c>
      <c r="I709" s="5">
        <v>36864</v>
      </c>
      <c r="J709" s="5">
        <v>36420</v>
      </c>
      <c r="K709" s="16">
        <v>470</v>
      </c>
      <c r="L709" s="13">
        <v>2949.6</v>
      </c>
      <c r="M709" s="15">
        <v>110.68617762646288</v>
      </c>
      <c r="N709" s="13">
        <v>2949.6</v>
      </c>
      <c r="O709" s="13">
        <v>0</v>
      </c>
      <c r="P709" s="11">
        <v>0</v>
      </c>
    </row>
    <row r="710" spans="1:16" ht="15" thickBot="1" x14ac:dyDescent="0.3">
      <c r="A710" s="3" t="s">
        <v>11</v>
      </c>
      <c r="B710" s="4">
        <v>175375</v>
      </c>
      <c r="C710" s="3" t="s">
        <v>9</v>
      </c>
      <c r="D710" s="18">
        <v>0.12</v>
      </c>
      <c r="E710" s="21">
        <v>9.4887929345830457E-3</v>
      </c>
      <c r="F710" s="5">
        <v>35984</v>
      </c>
      <c r="G710" s="5">
        <v>38176</v>
      </c>
      <c r="H710" s="16">
        <v>2192</v>
      </c>
      <c r="I710" s="5">
        <v>38176</v>
      </c>
      <c r="J710" s="5">
        <v>37046</v>
      </c>
      <c r="K710" s="16">
        <v>1062</v>
      </c>
      <c r="L710" s="13">
        <v>455.05</v>
      </c>
      <c r="M710" s="15">
        <v>8.6626585916963013</v>
      </c>
      <c r="N710" s="13">
        <v>455.05</v>
      </c>
      <c r="O710" s="13">
        <v>0</v>
      </c>
      <c r="P710" s="11">
        <v>0</v>
      </c>
    </row>
    <row r="711" spans="1:16" ht="15" thickBot="1" x14ac:dyDescent="0.3">
      <c r="A711" s="3" t="s">
        <v>11</v>
      </c>
      <c r="B711" s="4">
        <v>950912</v>
      </c>
      <c r="C711" s="3" t="s">
        <v>9</v>
      </c>
      <c r="D711" s="18">
        <v>0.11</v>
      </c>
      <c r="E711" s="21">
        <v>8.7345938235519061E-3</v>
      </c>
      <c r="F711" s="5">
        <v>35993</v>
      </c>
      <c r="G711" s="5">
        <v>37089</v>
      </c>
      <c r="H711" s="16">
        <v>1096</v>
      </c>
      <c r="I711" s="5">
        <v>37089</v>
      </c>
      <c r="J711" s="5">
        <v>36871</v>
      </c>
      <c r="K711" s="16">
        <v>878</v>
      </c>
      <c r="L711" s="13">
        <v>3787.41</v>
      </c>
      <c r="M711" s="15">
        <v>121.53723978598461</v>
      </c>
      <c r="N711" s="13">
        <v>3787.41</v>
      </c>
      <c r="O711" s="13">
        <v>0</v>
      </c>
      <c r="P711" s="11">
        <v>0</v>
      </c>
    </row>
    <row r="712" spans="1:16" ht="15" thickBot="1" x14ac:dyDescent="0.3">
      <c r="A712" s="3" t="s">
        <v>11</v>
      </c>
      <c r="B712" s="4">
        <v>598283</v>
      </c>
      <c r="C712" s="3" t="s">
        <v>9</v>
      </c>
      <c r="D712" s="18">
        <v>0.12</v>
      </c>
      <c r="E712" s="21">
        <v>9.4887929345830457E-3</v>
      </c>
      <c r="F712" s="5">
        <v>36052</v>
      </c>
      <c r="G712" s="5">
        <v>36417</v>
      </c>
      <c r="H712" s="16">
        <v>365</v>
      </c>
      <c r="I712" s="5">
        <v>36417</v>
      </c>
      <c r="J712" s="5">
        <v>38238</v>
      </c>
      <c r="K712" s="16">
        <v>2186</v>
      </c>
      <c r="L712" s="13">
        <v>3023.48</v>
      </c>
      <c r="M712" s="15">
        <v>264.30158963497911</v>
      </c>
      <c r="N712" s="13">
        <v>3023.48</v>
      </c>
      <c r="O712" s="13">
        <v>0</v>
      </c>
      <c r="P712" s="11">
        <v>0</v>
      </c>
    </row>
    <row r="713" spans="1:16" ht="15" thickBot="1" x14ac:dyDescent="0.3">
      <c r="A713" s="3" t="s">
        <v>11</v>
      </c>
      <c r="B713" s="4">
        <v>216460</v>
      </c>
      <c r="C713" s="3" t="s">
        <v>9</v>
      </c>
      <c r="D713" s="18">
        <v>0.12</v>
      </c>
      <c r="E713" s="21">
        <v>9.4887929345830457E-3</v>
      </c>
      <c r="F713" s="5">
        <v>36070</v>
      </c>
      <c r="G713" s="5">
        <v>37592</v>
      </c>
      <c r="H713" s="16">
        <v>1522</v>
      </c>
      <c r="I713" s="5">
        <v>37592</v>
      </c>
      <c r="J713" s="5">
        <v>36770</v>
      </c>
      <c r="K713" s="16">
        <v>700</v>
      </c>
      <c r="L713" s="13">
        <v>4462.28</v>
      </c>
      <c r="M713" s="15">
        <v>111.22720736485022</v>
      </c>
      <c r="N713" s="13">
        <v>4462.28</v>
      </c>
      <c r="O713" s="13">
        <v>0</v>
      </c>
      <c r="P713" s="11">
        <v>0</v>
      </c>
    </row>
    <row r="714" spans="1:16" ht="15" thickBot="1" x14ac:dyDescent="0.3">
      <c r="A714" s="3" t="s">
        <v>11</v>
      </c>
      <c r="B714" s="4">
        <v>732198</v>
      </c>
      <c r="C714" s="3" t="s">
        <v>9</v>
      </c>
      <c r="D714" s="18">
        <v>0.105</v>
      </c>
      <c r="E714" s="21">
        <v>8.355155683635207E-3</v>
      </c>
      <c r="F714" s="5">
        <v>36073</v>
      </c>
      <c r="G714" s="5">
        <v>37716</v>
      </c>
      <c r="H714" s="16">
        <v>1643</v>
      </c>
      <c r="I714" s="5">
        <v>37716</v>
      </c>
      <c r="J714" s="5">
        <v>37070</v>
      </c>
      <c r="K714" s="16">
        <v>997</v>
      </c>
      <c r="L714" s="13">
        <v>3510.06</v>
      </c>
      <c r="M714" s="15">
        <v>80.131918001785991</v>
      </c>
      <c r="N714" s="13">
        <v>3510.06</v>
      </c>
      <c r="O714" s="13">
        <v>0</v>
      </c>
      <c r="P714" s="11">
        <v>0</v>
      </c>
    </row>
    <row r="715" spans="1:16" ht="15" thickBot="1" x14ac:dyDescent="0.3">
      <c r="A715" s="3" t="s">
        <v>11</v>
      </c>
      <c r="B715" s="4">
        <v>998265</v>
      </c>
      <c r="C715" s="3" t="s">
        <v>9</v>
      </c>
      <c r="D715" s="18">
        <v>0.12</v>
      </c>
      <c r="E715" s="21">
        <v>9.4887929345830457E-3</v>
      </c>
      <c r="F715" s="5">
        <v>36102</v>
      </c>
      <c r="G715" s="5">
        <v>36140</v>
      </c>
      <c r="H715" s="16">
        <v>38</v>
      </c>
      <c r="I715" s="5">
        <v>36140</v>
      </c>
      <c r="J715" s="5">
        <v>38455</v>
      </c>
      <c r="K715" s="16">
        <v>2353</v>
      </c>
      <c r="L715" s="13">
        <v>195.96</v>
      </c>
      <c r="M715" s="15">
        <v>156.36965650340517</v>
      </c>
      <c r="N715" s="13">
        <v>195.96</v>
      </c>
      <c r="O715" s="13">
        <v>0</v>
      </c>
      <c r="P715" s="11">
        <v>0</v>
      </c>
    </row>
    <row r="716" spans="1:16" ht="15" thickBot="1" x14ac:dyDescent="0.3">
      <c r="A716" s="3" t="s">
        <v>11</v>
      </c>
      <c r="B716" s="4">
        <v>787394</v>
      </c>
      <c r="C716" s="3" t="s">
        <v>9</v>
      </c>
      <c r="D716" s="18">
        <v>0.11</v>
      </c>
      <c r="E716" s="21">
        <v>8.7345938235519061E-3</v>
      </c>
      <c r="F716" s="5">
        <v>36126</v>
      </c>
      <c r="G716" s="5">
        <v>36857</v>
      </c>
      <c r="H716" s="16">
        <v>731</v>
      </c>
      <c r="I716" s="5">
        <v>36857</v>
      </c>
      <c r="J716" s="5">
        <v>36607</v>
      </c>
      <c r="K716" s="16">
        <v>481</v>
      </c>
      <c r="L716" s="13">
        <v>2433.83</v>
      </c>
      <c r="M716" s="15">
        <v>111.3235562785718</v>
      </c>
      <c r="N716" s="13">
        <v>2433.83</v>
      </c>
      <c r="O716" s="13">
        <v>0</v>
      </c>
      <c r="P716" s="11">
        <v>0</v>
      </c>
    </row>
    <row r="717" spans="1:16" ht="15" thickBot="1" x14ac:dyDescent="0.3">
      <c r="A717" s="3" t="s">
        <v>11</v>
      </c>
      <c r="B717" s="4">
        <v>65733</v>
      </c>
      <c r="C717" s="3" t="s">
        <v>9</v>
      </c>
      <c r="D717" s="18">
        <v>0.11</v>
      </c>
      <c r="E717" s="21">
        <v>8.7345938235519061E-3</v>
      </c>
      <c r="F717" s="5">
        <v>36139</v>
      </c>
      <c r="G717" s="5">
        <v>37600</v>
      </c>
      <c r="H717" s="16">
        <v>1461</v>
      </c>
      <c r="I717" s="5">
        <v>37600</v>
      </c>
      <c r="J717" s="5">
        <v>37410</v>
      </c>
      <c r="K717" s="16">
        <v>1271</v>
      </c>
      <c r="L717" s="13">
        <v>3408.56</v>
      </c>
      <c r="M717" s="15">
        <v>86.230044816574633</v>
      </c>
      <c r="N717" s="13">
        <v>3408.56</v>
      </c>
      <c r="O717" s="13">
        <v>0</v>
      </c>
      <c r="P717" s="11">
        <v>0</v>
      </c>
    </row>
    <row r="718" spans="1:16" ht="15" thickBot="1" x14ac:dyDescent="0.3">
      <c r="A718" s="3" t="s">
        <v>11</v>
      </c>
      <c r="B718" s="4">
        <v>640826</v>
      </c>
      <c r="C718" s="3" t="s">
        <v>9</v>
      </c>
      <c r="D718" s="18">
        <v>0.1</v>
      </c>
      <c r="E718" s="21">
        <v>7.9741404289037643E-3</v>
      </c>
      <c r="F718" s="5">
        <v>36237</v>
      </c>
      <c r="G718" s="5">
        <v>36968</v>
      </c>
      <c r="H718" s="16">
        <v>731</v>
      </c>
      <c r="I718" s="5">
        <v>36968</v>
      </c>
      <c r="J718" s="5">
        <v>36742</v>
      </c>
      <c r="K718" s="16">
        <v>505</v>
      </c>
      <c r="L718" s="13">
        <v>1129.6400000000001</v>
      </c>
      <c r="M718" s="15">
        <v>51.193791217888787</v>
      </c>
      <c r="N718" s="13">
        <v>1129.6400000000001</v>
      </c>
      <c r="O718" s="13">
        <v>0</v>
      </c>
      <c r="P718" s="11">
        <v>0</v>
      </c>
    </row>
    <row r="719" spans="1:16" ht="15" thickBot="1" x14ac:dyDescent="0.3">
      <c r="A719" s="3" t="s">
        <v>11</v>
      </c>
      <c r="B719" s="4">
        <v>972291</v>
      </c>
      <c r="C719" s="3" t="s">
        <v>9</v>
      </c>
      <c r="D719" s="18">
        <v>0.12</v>
      </c>
      <c r="E719" s="21">
        <v>9.4887929345830457E-3</v>
      </c>
      <c r="F719" s="5">
        <v>36262</v>
      </c>
      <c r="G719" s="5">
        <v>36811</v>
      </c>
      <c r="H719" s="16">
        <v>549</v>
      </c>
      <c r="I719" s="5">
        <v>36811</v>
      </c>
      <c r="J719" s="5">
        <v>40753</v>
      </c>
      <c r="K719" s="16">
        <v>4491</v>
      </c>
      <c r="L719" s="13">
        <v>1244.25</v>
      </c>
      <c r="M719" s="15">
        <v>74.387044746000271</v>
      </c>
      <c r="N719" s="13">
        <v>1244.25</v>
      </c>
      <c r="O719" s="13">
        <v>0</v>
      </c>
      <c r="P719" s="11">
        <v>0</v>
      </c>
    </row>
    <row r="720" spans="1:16" ht="15" thickBot="1" x14ac:dyDescent="0.3">
      <c r="A720" s="3" t="s">
        <v>11</v>
      </c>
      <c r="B720" s="4">
        <v>535975</v>
      </c>
      <c r="C720" s="3" t="s">
        <v>9</v>
      </c>
      <c r="D720" s="18">
        <v>0.11</v>
      </c>
      <c r="E720" s="21">
        <v>8.7345938235519061E-3</v>
      </c>
      <c r="F720" s="5">
        <v>36313</v>
      </c>
      <c r="G720" s="5">
        <v>37044</v>
      </c>
      <c r="H720" s="16">
        <v>731</v>
      </c>
      <c r="I720" s="5">
        <v>37044</v>
      </c>
      <c r="J720" s="5">
        <v>36448</v>
      </c>
      <c r="K720" s="16">
        <v>135</v>
      </c>
      <c r="L720" s="13">
        <v>2074.36</v>
      </c>
      <c r="M720" s="15">
        <v>94.881373063039831</v>
      </c>
      <c r="N720" s="13">
        <v>2074.36</v>
      </c>
      <c r="O720" s="13">
        <v>0</v>
      </c>
      <c r="P720" s="11">
        <v>0</v>
      </c>
    </row>
    <row r="721" spans="1:16" ht="15" thickBot="1" x14ac:dyDescent="0.3">
      <c r="A721" s="3" t="s">
        <v>11</v>
      </c>
      <c r="B721" s="4">
        <v>941003</v>
      </c>
      <c r="C721" s="3" t="s">
        <v>9</v>
      </c>
      <c r="D721" s="18">
        <v>0.105</v>
      </c>
      <c r="E721" s="21">
        <v>8.355155683635207E-3</v>
      </c>
      <c r="F721" s="5">
        <v>36313</v>
      </c>
      <c r="G721" s="5">
        <v>37909</v>
      </c>
      <c r="H721" s="16">
        <v>1596</v>
      </c>
      <c r="I721" s="5">
        <v>37909</v>
      </c>
      <c r="J721" s="5">
        <v>41277</v>
      </c>
      <c r="K721" s="16">
        <v>4964</v>
      </c>
      <c r="L721" s="13">
        <v>84.83</v>
      </c>
      <c r="M721" s="15">
        <v>1.981644468946524</v>
      </c>
      <c r="N721" s="13">
        <v>84.83</v>
      </c>
      <c r="O721" s="13">
        <v>0</v>
      </c>
      <c r="P721" s="11">
        <v>0</v>
      </c>
    </row>
    <row r="722" spans="1:16" ht="15" thickBot="1" x14ac:dyDescent="0.3">
      <c r="A722" s="3" t="s">
        <v>11</v>
      </c>
      <c r="B722" s="4">
        <v>87759</v>
      </c>
      <c r="C722" s="3" t="s">
        <v>9</v>
      </c>
      <c r="D722" s="18">
        <v>0.11</v>
      </c>
      <c r="E722" s="21">
        <v>8.7345938235519061E-3</v>
      </c>
      <c r="F722" s="5">
        <v>36355</v>
      </c>
      <c r="G722" s="5">
        <v>37878</v>
      </c>
      <c r="H722" s="16">
        <v>1523</v>
      </c>
      <c r="I722" s="5">
        <v>37878</v>
      </c>
      <c r="J722" s="5">
        <v>38828</v>
      </c>
      <c r="K722" s="16">
        <v>2473</v>
      </c>
      <c r="L722" s="13">
        <v>10762.77</v>
      </c>
      <c r="M722" s="15">
        <v>263.38096798502664</v>
      </c>
      <c r="N722" s="13">
        <v>10762.77</v>
      </c>
      <c r="O722" s="13">
        <v>0</v>
      </c>
      <c r="P722" s="11">
        <v>0</v>
      </c>
    </row>
    <row r="723" spans="1:16" ht="15" thickBot="1" x14ac:dyDescent="0.3">
      <c r="A723" s="3" t="s">
        <v>11</v>
      </c>
      <c r="B723" s="4">
        <v>832988</v>
      </c>
      <c r="C723" s="3" t="s">
        <v>9</v>
      </c>
      <c r="D723" s="18">
        <v>0.1</v>
      </c>
      <c r="E723" s="21">
        <v>7.9741404289037643E-3</v>
      </c>
      <c r="F723" s="5">
        <v>36357</v>
      </c>
      <c r="G723" s="5">
        <v>37088</v>
      </c>
      <c r="H723" s="16">
        <v>731</v>
      </c>
      <c r="I723" s="5">
        <v>37088</v>
      </c>
      <c r="J723" s="5">
        <v>36616</v>
      </c>
      <c r="K723" s="16">
        <v>259</v>
      </c>
      <c r="L723" s="13">
        <v>1573.38</v>
      </c>
      <c r="M723" s="15">
        <v>71.303501315819076</v>
      </c>
      <c r="N723" s="13">
        <v>1573.38</v>
      </c>
      <c r="O723" s="13">
        <v>0</v>
      </c>
      <c r="P723" s="11">
        <v>0</v>
      </c>
    </row>
    <row r="724" spans="1:16" ht="15" thickBot="1" x14ac:dyDescent="0.3">
      <c r="A724" s="3" t="s">
        <v>11</v>
      </c>
      <c r="B724" s="4">
        <v>573013</v>
      </c>
      <c r="C724" s="3" t="s">
        <v>9</v>
      </c>
      <c r="D724" s="18">
        <v>0.12</v>
      </c>
      <c r="E724" s="21">
        <v>9.4887929345830457E-3</v>
      </c>
      <c r="F724" s="5">
        <v>36362</v>
      </c>
      <c r="G724" s="5">
        <v>36943</v>
      </c>
      <c r="H724" s="16">
        <v>581</v>
      </c>
      <c r="I724" s="5">
        <v>36943</v>
      </c>
      <c r="J724" s="5">
        <v>37452</v>
      </c>
      <c r="K724" s="16">
        <v>1090</v>
      </c>
      <c r="L724" s="13">
        <v>7776.5</v>
      </c>
      <c r="M724" s="15">
        <v>441.46136445335571</v>
      </c>
      <c r="N724" s="13">
        <v>7776.5</v>
      </c>
      <c r="O724" s="13">
        <v>0</v>
      </c>
      <c r="P724" s="11">
        <v>0</v>
      </c>
    </row>
    <row r="725" spans="1:16" ht="15" thickBot="1" x14ac:dyDescent="0.3">
      <c r="A725" s="3" t="s">
        <v>11</v>
      </c>
      <c r="B725" s="4">
        <v>113562</v>
      </c>
      <c r="C725" s="3" t="s">
        <v>9</v>
      </c>
      <c r="D725" s="18">
        <v>0.1</v>
      </c>
      <c r="E725" s="21">
        <v>7.9741404289037643E-3</v>
      </c>
      <c r="F725" s="5">
        <v>36369</v>
      </c>
      <c r="G725" s="5">
        <v>37812</v>
      </c>
      <c r="H725" s="16">
        <v>1443</v>
      </c>
      <c r="I725" s="5">
        <v>37812</v>
      </c>
      <c r="J725" s="5">
        <v>36616</v>
      </c>
      <c r="K725" s="16">
        <v>247</v>
      </c>
      <c r="L725" s="13">
        <v>4107.9799999999996</v>
      </c>
      <c r="M725" s="15">
        <v>103.16421056593452</v>
      </c>
      <c r="N725" s="13">
        <v>4107.9799999999996</v>
      </c>
      <c r="O725" s="13">
        <v>0</v>
      </c>
      <c r="P725" s="11">
        <v>0</v>
      </c>
    </row>
    <row r="726" spans="1:16" ht="15" thickBot="1" x14ac:dyDescent="0.3">
      <c r="A726" s="3" t="s">
        <v>11</v>
      </c>
      <c r="B726" s="4">
        <v>254411</v>
      </c>
      <c r="C726" s="3" t="s">
        <v>9</v>
      </c>
      <c r="D726" s="18">
        <v>0.11</v>
      </c>
      <c r="E726" s="21">
        <v>8.7345938235519061E-3</v>
      </c>
      <c r="F726" s="5">
        <v>36376</v>
      </c>
      <c r="G726" s="5">
        <v>37472</v>
      </c>
      <c r="H726" s="16">
        <v>1096</v>
      </c>
      <c r="I726" s="5">
        <v>37472</v>
      </c>
      <c r="J726" s="5">
        <v>38653</v>
      </c>
      <c r="K726" s="16">
        <v>2277</v>
      </c>
      <c r="L726" s="13">
        <v>500</v>
      </c>
      <c r="M726" s="15">
        <v>16.044901368743364</v>
      </c>
      <c r="N726" s="13">
        <v>500</v>
      </c>
      <c r="O726" s="13">
        <v>0</v>
      </c>
      <c r="P726" s="11">
        <v>0</v>
      </c>
    </row>
    <row r="727" spans="1:16" ht="15" thickBot="1" x14ac:dyDescent="0.3">
      <c r="A727" s="3" t="s">
        <v>11</v>
      </c>
      <c r="B727" s="4">
        <v>726900</v>
      </c>
      <c r="C727" s="3" t="s">
        <v>9</v>
      </c>
      <c r="D727" s="18">
        <v>0.115</v>
      </c>
      <c r="E727" s="21">
        <v>9.1124684369046083E-3</v>
      </c>
      <c r="F727" s="5">
        <v>36397</v>
      </c>
      <c r="G727" s="5">
        <v>37401</v>
      </c>
      <c r="H727" s="16">
        <v>1004</v>
      </c>
      <c r="I727" s="5">
        <v>37401</v>
      </c>
      <c r="J727" s="5">
        <v>37452</v>
      </c>
      <c r="K727" s="16">
        <v>1055</v>
      </c>
      <c r="L727" s="13">
        <v>4625.3</v>
      </c>
      <c r="M727" s="15">
        <v>160.9735204522278</v>
      </c>
      <c r="N727" s="13">
        <v>4625.3</v>
      </c>
      <c r="O727" s="13">
        <v>0</v>
      </c>
      <c r="P727" s="11">
        <v>0</v>
      </c>
    </row>
    <row r="728" spans="1:16" ht="15" thickBot="1" x14ac:dyDescent="0.3">
      <c r="A728" s="3" t="s">
        <v>11</v>
      </c>
      <c r="B728" s="4">
        <v>904492</v>
      </c>
      <c r="C728" s="3" t="s">
        <v>9</v>
      </c>
      <c r="D728" s="18">
        <v>0.1</v>
      </c>
      <c r="E728" s="21">
        <v>7.9741404289037643E-3</v>
      </c>
      <c r="F728" s="5">
        <v>36417</v>
      </c>
      <c r="G728" s="5">
        <v>38486</v>
      </c>
      <c r="H728" s="16">
        <v>2069</v>
      </c>
      <c r="I728" s="5">
        <v>38486</v>
      </c>
      <c r="J728" s="5">
        <v>37705</v>
      </c>
      <c r="K728" s="16">
        <v>1288</v>
      </c>
      <c r="L728" s="13">
        <v>2323.64</v>
      </c>
      <c r="M728" s="15">
        <v>43.932492075584712</v>
      </c>
      <c r="N728" s="13">
        <v>2323.64</v>
      </c>
      <c r="O728" s="13">
        <v>0</v>
      </c>
      <c r="P728" s="11">
        <v>0</v>
      </c>
    </row>
    <row r="729" spans="1:16" ht="15" thickBot="1" x14ac:dyDescent="0.3">
      <c r="A729" s="3" t="s">
        <v>11</v>
      </c>
      <c r="B729" s="4">
        <v>250852</v>
      </c>
      <c r="C729" s="3" t="s">
        <v>9</v>
      </c>
      <c r="D729" s="18">
        <v>0.12</v>
      </c>
      <c r="E729" s="21">
        <v>9.4887929345830457E-3</v>
      </c>
      <c r="F729" s="5">
        <v>36440</v>
      </c>
      <c r="G729" s="5">
        <v>36988</v>
      </c>
      <c r="H729" s="16">
        <v>548</v>
      </c>
      <c r="I729" s="5">
        <v>36988</v>
      </c>
      <c r="J729" s="5">
        <v>36678</v>
      </c>
      <c r="K729" s="16">
        <v>238</v>
      </c>
      <c r="L729" s="13">
        <v>1262.56</v>
      </c>
      <c r="M729" s="15">
        <v>75.607882605600366</v>
      </c>
      <c r="N729" s="13">
        <v>1262.56</v>
      </c>
      <c r="O729" s="13">
        <v>0</v>
      </c>
      <c r="P729" s="11">
        <v>0</v>
      </c>
    </row>
    <row r="730" spans="1:16" ht="15" thickBot="1" x14ac:dyDescent="0.3">
      <c r="A730" s="3" t="s">
        <v>11</v>
      </c>
      <c r="B730" s="4">
        <v>400128</v>
      </c>
      <c r="C730" s="3" t="s">
        <v>9</v>
      </c>
      <c r="D730" s="18">
        <v>0.11</v>
      </c>
      <c r="E730" s="21">
        <v>8.7345938235519061E-3</v>
      </c>
      <c r="F730" s="5">
        <v>36469</v>
      </c>
      <c r="G730" s="5">
        <v>36802</v>
      </c>
      <c r="H730" s="16">
        <v>333</v>
      </c>
      <c r="I730" s="5">
        <v>36802</v>
      </c>
      <c r="J730" s="5">
        <v>36741</v>
      </c>
      <c r="K730" s="16">
        <v>272</v>
      </c>
      <c r="L730" s="13">
        <v>2500</v>
      </c>
      <c r="M730" s="15">
        <v>237.3013017564881</v>
      </c>
      <c r="N730" s="13">
        <v>2500</v>
      </c>
      <c r="O730" s="13">
        <v>0</v>
      </c>
      <c r="P730" s="11">
        <v>0</v>
      </c>
    </row>
    <row r="731" spans="1:16" ht="15" thickBot="1" x14ac:dyDescent="0.3">
      <c r="A731" s="3" t="s">
        <v>11</v>
      </c>
      <c r="B731" s="4">
        <v>427399</v>
      </c>
      <c r="C731" s="3" t="s">
        <v>9</v>
      </c>
      <c r="D731" s="18">
        <v>0.15</v>
      </c>
      <c r="E731" s="21">
        <v>1.171491691985338E-2</v>
      </c>
      <c r="F731" s="5">
        <v>36483</v>
      </c>
      <c r="G731" s="5">
        <v>36665</v>
      </c>
      <c r="H731" s="16">
        <v>182</v>
      </c>
      <c r="I731" s="5">
        <v>36665</v>
      </c>
      <c r="J731" s="5">
        <v>36712</v>
      </c>
      <c r="K731" s="16">
        <v>229</v>
      </c>
      <c r="L731" s="13">
        <v>1300</v>
      </c>
      <c r="M731" s="15">
        <v>223.24280851125721</v>
      </c>
      <c r="N731" s="13">
        <v>1300</v>
      </c>
      <c r="O731" s="13">
        <v>0</v>
      </c>
      <c r="P731" s="11">
        <v>0</v>
      </c>
    </row>
    <row r="732" spans="1:16" ht="15" thickBot="1" x14ac:dyDescent="0.3">
      <c r="A732" s="3" t="s">
        <v>11</v>
      </c>
      <c r="B732" s="4">
        <v>533591</v>
      </c>
      <c r="C732" s="3" t="s">
        <v>9</v>
      </c>
      <c r="D732" s="18">
        <v>0.15</v>
      </c>
      <c r="E732" s="21">
        <v>1.171491691985338E-2</v>
      </c>
      <c r="F732" s="5">
        <v>36472</v>
      </c>
      <c r="G732" s="5">
        <v>36654</v>
      </c>
      <c r="H732" s="16">
        <v>182</v>
      </c>
      <c r="I732" s="5">
        <v>36654</v>
      </c>
      <c r="J732" s="5">
        <v>36741</v>
      </c>
      <c r="K732" s="16">
        <v>269</v>
      </c>
      <c r="L732" s="13">
        <v>2000</v>
      </c>
      <c r="M732" s="15">
        <v>343.45047463270339</v>
      </c>
      <c r="N732" s="13">
        <v>2000</v>
      </c>
      <c r="O732" s="13">
        <v>0</v>
      </c>
      <c r="P732" s="11">
        <v>0</v>
      </c>
    </row>
    <row r="733" spans="1:16" ht="15" thickBot="1" x14ac:dyDescent="0.3">
      <c r="A733" s="3" t="s">
        <v>11</v>
      </c>
      <c r="B733" s="4">
        <v>164798</v>
      </c>
      <c r="C733" s="3" t="s">
        <v>9</v>
      </c>
      <c r="D733" s="18">
        <v>0.15</v>
      </c>
      <c r="E733" s="21">
        <v>1.171491691985338E-2</v>
      </c>
      <c r="F733" s="5">
        <v>36472</v>
      </c>
      <c r="G733" s="5">
        <v>36654</v>
      </c>
      <c r="H733" s="16">
        <v>182</v>
      </c>
      <c r="I733" s="5">
        <v>36654</v>
      </c>
      <c r="J733" s="5">
        <v>36861</v>
      </c>
      <c r="K733" s="16">
        <v>389</v>
      </c>
      <c r="L733" s="13">
        <v>1200</v>
      </c>
      <c r="M733" s="15">
        <v>206.07028477962203</v>
      </c>
      <c r="N733" s="13">
        <v>1200</v>
      </c>
      <c r="O733" s="13">
        <v>0</v>
      </c>
      <c r="P733" s="11">
        <v>0</v>
      </c>
    </row>
    <row r="734" spans="1:16" ht="15" thickBot="1" x14ac:dyDescent="0.3">
      <c r="A734" s="3" t="s">
        <v>11</v>
      </c>
      <c r="B734" s="4">
        <v>28521</v>
      </c>
      <c r="C734" s="3" t="s">
        <v>9</v>
      </c>
      <c r="D734" s="18">
        <v>0.1</v>
      </c>
      <c r="E734" s="21">
        <v>7.9741404289037643E-3</v>
      </c>
      <c r="F734" s="5">
        <v>36508</v>
      </c>
      <c r="G734" s="5">
        <v>38528</v>
      </c>
      <c r="H734" s="16">
        <v>2020</v>
      </c>
      <c r="I734" s="5">
        <v>38528</v>
      </c>
      <c r="J734" s="5">
        <v>39661</v>
      </c>
      <c r="K734" s="16">
        <v>3153</v>
      </c>
      <c r="L734" s="13">
        <v>16844.23</v>
      </c>
      <c r="M734" s="15">
        <v>324.27478275089754</v>
      </c>
      <c r="N734" s="13">
        <v>16844.23</v>
      </c>
      <c r="O734" s="13">
        <v>0</v>
      </c>
      <c r="P734" s="11">
        <v>0</v>
      </c>
    </row>
    <row r="735" spans="1:16" ht="15" thickBot="1" x14ac:dyDescent="0.3">
      <c r="A735" s="3" t="s">
        <v>11</v>
      </c>
      <c r="B735" s="4">
        <v>142280</v>
      </c>
      <c r="C735" s="3" t="s">
        <v>9</v>
      </c>
      <c r="D735" s="18">
        <v>0.12</v>
      </c>
      <c r="E735" s="21">
        <v>9.4887929345830457E-3</v>
      </c>
      <c r="F735" s="5">
        <v>36514</v>
      </c>
      <c r="G735" s="5">
        <v>37031</v>
      </c>
      <c r="H735" s="16">
        <v>517</v>
      </c>
      <c r="I735" s="5">
        <v>37031</v>
      </c>
      <c r="J735" s="5">
        <v>36642</v>
      </c>
      <c r="K735" s="16">
        <v>128</v>
      </c>
      <c r="L735" s="13">
        <v>1091.53</v>
      </c>
      <c r="M735" s="15">
        <v>68.957389117444464</v>
      </c>
      <c r="N735" s="13">
        <v>1091.53</v>
      </c>
      <c r="O735" s="13">
        <v>0</v>
      </c>
      <c r="P735" s="11">
        <v>0</v>
      </c>
    </row>
    <row r="736" spans="1:16" ht="15" thickBot="1" x14ac:dyDescent="0.3">
      <c r="A736" s="3" t="s">
        <v>11</v>
      </c>
      <c r="B736" s="4">
        <v>254743</v>
      </c>
      <c r="C736" s="3" t="s">
        <v>9</v>
      </c>
      <c r="D736" s="18">
        <v>0.1</v>
      </c>
      <c r="E736" s="21">
        <v>7.9741404289037643E-3</v>
      </c>
      <c r="F736" s="5">
        <v>36536</v>
      </c>
      <c r="G736" s="5">
        <v>37267</v>
      </c>
      <c r="H736" s="16">
        <v>731</v>
      </c>
      <c r="I736" s="5">
        <v>37267</v>
      </c>
      <c r="J736" s="5">
        <v>36784</v>
      </c>
      <c r="K736" s="16">
        <v>248</v>
      </c>
      <c r="L736" s="13">
        <v>2356.14</v>
      </c>
      <c r="M736" s="15">
        <v>106.77714956987755</v>
      </c>
      <c r="N736" s="13">
        <v>2356.14</v>
      </c>
      <c r="O736" s="13">
        <v>0</v>
      </c>
      <c r="P736" s="11">
        <v>0</v>
      </c>
    </row>
    <row r="737" spans="1:16" ht="15" thickBot="1" x14ac:dyDescent="0.3">
      <c r="A737" s="3" t="s">
        <v>11</v>
      </c>
      <c r="B737" s="4">
        <v>462708</v>
      </c>
      <c r="C737" s="3" t="s">
        <v>9</v>
      </c>
      <c r="D737" s="18">
        <v>0.11</v>
      </c>
      <c r="E737" s="21">
        <v>8.7345938235519061E-3</v>
      </c>
      <c r="F737" s="5">
        <v>36551</v>
      </c>
      <c r="G737" s="5">
        <v>36802</v>
      </c>
      <c r="H737" s="16">
        <v>251</v>
      </c>
      <c r="I737" s="5">
        <v>36802</v>
      </c>
      <c r="J737" s="5">
        <v>36741</v>
      </c>
      <c r="K737" s="16">
        <v>190</v>
      </c>
      <c r="L737" s="13">
        <v>2000</v>
      </c>
      <c r="M737" s="15">
        <v>248.92679595067256</v>
      </c>
      <c r="N737" s="13">
        <v>2000</v>
      </c>
      <c r="O737" s="13">
        <v>0</v>
      </c>
      <c r="P737" s="11">
        <v>0</v>
      </c>
    </row>
    <row r="738" spans="1:16" ht="15" thickBot="1" x14ac:dyDescent="0.3">
      <c r="A738" s="3" t="s">
        <v>11</v>
      </c>
      <c r="B738" s="4">
        <v>365287</v>
      </c>
      <c r="C738" s="3" t="s">
        <v>9</v>
      </c>
      <c r="D738" s="18">
        <v>0.105</v>
      </c>
      <c r="E738" s="21">
        <v>8.355155683635207E-3</v>
      </c>
      <c r="F738" s="5">
        <v>36557</v>
      </c>
      <c r="G738" s="5">
        <v>38565</v>
      </c>
      <c r="H738" s="16">
        <v>2008</v>
      </c>
      <c r="I738" s="5">
        <v>38565</v>
      </c>
      <c r="J738" s="5">
        <v>37778</v>
      </c>
      <c r="K738" s="16">
        <v>1221</v>
      </c>
      <c r="L738" s="13">
        <v>4040.29</v>
      </c>
      <c r="M738" s="15">
        <v>79.051966550016203</v>
      </c>
      <c r="N738" s="13">
        <v>4040.29</v>
      </c>
      <c r="O738" s="13">
        <v>0</v>
      </c>
      <c r="P738" s="11">
        <v>0</v>
      </c>
    </row>
    <row r="739" spans="1:16" ht="15" thickBot="1" x14ac:dyDescent="0.3">
      <c r="A739" s="3" t="s">
        <v>11</v>
      </c>
      <c r="B739" s="4">
        <v>55741</v>
      </c>
      <c r="C739" s="3" t="s">
        <v>9</v>
      </c>
      <c r="D739" s="18">
        <v>0.105</v>
      </c>
      <c r="E739" s="21">
        <v>8.355155683635207E-3</v>
      </c>
      <c r="F739" s="5">
        <v>36560</v>
      </c>
      <c r="G739" s="5">
        <v>38398</v>
      </c>
      <c r="H739" s="16">
        <v>1838</v>
      </c>
      <c r="I739" s="5">
        <v>38398</v>
      </c>
      <c r="J739" s="5">
        <v>37125</v>
      </c>
      <c r="K739" s="16">
        <v>565</v>
      </c>
      <c r="L739" s="13">
        <v>7079.77</v>
      </c>
      <c r="M739" s="15">
        <v>148.11701983775396</v>
      </c>
      <c r="N739" s="13">
        <v>7079.77</v>
      </c>
      <c r="O739" s="13">
        <v>0</v>
      </c>
      <c r="P739" s="11">
        <v>0</v>
      </c>
    </row>
    <row r="740" spans="1:16" ht="15" thickBot="1" x14ac:dyDescent="0.3">
      <c r="A740" s="3" t="s">
        <v>11</v>
      </c>
      <c r="B740" s="4">
        <v>719642</v>
      </c>
      <c r="C740" s="3" t="s">
        <v>9</v>
      </c>
      <c r="D740" s="18">
        <v>0.11</v>
      </c>
      <c r="E740" s="21">
        <v>8.7345938235519061E-3</v>
      </c>
      <c r="F740" s="5">
        <v>36566</v>
      </c>
      <c r="G740" s="5">
        <v>36802</v>
      </c>
      <c r="H740" s="16">
        <v>236</v>
      </c>
      <c r="I740" s="5">
        <v>36802</v>
      </c>
      <c r="J740" s="5">
        <v>36741</v>
      </c>
      <c r="K740" s="16">
        <v>175</v>
      </c>
      <c r="L740" s="13">
        <v>4428.5600000000004</v>
      </c>
      <c r="M740" s="15">
        <v>584.96890889052361</v>
      </c>
      <c r="N740" s="13">
        <v>4428.5600000000004</v>
      </c>
      <c r="O740" s="13">
        <v>0</v>
      </c>
      <c r="P740" s="11">
        <v>0</v>
      </c>
    </row>
    <row r="741" spans="1:16" ht="15" thickBot="1" x14ac:dyDescent="0.3">
      <c r="A741" s="3" t="s">
        <v>11</v>
      </c>
      <c r="B741" s="4">
        <v>74536</v>
      </c>
      <c r="C741" s="3" t="s">
        <v>9</v>
      </c>
      <c r="D741" s="18">
        <v>0.12</v>
      </c>
      <c r="E741" s="21">
        <v>9.4887929345830457E-3</v>
      </c>
      <c r="F741" s="5">
        <v>36587</v>
      </c>
      <c r="G741" s="5">
        <v>36862</v>
      </c>
      <c r="H741" s="16">
        <v>275</v>
      </c>
      <c r="I741" s="5">
        <v>36862</v>
      </c>
      <c r="J741" s="5">
        <v>36934</v>
      </c>
      <c r="K741" s="16">
        <v>347</v>
      </c>
      <c r="L741" s="13">
        <v>702.98</v>
      </c>
      <c r="M741" s="15">
        <v>80.435328025560082</v>
      </c>
      <c r="N741" s="13">
        <v>702.98</v>
      </c>
      <c r="O741" s="13">
        <v>0</v>
      </c>
      <c r="P741" s="11">
        <v>0</v>
      </c>
    </row>
    <row r="742" spans="1:16" ht="15" thickBot="1" x14ac:dyDescent="0.3">
      <c r="A742" s="3" t="s">
        <v>11</v>
      </c>
      <c r="B742" s="4">
        <v>570028</v>
      </c>
      <c r="C742" s="3" t="s">
        <v>9</v>
      </c>
      <c r="D742" s="18">
        <v>0.11</v>
      </c>
      <c r="E742" s="21">
        <v>8.7345938235519061E-3</v>
      </c>
      <c r="F742" s="5">
        <v>36588</v>
      </c>
      <c r="G742" s="5">
        <v>36802</v>
      </c>
      <c r="H742" s="16">
        <v>214</v>
      </c>
      <c r="I742" s="5">
        <v>36802</v>
      </c>
      <c r="J742" s="5">
        <v>36741</v>
      </c>
      <c r="K742" s="16">
        <v>153</v>
      </c>
      <c r="L742" s="13">
        <v>2000</v>
      </c>
      <c r="M742" s="15">
        <v>290.4214309830142</v>
      </c>
      <c r="N742" s="13">
        <v>2000</v>
      </c>
      <c r="O742" s="13">
        <v>0</v>
      </c>
      <c r="P742" s="11">
        <v>0</v>
      </c>
    </row>
    <row r="743" spans="1:16" ht="15" thickBot="1" x14ac:dyDescent="0.3">
      <c r="A743" s="3" t="s">
        <v>11</v>
      </c>
      <c r="B743" s="4">
        <v>662460</v>
      </c>
      <c r="C743" s="3" t="s">
        <v>9</v>
      </c>
      <c r="D743" s="18">
        <v>0.11</v>
      </c>
      <c r="E743" s="21">
        <v>8.7345938235519061E-3</v>
      </c>
      <c r="F743" s="5">
        <v>36591</v>
      </c>
      <c r="G743" s="5">
        <v>37686</v>
      </c>
      <c r="H743" s="16">
        <v>1095</v>
      </c>
      <c r="I743" s="5">
        <v>37686</v>
      </c>
      <c r="J743" s="5">
        <v>39261</v>
      </c>
      <c r="K743" s="16">
        <v>2670</v>
      </c>
      <c r="L743" s="13">
        <v>124.91</v>
      </c>
      <c r="M743" s="15">
        <v>4.011447090263994</v>
      </c>
      <c r="N743" s="13">
        <v>124.91</v>
      </c>
      <c r="O743" s="13">
        <v>0</v>
      </c>
      <c r="P743" s="11">
        <v>0</v>
      </c>
    </row>
    <row r="744" spans="1:16" ht="15" thickBot="1" x14ac:dyDescent="0.3">
      <c r="A744" s="3" t="s">
        <v>11</v>
      </c>
      <c r="B744" s="4">
        <v>156031</v>
      </c>
      <c r="C744" s="3" t="s">
        <v>9</v>
      </c>
      <c r="D744" s="18">
        <v>0.12</v>
      </c>
      <c r="E744" s="21">
        <v>9.4887929345830457E-3</v>
      </c>
      <c r="F744" s="5">
        <v>36616</v>
      </c>
      <c r="G744" s="5">
        <v>36829</v>
      </c>
      <c r="H744" s="16">
        <v>213</v>
      </c>
      <c r="I744" s="5">
        <v>36829</v>
      </c>
      <c r="J744" s="5">
        <v>36741</v>
      </c>
      <c r="K744" s="16">
        <v>125</v>
      </c>
      <c r="L744" s="13">
        <v>4000</v>
      </c>
      <c r="M744" s="15">
        <v>585.23862731954148</v>
      </c>
      <c r="N744" s="13">
        <v>4000</v>
      </c>
      <c r="O744" s="13">
        <v>0</v>
      </c>
      <c r="P744" s="11">
        <v>0</v>
      </c>
    </row>
    <row r="745" spans="1:16" ht="15" thickBot="1" x14ac:dyDescent="0.3">
      <c r="A745" s="3" t="s">
        <v>11</v>
      </c>
      <c r="B745" s="4">
        <v>597318</v>
      </c>
      <c r="C745" s="3" t="s">
        <v>9</v>
      </c>
      <c r="D745" s="18">
        <v>0.105</v>
      </c>
      <c r="E745" s="21">
        <v>8.355155683635207E-3</v>
      </c>
      <c r="F745" s="5">
        <v>36619</v>
      </c>
      <c r="G745" s="5">
        <v>37361</v>
      </c>
      <c r="H745" s="16">
        <v>742</v>
      </c>
      <c r="I745" s="5">
        <v>37361</v>
      </c>
      <c r="J745" s="5">
        <v>36985</v>
      </c>
      <c r="K745" s="16">
        <v>366</v>
      </c>
      <c r="L745" s="13">
        <v>8000</v>
      </c>
      <c r="M745" s="15">
        <v>359.36559815961664</v>
      </c>
      <c r="N745" s="13">
        <v>8000</v>
      </c>
      <c r="O745" s="13">
        <v>0</v>
      </c>
      <c r="P745" s="11">
        <v>0</v>
      </c>
    </row>
    <row r="746" spans="1:16" ht="15" thickBot="1" x14ac:dyDescent="0.3">
      <c r="A746" s="3" t="s">
        <v>11</v>
      </c>
      <c r="B746" s="4">
        <v>544322</v>
      </c>
      <c r="C746" s="3" t="s">
        <v>9</v>
      </c>
      <c r="D746" s="18">
        <v>0.11</v>
      </c>
      <c r="E746" s="21">
        <v>8.7345938235519061E-3</v>
      </c>
      <c r="F746" s="5">
        <v>36626</v>
      </c>
      <c r="G746" s="5">
        <v>37356</v>
      </c>
      <c r="H746" s="16">
        <v>730</v>
      </c>
      <c r="I746" s="5">
        <v>37356</v>
      </c>
      <c r="J746" s="5">
        <v>37889</v>
      </c>
      <c r="K746" s="16">
        <v>1263</v>
      </c>
      <c r="L746" s="13">
        <v>833.57</v>
      </c>
      <c r="M746" s="15">
        <v>38.174441851887671</v>
      </c>
      <c r="N746" s="13">
        <v>833.57</v>
      </c>
      <c r="O746" s="13">
        <v>0</v>
      </c>
      <c r="P746" s="11">
        <v>0</v>
      </c>
    </row>
    <row r="747" spans="1:16" ht="15" thickBot="1" x14ac:dyDescent="0.3">
      <c r="A747" s="3" t="s">
        <v>11</v>
      </c>
      <c r="B747" s="4">
        <v>828654</v>
      </c>
      <c r="C747" s="3" t="s">
        <v>9</v>
      </c>
      <c r="D747" s="18">
        <v>0.1</v>
      </c>
      <c r="E747" s="21">
        <v>7.9741404289037643E-3</v>
      </c>
      <c r="F747" s="5">
        <v>36637</v>
      </c>
      <c r="G747" s="5">
        <v>38098</v>
      </c>
      <c r="H747" s="16">
        <v>1461</v>
      </c>
      <c r="I747" s="5">
        <v>38098</v>
      </c>
      <c r="J747" s="5">
        <v>37593</v>
      </c>
      <c r="K747" s="16">
        <v>956</v>
      </c>
      <c r="L747" s="13">
        <v>8346.9599999999991</v>
      </c>
      <c r="M747" s="15">
        <v>207.49797639405216</v>
      </c>
      <c r="N747" s="13">
        <v>8346.9599999999991</v>
      </c>
      <c r="O747" s="13">
        <v>0</v>
      </c>
      <c r="P747" s="11">
        <v>0</v>
      </c>
    </row>
    <row r="748" spans="1:16" ht="15" thickBot="1" x14ac:dyDescent="0.3">
      <c r="A748" s="3" t="s">
        <v>11</v>
      </c>
      <c r="B748" s="4">
        <v>963959</v>
      </c>
      <c r="C748" s="3" t="s">
        <v>9</v>
      </c>
      <c r="D748" s="18">
        <v>0.11</v>
      </c>
      <c r="E748" s="21">
        <v>8.7345938235519061E-3</v>
      </c>
      <c r="F748" s="5">
        <v>36641</v>
      </c>
      <c r="G748" s="5">
        <v>37371</v>
      </c>
      <c r="H748" s="16">
        <v>730</v>
      </c>
      <c r="I748" s="5">
        <v>37371</v>
      </c>
      <c r="J748" s="5">
        <v>37270</v>
      </c>
      <c r="K748" s="16">
        <v>629</v>
      </c>
      <c r="L748" s="13">
        <v>3002.58</v>
      </c>
      <c r="M748" s="15">
        <v>137.50712671478206</v>
      </c>
      <c r="N748" s="13">
        <v>3002.58</v>
      </c>
      <c r="O748" s="13">
        <v>0</v>
      </c>
      <c r="P748" s="11">
        <v>0</v>
      </c>
    </row>
    <row r="749" spans="1:16" ht="15" thickBot="1" x14ac:dyDescent="0.3">
      <c r="A749" s="3" t="s">
        <v>11</v>
      </c>
      <c r="B749" s="4">
        <v>229915</v>
      </c>
      <c r="C749" s="3" t="s">
        <v>9</v>
      </c>
      <c r="D749" s="18">
        <v>0.105</v>
      </c>
      <c r="E749" s="21">
        <v>8.355155683635207E-3</v>
      </c>
      <c r="F749" s="5">
        <v>36649</v>
      </c>
      <c r="G749" s="5">
        <v>37361</v>
      </c>
      <c r="H749" s="16">
        <v>712</v>
      </c>
      <c r="I749" s="5">
        <v>37361</v>
      </c>
      <c r="J749" s="5">
        <v>36985</v>
      </c>
      <c r="K749" s="16">
        <v>336</v>
      </c>
      <c r="L749" s="13">
        <v>15237.5</v>
      </c>
      <c r="M749" s="15">
        <v>710.45742504144903</v>
      </c>
      <c r="N749" s="13">
        <v>15237.5</v>
      </c>
      <c r="O749" s="13">
        <v>0</v>
      </c>
      <c r="P749" s="11">
        <v>0</v>
      </c>
    </row>
    <row r="750" spans="1:16" ht="15" thickBot="1" x14ac:dyDescent="0.3">
      <c r="A750" s="3" t="s">
        <v>11</v>
      </c>
      <c r="B750" s="4">
        <v>645951</v>
      </c>
      <c r="C750" s="3" t="s">
        <v>9</v>
      </c>
      <c r="D750" s="18">
        <v>0.12</v>
      </c>
      <c r="E750" s="21">
        <v>9.4887929345830457E-3</v>
      </c>
      <c r="F750" s="5">
        <v>36651</v>
      </c>
      <c r="G750" s="5">
        <v>36804</v>
      </c>
      <c r="H750" s="16">
        <v>153</v>
      </c>
      <c r="I750" s="5">
        <v>36804</v>
      </c>
      <c r="J750" s="5">
        <v>36741</v>
      </c>
      <c r="K750" s="16">
        <v>90</v>
      </c>
      <c r="L750" s="13">
        <v>1800</v>
      </c>
      <c r="M750" s="15">
        <v>363.22149838562348</v>
      </c>
      <c r="N750" s="13">
        <v>1800</v>
      </c>
      <c r="O750" s="13">
        <v>0</v>
      </c>
      <c r="P750" s="11">
        <v>0</v>
      </c>
    </row>
    <row r="751" spans="1:16" ht="15" thickBot="1" x14ac:dyDescent="0.3">
      <c r="A751" s="3" t="s">
        <v>11</v>
      </c>
      <c r="B751" s="4">
        <v>470357</v>
      </c>
      <c r="C751" s="3" t="s">
        <v>9</v>
      </c>
      <c r="D751" s="18">
        <v>0.105</v>
      </c>
      <c r="E751" s="21">
        <v>8.355155683635207E-3</v>
      </c>
      <c r="F751" s="5">
        <v>36664</v>
      </c>
      <c r="G751" s="5">
        <v>37759</v>
      </c>
      <c r="H751" s="16">
        <v>1095</v>
      </c>
      <c r="I751" s="5">
        <v>37759</v>
      </c>
      <c r="J751" s="5">
        <v>38310</v>
      </c>
      <c r="K751" s="16">
        <v>1646</v>
      </c>
      <c r="L751" s="13">
        <v>2129.33</v>
      </c>
      <c r="M751" s="15">
        <v>67.926184230636565</v>
      </c>
      <c r="N751" s="13">
        <v>2129.33</v>
      </c>
      <c r="O751" s="13">
        <v>0</v>
      </c>
      <c r="P751" s="11">
        <v>0</v>
      </c>
    </row>
    <row r="752" spans="1:16" ht="15" thickBot="1" x14ac:dyDescent="0.3">
      <c r="A752" s="3" t="s">
        <v>11</v>
      </c>
      <c r="B752" s="4">
        <v>604985</v>
      </c>
      <c r="C752" s="3" t="s">
        <v>9</v>
      </c>
      <c r="D752" s="18">
        <v>0.12</v>
      </c>
      <c r="E752" s="21">
        <v>9.4887929345830457E-3</v>
      </c>
      <c r="F752" s="5">
        <v>36669</v>
      </c>
      <c r="G752" s="5">
        <v>37065</v>
      </c>
      <c r="H752" s="16">
        <v>396</v>
      </c>
      <c r="I752" s="5">
        <v>37065</v>
      </c>
      <c r="J752" s="5">
        <v>36851</v>
      </c>
      <c r="K752" s="16">
        <v>182</v>
      </c>
      <c r="L752" s="13">
        <v>1600</v>
      </c>
      <c r="M752" s="15">
        <v>129.53500626289511</v>
      </c>
      <c r="N752" s="13">
        <v>1600</v>
      </c>
      <c r="O752" s="13">
        <v>0</v>
      </c>
      <c r="P752" s="11">
        <v>0</v>
      </c>
    </row>
    <row r="753" spans="1:16" ht="15" thickBot="1" x14ac:dyDescent="0.3">
      <c r="A753" s="3" t="s">
        <v>11</v>
      </c>
      <c r="B753" s="4">
        <v>258869</v>
      </c>
      <c r="C753" s="3" t="s">
        <v>9</v>
      </c>
      <c r="D753" s="18">
        <v>0.12</v>
      </c>
      <c r="E753" s="21">
        <v>9.4887929345830457E-3</v>
      </c>
      <c r="F753" s="5">
        <v>36671</v>
      </c>
      <c r="G753" s="5">
        <v>37036</v>
      </c>
      <c r="H753" s="16">
        <v>365</v>
      </c>
      <c r="I753" s="5">
        <v>37036</v>
      </c>
      <c r="J753" s="5">
        <v>37230</v>
      </c>
      <c r="K753" s="16">
        <v>559</v>
      </c>
      <c r="L753" s="13">
        <v>250.43</v>
      </c>
      <c r="M753" s="15">
        <v>21.891676840027991</v>
      </c>
      <c r="N753" s="13">
        <v>250.43</v>
      </c>
      <c r="O753" s="13">
        <v>0</v>
      </c>
      <c r="P753" s="11">
        <v>0</v>
      </c>
    </row>
    <row r="754" spans="1:16" ht="15" thickBot="1" x14ac:dyDescent="0.3">
      <c r="A754" s="3" t="s">
        <v>11</v>
      </c>
      <c r="B754" s="4">
        <v>363402</v>
      </c>
      <c r="C754" s="3" t="s">
        <v>9</v>
      </c>
      <c r="D754" s="18">
        <v>0.1</v>
      </c>
      <c r="E754" s="21">
        <v>7.9741404289037643E-3</v>
      </c>
      <c r="F754" s="5">
        <v>36698</v>
      </c>
      <c r="G754" s="5">
        <v>37946</v>
      </c>
      <c r="H754" s="16">
        <v>1248</v>
      </c>
      <c r="I754" s="5">
        <v>37946</v>
      </c>
      <c r="J754" s="5">
        <v>37532</v>
      </c>
      <c r="K754" s="16">
        <v>834</v>
      </c>
      <c r="L754" s="13">
        <v>6038.58</v>
      </c>
      <c r="M754" s="15">
        <v>171.13583215611209</v>
      </c>
      <c r="N754" s="13">
        <v>6038.58</v>
      </c>
      <c r="O754" s="13">
        <v>0</v>
      </c>
      <c r="P754" s="11">
        <v>0</v>
      </c>
    </row>
    <row r="755" spans="1:16" ht="15" thickBot="1" x14ac:dyDescent="0.3">
      <c r="A755" s="3" t="s">
        <v>11</v>
      </c>
      <c r="B755" s="4">
        <v>460737</v>
      </c>
      <c r="C755" s="3" t="s">
        <v>9</v>
      </c>
      <c r="D755" s="18">
        <v>0.12</v>
      </c>
      <c r="E755" s="21">
        <v>9.4887929345830457E-3</v>
      </c>
      <c r="F755" s="5">
        <v>36700</v>
      </c>
      <c r="G755" s="5">
        <v>38283</v>
      </c>
      <c r="H755" s="16">
        <v>1583</v>
      </c>
      <c r="I755" s="5">
        <v>38283</v>
      </c>
      <c r="J755" s="5">
        <v>37620</v>
      </c>
      <c r="K755" s="16">
        <v>920</v>
      </c>
      <c r="L755" s="13">
        <v>4289.07</v>
      </c>
      <c r="M755" s="15">
        <v>103.70092647910356</v>
      </c>
      <c r="N755" s="13">
        <v>4289.07</v>
      </c>
      <c r="O755" s="13">
        <v>0</v>
      </c>
      <c r="P755" s="11">
        <v>0</v>
      </c>
    </row>
    <row r="756" spans="1:16" ht="15" thickBot="1" x14ac:dyDescent="0.3">
      <c r="A756" s="3" t="s">
        <v>11</v>
      </c>
      <c r="B756" s="4">
        <v>567176</v>
      </c>
      <c r="C756" s="3" t="s">
        <v>9</v>
      </c>
      <c r="D756" s="18">
        <v>0.12</v>
      </c>
      <c r="E756" s="21">
        <v>9.4887929345830457E-3</v>
      </c>
      <c r="F756" s="5">
        <v>36707</v>
      </c>
      <c r="G756" s="5">
        <v>37894</v>
      </c>
      <c r="H756" s="16">
        <v>1187</v>
      </c>
      <c r="I756" s="5">
        <v>37894</v>
      </c>
      <c r="J756" s="5">
        <v>38455</v>
      </c>
      <c r="K756" s="16">
        <v>1748</v>
      </c>
      <c r="L756" s="13">
        <v>2583.79</v>
      </c>
      <c r="M756" s="15">
        <v>78.631715777798291</v>
      </c>
      <c r="N756" s="13">
        <v>2583.79</v>
      </c>
      <c r="O756" s="13">
        <v>0</v>
      </c>
      <c r="P756" s="11">
        <v>0</v>
      </c>
    </row>
    <row r="757" spans="1:16" ht="15" thickBot="1" x14ac:dyDescent="0.3">
      <c r="A757" s="3" t="s">
        <v>11</v>
      </c>
      <c r="B757" s="4">
        <v>163996</v>
      </c>
      <c r="C757" s="3" t="s">
        <v>9</v>
      </c>
      <c r="D757" s="18">
        <v>0.12</v>
      </c>
      <c r="E757" s="21">
        <v>9.4887929345830457E-3</v>
      </c>
      <c r="F757" s="5">
        <v>36752</v>
      </c>
      <c r="G757" s="5">
        <v>38335</v>
      </c>
      <c r="H757" s="16">
        <v>1583</v>
      </c>
      <c r="I757" s="5">
        <v>38335</v>
      </c>
      <c r="J757" s="5">
        <v>37006</v>
      </c>
      <c r="K757" s="16">
        <v>254</v>
      </c>
      <c r="L757" s="13">
        <v>2855.9</v>
      </c>
      <c r="M757" s="15">
        <v>69.049811714817395</v>
      </c>
      <c r="N757" s="13">
        <v>2855.9</v>
      </c>
      <c r="O757" s="13">
        <v>0</v>
      </c>
      <c r="P757" s="11">
        <v>0</v>
      </c>
    </row>
    <row r="758" spans="1:16" ht="15" thickBot="1" x14ac:dyDescent="0.3">
      <c r="A758" s="3" t="s">
        <v>11</v>
      </c>
      <c r="B758" s="4">
        <v>270462</v>
      </c>
      <c r="C758" s="3" t="s">
        <v>9</v>
      </c>
      <c r="D758" s="18">
        <v>0.1</v>
      </c>
      <c r="E758" s="21">
        <v>7.9741404289037643E-3</v>
      </c>
      <c r="F758" s="5">
        <v>36747</v>
      </c>
      <c r="G758" s="5">
        <v>37112</v>
      </c>
      <c r="H758" s="16">
        <v>365</v>
      </c>
      <c r="I758" s="5">
        <v>37112</v>
      </c>
      <c r="J758" s="5">
        <v>40949</v>
      </c>
      <c r="K758" s="16">
        <v>4202</v>
      </c>
      <c r="L758" s="13">
        <v>3753.26</v>
      </c>
      <c r="M758" s="15">
        <v>324.92094185868194</v>
      </c>
      <c r="N758" s="13">
        <v>3753.26</v>
      </c>
      <c r="O758" s="13">
        <v>0</v>
      </c>
      <c r="P758" s="11">
        <v>0</v>
      </c>
    </row>
    <row r="759" spans="1:16" ht="15" thickBot="1" x14ac:dyDescent="0.3">
      <c r="A759" s="3" t="s">
        <v>11</v>
      </c>
      <c r="B759" s="4">
        <v>747916</v>
      </c>
      <c r="C759" s="3" t="s">
        <v>9</v>
      </c>
      <c r="D759" s="18">
        <v>0.12</v>
      </c>
      <c r="E759" s="21">
        <v>9.4887929345830457E-3</v>
      </c>
      <c r="F759" s="5">
        <v>36754</v>
      </c>
      <c r="G759" s="5">
        <v>37484</v>
      </c>
      <c r="H759" s="16">
        <v>730</v>
      </c>
      <c r="I759" s="5">
        <v>37484</v>
      </c>
      <c r="J759" s="5">
        <v>37021</v>
      </c>
      <c r="K759" s="16">
        <v>267</v>
      </c>
      <c r="L759" s="13">
        <v>2780.22</v>
      </c>
      <c r="M759" s="15">
        <v>128.49206568172184</v>
      </c>
      <c r="N759" s="13">
        <v>2780.22</v>
      </c>
      <c r="O759" s="13">
        <v>0</v>
      </c>
      <c r="P759" s="11">
        <v>0</v>
      </c>
    </row>
    <row r="760" spans="1:16" ht="15" thickBot="1" x14ac:dyDescent="0.3">
      <c r="A760" s="3" t="s">
        <v>11</v>
      </c>
      <c r="B760" s="4">
        <v>579717</v>
      </c>
      <c r="C760" s="3" t="s">
        <v>9</v>
      </c>
      <c r="D760" s="18">
        <v>0.13</v>
      </c>
      <c r="E760" s="21">
        <v>1.02368443581764E-2</v>
      </c>
      <c r="F760" s="5">
        <v>36844</v>
      </c>
      <c r="G760" s="5">
        <v>37025</v>
      </c>
      <c r="H760" s="16">
        <v>181</v>
      </c>
      <c r="I760" s="5">
        <v>37025</v>
      </c>
      <c r="J760" s="5">
        <v>37294</v>
      </c>
      <c r="K760" s="16">
        <v>450</v>
      </c>
      <c r="L760" s="13">
        <v>3309.42</v>
      </c>
      <c r="M760" s="15">
        <v>568.43793341159937</v>
      </c>
      <c r="N760" s="13">
        <v>3309.42</v>
      </c>
      <c r="O760" s="13">
        <v>0</v>
      </c>
      <c r="P760" s="11">
        <v>0</v>
      </c>
    </row>
    <row r="761" spans="1:16" ht="15" thickBot="1" x14ac:dyDescent="0.3">
      <c r="A761" s="3" t="s">
        <v>11</v>
      </c>
      <c r="B761" s="4">
        <v>619295</v>
      </c>
      <c r="C761" s="3" t="s">
        <v>9</v>
      </c>
      <c r="D761" s="18">
        <v>0.18</v>
      </c>
      <c r="E761" s="21">
        <v>1.3888430348409919E-2</v>
      </c>
      <c r="F761" s="5">
        <v>36845</v>
      </c>
      <c r="G761" s="5">
        <v>37026</v>
      </c>
      <c r="H761" s="16">
        <v>181</v>
      </c>
      <c r="I761" s="5">
        <v>37026</v>
      </c>
      <c r="J761" s="5">
        <v>37071</v>
      </c>
      <c r="K761" s="16">
        <v>226</v>
      </c>
      <c r="L761" s="13">
        <v>177.6</v>
      </c>
      <c r="M761" s="15">
        <v>30.890803112337672</v>
      </c>
      <c r="N761" s="13">
        <v>177.6</v>
      </c>
      <c r="O761" s="13">
        <v>0</v>
      </c>
      <c r="P761" s="11">
        <v>0</v>
      </c>
    </row>
    <row r="762" spans="1:16" ht="15" thickBot="1" x14ac:dyDescent="0.3">
      <c r="A762" s="3" t="s">
        <v>11</v>
      </c>
      <c r="B762" s="4">
        <v>165155</v>
      </c>
      <c r="C762" s="3" t="s">
        <v>9</v>
      </c>
      <c r="D762" s="18">
        <v>0.14000000000000001</v>
      </c>
      <c r="E762" s="21">
        <v>1.0978851950173452E-2</v>
      </c>
      <c r="F762" s="5">
        <v>36872</v>
      </c>
      <c r="G762" s="5">
        <v>37146</v>
      </c>
      <c r="H762" s="16">
        <v>274</v>
      </c>
      <c r="I762" s="5">
        <v>37146</v>
      </c>
      <c r="J762" s="5">
        <v>36914</v>
      </c>
      <c r="K762" s="16">
        <v>42</v>
      </c>
      <c r="L762" s="13">
        <v>449.2</v>
      </c>
      <c r="M762" s="15">
        <v>51.958802709056705</v>
      </c>
      <c r="N762" s="13">
        <v>449.2</v>
      </c>
      <c r="O762" s="13">
        <v>0</v>
      </c>
      <c r="P762" s="11">
        <v>0</v>
      </c>
    </row>
    <row r="763" spans="1:16" ht="15" thickBot="1" x14ac:dyDescent="0.3">
      <c r="A763" s="3" t="s">
        <v>11</v>
      </c>
      <c r="B763" s="4">
        <v>904925</v>
      </c>
      <c r="C763" s="3" t="s">
        <v>9</v>
      </c>
      <c r="D763" s="18">
        <v>0.11</v>
      </c>
      <c r="E763" s="21">
        <v>8.7345938235519061E-3</v>
      </c>
      <c r="F763" s="5">
        <v>36878</v>
      </c>
      <c r="G763" s="5">
        <v>39008</v>
      </c>
      <c r="H763" s="16">
        <v>2130</v>
      </c>
      <c r="I763" s="5">
        <v>39008</v>
      </c>
      <c r="J763" s="5">
        <v>37943</v>
      </c>
      <c r="K763" s="16">
        <v>1065</v>
      </c>
      <c r="L763" s="13">
        <v>12049.61</v>
      </c>
      <c r="M763" s="15">
        <v>228.45863925576788</v>
      </c>
      <c r="N763" s="13">
        <v>12049.61</v>
      </c>
      <c r="O763" s="13">
        <v>0</v>
      </c>
      <c r="P763" s="11">
        <v>0</v>
      </c>
    </row>
    <row r="764" spans="1:16" ht="15" thickBot="1" x14ac:dyDescent="0.3">
      <c r="A764" s="3" t="s">
        <v>11</v>
      </c>
      <c r="B764" s="4">
        <v>319205</v>
      </c>
      <c r="C764" s="3" t="s">
        <v>9</v>
      </c>
      <c r="D764" s="18">
        <v>0.12</v>
      </c>
      <c r="E764" s="21">
        <v>9.4887929345830457E-3</v>
      </c>
      <c r="F764" s="5">
        <v>36882</v>
      </c>
      <c r="G764" s="5">
        <v>37855</v>
      </c>
      <c r="H764" s="16">
        <v>973</v>
      </c>
      <c r="I764" s="5">
        <v>37855</v>
      </c>
      <c r="J764" s="5">
        <v>39244</v>
      </c>
      <c r="K764" s="16">
        <v>2362</v>
      </c>
      <c r="L764" s="13">
        <v>9942.36</v>
      </c>
      <c r="M764" s="15">
        <v>357.57449105802147</v>
      </c>
      <c r="N764" s="13">
        <v>9942.36</v>
      </c>
      <c r="O764" s="13">
        <v>0</v>
      </c>
      <c r="P764" s="11">
        <v>0</v>
      </c>
    </row>
    <row r="765" spans="1:16" ht="15" thickBot="1" x14ac:dyDescent="0.3">
      <c r="A765" s="3" t="s">
        <v>11</v>
      </c>
      <c r="B765" s="4">
        <v>939886</v>
      </c>
      <c r="C765" s="3" t="s">
        <v>9</v>
      </c>
      <c r="D765" s="18">
        <v>0.105</v>
      </c>
      <c r="E765" s="21">
        <v>8.355155683635207E-3</v>
      </c>
      <c r="F765" s="5">
        <v>36893</v>
      </c>
      <c r="G765" s="5">
        <v>38750</v>
      </c>
      <c r="H765" s="16">
        <v>1857</v>
      </c>
      <c r="I765" s="5">
        <v>38750</v>
      </c>
      <c r="J765" s="5">
        <v>37532</v>
      </c>
      <c r="K765" s="16">
        <v>639</v>
      </c>
      <c r="L765" s="13">
        <v>9755.32</v>
      </c>
      <c r="M765" s="15">
        <v>202.49202570584922</v>
      </c>
      <c r="N765" s="13">
        <v>9755.32</v>
      </c>
      <c r="O765" s="13">
        <v>0</v>
      </c>
      <c r="P765" s="11">
        <v>0</v>
      </c>
    </row>
    <row r="766" spans="1:16" ht="15" thickBot="1" x14ac:dyDescent="0.3">
      <c r="A766" s="3" t="s">
        <v>11</v>
      </c>
      <c r="B766" s="4">
        <v>906445</v>
      </c>
      <c r="C766" s="3" t="s">
        <v>9</v>
      </c>
      <c r="D766" s="18">
        <v>0.12</v>
      </c>
      <c r="E766" s="21">
        <v>9.4887929345830457E-3</v>
      </c>
      <c r="F766" s="5">
        <v>36908</v>
      </c>
      <c r="G766" s="5">
        <v>38063</v>
      </c>
      <c r="H766" s="16">
        <v>1155</v>
      </c>
      <c r="I766" s="5">
        <v>38063</v>
      </c>
      <c r="J766" s="5">
        <v>37526</v>
      </c>
      <c r="K766" s="16">
        <v>618</v>
      </c>
      <c r="L766" s="13">
        <v>2968.45</v>
      </c>
      <c r="M766" s="15">
        <v>92.402907438155921</v>
      </c>
      <c r="N766" s="13">
        <v>2968.45</v>
      </c>
      <c r="O766" s="13">
        <v>0</v>
      </c>
      <c r="P766" s="11">
        <v>0</v>
      </c>
    </row>
    <row r="767" spans="1:16" ht="15" thickBot="1" x14ac:dyDescent="0.3">
      <c r="A767" s="3" t="s">
        <v>11</v>
      </c>
      <c r="B767" s="4">
        <v>386190</v>
      </c>
      <c r="C767" s="3" t="s">
        <v>9</v>
      </c>
      <c r="D767" s="18">
        <v>0.13</v>
      </c>
      <c r="E767" s="21">
        <v>1.02368443581764E-2</v>
      </c>
      <c r="F767" s="5">
        <v>36915</v>
      </c>
      <c r="G767" s="5">
        <v>38010</v>
      </c>
      <c r="H767" s="16">
        <v>1095</v>
      </c>
      <c r="I767" s="5">
        <v>38010</v>
      </c>
      <c r="J767" s="5">
        <v>42264</v>
      </c>
      <c r="K767" s="16">
        <v>5349</v>
      </c>
      <c r="L767" s="13">
        <v>10907.81</v>
      </c>
      <c r="M767" s="15">
        <v>359.65309709816404</v>
      </c>
      <c r="N767" s="13">
        <v>10907.81</v>
      </c>
      <c r="O767" s="13">
        <v>0</v>
      </c>
      <c r="P767" s="11">
        <v>0</v>
      </c>
    </row>
    <row r="768" spans="1:16" ht="15" thickBot="1" x14ac:dyDescent="0.3">
      <c r="A768" s="3" t="s">
        <v>11</v>
      </c>
      <c r="B768" s="4">
        <v>10802</v>
      </c>
      <c r="C768" s="3" t="s">
        <v>9</v>
      </c>
      <c r="D768" s="18">
        <v>0.1</v>
      </c>
      <c r="E768" s="21">
        <v>7.9741404289037643E-3</v>
      </c>
      <c r="F768" s="5">
        <v>36927</v>
      </c>
      <c r="G768" s="5">
        <v>38878</v>
      </c>
      <c r="H768" s="16">
        <v>1951</v>
      </c>
      <c r="I768" s="5">
        <v>38878</v>
      </c>
      <c r="J768" s="5">
        <v>38141</v>
      </c>
      <c r="K768" s="16">
        <v>1214</v>
      </c>
      <c r="L768" s="13">
        <v>10000</v>
      </c>
      <c r="M768" s="15">
        <v>197.66749444992661</v>
      </c>
      <c r="N768" s="13">
        <v>10000</v>
      </c>
      <c r="O768" s="13">
        <v>0</v>
      </c>
      <c r="P768" s="11">
        <v>0</v>
      </c>
    </row>
    <row r="769" spans="1:16" ht="15" thickBot="1" x14ac:dyDescent="0.3">
      <c r="A769" s="3" t="s">
        <v>11</v>
      </c>
      <c r="B769" s="4">
        <v>921383</v>
      </c>
      <c r="C769" s="3" t="s">
        <v>9</v>
      </c>
      <c r="D769" s="18">
        <v>0.105</v>
      </c>
      <c r="E769" s="21">
        <v>8.355155683635207E-3</v>
      </c>
      <c r="F769" s="5">
        <v>36938</v>
      </c>
      <c r="G769" s="5">
        <v>38399</v>
      </c>
      <c r="H769" s="16">
        <v>1461</v>
      </c>
      <c r="I769" s="5">
        <v>38399</v>
      </c>
      <c r="J769" s="5">
        <v>38435</v>
      </c>
      <c r="K769" s="16">
        <v>1497</v>
      </c>
      <c r="L769" s="13">
        <v>4508.22</v>
      </c>
      <c r="M769" s="15">
        <v>113.05931554661996</v>
      </c>
      <c r="N769" s="13">
        <v>4508.22</v>
      </c>
      <c r="O769" s="13">
        <v>0</v>
      </c>
      <c r="P769" s="11">
        <v>0</v>
      </c>
    </row>
    <row r="770" spans="1:16" ht="15" thickBot="1" x14ac:dyDescent="0.3">
      <c r="A770" s="3" t="s">
        <v>11</v>
      </c>
      <c r="B770" s="4">
        <v>472827</v>
      </c>
      <c r="C770" s="3" t="s">
        <v>9</v>
      </c>
      <c r="D770" s="18">
        <v>0.12</v>
      </c>
      <c r="E770" s="21">
        <v>9.4887929345830457E-3</v>
      </c>
      <c r="F770" s="5">
        <v>36957</v>
      </c>
      <c r="G770" s="5">
        <v>38053</v>
      </c>
      <c r="H770" s="16">
        <v>1096</v>
      </c>
      <c r="I770" s="5">
        <v>38053</v>
      </c>
      <c r="J770" s="5">
        <v>37522</v>
      </c>
      <c r="K770" s="16">
        <v>565</v>
      </c>
      <c r="L770" s="13">
        <v>4373.6099999999997</v>
      </c>
      <c r="M770" s="15">
        <v>142.22367783212869</v>
      </c>
      <c r="N770" s="13">
        <v>4373.6099999999997</v>
      </c>
      <c r="O770" s="13">
        <v>0</v>
      </c>
      <c r="P770" s="11">
        <v>0</v>
      </c>
    </row>
    <row r="771" spans="1:16" ht="15" thickBot="1" x14ac:dyDescent="0.3">
      <c r="A771" s="3" t="s">
        <v>11</v>
      </c>
      <c r="B771" s="4">
        <v>260473</v>
      </c>
      <c r="C771" s="3" t="s">
        <v>9</v>
      </c>
      <c r="D771" s="18">
        <v>0.11</v>
      </c>
      <c r="E771" s="21">
        <v>8.7345938235519061E-3</v>
      </c>
      <c r="F771" s="5">
        <v>36969</v>
      </c>
      <c r="G771" s="5">
        <v>37699</v>
      </c>
      <c r="H771" s="16">
        <v>730</v>
      </c>
      <c r="I771" s="5">
        <v>37699</v>
      </c>
      <c r="J771" s="5">
        <v>38800</v>
      </c>
      <c r="K771" s="16">
        <v>1831</v>
      </c>
      <c r="L771" s="13">
        <v>406.45</v>
      </c>
      <c r="M771" s="15">
        <v>18.613915916719346</v>
      </c>
      <c r="N771" s="13">
        <v>406.45</v>
      </c>
      <c r="O771" s="13">
        <v>0</v>
      </c>
      <c r="P771" s="11">
        <v>0</v>
      </c>
    </row>
    <row r="772" spans="1:16" ht="15" thickBot="1" x14ac:dyDescent="0.3">
      <c r="A772" s="3" t="s">
        <v>11</v>
      </c>
      <c r="B772" s="4">
        <v>668309</v>
      </c>
      <c r="C772" s="3" t="s">
        <v>9</v>
      </c>
      <c r="D772" s="18">
        <v>0.1</v>
      </c>
      <c r="E772" s="21">
        <v>7.9741404289037643E-3</v>
      </c>
      <c r="F772" s="5">
        <v>36973</v>
      </c>
      <c r="G772" s="5">
        <v>38799</v>
      </c>
      <c r="H772" s="16">
        <v>1826</v>
      </c>
      <c r="I772" s="5">
        <v>38799</v>
      </c>
      <c r="J772" s="5">
        <v>38539</v>
      </c>
      <c r="K772" s="16">
        <v>1566</v>
      </c>
      <c r="L772" s="13">
        <v>4623.12</v>
      </c>
      <c r="M772" s="15">
        <v>96.169428925041373</v>
      </c>
      <c r="N772" s="13">
        <v>4623.12</v>
      </c>
      <c r="O772" s="13">
        <v>0</v>
      </c>
      <c r="P772" s="11">
        <v>0</v>
      </c>
    </row>
    <row r="773" spans="1:16" ht="15" thickBot="1" x14ac:dyDescent="0.3">
      <c r="A773" s="3" t="s">
        <v>11</v>
      </c>
      <c r="B773" s="4">
        <v>455723</v>
      </c>
      <c r="C773" s="3" t="s">
        <v>9</v>
      </c>
      <c r="D773" s="18">
        <v>0.11</v>
      </c>
      <c r="E773" s="21">
        <v>8.7345938235519061E-3</v>
      </c>
      <c r="F773" s="5">
        <v>36980</v>
      </c>
      <c r="G773" s="5">
        <v>37164</v>
      </c>
      <c r="H773" s="16">
        <v>184</v>
      </c>
      <c r="I773" s="5">
        <v>37164</v>
      </c>
      <c r="J773" s="5">
        <v>39610</v>
      </c>
      <c r="K773" s="16">
        <v>2630</v>
      </c>
      <c r="L773" s="13">
        <v>2611.6</v>
      </c>
      <c r="M773" s="15">
        <v>439.16828948625374</v>
      </c>
      <c r="N773" s="13">
        <v>2611.6</v>
      </c>
      <c r="O773" s="13">
        <v>0</v>
      </c>
      <c r="P773" s="11">
        <v>0</v>
      </c>
    </row>
    <row r="774" spans="1:16" ht="15" thickBot="1" x14ac:dyDescent="0.3">
      <c r="A774" s="3" t="s">
        <v>11</v>
      </c>
      <c r="B774" s="4">
        <v>38169</v>
      </c>
      <c r="C774" s="3" t="s">
        <v>9</v>
      </c>
      <c r="D774" s="18">
        <v>0.11</v>
      </c>
      <c r="E774" s="21">
        <v>8.7345938235519061E-3</v>
      </c>
      <c r="F774" s="5">
        <v>36990</v>
      </c>
      <c r="G774" s="5">
        <v>38239</v>
      </c>
      <c r="H774" s="16">
        <v>1249</v>
      </c>
      <c r="I774" s="5">
        <v>38239</v>
      </c>
      <c r="J774" s="5">
        <v>38226</v>
      </c>
      <c r="K774" s="16">
        <v>1236</v>
      </c>
      <c r="L774" s="13">
        <v>159.06</v>
      </c>
      <c r="M774" s="15">
        <v>4.5736479364828648</v>
      </c>
      <c r="N774" s="13">
        <v>159.06</v>
      </c>
      <c r="O774" s="13">
        <v>0</v>
      </c>
      <c r="P774" s="11">
        <v>0</v>
      </c>
    </row>
    <row r="775" spans="1:16" ht="15" thickBot="1" x14ac:dyDescent="0.3">
      <c r="A775" s="3" t="s">
        <v>11</v>
      </c>
      <c r="B775" s="4">
        <v>276962</v>
      </c>
      <c r="C775" s="3" t="s">
        <v>9</v>
      </c>
      <c r="D775" s="18">
        <v>0.12</v>
      </c>
      <c r="E775" s="21">
        <v>9.4887929345830457E-3</v>
      </c>
      <c r="F775" s="5">
        <v>36997</v>
      </c>
      <c r="G775" s="5">
        <v>37362</v>
      </c>
      <c r="H775" s="16">
        <v>365</v>
      </c>
      <c r="I775" s="5">
        <v>37362</v>
      </c>
      <c r="J775" s="5">
        <v>37106</v>
      </c>
      <c r="K775" s="16">
        <v>109</v>
      </c>
      <c r="L775" s="13">
        <v>4117.08</v>
      </c>
      <c r="M775" s="15">
        <v>359.90011134665349</v>
      </c>
      <c r="N775" s="13">
        <v>4117.08</v>
      </c>
      <c r="O775" s="13">
        <v>0</v>
      </c>
      <c r="P775" s="11">
        <v>0</v>
      </c>
    </row>
    <row r="776" spans="1:16" ht="15" thickBot="1" x14ac:dyDescent="0.3">
      <c r="A776" s="3" t="s">
        <v>11</v>
      </c>
      <c r="B776" s="4">
        <v>198311</v>
      </c>
      <c r="C776" s="3" t="s">
        <v>9</v>
      </c>
      <c r="D776" s="18">
        <v>0.11</v>
      </c>
      <c r="E776" s="21">
        <v>8.7345938235519061E-3</v>
      </c>
      <c r="F776" s="5">
        <v>36999</v>
      </c>
      <c r="G776" s="5">
        <v>37742</v>
      </c>
      <c r="H776" s="16">
        <v>743</v>
      </c>
      <c r="I776" s="5">
        <v>37742</v>
      </c>
      <c r="J776" s="5">
        <v>37152</v>
      </c>
      <c r="K776" s="16">
        <v>153</v>
      </c>
      <c r="L776" s="13">
        <v>1672.83</v>
      </c>
      <c r="M776" s="15">
        <v>75.405966167980296</v>
      </c>
      <c r="N776" s="13">
        <v>1672.83</v>
      </c>
      <c r="O776" s="13">
        <v>0</v>
      </c>
      <c r="P776" s="11">
        <v>0</v>
      </c>
    </row>
    <row r="777" spans="1:16" ht="15" thickBot="1" x14ac:dyDescent="0.3">
      <c r="A777" s="3" t="s">
        <v>11</v>
      </c>
      <c r="B777" s="4">
        <v>249020</v>
      </c>
      <c r="C777" s="3" t="s">
        <v>9</v>
      </c>
      <c r="D777" s="18">
        <v>0.11</v>
      </c>
      <c r="E777" s="21">
        <v>8.7345938235519061E-3</v>
      </c>
      <c r="F777" s="5">
        <v>37008</v>
      </c>
      <c r="G777" s="5">
        <v>38104</v>
      </c>
      <c r="H777" s="16">
        <v>1096</v>
      </c>
      <c r="I777" s="5">
        <v>38104</v>
      </c>
      <c r="J777" s="5">
        <v>38831</v>
      </c>
      <c r="K777" s="16">
        <v>1823</v>
      </c>
      <c r="L777" s="13">
        <v>34.72</v>
      </c>
      <c r="M777" s="15">
        <v>1.1141579510455393</v>
      </c>
      <c r="N777" s="13">
        <v>34.72</v>
      </c>
      <c r="O777" s="13">
        <v>0</v>
      </c>
      <c r="P777" s="11">
        <v>0</v>
      </c>
    </row>
    <row r="778" spans="1:16" ht="15" thickBot="1" x14ac:dyDescent="0.3">
      <c r="A778" s="3" t="s">
        <v>11</v>
      </c>
      <c r="B778" s="4">
        <v>680773</v>
      </c>
      <c r="C778" s="3" t="s">
        <v>9</v>
      </c>
      <c r="D778" s="18">
        <v>0.06</v>
      </c>
      <c r="E778" s="21">
        <v>4.8675505653430484E-3</v>
      </c>
      <c r="F778" s="5">
        <v>37041</v>
      </c>
      <c r="G778" s="5">
        <v>38579</v>
      </c>
      <c r="H778" s="16">
        <v>1538</v>
      </c>
      <c r="I778" s="5">
        <v>38579</v>
      </c>
      <c r="J778" s="5">
        <v>39707</v>
      </c>
      <c r="K778" s="16">
        <v>2666</v>
      </c>
      <c r="L778" s="13">
        <v>17.75</v>
      </c>
      <c r="M778" s="15">
        <v>0.39206082413232857</v>
      </c>
      <c r="N778" s="13">
        <v>17.75</v>
      </c>
      <c r="O778" s="13">
        <v>0</v>
      </c>
      <c r="P778" s="11">
        <v>0</v>
      </c>
    </row>
    <row r="779" spans="1:16" ht="15" thickBot="1" x14ac:dyDescent="0.3">
      <c r="A779" s="3" t="s">
        <v>11</v>
      </c>
      <c r="B779" s="4">
        <v>845081</v>
      </c>
      <c r="C779" s="3" t="s">
        <v>9</v>
      </c>
      <c r="D779" s="18">
        <v>0.105</v>
      </c>
      <c r="E779" s="21">
        <v>8.355155683635207E-3</v>
      </c>
      <c r="F779" s="5">
        <v>37053</v>
      </c>
      <c r="G779" s="5">
        <v>38940</v>
      </c>
      <c r="H779" s="16">
        <v>1887</v>
      </c>
      <c r="I779" s="5">
        <v>38940</v>
      </c>
      <c r="J779" s="5">
        <v>39204</v>
      </c>
      <c r="K779" s="16">
        <v>2151</v>
      </c>
      <c r="L779" s="13">
        <v>2229.16</v>
      </c>
      <c r="M779" s="15">
        <v>45.708689071682223</v>
      </c>
      <c r="N779" s="13">
        <v>2229.16</v>
      </c>
      <c r="O779" s="13">
        <v>0</v>
      </c>
      <c r="P779" s="11">
        <v>0</v>
      </c>
    </row>
    <row r="780" spans="1:16" ht="15" thickBot="1" x14ac:dyDescent="0.3">
      <c r="A780" s="3" t="s">
        <v>11</v>
      </c>
      <c r="B780" s="4">
        <v>835370</v>
      </c>
      <c r="C780" s="3" t="s">
        <v>9</v>
      </c>
      <c r="D780" s="18">
        <v>0.105</v>
      </c>
      <c r="E780" s="21">
        <v>8.355155683635207E-3</v>
      </c>
      <c r="F780" s="5">
        <v>37060</v>
      </c>
      <c r="G780" s="5">
        <v>39281</v>
      </c>
      <c r="H780" s="16">
        <v>2221</v>
      </c>
      <c r="I780" s="5">
        <v>39281</v>
      </c>
      <c r="J780" s="5">
        <v>39639</v>
      </c>
      <c r="K780" s="16">
        <v>2579</v>
      </c>
      <c r="L780" s="13">
        <v>8682.3700000000008</v>
      </c>
      <c r="M780" s="15">
        <v>157.73747923411474</v>
      </c>
      <c r="N780" s="13">
        <v>8682.3700000000008</v>
      </c>
      <c r="O780" s="13">
        <v>0</v>
      </c>
      <c r="P780" s="11">
        <v>0</v>
      </c>
    </row>
    <row r="781" spans="1:16" ht="15" thickBot="1" x14ac:dyDescent="0.3">
      <c r="A781" s="3" t="s">
        <v>11</v>
      </c>
      <c r="B781" s="4">
        <v>975850</v>
      </c>
      <c r="C781" s="3" t="s">
        <v>9</v>
      </c>
      <c r="D781" s="18">
        <v>0.11</v>
      </c>
      <c r="E781" s="21">
        <v>8.7345938235519061E-3</v>
      </c>
      <c r="F781" s="5">
        <v>37067</v>
      </c>
      <c r="G781" s="5">
        <v>37889</v>
      </c>
      <c r="H781" s="16">
        <v>822</v>
      </c>
      <c r="I781" s="5">
        <v>37889</v>
      </c>
      <c r="J781" s="5">
        <v>42277</v>
      </c>
      <c r="K781" s="16">
        <v>5210</v>
      </c>
      <c r="L781" s="13">
        <v>7767.18</v>
      </c>
      <c r="M781" s="15">
        <v>319.97743839430956</v>
      </c>
      <c r="N781" s="13">
        <v>7767.18</v>
      </c>
      <c r="O781" s="13">
        <v>0</v>
      </c>
      <c r="P781" s="11">
        <v>0</v>
      </c>
    </row>
    <row r="782" spans="1:16" ht="15" thickBot="1" x14ac:dyDescent="0.3">
      <c r="A782" s="3" t="s">
        <v>11</v>
      </c>
      <c r="B782" s="4">
        <v>101516</v>
      </c>
      <c r="C782" s="3" t="s">
        <v>9</v>
      </c>
      <c r="D782" s="18">
        <v>0.1</v>
      </c>
      <c r="E782" s="21">
        <v>7.9741404289037643E-3</v>
      </c>
      <c r="F782" s="5">
        <v>37106</v>
      </c>
      <c r="G782" s="5">
        <v>38202</v>
      </c>
      <c r="H782" s="16">
        <v>1096</v>
      </c>
      <c r="I782" s="5">
        <v>38202</v>
      </c>
      <c r="J782" s="5">
        <v>38342</v>
      </c>
      <c r="K782" s="16">
        <v>1236</v>
      </c>
      <c r="L782" s="13">
        <v>7545.41</v>
      </c>
      <c r="M782" s="15">
        <v>238.89426535203378</v>
      </c>
      <c r="N782" s="13">
        <v>7545.41</v>
      </c>
      <c r="O782" s="13">
        <v>0</v>
      </c>
      <c r="P782" s="11">
        <v>0</v>
      </c>
    </row>
    <row r="783" spans="1:16" ht="15" thickBot="1" x14ac:dyDescent="0.3">
      <c r="A783" s="3" t="s">
        <v>11</v>
      </c>
      <c r="B783" s="4">
        <v>443165</v>
      </c>
      <c r="C783" s="3" t="s">
        <v>9</v>
      </c>
      <c r="D783" s="18">
        <v>0.105</v>
      </c>
      <c r="E783" s="21">
        <v>8.355155683635207E-3</v>
      </c>
      <c r="F783" s="5">
        <v>37118</v>
      </c>
      <c r="G783" s="5">
        <v>37848</v>
      </c>
      <c r="H783" s="16">
        <v>730</v>
      </c>
      <c r="I783" s="5">
        <v>37848</v>
      </c>
      <c r="J783" s="5">
        <v>38184</v>
      </c>
      <c r="K783" s="16">
        <v>1066</v>
      </c>
      <c r="L783" s="13">
        <v>38973.07</v>
      </c>
      <c r="M783" s="15">
        <v>1776.6179326729828</v>
      </c>
      <c r="N783" s="13">
        <v>38973.07</v>
      </c>
      <c r="O783" s="13">
        <v>0</v>
      </c>
      <c r="P783" s="11">
        <v>0</v>
      </c>
    </row>
    <row r="784" spans="1:16" ht="15" thickBot="1" x14ac:dyDescent="0.3">
      <c r="A784" s="3" t="s">
        <v>11</v>
      </c>
      <c r="B784" s="4">
        <v>634179</v>
      </c>
      <c r="C784" s="3" t="s">
        <v>9</v>
      </c>
      <c r="D784" s="18">
        <v>0.105</v>
      </c>
      <c r="E784" s="21">
        <v>8.355155683635207E-3</v>
      </c>
      <c r="F784" s="5">
        <v>37144</v>
      </c>
      <c r="G784" s="5">
        <v>37874</v>
      </c>
      <c r="H784" s="16">
        <v>730</v>
      </c>
      <c r="I784" s="5">
        <v>37874</v>
      </c>
      <c r="J784" s="5">
        <v>37428</v>
      </c>
      <c r="K784" s="16">
        <v>284</v>
      </c>
      <c r="L784" s="13">
        <v>7922.65</v>
      </c>
      <c r="M784" s="15">
        <v>361.16020791514774</v>
      </c>
      <c r="N784" s="13">
        <v>7922.65</v>
      </c>
      <c r="O784" s="13">
        <v>0</v>
      </c>
      <c r="P784" s="11">
        <v>0</v>
      </c>
    </row>
    <row r="785" spans="1:16" ht="15" thickBot="1" x14ac:dyDescent="0.3">
      <c r="A785" s="3" t="s">
        <v>11</v>
      </c>
      <c r="B785" s="4">
        <v>988685</v>
      </c>
      <c r="C785" s="3" t="s">
        <v>9</v>
      </c>
      <c r="D785" s="18">
        <v>0.13</v>
      </c>
      <c r="E785" s="21">
        <v>1.02368443581764E-2</v>
      </c>
      <c r="F785" s="5">
        <v>37147</v>
      </c>
      <c r="G785" s="5">
        <v>37603</v>
      </c>
      <c r="H785" s="16">
        <v>456</v>
      </c>
      <c r="I785" s="5">
        <v>37603</v>
      </c>
      <c r="J785" s="5">
        <v>37288</v>
      </c>
      <c r="K785" s="16">
        <v>141</v>
      </c>
      <c r="L785" s="13">
        <v>581.35</v>
      </c>
      <c r="M785" s="15">
        <v>41.49447993073823</v>
      </c>
      <c r="N785" s="13">
        <v>581.35</v>
      </c>
      <c r="O785" s="13">
        <v>0</v>
      </c>
      <c r="P785" s="11">
        <v>0</v>
      </c>
    </row>
    <row r="786" spans="1:16" ht="15" thickBot="1" x14ac:dyDescent="0.3">
      <c r="A786" s="3" t="s">
        <v>11</v>
      </c>
      <c r="B786" s="4">
        <v>688737</v>
      </c>
      <c r="C786" s="3" t="s">
        <v>9</v>
      </c>
      <c r="D786" s="18">
        <v>0.12</v>
      </c>
      <c r="E786" s="21">
        <v>9.4887929345830457E-3</v>
      </c>
      <c r="F786" s="5">
        <v>37162</v>
      </c>
      <c r="G786" s="5">
        <v>38865</v>
      </c>
      <c r="H786" s="16">
        <v>1703</v>
      </c>
      <c r="I786" s="5">
        <v>38865</v>
      </c>
      <c r="J786" s="5">
        <v>37525</v>
      </c>
      <c r="K786" s="16">
        <v>363</v>
      </c>
      <c r="L786" s="13">
        <v>5754.13</v>
      </c>
      <c r="M786" s="15">
        <v>131.57229608834601</v>
      </c>
      <c r="N786" s="13">
        <v>5754.13</v>
      </c>
      <c r="O786" s="13">
        <v>0</v>
      </c>
      <c r="P786" s="11">
        <v>0</v>
      </c>
    </row>
    <row r="787" spans="1:16" ht="15" thickBot="1" x14ac:dyDescent="0.3">
      <c r="A787" s="3" t="s">
        <v>11</v>
      </c>
      <c r="B787" s="4">
        <v>970953</v>
      </c>
      <c r="C787" s="3" t="s">
        <v>9</v>
      </c>
      <c r="D787" s="18">
        <v>0.1</v>
      </c>
      <c r="E787" s="21">
        <v>7.9741404289037643E-3</v>
      </c>
      <c r="F787" s="5">
        <v>37176</v>
      </c>
      <c r="G787" s="5">
        <v>38849</v>
      </c>
      <c r="H787" s="16">
        <v>1673</v>
      </c>
      <c r="I787" s="5">
        <v>38849</v>
      </c>
      <c r="J787" s="5">
        <v>37532</v>
      </c>
      <c r="K787" s="16">
        <v>356</v>
      </c>
      <c r="L787" s="13">
        <v>4988.6000000000004</v>
      </c>
      <c r="M787" s="15">
        <v>111.16447948660142</v>
      </c>
      <c r="N787" s="13">
        <v>4988.6000000000004</v>
      </c>
      <c r="O787" s="13">
        <v>0</v>
      </c>
      <c r="P787" s="11">
        <v>0</v>
      </c>
    </row>
    <row r="788" spans="1:16" ht="15" thickBot="1" x14ac:dyDescent="0.3">
      <c r="A788" s="3" t="s">
        <v>11</v>
      </c>
      <c r="B788" s="4">
        <v>47197</v>
      </c>
      <c r="C788" s="3" t="s">
        <v>9</v>
      </c>
      <c r="D788" s="18">
        <v>0.12</v>
      </c>
      <c r="E788" s="21">
        <v>9.4887929345830457E-3</v>
      </c>
      <c r="F788" s="5">
        <v>37179</v>
      </c>
      <c r="G788" s="5">
        <v>37726</v>
      </c>
      <c r="H788" s="16">
        <v>547</v>
      </c>
      <c r="I788" s="5">
        <v>37726</v>
      </c>
      <c r="J788" s="5">
        <v>37365</v>
      </c>
      <c r="K788" s="16">
        <v>186</v>
      </c>
      <c r="L788" s="13">
        <v>931.11</v>
      </c>
      <c r="M788" s="15">
        <v>55.85253343241034</v>
      </c>
      <c r="N788" s="13">
        <v>931.11</v>
      </c>
      <c r="O788" s="13">
        <v>0</v>
      </c>
      <c r="P788" s="11">
        <v>0</v>
      </c>
    </row>
    <row r="789" spans="1:16" ht="15" thickBot="1" x14ac:dyDescent="0.3">
      <c r="A789" s="3" t="s">
        <v>11</v>
      </c>
      <c r="B789" s="4">
        <v>748526</v>
      </c>
      <c r="C789" s="3" t="s">
        <v>9</v>
      </c>
      <c r="D789" s="18">
        <v>0.11</v>
      </c>
      <c r="E789" s="21">
        <v>8.7345938235519061E-3</v>
      </c>
      <c r="F789" s="5">
        <v>37221</v>
      </c>
      <c r="G789" s="5">
        <v>38409</v>
      </c>
      <c r="H789" s="16">
        <v>1188</v>
      </c>
      <c r="I789" s="5">
        <v>38409</v>
      </c>
      <c r="J789" s="5">
        <v>38001</v>
      </c>
      <c r="K789" s="16">
        <v>780</v>
      </c>
      <c r="L789" s="13">
        <v>3216.26</v>
      </c>
      <c r="M789" s="15">
        <v>96.423885244410286</v>
      </c>
      <c r="N789" s="13">
        <v>3216.26</v>
      </c>
      <c r="O789" s="13">
        <v>0</v>
      </c>
      <c r="P789" s="11">
        <v>0</v>
      </c>
    </row>
    <row r="790" spans="1:16" ht="15" thickBot="1" x14ac:dyDescent="0.3">
      <c r="A790" s="3" t="s">
        <v>11</v>
      </c>
      <c r="B790" s="4">
        <v>901587</v>
      </c>
      <c r="C790" s="3" t="s">
        <v>9</v>
      </c>
      <c r="D790" s="18">
        <v>0.1</v>
      </c>
      <c r="E790" s="21">
        <v>7.9741404289037643E-3</v>
      </c>
      <c r="F790" s="5">
        <v>37223</v>
      </c>
      <c r="G790" s="5">
        <v>39900</v>
      </c>
      <c r="H790" s="16">
        <v>2677</v>
      </c>
      <c r="I790" s="5">
        <v>39900</v>
      </c>
      <c r="J790" s="5">
        <v>38149</v>
      </c>
      <c r="K790" s="16">
        <v>926</v>
      </c>
      <c r="L790" s="13">
        <v>5307.1</v>
      </c>
      <c r="M790" s="15">
        <v>83.349782476144796</v>
      </c>
      <c r="N790" s="13">
        <v>5307.1</v>
      </c>
      <c r="O790" s="13">
        <v>0</v>
      </c>
      <c r="P790" s="11">
        <v>0</v>
      </c>
    </row>
    <row r="791" spans="1:16" ht="15" thickBot="1" x14ac:dyDescent="0.3">
      <c r="A791" s="3" t="s">
        <v>11</v>
      </c>
      <c r="B791" s="4">
        <v>566565</v>
      </c>
      <c r="C791" s="3" t="s">
        <v>9</v>
      </c>
      <c r="D791" s="18">
        <v>0.1</v>
      </c>
      <c r="E791" s="21">
        <v>7.9741404289037643E-3</v>
      </c>
      <c r="F791" s="5">
        <v>37231</v>
      </c>
      <c r="G791" s="5">
        <v>38782</v>
      </c>
      <c r="H791" s="16">
        <v>1551</v>
      </c>
      <c r="I791" s="5">
        <v>38782</v>
      </c>
      <c r="J791" s="5">
        <v>38014</v>
      </c>
      <c r="K791" s="16">
        <v>783</v>
      </c>
      <c r="L791" s="13">
        <v>6243.73</v>
      </c>
      <c r="M791" s="15">
        <v>147.8424767928237</v>
      </c>
      <c r="N791" s="13">
        <v>6243.73</v>
      </c>
      <c r="O791" s="13">
        <v>0</v>
      </c>
      <c r="P791" s="11">
        <v>0</v>
      </c>
    </row>
    <row r="792" spans="1:16" ht="15" thickBot="1" x14ac:dyDescent="0.3">
      <c r="A792" s="3" t="s">
        <v>11</v>
      </c>
      <c r="B792" s="4">
        <v>679861</v>
      </c>
      <c r="C792" s="3" t="s">
        <v>9</v>
      </c>
      <c r="D792" s="18">
        <v>0.13</v>
      </c>
      <c r="E792" s="21">
        <v>1.02368443581764E-2</v>
      </c>
      <c r="F792" s="5">
        <v>37242</v>
      </c>
      <c r="G792" s="5">
        <v>37332</v>
      </c>
      <c r="H792" s="16">
        <v>90</v>
      </c>
      <c r="I792" s="5">
        <v>37332</v>
      </c>
      <c r="J792" s="5">
        <v>37308</v>
      </c>
      <c r="K792" s="16">
        <v>66</v>
      </c>
      <c r="L792" s="13">
        <v>209.61</v>
      </c>
      <c r="M792" s="15">
        <v>71.305352988648323</v>
      </c>
      <c r="N792" s="13">
        <v>209.61</v>
      </c>
      <c r="O792" s="13">
        <v>0</v>
      </c>
      <c r="P792" s="11">
        <v>0</v>
      </c>
    </row>
    <row r="793" spans="1:16" ht="15" thickBot="1" x14ac:dyDescent="0.3">
      <c r="A793" s="3" t="s">
        <v>11</v>
      </c>
      <c r="B793" s="4">
        <v>399290</v>
      </c>
      <c r="C793" s="3" t="s">
        <v>9</v>
      </c>
      <c r="D793" s="18">
        <v>0.105</v>
      </c>
      <c r="E793" s="21">
        <v>8.355155683635207E-3</v>
      </c>
      <c r="F793" s="5">
        <v>37243</v>
      </c>
      <c r="G793" s="5">
        <v>38339</v>
      </c>
      <c r="H793" s="16">
        <v>1096</v>
      </c>
      <c r="I793" s="5">
        <v>38339</v>
      </c>
      <c r="J793" s="5">
        <v>38601</v>
      </c>
      <c r="K793" s="16">
        <v>1358</v>
      </c>
      <c r="L793" s="13">
        <v>1000</v>
      </c>
      <c r="M793" s="15">
        <v>31.875352127669906</v>
      </c>
      <c r="N793" s="13">
        <v>1000</v>
      </c>
      <c r="O793" s="13">
        <v>0</v>
      </c>
      <c r="P793" s="11">
        <v>0</v>
      </c>
    </row>
    <row r="794" spans="1:16" ht="15" thickBot="1" x14ac:dyDescent="0.3">
      <c r="A794" s="3" t="s">
        <v>11</v>
      </c>
      <c r="B794" s="4">
        <v>405294</v>
      </c>
      <c r="C794" s="3" t="s">
        <v>9</v>
      </c>
      <c r="D794" s="18">
        <v>0.12</v>
      </c>
      <c r="E794" s="21">
        <v>9.4887929345830457E-3</v>
      </c>
      <c r="F794" s="5">
        <v>37264</v>
      </c>
      <c r="G794" s="5">
        <v>37629</v>
      </c>
      <c r="H794" s="16">
        <v>365</v>
      </c>
      <c r="I794" s="5">
        <v>37629</v>
      </c>
      <c r="J794" s="5">
        <v>38793</v>
      </c>
      <c r="K794" s="16">
        <v>1529</v>
      </c>
      <c r="L794" s="13">
        <v>674.06</v>
      </c>
      <c r="M794" s="15">
        <v>58.923865714128759</v>
      </c>
      <c r="N794" s="13">
        <v>674.06</v>
      </c>
      <c r="O794" s="13">
        <v>0</v>
      </c>
      <c r="P794" s="11">
        <v>0</v>
      </c>
    </row>
    <row r="795" spans="1:16" ht="15" thickBot="1" x14ac:dyDescent="0.3">
      <c r="A795" s="3" t="s">
        <v>11</v>
      </c>
      <c r="B795" s="4">
        <v>161866</v>
      </c>
      <c r="C795" s="3" t="s">
        <v>9</v>
      </c>
      <c r="D795" s="18">
        <v>0.12</v>
      </c>
      <c r="E795" s="21">
        <v>9.4887929345830457E-3</v>
      </c>
      <c r="F795" s="5">
        <v>37274</v>
      </c>
      <c r="G795" s="5">
        <v>37629</v>
      </c>
      <c r="H795" s="16">
        <v>355</v>
      </c>
      <c r="I795" s="5">
        <v>37629</v>
      </c>
      <c r="J795" s="5">
        <v>38383</v>
      </c>
      <c r="K795" s="16">
        <v>1109</v>
      </c>
      <c r="L795" s="13">
        <v>2021.29</v>
      </c>
      <c r="M795" s="15">
        <v>181.39075106826095</v>
      </c>
      <c r="N795" s="13">
        <v>2021.29</v>
      </c>
      <c r="O795" s="13">
        <v>0</v>
      </c>
      <c r="P795" s="11">
        <v>0</v>
      </c>
    </row>
    <row r="796" spans="1:16" ht="15" thickBot="1" x14ac:dyDescent="0.3">
      <c r="A796" s="3" t="s">
        <v>11</v>
      </c>
      <c r="B796" s="4">
        <v>322656</v>
      </c>
      <c r="C796" s="3" t="s">
        <v>9</v>
      </c>
      <c r="D796" s="18">
        <v>0.11</v>
      </c>
      <c r="E796" s="21">
        <v>8.7345938235519061E-3</v>
      </c>
      <c r="F796" s="5">
        <v>37286</v>
      </c>
      <c r="G796" s="5">
        <v>37468</v>
      </c>
      <c r="H796" s="16">
        <v>182</v>
      </c>
      <c r="I796" s="5">
        <v>37468</v>
      </c>
      <c r="J796" s="5">
        <v>37342</v>
      </c>
      <c r="K796" s="16">
        <v>56</v>
      </c>
      <c r="L796" s="13">
        <v>2447.85</v>
      </c>
      <c r="M796" s="15">
        <v>416.03586041393305</v>
      </c>
      <c r="N796" s="13">
        <v>2447.85</v>
      </c>
      <c r="O796" s="13">
        <v>0</v>
      </c>
      <c r="P796" s="11">
        <v>0</v>
      </c>
    </row>
    <row r="797" spans="1:16" ht="15" thickBot="1" x14ac:dyDescent="0.3">
      <c r="A797" s="3" t="s">
        <v>11</v>
      </c>
      <c r="B797" s="4">
        <v>621764</v>
      </c>
      <c r="C797" s="3" t="s">
        <v>9</v>
      </c>
      <c r="D797" s="18">
        <v>0.12</v>
      </c>
      <c r="E797" s="21">
        <v>9.4887929345830457E-3</v>
      </c>
      <c r="F797" s="5">
        <v>37312</v>
      </c>
      <c r="G797" s="5">
        <v>37646</v>
      </c>
      <c r="H797" s="16">
        <v>334</v>
      </c>
      <c r="I797" s="5">
        <v>37646</v>
      </c>
      <c r="J797" s="5">
        <v>37396</v>
      </c>
      <c r="K797" s="16">
        <v>84</v>
      </c>
      <c r="L797" s="13">
        <v>1814.01</v>
      </c>
      <c r="M797" s="15">
        <v>172.46401443629907</v>
      </c>
      <c r="N797" s="13">
        <v>1814.01</v>
      </c>
      <c r="O797" s="13">
        <v>0</v>
      </c>
      <c r="P797" s="11">
        <v>0</v>
      </c>
    </row>
    <row r="798" spans="1:16" ht="15" thickBot="1" x14ac:dyDescent="0.3">
      <c r="A798" s="3" t="s">
        <v>11</v>
      </c>
      <c r="B798" s="4">
        <v>960764</v>
      </c>
      <c r="C798" s="3" t="s">
        <v>9</v>
      </c>
      <c r="D798" s="18">
        <v>0.11</v>
      </c>
      <c r="E798" s="21">
        <v>8.7345938235519061E-3</v>
      </c>
      <c r="F798" s="5">
        <v>37335</v>
      </c>
      <c r="G798" s="5">
        <v>39192</v>
      </c>
      <c r="H798" s="16">
        <v>1857</v>
      </c>
      <c r="I798" s="5">
        <v>39192</v>
      </c>
      <c r="J798" s="5">
        <v>37937</v>
      </c>
      <c r="K798" s="16">
        <v>602</v>
      </c>
      <c r="L798" s="13">
        <v>2123.87</v>
      </c>
      <c r="M798" s="15">
        <v>44.564728005985486</v>
      </c>
      <c r="N798" s="13">
        <v>2123.87</v>
      </c>
      <c r="O798" s="13">
        <v>0</v>
      </c>
      <c r="P798" s="11">
        <v>0</v>
      </c>
    </row>
    <row r="799" spans="1:16" ht="15" thickBot="1" x14ac:dyDescent="0.3">
      <c r="A799" s="3" t="s">
        <v>11</v>
      </c>
      <c r="B799" s="4">
        <v>507386</v>
      </c>
      <c r="C799" s="3" t="s">
        <v>9</v>
      </c>
      <c r="D799" s="18">
        <v>0.1</v>
      </c>
      <c r="E799" s="21">
        <v>7.9741404289037643E-3</v>
      </c>
      <c r="F799" s="5">
        <v>37348</v>
      </c>
      <c r="G799" s="5">
        <v>38354</v>
      </c>
      <c r="H799" s="16">
        <v>1006</v>
      </c>
      <c r="I799" s="5">
        <v>38354</v>
      </c>
      <c r="J799" s="5">
        <v>38407</v>
      </c>
      <c r="K799" s="16">
        <v>1059</v>
      </c>
      <c r="L799" s="13">
        <v>2965.63</v>
      </c>
      <c r="M799" s="15">
        <v>101.13884191040161</v>
      </c>
      <c r="N799" s="13">
        <v>2965.63</v>
      </c>
      <c r="O799" s="13">
        <v>400</v>
      </c>
      <c r="P799" s="11">
        <v>0</v>
      </c>
    </row>
    <row r="800" spans="1:16" ht="15" thickBot="1" x14ac:dyDescent="0.3">
      <c r="A800" s="3" t="s">
        <v>11</v>
      </c>
      <c r="B800" s="4">
        <v>437860</v>
      </c>
      <c r="C800" s="3" t="s">
        <v>9</v>
      </c>
      <c r="D800" s="18">
        <v>0.11</v>
      </c>
      <c r="E800" s="21">
        <v>8.7345938235519061E-3</v>
      </c>
      <c r="F800" s="5">
        <v>37368</v>
      </c>
      <c r="G800" s="5">
        <v>37582</v>
      </c>
      <c r="H800" s="16">
        <v>214</v>
      </c>
      <c r="I800" s="5">
        <v>37582</v>
      </c>
      <c r="J800" s="5">
        <v>38008</v>
      </c>
      <c r="K800" s="16">
        <v>640</v>
      </c>
      <c r="L800" s="13">
        <v>556.55999999999995</v>
      </c>
      <c r="M800" s="15">
        <v>80.818475813953185</v>
      </c>
      <c r="N800" s="13">
        <v>556.55999999999995</v>
      </c>
      <c r="O800" s="13">
        <v>0</v>
      </c>
      <c r="P800" s="11">
        <v>0</v>
      </c>
    </row>
    <row r="801" spans="1:16" ht="15" thickBot="1" x14ac:dyDescent="0.3">
      <c r="A801" s="3" t="s">
        <v>11</v>
      </c>
      <c r="B801" s="4">
        <v>808245</v>
      </c>
      <c r="C801" s="3" t="s">
        <v>9</v>
      </c>
      <c r="D801" s="18">
        <v>0.12</v>
      </c>
      <c r="E801" s="21">
        <v>9.4887929345830457E-3</v>
      </c>
      <c r="F801" s="5">
        <v>37376</v>
      </c>
      <c r="G801" s="5">
        <v>37651</v>
      </c>
      <c r="H801" s="16">
        <v>275</v>
      </c>
      <c r="I801" s="5">
        <v>37651</v>
      </c>
      <c r="J801" s="5">
        <v>37432</v>
      </c>
      <c r="K801" s="16">
        <v>56</v>
      </c>
      <c r="L801" s="13">
        <v>1172.1500000000001</v>
      </c>
      <c r="M801" s="15">
        <v>134.11799730456096</v>
      </c>
      <c r="N801" s="13">
        <v>1172.1500000000001</v>
      </c>
      <c r="O801" s="13">
        <v>0</v>
      </c>
      <c r="P801" s="11">
        <v>0</v>
      </c>
    </row>
    <row r="802" spans="1:16" ht="15" thickBot="1" x14ac:dyDescent="0.3">
      <c r="A802" s="3" t="s">
        <v>11</v>
      </c>
      <c r="B802" s="4">
        <v>631408</v>
      </c>
      <c r="C802" s="3" t="s">
        <v>9</v>
      </c>
      <c r="D802" s="18">
        <v>0.105</v>
      </c>
      <c r="E802" s="21">
        <v>8.355155683635207E-3</v>
      </c>
      <c r="F802" s="5">
        <v>37376</v>
      </c>
      <c r="G802" s="5">
        <v>38107</v>
      </c>
      <c r="H802" s="16">
        <v>731</v>
      </c>
      <c r="I802" s="5">
        <v>38107</v>
      </c>
      <c r="J802" s="5">
        <v>38624</v>
      </c>
      <c r="K802" s="16">
        <v>1248</v>
      </c>
      <c r="L802" s="13">
        <v>28.57</v>
      </c>
      <c r="M802" s="15">
        <v>1.3007784716740145</v>
      </c>
      <c r="N802" s="13">
        <v>28.57</v>
      </c>
      <c r="O802" s="13">
        <v>0</v>
      </c>
      <c r="P802" s="11">
        <v>0</v>
      </c>
    </row>
    <row r="803" spans="1:16" ht="15" thickBot="1" x14ac:dyDescent="0.3">
      <c r="A803" s="3" t="s">
        <v>11</v>
      </c>
      <c r="B803" s="4">
        <v>93958</v>
      </c>
      <c r="C803" s="3" t="s">
        <v>9</v>
      </c>
      <c r="D803" s="18">
        <v>0.105</v>
      </c>
      <c r="E803" s="21">
        <v>8.355155683635207E-3</v>
      </c>
      <c r="F803" s="5">
        <v>37378</v>
      </c>
      <c r="G803" s="5">
        <v>39204</v>
      </c>
      <c r="H803" s="16">
        <v>1826</v>
      </c>
      <c r="I803" s="5">
        <v>39204</v>
      </c>
      <c r="J803" s="5">
        <v>37937</v>
      </c>
      <c r="K803" s="16">
        <v>559</v>
      </c>
      <c r="L803" s="13">
        <v>3763.15</v>
      </c>
      <c r="M803" s="15">
        <v>79.126200974305675</v>
      </c>
      <c r="N803" s="13">
        <v>3763.15</v>
      </c>
      <c r="O803" s="13">
        <v>0</v>
      </c>
      <c r="P803" s="11">
        <v>0</v>
      </c>
    </row>
    <row r="804" spans="1:16" ht="15" thickBot="1" x14ac:dyDescent="0.3">
      <c r="A804" s="3" t="s">
        <v>11</v>
      </c>
      <c r="B804" s="4">
        <v>130656</v>
      </c>
      <c r="C804" s="3" t="s">
        <v>9</v>
      </c>
      <c r="D804" s="18">
        <v>0.1</v>
      </c>
      <c r="E804" s="21">
        <v>7.9741404289037643E-3</v>
      </c>
      <c r="F804" s="5">
        <v>37396</v>
      </c>
      <c r="G804" s="5">
        <v>38676</v>
      </c>
      <c r="H804" s="16">
        <v>1280</v>
      </c>
      <c r="I804" s="5">
        <v>38676</v>
      </c>
      <c r="J804" s="5">
        <v>38447</v>
      </c>
      <c r="K804" s="16">
        <v>1051</v>
      </c>
      <c r="L804" s="13">
        <v>1559.02</v>
      </c>
      <c r="M804" s="15">
        <v>43.251352101540363</v>
      </c>
      <c r="N804" s="13">
        <v>1559.02</v>
      </c>
      <c r="O804" s="13">
        <v>0</v>
      </c>
      <c r="P804" s="11">
        <v>0</v>
      </c>
    </row>
    <row r="805" spans="1:16" ht="15" thickBot="1" x14ac:dyDescent="0.3">
      <c r="A805" s="3" t="s">
        <v>11</v>
      </c>
      <c r="B805" s="4">
        <v>512770</v>
      </c>
      <c r="C805" s="3" t="s">
        <v>9</v>
      </c>
      <c r="D805" s="18">
        <v>9.5000000000000001E-2</v>
      </c>
      <c r="E805" s="21">
        <v>7.5915342905825689E-3</v>
      </c>
      <c r="F805" s="5">
        <v>37407</v>
      </c>
      <c r="G805" s="5">
        <v>39263</v>
      </c>
      <c r="H805" s="16">
        <v>1856</v>
      </c>
      <c r="I805" s="5">
        <v>39263</v>
      </c>
      <c r="J805" s="5">
        <v>37988</v>
      </c>
      <c r="K805" s="16">
        <v>581</v>
      </c>
      <c r="L805" s="13">
        <v>11538.97</v>
      </c>
      <c r="M805" s="15">
        <v>234.42297077686933</v>
      </c>
      <c r="N805" s="13">
        <v>11538.97</v>
      </c>
      <c r="O805" s="13">
        <v>0</v>
      </c>
      <c r="P805" s="11">
        <v>0</v>
      </c>
    </row>
    <row r="806" spans="1:16" ht="15" thickBot="1" x14ac:dyDescent="0.3">
      <c r="A806" s="3" t="s">
        <v>11</v>
      </c>
      <c r="B806" s="4">
        <v>631572</v>
      </c>
      <c r="C806" s="3" t="s">
        <v>9</v>
      </c>
      <c r="D806" s="18">
        <v>0.105</v>
      </c>
      <c r="E806" s="21">
        <v>8.355155683635207E-3</v>
      </c>
      <c r="F806" s="5">
        <v>37413</v>
      </c>
      <c r="G806" s="5">
        <v>39027</v>
      </c>
      <c r="H806" s="16">
        <v>1614</v>
      </c>
      <c r="I806" s="5">
        <v>39027</v>
      </c>
      <c r="J806" s="5">
        <v>37648</v>
      </c>
      <c r="K806" s="16">
        <v>235</v>
      </c>
      <c r="L806" s="13">
        <v>13895.91</v>
      </c>
      <c r="M806" s="15">
        <v>321.73367236804512</v>
      </c>
      <c r="N806" s="13">
        <v>8480.34</v>
      </c>
      <c r="O806" s="13">
        <v>0</v>
      </c>
      <c r="P806" s="11">
        <v>0</v>
      </c>
    </row>
    <row r="807" spans="1:16" ht="15" thickBot="1" x14ac:dyDescent="0.3">
      <c r="A807" s="3" t="s">
        <v>11</v>
      </c>
      <c r="B807" s="4">
        <v>249124</v>
      </c>
      <c r="C807" s="3" t="s">
        <v>9</v>
      </c>
      <c r="D807" s="18">
        <v>0.1</v>
      </c>
      <c r="E807" s="21">
        <v>7.9741404289037643E-3</v>
      </c>
      <c r="F807" s="5">
        <v>37421</v>
      </c>
      <c r="G807" s="5">
        <v>39004</v>
      </c>
      <c r="H807" s="16">
        <v>1583</v>
      </c>
      <c r="I807" s="5">
        <v>39004</v>
      </c>
      <c r="J807" s="5">
        <v>38495</v>
      </c>
      <c r="K807" s="16">
        <v>1074</v>
      </c>
      <c r="L807" s="13">
        <v>824.29</v>
      </c>
      <c r="M807" s="15">
        <v>19.199011341290532</v>
      </c>
      <c r="N807" s="13">
        <v>824.29</v>
      </c>
      <c r="O807" s="13">
        <v>0</v>
      </c>
      <c r="P807" s="11">
        <v>0</v>
      </c>
    </row>
    <row r="808" spans="1:16" ht="15" thickBot="1" x14ac:dyDescent="0.3">
      <c r="A808" s="3" t="s">
        <v>11</v>
      </c>
      <c r="B808" s="4">
        <v>930831</v>
      </c>
      <c r="C808" s="3" t="s">
        <v>9</v>
      </c>
      <c r="D808" s="18">
        <v>0.1</v>
      </c>
      <c r="E808" s="21">
        <v>7.9741404289037643E-3</v>
      </c>
      <c r="F808" s="5">
        <v>37424</v>
      </c>
      <c r="G808" s="5">
        <v>38520</v>
      </c>
      <c r="H808" s="16">
        <v>1096</v>
      </c>
      <c r="I808" s="5">
        <v>38520</v>
      </c>
      <c r="J808" s="5">
        <v>42193</v>
      </c>
      <c r="K808" s="16">
        <v>4769</v>
      </c>
      <c r="L808" s="13">
        <v>10533.65</v>
      </c>
      <c r="M808" s="15">
        <v>333.50455153867722</v>
      </c>
      <c r="N808" s="13">
        <v>10533.65</v>
      </c>
      <c r="O808" s="13">
        <v>0</v>
      </c>
      <c r="P808" s="11">
        <v>0</v>
      </c>
    </row>
    <row r="809" spans="1:16" ht="15" thickBot="1" x14ac:dyDescent="0.3">
      <c r="A809" s="3" t="s">
        <v>11</v>
      </c>
      <c r="B809" s="4">
        <v>408778</v>
      </c>
      <c r="C809" s="3" t="s">
        <v>9</v>
      </c>
      <c r="D809" s="18">
        <v>0.1</v>
      </c>
      <c r="E809" s="21">
        <v>7.9741404289037643E-3</v>
      </c>
      <c r="F809" s="5">
        <v>37433</v>
      </c>
      <c r="G809" s="5">
        <v>39442</v>
      </c>
      <c r="H809" s="16">
        <v>2009</v>
      </c>
      <c r="I809" s="5">
        <v>39442</v>
      </c>
      <c r="J809" s="5">
        <v>38604</v>
      </c>
      <c r="K809" s="16">
        <v>1171</v>
      </c>
      <c r="L809" s="13">
        <v>23069.7</v>
      </c>
      <c r="M809" s="15">
        <v>445.96312892960276</v>
      </c>
      <c r="N809" s="13">
        <v>23069.7</v>
      </c>
      <c r="O809" s="13">
        <v>0</v>
      </c>
      <c r="P809" s="11">
        <v>0</v>
      </c>
    </row>
    <row r="810" spans="1:16" ht="15" thickBot="1" x14ac:dyDescent="0.3">
      <c r="A810" s="3" t="s">
        <v>11</v>
      </c>
      <c r="B810" s="4">
        <v>588718</v>
      </c>
      <c r="C810" s="3" t="s">
        <v>9</v>
      </c>
      <c r="D810" s="18">
        <v>0.105</v>
      </c>
      <c r="E810" s="21">
        <v>8.355155683635207E-3</v>
      </c>
      <c r="F810" s="5">
        <v>37448</v>
      </c>
      <c r="G810" s="5">
        <v>37601</v>
      </c>
      <c r="H810" s="16">
        <v>153</v>
      </c>
      <c r="I810" s="5">
        <v>37601</v>
      </c>
      <c r="J810" s="5">
        <v>37511</v>
      </c>
      <c r="K810" s="16">
        <v>63</v>
      </c>
      <c r="L810" s="13">
        <v>8093</v>
      </c>
      <c r="M810" s="15">
        <v>1627.5310360041951</v>
      </c>
      <c r="N810" s="13">
        <v>8093</v>
      </c>
      <c r="O810" s="13">
        <v>0</v>
      </c>
      <c r="P810" s="11">
        <v>0</v>
      </c>
    </row>
    <row r="811" spans="1:16" ht="15" thickBot="1" x14ac:dyDescent="0.3">
      <c r="A811" s="3" t="s">
        <v>11</v>
      </c>
      <c r="B811" s="4">
        <v>378052</v>
      </c>
      <c r="C811" s="3" t="s">
        <v>9</v>
      </c>
      <c r="D811" s="18">
        <v>0.105</v>
      </c>
      <c r="E811" s="21">
        <v>8.355155683635207E-3</v>
      </c>
      <c r="F811" s="5">
        <v>37448</v>
      </c>
      <c r="G811" s="5">
        <v>37601</v>
      </c>
      <c r="H811" s="16">
        <v>153</v>
      </c>
      <c r="I811" s="5">
        <v>37601</v>
      </c>
      <c r="J811" s="5">
        <v>38279</v>
      </c>
      <c r="K811" s="16">
        <v>831</v>
      </c>
      <c r="L811" s="13">
        <v>10095.209999999999</v>
      </c>
      <c r="M811" s="15">
        <v>2030.1825762980243</v>
      </c>
      <c r="N811" s="13">
        <v>10095.209999999999</v>
      </c>
      <c r="O811" s="13">
        <v>0</v>
      </c>
      <c r="P811" s="11">
        <v>0</v>
      </c>
    </row>
    <row r="812" spans="1:16" ht="15" thickBot="1" x14ac:dyDescent="0.3">
      <c r="A812" s="3" t="s">
        <v>11</v>
      </c>
      <c r="B812" s="4">
        <v>119346</v>
      </c>
      <c r="C812" s="3" t="s">
        <v>9</v>
      </c>
      <c r="D812" s="18">
        <v>0.1</v>
      </c>
      <c r="E812" s="21">
        <v>7.9741404289037643E-3</v>
      </c>
      <c r="F812" s="5">
        <v>37466</v>
      </c>
      <c r="G812" s="5">
        <v>39426</v>
      </c>
      <c r="H812" s="16">
        <v>1960</v>
      </c>
      <c r="I812" s="5">
        <v>39426</v>
      </c>
      <c r="J812" s="5">
        <v>39167</v>
      </c>
      <c r="K812" s="16">
        <v>1701</v>
      </c>
      <c r="L812" s="13">
        <v>11299.11</v>
      </c>
      <c r="M812" s="15">
        <v>222.56335190240776</v>
      </c>
      <c r="N812" s="13">
        <v>11299.11</v>
      </c>
      <c r="O812" s="13">
        <v>0</v>
      </c>
      <c r="P812" s="11">
        <v>0</v>
      </c>
    </row>
    <row r="813" spans="1:16" ht="15" thickBot="1" x14ac:dyDescent="0.3">
      <c r="A813" s="3" t="s">
        <v>11</v>
      </c>
      <c r="B813" s="4">
        <v>371781</v>
      </c>
      <c r="C813" s="3" t="s">
        <v>9</v>
      </c>
      <c r="D813" s="18">
        <v>0.1</v>
      </c>
      <c r="E813" s="21">
        <v>7.9741404289037643E-3</v>
      </c>
      <c r="F813" s="5">
        <v>37487</v>
      </c>
      <c r="G813" s="5">
        <v>39374</v>
      </c>
      <c r="H813" s="16">
        <v>1887</v>
      </c>
      <c r="I813" s="5">
        <v>39374</v>
      </c>
      <c r="J813" s="5">
        <v>37770</v>
      </c>
      <c r="K813" s="16">
        <v>283</v>
      </c>
      <c r="L813" s="13">
        <v>9537.43</v>
      </c>
      <c r="M813" s="15">
        <v>193.41175270328731</v>
      </c>
      <c r="N813" s="13">
        <v>9537.43</v>
      </c>
      <c r="O813" s="13">
        <v>0</v>
      </c>
      <c r="P813" s="11">
        <v>0</v>
      </c>
    </row>
    <row r="814" spans="1:16" ht="15" thickBot="1" x14ac:dyDescent="0.3">
      <c r="A814" s="3" t="s">
        <v>11</v>
      </c>
      <c r="B814" s="4">
        <v>362091</v>
      </c>
      <c r="C814" s="3" t="s">
        <v>9</v>
      </c>
      <c r="D814" s="18">
        <v>0.06</v>
      </c>
      <c r="E814" s="21">
        <v>4.8675505653430484E-3</v>
      </c>
      <c r="F814" s="5">
        <v>37517</v>
      </c>
      <c r="G814" s="5">
        <v>39069</v>
      </c>
      <c r="H814" s="16">
        <v>1552</v>
      </c>
      <c r="I814" s="5">
        <v>39069</v>
      </c>
      <c r="J814" s="5">
        <v>40106</v>
      </c>
      <c r="K814" s="16">
        <v>2589</v>
      </c>
      <c r="L814" s="13">
        <v>3653.36</v>
      </c>
      <c r="M814" s="15">
        <v>80.054131578353804</v>
      </c>
      <c r="N814" s="13">
        <v>3653.36</v>
      </c>
      <c r="O814" s="13">
        <v>0</v>
      </c>
      <c r="P814" s="11">
        <v>0</v>
      </c>
    </row>
    <row r="815" spans="1:16" ht="15" thickBot="1" x14ac:dyDescent="0.3">
      <c r="A815" s="3" t="s">
        <v>11</v>
      </c>
      <c r="B815" s="4">
        <v>312759</v>
      </c>
      <c r="C815" s="3" t="s">
        <v>9</v>
      </c>
      <c r="D815" s="18">
        <v>0.12</v>
      </c>
      <c r="E815" s="21">
        <v>9.4887929345830457E-3</v>
      </c>
      <c r="F815" s="5">
        <v>37537</v>
      </c>
      <c r="G815" s="5">
        <v>39059</v>
      </c>
      <c r="H815" s="16">
        <v>1522</v>
      </c>
      <c r="I815" s="5">
        <v>39059</v>
      </c>
      <c r="J815" s="5">
        <v>39661</v>
      </c>
      <c r="K815" s="16">
        <v>2124</v>
      </c>
      <c r="L815" s="13">
        <v>9030.4699999999993</v>
      </c>
      <c r="M815" s="15">
        <v>225.09433726526771</v>
      </c>
      <c r="N815" s="13">
        <v>9030.4699999999993</v>
      </c>
      <c r="O815" s="13">
        <v>0</v>
      </c>
      <c r="P815" s="11">
        <v>0</v>
      </c>
    </row>
    <row r="816" spans="1:16" ht="15" thickBot="1" x14ac:dyDescent="0.3">
      <c r="A816" s="3" t="s">
        <v>11</v>
      </c>
      <c r="B816" s="4">
        <v>219723</v>
      </c>
      <c r="C816" s="3" t="s">
        <v>9</v>
      </c>
      <c r="D816" s="18">
        <v>0.105</v>
      </c>
      <c r="E816" s="21">
        <v>8.355155683635207E-3</v>
      </c>
      <c r="F816" s="5">
        <v>37544</v>
      </c>
      <c r="G816" s="5">
        <v>39187</v>
      </c>
      <c r="H816" s="16">
        <v>1643</v>
      </c>
      <c r="I816" s="5">
        <v>39187</v>
      </c>
      <c r="J816" s="5">
        <v>40917</v>
      </c>
      <c r="K816" s="16">
        <v>3373</v>
      </c>
      <c r="L816" s="13">
        <v>1722.77</v>
      </c>
      <c r="M816" s="15">
        <v>39.329488491916621</v>
      </c>
      <c r="N816" s="13">
        <v>1722.77</v>
      </c>
      <c r="O816" s="13">
        <v>0</v>
      </c>
      <c r="P816" s="11">
        <v>0</v>
      </c>
    </row>
    <row r="817" spans="1:16" ht="15" thickBot="1" x14ac:dyDescent="0.3">
      <c r="A817" s="3" t="s">
        <v>11</v>
      </c>
      <c r="B817" s="4">
        <v>192651</v>
      </c>
      <c r="C817" s="3" t="s">
        <v>9</v>
      </c>
      <c r="D817" s="18">
        <v>0.1</v>
      </c>
      <c r="E817" s="21">
        <v>7.9741404289037643E-3</v>
      </c>
      <c r="F817" s="5">
        <v>37546</v>
      </c>
      <c r="G817" s="5">
        <v>38185</v>
      </c>
      <c r="H817" s="16">
        <v>639</v>
      </c>
      <c r="I817" s="5">
        <v>38185</v>
      </c>
      <c r="J817" s="5">
        <v>37915</v>
      </c>
      <c r="K817" s="16">
        <v>369</v>
      </c>
      <c r="L817" s="13">
        <v>900.94</v>
      </c>
      <c r="M817" s="15">
        <v>46.159418714857736</v>
      </c>
      <c r="N817" s="13">
        <v>900.94</v>
      </c>
      <c r="O817" s="13">
        <v>0</v>
      </c>
      <c r="P817" s="11">
        <v>0</v>
      </c>
    </row>
    <row r="818" spans="1:16" ht="15" thickBot="1" x14ac:dyDescent="0.3">
      <c r="A818" s="3" t="s">
        <v>11</v>
      </c>
      <c r="B818" s="4">
        <v>309437</v>
      </c>
      <c r="C818" s="3" t="s">
        <v>9</v>
      </c>
      <c r="D818" s="18">
        <v>0.1</v>
      </c>
      <c r="E818" s="21">
        <v>7.9741404289037643E-3</v>
      </c>
      <c r="F818" s="5">
        <v>37573</v>
      </c>
      <c r="G818" s="5">
        <v>39185</v>
      </c>
      <c r="H818" s="16">
        <v>1612</v>
      </c>
      <c r="I818" s="5">
        <v>39185</v>
      </c>
      <c r="J818" s="5">
        <v>38447</v>
      </c>
      <c r="K818" s="16">
        <v>874</v>
      </c>
      <c r="L818" s="13">
        <v>4478.9399999999996</v>
      </c>
      <c r="M818" s="15">
        <v>102.81109610097259</v>
      </c>
      <c r="N818" s="13">
        <v>4478.9399999999996</v>
      </c>
      <c r="O818" s="13">
        <v>0</v>
      </c>
      <c r="P818" s="11">
        <v>0</v>
      </c>
    </row>
    <row r="819" spans="1:16" ht="15" thickBot="1" x14ac:dyDescent="0.3">
      <c r="A819" s="3" t="s">
        <v>11</v>
      </c>
      <c r="B819" s="4">
        <v>154518</v>
      </c>
      <c r="C819" s="3" t="s">
        <v>9</v>
      </c>
      <c r="D819" s="18">
        <v>0.1</v>
      </c>
      <c r="E819" s="21">
        <v>7.9741404289037643E-3</v>
      </c>
      <c r="F819" s="5">
        <v>37581</v>
      </c>
      <c r="G819" s="5">
        <v>38312</v>
      </c>
      <c r="H819" s="16">
        <v>731</v>
      </c>
      <c r="I819" s="5">
        <v>38312</v>
      </c>
      <c r="J819" s="5">
        <v>38026</v>
      </c>
      <c r="K819" s="16">
        <v>445</v>
      </c>
      <c r="L819" s="13">
        <v>3265.09</v>
      </c>
      <c r="M819" s="15">
        <v>147.96956177863436</v>
      </c>
      <c r="N819" s="13">
        <v>3265.09</v>
      </c>
      <c r="O819" s="13">
        <v>0</v>
      </c>
      <c r="P819" s="11">
        <v>0</v>
      </c>
    </row>
    <row r="820" spans="1:16" ht="15" thickBot="1" x14ac:dyDescent="0.3">
      <c r="A820" s="3" t="s">
        <v>11</v>
      </c>
      <c r="B820" s="4">
        <v>150377</v>
      </c>
      <c r="C820" s="3" t="s">
        <v>9</v>
      </c>
      <c r="D820" s="18">
        <v>0.1</v>
      </c>
      <c r="E820" s="21">
        <v>7.9741404289037643E-3</v>
      </c>
      <c r="F820" s="5">
        <v>37601</v>
      </c>
      <c r="G820" s="5">
        <v>38241</v>
      </c>
      <c r="H820" s="16">
        <v>640</v>
      </c>
      <c r="I820" s="5">
        <v>38241</v>
      </c>
      <c r="J820" s="5">
        <v>42131</v>
      </c>
      <c r="K820" s="16">
        <v>4530</v>
      </c>
      <c r="L820" s="13">
        <v>1540.41</v>
      </c>
      <c r="M820" s="15">
        <v>78.809313381884579</v>
      </c>
      <c r="N820" s="13">
        <v>1540.41</v>
      </c>
      <c r="O820" s="13">
        <v>0</v>
      </c>
      <c r="P820" s="11">
        <v>0</v>
      </c>
    </row>
    <row r="821" spans="1:16" ht="15" thickBot="1" x14ac:dyDescent="0.3">
      <c r="A821" s="3" t="s">
        <v>11</v>
      </c>
      <c r="B821" s="4">
        <v>837530</v>
      </c>
      <c r="C821" s="3" t="s">
        <v>9</v>
      </c>
      <c r="D821" s="18">
        <v>9.2499999999999999E-2</v>
      </c>
      <c r="E821" s="21">
        <v>7.3996302871768282E-3</v>
      </c>
      <c r="F821" s="5">
        <v>37620</v>
      </c>
      <c r="G821" s="5">
        <v>38896</v>
      </c>
      <c r="H821" s="16">
        <v>1276</v>
      </c>
      <c r="I821" s="5">
        <v>38896</v>
      </c>
      <c r="J821" s="5">
        <v>37988</v>
      </c>
      <c r="K821" s="16">
        <v>368</v>
      </c>
      <c r="L821" s="13">
        <v>1201.19</v>
      </c>
      <c r="M821" s="15">
        <v>33.021565978371207</v>
      </c>
      <c r="N821" s="13">
        <v>1201.19</v>
      </c>
      <c r="O821" s="13">
        <v>0</v>
      </c>
      <c r="P821" s="11">
        <v>0</v>
      </c>
    </row>
    <row r="822" spans="1:16" ht="15" thickBot="1" x14ac:dyDescent="0.3">
      <c r="A822" s="3" t="s">
        <v>11</v>
      </c>
      <c r="B822" s="4">
        <v>59405</v>
      </c>
      <c r="C822" s="3" t="s">
        <v>9</v>
      </c>
      <c r="D822" s="18">
        <v>0.1</v>
      </c>
      <c r="E822" s="21">
        <v>7.9741404289037643E-3</v>
      </c>
      <c r="F822" s="5">
        <v>37627</v>
      </c>
      <c r="G822" s="5">
        <v>38829</v>
      </c>
      <c r="H822" s="16">
        <v>1202</v>
      </c>
      <c r="I822" s="5">
        <v>38829</v>
      </c>
      <c r="J822" s="5">
        <v>39637</v>
      </c>
      <c r="K822" s="16">
        <v>2010</v>
      </c>
      <c r="L822" s="13">
        <v>858.71</v>
      </c>
      <c r="M822" s="15">
        <v>25.1223885145838</v>
      </c>
      <c r="N822" s="13">
        <v>858.71</v>
      </c>
      <c r="O822" s="13">
        <v>0</v>
      </c>
      <c r="P822" s="11">
        <v>0</v>
      </c>
    </row>
    <row r="823" spans="1:16" ht="15" thickBot="1" x14ac:dyDescent="0.3">
      <c r="A823" s="3" t="s">
        <v>11</v>
      </c>
      <c r="B823" s="4">
        <v>119678</v>
      </c>
      <c r="C823" s="3" t="s">
        <v>9</v>
      </c>
      <c r="D823" s="18">
        <v>0.1</v>
      </c>
      <c r="E823" s="21">
        <v>7.9741404289037643E-3</v>
      </c>
      <c r="F823" s="5">
        <v>37644</v>
      </c>
      <c r="G823" s="5">
        <v>39164</v>
      </c>
      <c r="H823" s="16">
        <v>1520</v>
      </c>
      <c r="I823" s="5">
        <v>39164</v>
      </c>
      <c r="J823" s="5">
        <v>43364</v>
      </c>
      <c r="K823" s="16">
        <v>5720</v>
      </c>
      <c r="L823" s="13">
        <v>8221.26</v>
      </c>
      <c r="M823" s="15">
        <v>197.87910714351978</v>
      </c>
      <c r="N823" s="13">
        <v>8212.08</v>
      </c>
      <c r="O823" s="13">
        <v>0</v>
      </c>
      <c r="P823" s="11">
        <v>0</v>
      </c>
    </row>
    <row r="824" spans="1:16" ht="15" thickBot="1" x14ac:dyDescent="0.3">
      <c r="A824" s="3" t="s">
        <v>11</v>
      </c>
      <c r="B824" s="4">
        <v>588549</v>
      </c>
      <c r="C824" s="3" t="s">
        <v>9</v>
      </c>
      <c r="D824" s="18">
        <v>0.1</v>
      </c>
      <c r="E824" s="21">
        <v>7.9741404289037643E-3</v>
      </c>
      <c r="F824" s="5">
        <v>37651</v>
      </c>
      <c r="G824" s="5">
        <v>39782</v>
      </c>
      <c r="H824" s="16">
        <v>2131</v>
      </c>
      <c r="I824" s="5">
        <v>39782</v>
      </c>
      <c r="J824" s="5">
        <v>38223</v>
      </c>
      <c r="K824" s="16">
        <v>572</v>
      </c>
      <c r="L824" s="13">
        <v>6357.74</v>
      </c>
      <c r="M824" s="15">
        <v>117.57976161208165</v>
      </c>
      <c r="N824" s="13">
        <v>6357.74</v>
      </c>
      <c r="O824" s="13">
        <v>0</v>
      </c>
      <c r="P824" s="11">
        <v>0</v>
      </c>
    </row>
    <row r="825" spans="1:16" ht="15" thickBot="1" x14ac:dyDescent="0.3">
      <c r="A825" s="3" t="s">
        <v>11</v>
      </c>
      <c r="B825" s="4">
        <v>678306</v>
      </c>
      <c r="C825" s="3" t="s">
        <v>9</v>
      </c>
      <c r="D825" s="18">
        <v>0.1</v>
      </c>
      <c r="E825" s="21">
        <v>7.9741404289037643E-3</v>
      </c>
      <c r="F825" s="5">
        <v>37659</v>
      </c>
      <c r="G825" s="5">
        <v>38267</v>
      </c>
      <c r="H825" s="16">
        <v>608</v>
      </c>
      <c r="I825" s="5">
        <v>38267</v>
      </c>
      <c r="J825" s="5">
        <v>38288</v>
      </c>
      <c r="K825" s="16">
        <v>629</v>
      </c>
      <c r="L825" s="13">
        <v>3650.72</v>
      </c>
      <c r="M825" s="15">
        <v>195.7974764229312</v>
      </c>
      <c r="N825" s="13">
        <v>3650.72</v>
      </c>
      <c r="O825" s="13">
        <v>0</v>
      </c>
      <c r="P825" s="11">
        <v>0</v>
      </c>
    </row>
    <row r="826" spans="1:16" ht="15" thickBot="1" x14ac:dyDescent="0.3">
      <c r="A826" s="3" t="s">
        <v>11</v>
      </c>
      <c r="B826" s="4">
        <v>94507</v>
      </c>
      <c r="C826" s="3" t="s">
        <v>9</v>
      </c>
      <c r="D826" s="18">
        <v>0.105</v>
      </c>
      <c r="E826" s="21">
        <v>8.355155683635207E-3</v>
      </c>
      <c r="F826" s="5">
        <v>37672</v>
      </c>
      <c r="G826" s="5">
        <v>38949</v>
      </c>
      <c r="H826" s="16">
        <v>1277</v>
      </c>
      <c r="I826" s="5">
        <v>38949</v>
      </c>
      <c r="J826" s="5">
        <v>38447</v>
      </c>
      <c r="K826" s="16">
        <v>775</v>
      </c>
      <c r="L826" s="13">
        <v>1205.3499999999999</v>
      </c>
      <c r="M826" s="15">
        <v>33.766950174711795</v>
      </c>
      <c r="N826" s="13">
        <v>1205.3499999999999</v>
      </c>
      <c r="O826" s="13">
        <v>0</v>
      </c>
      <c r="P826" s="11">
        <v>0</v>
      </c>
    </row>
    <row r="827" spans="1:16" ht="15" thickBot="1" x14ac:dyDescent="0.3">
      <c r="A827" s="3" t="s">
        <v>11</v>
      </c>
      <c r="B827" s="4">
        <v>647165</v>
      </c>
      <c r="C827" s="3" t="s">
        <v>9</v>
      </c>
      <c r="D827" s="18">
        <v>9.5000000000000001E-2</v>
      </c>
      <c r="E827" s="21">
        <v>7.5915342905825689E-3</v>
      </c>
      <c r="F827" s="5">
        <v>37690</v>
      </c>
      <c r="G827" s="5">
        <v>39536</v>
      </c>
      <c r="H827" s="16">
        <v>1846</v>
      </c>
      <c r="I827" s="5">
        <v>39536</v>
      </c>
      <c r="J827" s="5">
        <v>40035</v>
      </c>
      <c r="K827" s="16">
        <v>2345</v>
      </c>
      <c r="L827" s="13">
        <v>44.7</v>
      </c>
      <c r="M827" s="15">
        <v>0.91197287437554875</v>
      </c>
      <c r="N827" s="13">
        <v>44.7</v>
      </c>
      <c r="O827" s="13">
        <v>0</v>
      </c>
      <c r="P827" s="11">
        <v>0</v>
      </c>
    </row>
    <row r="828" spans="1:16" ht="15" thickBot="1" x14ac:dyDescent="0.3">
      <c r="A828" s="3" t="s">
        <v>11</v>
      </c>
      <c r="B828" s="4">
        <v>687591</v>
      </c>
      <c r="C828" s="3" t="s">
        <v>9</v>
      </c>
      <c r="D828" s="18">
        <v>9.7500000000000003E-2</v>
      </c>
      <c r="E828" s="21">
        <v>7.7830370878799737E-3</v>
      </c>
      <c r="F828" s="5">
        <v>37691</v>
      </c>
      <c r="G828" s="5">
        <v>39518</v>
      </c>
      <c r="H828" s="16">
        <v>1827</v>
      </c>
      <c r="I828" s="5">
        <v>39518</v>
      </c>
      <c r="J828" s="5">
        <v>37977</v>
      </c>
      <c r="K828" s="16">
        <v>286</v>
      </c>
      <c r="L828" s="13">
        <v>4997.6499999999996</v>
      </c>
      <c r="M828" s="15">
        <v>103.35538473320356</v>
      </c>
      <c r="N828" s="13">
        <v>4997.6499999999996</v>
      </c>
      <c r="O828" s="13">
        <v>0</v>
      </c>
      <c r="P828" s="11">
        <v>0</v>
      </c>
    </row>
    <row r="829" spans="1:16" ht="15" thickBot="1" x14ac:dyDescent="0.3">
      <c r="A829" s="3" t="s">
        <v>11</v>
      </c>
      <c r="B829" s="4">
        <v>691194</v>
      </c>
      <c r="C829" s="3" t="s">
        <v>9</v>
      </c>
      <c r="D829" s="18">
        <v>0.12</v>
      </c>
      <c r="E829" s="21">
        <v>9.4887929345830457E-3</v>
      </c>
      <c r="F829" s="5">
        <v>37691</v>
      </c>
      <c r="G829" s="5">
        <v>38057</v>
      </c>
      <c r="H829" s="16">
        <v>366</v>
      </c>
      <c r="I829" s="5">
        <v>38057</v>
      </c>
      <c r="J829" s="5">
        <v>37897</v>
      </c>
      <c r="K829" s="16">
        <v>206</v>
      </c>
      <c r="L829" s="13">
        <v>864.41</v>
      </c>
      <c r="M829" s="15">
        <v>75.368745104492987</v>
      </c>
      <c r="N829" s="13">
        <v>864.41</v>
      </c>
      <c r="O829" s="13">
        <v>0</v>
      </c>
      <c r="P829" s="11">
        <v>0</v>
      </c>
    </row>
    <row r="830" spans="1:16" ht="15" thickBot="1" x14ac:dyDescent="0.3">
      <c r="A830" s="3" t="s">
        <v>11</v>
      </c>
      <c r="B830" s="4">
        <v>576702</v>
      </c>
      <c r="C830" s="3" t="s">
        <v>9</v>
      </c>
      <c r="D830" s="18">
        <v>0.1</v>
      </c>
      <c r="E830" s="21">
        <v>7.9741404289037643E-3</v>
      </c>
      <c r="F830" s="5">
        <v>37693</v>
      </c>
      <c r="G830" s="5">
        <v>42503</v>
      </c>
      <c r="H830" s="16">
        <v>4810</v>
      </c>
      <c r="I830" s="5">
        <v>42503</v>
      </c>
      <c r="J830" s="5">
        <v>42446</v>
      </c>
      <c r="K830" s="16">
        <v>4753</v>
      </c>
      <c r="L830" s="13">
        <v>4980.76</v>
      </c>
      <c r="M830" s="15">
        <v>55.152505175618735</v>
      </c>
      <c r="N830" s="13">
        <v>4980.76</v>
      </c>
      <c r="O830" s="13">
        <v>0</v>
      </c>
      <c r="P830" s="11">
        <v>1</v>
      </c>
    </row>
    <row r="831" spans="1:16" ht="15" thickBot="1" x14ac:dyDescent="0.3">
      <c r="A831" s="3" t="s">
        <v>11</v>
      </c>
      <c r="B831" s="4">
        <v>334482</v>
      </c>
      <c r="C831" s="3" t="s">
        <v>9</v>
      </c>
      <c r="D831" s="18">
        <v>0.1</v>
      </c>
      <c r="E831" s="21">
        <v>7.9741404289037643E-3</v>
      </c>
      <c r="F831" s="5">
        <v>37701</v>
      </c>
      <c r="G831" s="5">
        <v>39528</v>
      </c>
      <c r="H831" s="16">
        <v>1827</v>
      </c>
      <c r="I831" s="5">
        <v>39528</v>
      </c>
      <c r="J831" s="5">
        <v>37867</v>
      </c>
      <c r="K831" s="16">
        <v>166</v>
      </c>
      <c r="L831" s="13">
        <v>5251.85</v>
      </c>
      <c r="M831" s="15">
        <v>109.20167115733919</v>
      </c>
      <c r="N831" s="13">
        <v>5251.85</v>
      </c>
      <c r="O831" s="13">
        <v>0</v>
      </c>
      <c r="P831" s="11">
        <v>0</v>
      </c>
    </row>
    <row r="832" spans="1:16" ht="15" thickBot="1" x14ac:dyDescent="0.3">
      <c r="A832" s="3" t="s">
        <v>11</v>
      </c>
      <c r="B832" s="4">
        <v>950408</v>
      </c>
      <c r="C832" s="3" t="s">
        <v>9</v>
      </c>
      <c r="D832" s="18">
        <v>0.1</v>
      </c>
      <c r="E832" s="21">
        <v>7.9741404289037643E-3</v>
      </c>
      <c r="F832" s="5">
        <v>37711</v>
      </c>
      <c r="G832" s="5">
        <v>39598</v>
      </c>
      <c r="H832" s="16">
        <v>1887</v>
      </c>
      <c r="I832" s="5">
        <v>39598</v>
      </c>
      <c r="J832" s="5">
        <v>39379</v>
      </c>
      <c r="K832" s="16">
        <v>1668</v>
      </c>
      <c r="L832" s="13">
        <v>23563.94</v>
      </c>
      <c r="M832" s="15">
        <v>477.85859880440535</v>
      </c>
      <c r="N832" s="13">
        <v>23563.94</v>
      </c>
      <c r="O832" s="13">
        <v>0</v>
      </c>
      <c r="P832" s="11">
        <v>0</v>
      </c>
    </row>
    <row r="833" spans="1:16" ht="15" thickBot="1" x14ac:dyDescent="0.3">
      <c r="A833" s="3" t="s">
        <v>11</v>
      </c>
      <c r="B833" s="4">
        <v>788078</v>
      </c>
      <c r="C833" s="3" t="s">
        <v>9</v>
      </c>
      <c r="D833" s="18">
        <v>0.1</v>
      </c>
      <c r="E833" s="21">
        <v>7.9741404289037643E-3</v>
      </c>
      <c r="F833" s="5">
        <v>37726</v>
      </c>
      <c r="G833" s="5">
        <v>38275</v>
      </c>
      <c r="H833" s="16">
        <v>549</v>
      </c>
      <c r="I833" s="5">
        <v>38275</v>
      </c>
      <c r="J833" s="5">
        <v>38838</v>
      </c>
      <c r="K833" s="16">
        <v>1112</v>
      </c>
      <c r="L833" s="13">
        <v>2112.1799999999998</v>
      </c>
      <c r="M833" s="15">
        <v>124.50459335017648</v>
      </c>
      <c r="N833" s="13">
        <v>2112.1799999999998</v>
      </c>
      <c r="O833" s="13">
        <v>0</v>
      </c>
      <c r="P833" s="11">
        <v>0</v>
      </c>
    </row>
    <row r="834" spans="1:16" ht="15" thickBot="1" x14ac:dyDescent="0.3">
      <c r="A834" s="3" t="s">
        <v>11</v>
      </c>
      <c r="B834" s="4">
        <v>406769</v>
      </c>
      <c r="C834" s="3" t="s">
        <v>9</v>
      </c>
      <c r="D834" s="18">
        <v>0.12</v>
      </c>
      <c r="E834" s="21">
        <v>9.4887929345830457E-3</v>
      </c>
      <c r="F834" s="5">
        <v>37727</v>
      </c>
      <c r="G834" s="5">
        <v>38519</v>
      </c>
      <c r="H834" s="16">
        <v>792</v>
      </c>
      <c r="I834" s="5">
        <v>38519</v>
      </c>
      <c r="J834" s="5">
        <v>40158</v>
      </c>
      <c r="K834" s="16">
        <v>2431</v>
      </c>
      <c r="L834" s="13">
        <v>1273.49</v>
      </c>
      <c r="M834" s="15">
        <v>54.759506430603075</v>
      </c>
      <c r="N834" s="13">
        <v>1273.49</v>
      </c>
      <c r="O834" s="13">
        <v>0</v>
      </c>
      <c r="P834" s="11">
        <v>0</v>
      </c>
    </row>
    <row r="835" spans="1:16" ht="15" thickBot="1" x14ac:dyDescent="0.3">
      <c r="A835" s="3" t="s">
        <v>11</v>
      </c>
      <c r="B835" s="4">
        <v>896380</v>
      </c>
      <c r="C835" s="3" t="s">
        <v>9</v>
      </c>
      <c r="D835" s="18">
        <v>0.12</v>
      </c>
      <c r="E835" s="21">
        <v>9.4887929345830457E-3</v>
      </c>
      <c r="F835" s="5">
        <v>37734</v>
      </c>
      <c r="G835" s="5">
        <v>37802</v>
      </c>
      <c r="H835" s="16">
        <v>68</v>
      </c>
      <c r="I835" s="5">
        <v>37802</v>
      </c>
      <c r="J835" s="5">
        <v>37819</v>
      </c>
      <c r="K835" s="16">
        <v>85</v>
      </c>
      <c r="L835" s="13">
        <v>194.09</v>
      </c>
      <c r="M835" s="15">
        <v>86.957679849461456</v>
      </c>
      <c r="N835" s="13">
        <v>194.09</v>
      </c>
      <c r="O835" s="13">
        <v>0</v>
      </c>
      <c r="P835" s="11">
        <v>0</v>
      </c>
    </row>
    <row r="836" spans="1:16" ht="15" thickBot="1" x14ac:dyDescent="0.3">
      <c r="A836" s="3" t="s">
        <v>11</v>
      </c>
      <c r="B836" s="4">
        <v>9482</v>
      </c>
      <c r="C836" s="3" t="s">
        <v>9</v>
      </c>
      <c r="D836" s="18">
        <v>0.11</v>
      </c>
      <c r="E836" s="21">
        <v>8.7345938235519061E-3</v>
      </c>
      <c r="F836" s="5">
        <v>37757</v>
      </c>
      <c r="G836" s="5">
        <v>39218</v>
      </c>
      <c r="H836" s="16">
        <v>1461</v>
      </c>
      <c r="I836" s="5">
        <v>39218</v>
      </c>
      <c r="J836" s="5">
        <v>37985</v>
      </c>
      <c r="K836" s="16">
        <v>228</v>
      </c>
      <c r="L836" s="13">
        <v>12970.46</v>
      </c>
      <c r="M836" s="15">
        <v>328.12781558534647</v>
      </c>
      <c r="N836" s="13">
        <v>12970.46</v>
      </c>
      <c r="O836" s="13">
        <v>0</v>
      </c>
      <c r="P836" s="11">
        <v>0</v>
      </c>
    </row>
    <row r="837" spans="1:16" ht="15" thickBot="1" x14ac:dyDescent="0.3">
      <c r="A837" s="3" t="s">
        <v>11</v>
      </c>
      <c r="B837" s="4">
        <v>789805</v>
      </c>
      <c r="C837" s="3" t="s">
        <v>9</v>
      </c>
      <c r="D837" s="18">
        <v>0.1</v>
      </c>
      <c r="E837" s="21">
        <v>7.9741404289037643E-3</v>
      </c>
      <c r="F837" s="5">
        <v>37762</v>
      </c>
      <c r="G837" s="5">
        <v>39589</v>
      </c>
      <c r="H837" s="16">
        <v>1827</v>
      </c>
      <c r="I837" s="5">
        <v>39589</v>
      </c>
      <c r="J837" s="5">
        <v>39143</v>
      </c>
      <c r="K837" s="16">
        <v>1381</v>
      </c>
      <c r="L837" s="13">
        <v>16209.12</v>
      </c>
      <c r="M837" s="15">
        <v>337.03609051855057</v>
      </c>
      <c r="N837" s="13">
        <v>16209.12</v>
      </c>
      <c r="O837" s="13">
        <v>0</v>
      </c>
      <c r="P837" s="11">
        <v>0</v>
      </c>
    </row>
    <row r="838" spans="1:16" ht="15" thickBot="1" x14ac:dyDescent="0.3">
      <c r="A838" s="3" t="s">
        <v>11</v>
      </c>
      <c r="B838" s="4">
        <v>961962</v>
      </c>
      <c r="C838" s="3" t="s">
        <v>9</v>
      </c>
      <c r="D838" s="18">
        <v>0.1</v>
      </c>
      <c r="E838" s="21">
        <v>7.9741404289037643E-3</v>
      </c>
      <c r="F838" s="5">
        <v>37776</v>
      </c>
      <c r="G838" s="5">
        <v>38752</v>
      </c>
      <c r="H838" s="16">
        <v>976</v>
      </c>
      <c r="I838" s="5">
        <v>38752</v>
      </c>
      <c r="J838" s="5">
        <v>40737</v>
      </c>
      <c r="K838" s="16">
        <v>2961</v>
      </c>
      <c r="L838" s="13">
        <v>2031.01</v>
      </c>
      <c r="M838" s="15">
        <v>71.123295369695271</v>
      </c>
      <c r="N838" s="13">
        <v>2031.01</v>
      </c>
      <c r="O838" s="13">
        <v>0</v>
      </c>
      <c r="P838" s="11">
        <v>0</v>
      </c>
    </row>
    <row r="839" spans="1:16" ht="15" thickBot="1" x14ac:dyDescent="0.3">
      <c r="A839" s="3" t="s">
        <v>11</v>
      </c>
      <c r="B839" s="4">
        <v>989961</v>
      </c>
      <c r="C839" s="3" t="s">
        <v>9</v>
      </c>
      <c r="D839" s="18">
        <v>0.1</v>
      </c>
      <c r="E839" s="21">
        <v>7.9741404289037643E-3</v>
      </c>
      <c r="F839" s="5">
        <v>37789</v>
      </c>
      <c r="G839" s="5">
        <v>39616</v>
      </c>
      <c r="H839" s="16">
        <v>1827</v>
      </c>
      <c r="I839" s="5">
        <v>39616</v>
      </c>
      <c r="J839" s="5">
        <v>38498</v>
      </c>
      <c r="K839" s="16">
        <v>709</v>
      </c>
      <c r="L839" s="13">
        <v>4957.07</v>
      </c>
      <c r="M839" s="15">
        <v>103.07231319323883</v>
      </c>
      <c r="N839" s="13">
        <v>4957.07</v>
      </c>
      <c r="O839" s="13">
        <v>0</v>
      </c>
      <c r="P839" s="11">
        <v>0</v>
      </c>
    </row>
    <row r="840" spans="1:16" ht="15" thickBot="1" x14ac:dyDescent="0.3">
      <c r="A840" s="3" t="s">
        <v>11</v>
      </c>
      <c r="B840" s="4">
        <v>361769</v>
      </c>
      <c r="C840" s="3" t="s">
        <v>9</v>
      </c>
      <c r="D840" s="18">
        <v>0.1</v>
      </c>
      <c r="E840" s="21">
        <v>7.9741404289037643E-3</v>
      </c>
      <c r="F840" s="5">
        <v>37791</v>
      </c>
      <c r="G840" s="5">
        <v>39374</v>
      </c>
      <c r="H840" s="16">
        <v>1583</v>
      </c>
      <c r="I840" s="5">
        <v>39374</v>
      </c>
      <c r="J840" s="5">
        <v>39898</v>
      </c>
      <c r="K840" s="16">
        <v>2107</v>
      </c>
      <c r="L840" s="13">
        <v>2098.9699999999998</v>
      </c>
      <c r="M840" s="15">
        <v>48.888314591986543</v>
      </c>
      <c r="N840" s="13">
        <v>2098.9699999999998</v>
      </c>
      <c r="O840" s="13">
        <v>0</v>
      </c>
      <c r="P840" s="11">
        <v>0</v>
      </c>
    </row>
    <row r="841" spans="1:16" ht="15" thickBot="1" x14ac:dyDescent="0.3">
      <c r="A841" s="3" t="s">
        <v>11</v>
      </c>
      <c r="B841" s="4">
        <v>664400</v>
      </c>
      <c r="C841" s="3" t="s">
        <v>9</v>
      </c>
      <c r="D841" s="18">
        <v>0.11</v>
      </c>
      <c r="E841" s="21">
        <v>8.7345938235519061E-3</v>
      </c>
      <c r="F841" s="5">
        <v>37802</v>
      </c>
      <c r="G841" s="5">
        <v>38716</v>
      </c>
      <c r="H841" s="16">
        <v>914</v>
      </c>
      <c r="I841" s="5">
        <v>38716</v>
      </c>
      <c r="J841" s="5">
        <v>38205</v>
      </c>
      <c r="K841" s="16">
        <v>403</v>
      </c>
      <c r="L841" s="13">
        <v>1809.24</v>
      </c>
      <c r="M841" s="15">
        <v>67.893226203180674</v>
      </c>
      <c r="N841" s="13">
        <v>1809.24</v>
      </c>
      <c r="O841" s="13">
        <v>0</v>
      </c>
      <c r="P841" s="11">
        <v>0</v>
      </c>
    </row>
    <row r="842" spans="1:16" ht="15" thickBot="1" x14ac:dyDescent="0.3">
      <c r="A842" s="3" t="s">
        <v>11</v>
      </c>
      <c r="B842" s="4">
        <v>204351</v>
      </c>
      <c r="C842" s="3" t="s">
        <v>9</v>
      </c>
      <c r="D842" s="18">
        <v>0.1</v>
      </c>
      <c r="E842" s="21">
        <v>7.9741404289037643E-3</v>
      </c>
      <c r="F842" s="5">
        <v>37812</v>
      </c>
      <c r="G842" s="5">
        <v>38543</v>
      </c>
      <c r="H842" s="16">
        <v>731</v>
      </c>
      <c r="I842" s="5">
        <v>38543</v>
      </c>
      <c r="J842" s="5">
        <v>37935</v>
      </c>
      <c r="K842" s="16">
        <v>123</v>
      </c>
      <c r="L842" s="13">
        <v>1170</v>
      </c>
      <c r="M842" s="15">
        <v>53.022853054893488</v>
      </c>
      <c r="N842" s="13">
        <v>1170</v>
      </c>
      <c r="O842" s="13">
        <v>0</v>
      </c>
      <c r="P842" s="11">
        <v>0</v>
      </c>
    </row>
    <row r="843" spans="1:16" ht="15" thickBot="1" x14ac:dyDescent="0.3">
      <c r="A843" s="3" t="s">
        <v>11</v>
      </c>
      <c r="B843" s="4">
        <v>950900</v>
      </c>
      <c r="C843" s="3" t="s">
        <v>9</v>
      </c>
      <c r="D843" s="18">
        <v>0.11</v>
      </c>
      <c r="E843" s="21">
        <v>8.7345938235519061E-3</v>
      </c>
      <c r="F843" s="5">
        <v>37816</v>
      </c>
      <c r="G843" s="5">
        <v>37908</v>
      </c>
      <c r="H843" s="16">
        <v>92</v>
      </c>
      <c r="I843" s="5">
        <v>37908</v>
      </c>
      <c r="J843" s="5">
        <v>38211</v>
      </c>
      <c r="K843" s="16">
        <v>395</v>
      </c>
      <c r="L843" s="13">
        <v>5434.14</v>
      </c>
      <c r="M843" s="15">
        <v>1803.5678082015081</v>
      </c>
      <c r="N843" s="13">
        <v>5434.14</v>
      </c>
      <c r="O843" s="13">
        <v>0</v>
      </c>
      <c r="P843" s="11">
        <v>0</v>
      </c>
    </row>
    <row r="844" spans="1:16" ht="15" thickBot="1" x14ac:dyDescent="0.3">
      <c r="A844" s="3" t="s">
        <v>11</v>
      </c>
      <c r="B844" s="4">
        <v>738068</v>
      </c>
      <c r="C844" s="3" t="s">
        <v>9</v>
      </c>
      <c r="D844" s="18">
        <v>0.11</v>
      </c>
      <c r="E844" s="21">
        <v>8.7345938235519061E-3</v>
      </c>
      <c r="F844" s="5">
        <v>37818</v>
      </c>
      <c r="G844" s="5">
        <v>38549</v>
      </c>
      <c r="H844" s="16">
        <v>731</v>
      </c>
      <c r="I844" s="5">
        <v>38549</v>
      </c>
      <c r="J844" s="5">
        <v>38421</v>
      </c>
      <c r="K844" s="16">
        <v>603</v>
      </c>
      <c r="L844" s="13">
        <v>530.32000000000005</v>
      </c>
      <c r="M844" s="15">
        <v>24.256874295103685</v>
      </c>
      <c r="N844" s="13">
        <v>530.32000000000005</v>
      </c>
      <c r="O844" s="13">
        <v>0</v>
      </c>
      <c r="P844" s="11">
        <v>0</v>
      </c>
    </row>
    <row r="845" spans="1:16" ht="15" thickBot="1" x14ac:dyDescent="0.3">
      <c r="A845" s="3" t="s">
        <v>11</v>
      </c>
      <c r="B845" s="4">
        <v>639151</v>
      </c>
      <c r="C845" s="3" t="s">
        <v>9</v>
      </c>
      <c r="D845" s="18">
        <v>0.06</v>
      </c>
      <c r="E845" s="21">
        <v>4.8675505653430484E-3</v>
      </c>
      <c r="F845" s="5">
        <v>37819</v>
      </c>
      <c r="G845" s="5">
        <v>38642</v>
      </c>
      <c r="H845" s="16">
        <v>823</v>
      </c>
      <c r="I845" s="5">
        <v>38642</v>
      </c>
      <c r="J845" s="5">
        <v>38513</v>
      </c>
      <c r="K845" s="16">
        <v>694</v>
      </c>
      <c r="L845" s="13">
        <v>1844.14</v>
      </c>
      <c r="M845" s="15">
        <v>71.97391085170328</v>
      </c>
      <c r="N845" s="13">
        <v>1844.14</v>
      </c>
      <c r="O845" s="13">
        <v>0</v>
      </c>
      <c r="P845" s="11">
        <v>0</v>
      </c>
    </row>
    <row r="846" spans="1:16" ht="15" thickBot="1" x14ac:dyDescent="0.3">
      <c r="A846" s="3" t="s">
        <v>11</v>
      </c>
      <c r="B846" s="4">
        <v>788412</v>
      </c>
      <c r="C846" s="3" t="s">
        <v>9</v>
      </c>
      <c r="D846" s="18">
        <v>0.1</v>
      </c>
      <c r="E846" s="21">
        <v>7.9741404289037643E-3</v>
      </c>
      <c r="F846" s="5">
        <v>37820</v>
      </c>
      <c r="G846" s="5">
        <v>40196</v>
      </c>
      <c r="H846" s="16">
        <v>2376</v>
      </c>
      <c r="I846" s="5">
        <v>40196</v>
      </c>
      <c r="J846" s="5">
        <v>39430</v>
      </c>
      <c r="K846" s="16">
        <v>1610</v>
      </c>
      <c r="L846" s="13">
        <v>20211.95</v>
      </c>
      <c r="M846" s="15">
        <v>345.19759308798785</v>
      </c>
      <c r="N846" s="13">
        <v>20211.95</v>
      </c>
      <c r="O846" s="13">
        <v>0</v>
      </c>
      <c r="P846" s="11">
        <v>0</v>
      </c>
    </row>
    <row r="847" spans="1:16" ht="15" thickBot="1" x14ac:dyDescent="0.3">
      <c r="A847" s="3" t="s">
        <v>11</v>
      </c>
      <c r="B847" s="4">
        <v>537995</v>
      </c>
      <c r="C847" s="3" t="s">
        <v>9</v>
      </c>
      <c r="D847" s="18">
        <v>0.1</v>
      </c>
      <c r="E847" s="21">
        <v>7.9741404289037643E-3</v>
      </c>
      <c r="F847" s="5">
        <v>37830</v>
      </c>
      <c r="G847" s="5">
        <v>38196</v>
      </c>
      <c r="H847" s="16">
        <v>366</v>
      </c>
      <c r="I847" s="5">
        <v>38196</v>
      </c>
      <c r="J847" s="5">
        <v>40072</v>
      </c>
      <c r="K847" s="16">
        <v>2242</v>
      </c>
      <c r="L847" s="13">
        <v>15.03</v>
      </c>
      <c r="M847" s="15">
        <v>1.297765950957837</v>
      </c>
      <c r="N847" s="13">
        <v>15.03</v>
      </c>
      <c r="O847" s="13">
        <v>15.03</v>
      </c>
      <c r="P847" s="11">
        <v>0</v>
      </c>
    </row>
    <row r="848" spans="1:16" ht="15" thickBot="1" x14ac:dyDescent="0.3">
      <c r="A848" s="3" t="s">
        <v>11</v>
      </c>
      <c r="B848" s="4">
        <v>451517</v>
      </c>
      <c r="C848" s="3" t="s">
        <v>9</v>
      </c>
      <c r="D848" s="18">
        <v>0.1</v>
      </c>
      <c r="E848" s="21">
        <v>7.9741404289037643E-3</v>
      </c>
      <c r="F848" s="5">
        <v>37837</v>
      </c>
      <c r="G848" s="5">
        <v>38964</v>
      </c>
      <c r="H848" s="16">
        <v>1127</v>
      </c>
      <c r="I848" s="5">
        <v>38964</v>
      </c>
      <c r="J848" s="5">
        <v>38405</v>
      </c>
      <c r="K848" s="16">
        <v>568</v>
      </c>
      <c r="L848" s="13">
        <v>2006.5</v>
      </c>
      <c r="M848" s="15">
        <v>62.02168874651683</v>
      </c>
      <c r="N848" s="13">
        <v>2006.5</v>
      </c>
      <c r="O848" s="13">
        <v>0</v>
      </c>
      <c r="P848" s="11">
        <v>0</v>
      </c>
    </row>
    <row r="849" spans="1:16" ht="15" thickBot="1" x14ac:dyDescent="0.3">
      <c r="A849" s="3" t="s">
        <v>11</v>
      </c>
      <c r="B849" s="4">
        <v>753375</v>
      </c>
      <c r="C849" s="3" t="s">
        <v>9</v>
      </c>
      <c r="D849" s="18">
        <v>0.1</v>
      </c>
      <c r="E849" s="21">
        <v>7.9741404289037643E-3</v>
      </c>
      <c r="F849" s="5">
        <v>37840</v>
      </c>
      <c r="G849" s="5">
        <v>38814</v>
      </c>
      <c r="H849" s="16">
        <v>974</v>
      </c>
      <c r="I849" s="5">
        <v>38814</v>
      </c>
      <c r="J849" s="5">
        <v>38509</v>
      </c>
      <c r="K849" s="16">
        <v>669</v>
      </c>
      <c r="L849" s="13">
        <v>847.46</v>
      </c>
      <c r="M849" s="15">
        <v>29.730337539762136</v>
      </c>
      <c r="N849" s="13">
        <v>847.46</v>
      </c>
      <c r="O849" s="13">
        <v>0</v>
      </c>
      <c r="P849" s="11">
        <v>0</v>
      </c>
    </row>
    <row r="850" spans="1:16" ht="15" thickBot="1" x14ac:dyDescent="0.3">
      <c r="A850" s="3" t="s">
        <v>11</v>
      </c>
      <c r="B850" s="4">
        <v>423552</v>
      </c>
      <c r="C850" s="3" t="s">
        <v>9</v>
      </c>
      <c r="D850" s="18">
        <v>0.1</v>
      </c>
      <c r="E850" s="21">
        <v>7.9741404289037643E-3</v>
      </c>
      <c r="F850" s="5">
        <v>37866</v>
      </c>
      <c r="G850" s="5">
        <v>38870</v>
      </c>
      <c r="H850" s="16">
        <v>1004</v>
      </c>
      <c r="I850" s="5">
        <v>38870</v>
      </c>
      <c r="J850" s="5">
        <v>38498</v>
      </c>
      <c r="K850" s="16">
        <v>632</v>
      </c>
      <c r="L850" s="13">
        <v>5428.17</v>
      </c>
      <c r="M850" s="15">
        <v>185.44231134390611</v>
      </c>
      <c r="N850" s="13">
        <v>5428.17</v>
      </c>
      <c r="O850" s="13">
        <v>0</v>
      </c>
      <c r="P850" s="11">
        <v>0</v>
      </c>
    </row>
    <row r="851" spans="1:16" ht="15" thickBot="1" x14ac:dyDescent="0.3">
      <c r="A851" s="3" t="s">
        <v>11</v>
      </c>
      <c r="B851" s="4">
        <v>661952</v>
      </c>
      <c r="C851" s="3" t="s">
        <v>9</v>
      </c>
      <c r="D851" s="18">
        <v>0.1</v>
      </c>
      <c r="E851" s="21">
        <v>7.9741404289037643E-3</v>
      </c>
      <c r="F851" s="5">
        <v>37900</v>
      </c>
      <c r="G851" s="5">
        <v>38448</v>
      </c>
      <c r="H851" s="16">
        <v>548</v>
      </c>
      <c r="I851" s="5">
        <v>38448</v>
      </c>
      <c r="J851" s="5">
        <v>38063</v>
      </c>
      <c r="K851" s="16">
        <v>163</v>
      </c>
      <c r="L851" s="13">
        <v>1466.99</v>
      </c>
      <c r="M851" s="15">
        <v>86.619822329498689</v>
      </c>
      <c r="N851" s="13">
        <v>1466.99</v>
      </c>
      <c r="O851" s="13">
        <v>0</v>
      </c>
      <c r="P851" s="11">
        <v>0</v>
      </c>
    </row>
    <row r="852" spans="1:16" ht="15" thickBot="1" x14ac:dyDescent="0.3">
      <c r="A852" s="3" t="s">
        <v>11</v>
      </c>
      <c r="B852" s="4">
        <v>392894</v>
      </c>
      <c r="C852" s="3" t="s">
        <v>9</v>
      </c>
      <c r="D852" s="18">
        <v>0.1</v>
      </c>
      <c r="E852" s="21">
        <v>7.9741404289037643E-3</v>
      </c>
      <c r="F852" s="5">
        <v>37910</v>
      </c>
      <c r="G852" s="5">
        <v>38641</v>
      </c>
      <c r="H852" s="16">
        <v>731</v>
      </c>
      <c r="I852" s="5">
        <v>38641</v>
      </c>
      <c r="J852" s="5">
        <v>38267</v>
      </c>
      <c r="K852" s="16">
        <v>357</v>
      </c>
      <c r="L852" s="13">
        <v>2000</v>
      </c>
      <c r="M852" s="15">
        <v>90.637355649390571</v>
      </c>
      <c r="N852" s="13">
        <v>2000</v>
      </c>
      <c r="O852" s="13">
        <v>0</v>
      </c>
      <c r="P852" s="11">
        <v>0</v>
      </c>
    </row>
    <row r="853" spans="1:16" ht="15" thickBot="1" x14ac:dyDescent="0.3">
      <c r="A853" s="3" t="s">
        <v>11</v>
      </c>
      <c r="B853" s="4">
        <v>590012</v>
      </c>
      <c r="C853" s="3" t="s">
        <v>9</v>
      </c>
      <c r="D853" s="18">
        <v>9.5000000000000001E-2</v>
      </c>
      <c r="E853" s="21">
        <v>7.5915342905825689E-3</v>
      </c>
      <c r="F853" s="5">
        <v>37918</v>
      </c>
      <c r="G853" s="5">
        <v>39014</v>
      </c>
      <c r="H853" s="16">
        <v>1096</v>
      </c>
      <c r="I853" s="5">
        <v>39014</v>
      </c>
      <c r="J853" s="5">
        <v>38548</v>
      </c>
      <c r="K853" s="16">
        <v>630</v>
      </c>
      <c r="L853" s="13">
        <v>1350</v>
      </c>
      <c r="M853" s="15">
        <v>42.452597662477991</v>
      </c>
      <c r="N853" s="13">
        <v>1350</v>
      </c>
      <c r="O853" s="13">
        <v>0</v>
      </c>
      <c r="P853" s="11">
        <v>0</v>
      </c>
    </row>
    <row r="854" spans="1:16" ht="15" thickBot="1" x14ac:dyDescent="0.3">
      <c r="A854" s="3" t="s">
        <v>11</v>
      </c>
      <c r="B854" s="4">
        <v>227406</v>
      </c>
      <c r="C854" s="3" t="s">
        <v>9</v>
      </c>
      <c r="D854" s="18">
        <v>8.5000000000000006E-2</v>
      </c>
      <c r="E854" s="21">
        <v>6.8214933659622723E-3</v>
      </c>
      <c r="F854" s="5">
        <v>37942</v>
      </c>
      <c r="G854" s="5">
        <v>39799</v>
      </c>
      <c r="H854" s="16">
        <v>1857</v>
      </c>
      <c r="I854" s="5">
        <v>39799</v>
      </c>
      <c r="J854" s="5">
        <v>40308</v>
      </c>
      <c r="K854" s="16">
        <v>2366</v>
      </c>
      <c r="L854" s="13">
        <v>14690.72</v>
      </c>
      <c r="M854" s="15">
        <v>291.74870132955152</v>
      </c>
      <c r="N854" s="13">
        <v>14690.72</v>
      </c>
      <c r="O854" s="13">
        <v>0</v>
      </c>
      <c r="P854" s="11">
        <v>0</v>
      </c>
    </row>
    <row r="855" spans="1:16" ht="15" thickBot="1" x14ac:dyDescent="0.3">
      <c r="A855" s="3" t="s">
        <v>11</v>
      </c>
      <c r="B855" s="4">
        <v>775261</v>
      </c>
      <c r="C855" s="3" t="s">
        <v>9</v>
      </c>
      <c r="D855" s="18">
        <v>0.11</v>
      </c>
      <c r="E855" s="21">
        <v>8.7345938235519061E-3</v>
      </c>
      <c r="F855" s="5">
        <v>37945</v>
      </c>
      <c r="G855" s="5">
        <v>39192</v>
      </c>
      <c r="H855" s="16">
        <v>1247</v>
      </c>
      <c r="I855" s="5">
        <v>39192</v>
      </c>
      <c r="J855" s="5">
        <v>39500</v>
      </c>
      <c r="K855" s="16">
        <v>1555</v>
      </c>
      <c r="L855" s="13">
        <v>3290.49</v>
      </c>
      <c r="M855" s="15">
        <v>94.741442025833933</v>
      </c>
      <c r="N855" s="13">
        <v>3290.49</v>
      </c>
      <c r="O855" s="13">
        <v>0</v>
      </c>
      <c r="P855" s="11">
        <v>0</v>
      </c>
    </row>
    <row r="856" spans="1:16" ht="15" thickBot="1" x14ac:dyDescent="0.3">
      <c r="A856" s="3" t="s">
        <v>11</v>
      </c>
      <c r="B856" s="4">
        <v>471671</v>
      </c>
      <c r="C856" s="3" t="s">
        <v>9</v>
      </c>
      <c r="D856" s="18">
        <v>0.11</v>
      </c>
      <c r="E856" s="21">
        <v>8.7345938235519061E-3</v>
      </c>
      <c r="F856" s="5">
        <v>37949</v>
      </c>
      <c r="G856" s="5">
        <v>38496</v>
      </c>
      <c r="H856" s="16">
        <v>547</v>
      </c>
      <c r="I856" s="5">
        <v>38496</v>
      </c>
      <c r="J856" s="5">
        <v>38028</v>
      </c>
      <c r="K856" s="16">
        <v>79</v>
      </c>
      <c r="L856" s="13">
        <v>2876.19</v>
      </c>
      <c r="M856" s="15">
        <v>171.32443028803405</v>
      </c>
      <c r="N856" s="13">
        <v>2876.19</v>
      </c>
      <c r="O856" s="13">
        <v>0</v>
      </c>
      <c r="P856" s="11">
        <v>0</v>
      </c>
    </row>
    <row r="857" spans="1:16" ht="15" thickBot="1" x14ac:dyDescent="0.3">
      <c r="A857" s="3" t="s">
        <v>11</v>
      </c>
      <c r="B857" s="4">
        <v>289320</v>
      </c>
      <c r="C857" s="3" t="s">
        <v>9</v>
      </c>
      <c r="D857" s="18">
        <v>0.11</v>
      </c>
      <c r="E857" s="21">
        <v>8.7345938235519061E-3</v>
      </c>
      <c r="F857" s="5">
        <v>37951</v>
      </c>
      <c r="G857" s="5">
        <v>39228</v>
      </c>
      <c r="H857" s="16">
        <v>1277</v>
      </c>
      <c r="I857" s="5">
        <v>39228</v>
      </c>
      <c r="J857" s="5">
        <v>38616</v>
      </c>
      <c r="K857" s="16">
        <v>665</v>
      </c>
      <c r="L857" s="13">
        <v>4480.42</v>
      </c>
      <c r="M857" s="15">
        <v>126.48740036847023</v>
      </c>
      <c r="N857" s="13">
        <v>4480.42</v>
      </c>
      <c r="O857" s="13">
        <v>0</v>
      </c>
      <c r="P857" s="11">
        <v>0</v>
      </c>
    </row>
    <row r="858" spans="1:16" ht="15" thickBot="1" x14ac:dyDescent="0.3">
      <c r="A858" s="3" t="s">
        <v>11</v>
      </c>
      <c r="B858" s="4">
        <v>473950</v>
      </c>
      <c r="C858" s="3" t="s">
        <v>9</v>
      </c>
      <c r="D858" s="18">
        <v>0.13</v>
      </c>
      <c r="E858" s="21">
        <v>1.02368443581764E-2</v>
      </c>
      <c r="F858" s="5">
        <v>37957</v>
      </c>
      <c r="G858" s="5">
        <v>38385</v>
      </c>
      <c r="H858" s="16">
        <v>428</v>
      </c>
      <c r="I858" s="5">
        <v>38385</v>
      </c>
      <c r="J858" s="5">
        <v>39490</v>
      </c>
      <c r="K858" s="16">
        <v>1533</v>
      </c>
      <c r="L858" s="13">
        <v>353.75</v>
      </c>
      <c r="M858" s="15">
        <v>26.77673455884819</v>
      </c>
      <c r="N858" s="13">
        <v>353.75</v>
      </c>
      <c r="O858" s="13">
        <v>0</v>
      </c>
      <c r="P858" s="11">
        <v>0</v>
      </c>
    </row>
    <row r="859" spans="1:16" ht="15" thickBot="1" x14ac:dyDescent="0.3">
      <c r="A859" s="3" t="s">
        <v>11</v>
      </c>
      <c r="B859" s="4">
        <v>904630</v>
      </c>
      <c r="C859" s="3" t="s">
        <v>9</v>
      </c>
      <c r="D859" s="18">
        <v>9.5000000000000001E-2</v>
      </c>
      <c r="E859" s="21">
        <v>7.5915342905825689E-3</v>
      </c>
      <c r="F859" s="5">
        <v>37958</v>
      </c>
      <c r="G859" s="5">
        <v>39906</v>
      </c>
      <c r="H859" s="16">
        <v>1948</v>
      </c>
      <c r="I859" s="5">
        <v>39906</v>
      </c>
      <c r="J859" s="5">
        <v>38447</v>
      </c>
      <c r="K859" s="16">
        <v>489</v>
      </c>
      <c r="L859" s="13">
        <v>7484.14</v>
      </c>
      <c r="M859" s="15">
        <v>146.41964801638602</v>
      </c>
      <c r="N859" s="13">
        <v>7484.14</v>
      </c>
      <c r="O859" s="13">
        <v>0</v>
      </c>
      <c r="P859" s="11">
        <v>0</v>
      </c>
    </row>
    <row r="860" spans="1:16" ht="15" thickBot="1" x14ac:dyDescent="0.3">
      <c r="A860" s="3" t="s">
        <v>11</v>
      </c>
      <c r="B860" s="4">
        <v>439434</v>
      </c>
      <c r="C860" s="3" t="s">
        <v>9</v>
      </c>
      <c r="D860" s="18">
        <v>0.09</v>
      </c>
      <c r="E860" s="21">
        <v>7.2073233161367156E-3</v>
      </c>
      <c r="F860" s="5">
        <v>40995</v>
      </c>
      <c r="G860" s="5">
        <v>42090</v>
      </c>
      <c r="H860" s="16">
        <v>1095</v>
      </c>
      <c r="I860" s="5">
        <v>42090</v>
      </c>
      <c r="J860" s="5">
        <v>41817</v>
      </c>
      <c r="K860" s="16">
        <v>822</v>
      </c>
      <c r="L860" s="13">
        <v>10000</v>
      </c>
      <c r="M860" s="15">
        <v>312.56788489269195</v>
      </c>
      <c r="N860" s="13">
        <v>10000</v>
      </c>
      <c r="O860" s="13">
        <v>0</v>
      </c>
      <c r="P860" s="11">
        <v>1</v>
      </c>
    </row>
    <row r="861" spans="1:16" ht="15" thickBot="1" x14ac:dyDescent="0.3">
      <c r="A861" s="3" t="s">
        <v>11</v>
      </c>
      <c r="B861" s="4">
        <v>76779</v>
      </c>
      <c r="C861" s="3" t="s">
        <v>9</v>
      </c>
      <c r="D861" s="18">
        <v>0.12</v>
      </c>
      <c r="E861" s="21">
        <v>9.4887929345830457E-3</v>
      </c>
      <c r="F861" s="5">
        <v>37978</v>
      </c>
      <c r="G861" s="5">
        <v>39256</v>
      </c>
      <c r="H861" s="16">
        <v>1278</v>
      </c>
      <c r="I861" s="5">
        <v>39256</v>
      </c>
      <c r="J861" s="5">
        <v>39955</v>
      </c>
      <c r="K861" s="16">
        <v>1977</v>
      </c>
      <c r="L861" s="13">
        <v>5753.15</v>
      </c>
      <c r="M861" s="15">
        <v>164.81072151146458</v>
      </c>
      <c r="N861" s="13">
        <v>5753.15</v>
      </c>
      <c r="O861" s="13">
        <v>0</v>
      </c>
      <c r="P861" s="11">
        <v>0</v>
      </c>
    </row>
    <row r="862" spans="1:16" ht="15" thickBot="1" x14ac:dyDescent="0.3">
      <c r="A862" s="3" t="s">
        <v>11</v>
      </c>
      <c r="B862" s="4">
        <v>196414</v>
      </c>
      <c r="C862" s="3" t="s">
        <v>2</v>
      </c>
      <c r="D862" s="18">
        <v>0.1</v>
      </c>
      <c r="E862" s="21">
        <v>7.9741404289037643E-3</v>
      </c>
      <c r="F862" s="5">
        <v>37986</v>
      </c>
      <c r="G862" s="5">
        <v>43921</v>
      </c>
      <c r="H862" s="16">
        <v>5935</v>
      </c>
      <c r="I862" s="5">
        <v>43921</v>
      </c>
      <c r="J862" s="5">
        <v>43714</v>
      </c>
      <c r="K862" s="16">
        <v>5728</v>
      </c>
      <c r="L862" s="13">
        <v>33175.589999999997</v>
      </c>
      <c r="M862" s="15">
        <v>333.92935250245989</v>
      </c>
      <c r="N862" s="13">
        <v>17068.919999999998</v>
      </c>
      <c r="O862" s="13">
        <v>0</v>
      </c>
      <c r="P862" s="11">
        <v>1</v>
      </c>
    </row>
    <row r="863" spans="1:16" ht="15" thickBot="1" x14ac:dyDescent="0.3">
      <c r="A863" s="3" t="s">
        <v>11</v>
      </c>
      <c r="B863" s="4">
        <v>88515</v>
      </c>
      <c r="C863" s="3" t="s">
        <v>9</v>
      </c>
      <c r="D863" s="18">
        <v>0.1</v>
      </c>
      <c r="E863" s="21">
        <v>7.9741404289037643E-3</v>
      </c>
      <c r="F863" s="5">
        <v>37986</v>
      </c>
      <c r="G863" s="5">
        <v>38016</v>
      </c>
      <c r="H863" s="16">
        <v>30</v>
      </c>
      <c r="I863" s="5">
        <v>38016</v>
      </c>
      <c r="J863" s="5">
        <v>38035</v>
      </c>
      <c r="K863" s="16">
        <v>49</v>
      </c>
      <c r="L863" s="13">
        <v>867.73</v>
      </c>
      <c r="M863" s="15">
        <v>874.64940087437265</v>
      </c>
      <c r="N863" s="13">
        <v>867.73</v>
      </c>
      <c r="O863" s="13">
        <v>0</v>
      </c>
      <c r="P863" s="11">
        <v>0</v>
      </c>
    </row>
    <row r="864" spans="1:16" ht="15" thickBot="1" x14ac:dyDescent="0.3">
      <c r="A864" s="3" t="s">
        <v>11</v>
      </c>
      <c r="B864" s="4">
        <v>431698</v>
      </c>
      <c r="C864" s="3" t="s">
        <v>9</v>
      </c>
      <c r="D864" s="18">
        <v>0.1</v>
      </c>
      <c r="E864" s="21">
        <v>7.9741404289037643E-3</v>
      </c>
      <c r="F864" s="5">
        <v>37986</v>
      </c>
      <c r="G864" s="5">
        <v>38352</v>
      </c>
      <c r="H864" s="16">
        <v>366</v>
      </c>
      <c r="I864" s="5">
        <v>38352</v>
      </c>
      <c r="J864" s="5">
        <v>38498</v>
      </c>
      <c r="K864" s="16">
        <v>512</v>
      </c>
      <c r="L864" s="13">
        <v>2500</v>
      </c>
      <c r="M864" s="15">
        <v>215.86259995972006</v>
      </c>
      <c r="N864" s="13">
        <v>2500</v>
      </c>
      <c r="O864" s="13">
        <v>0</v>
      </c>
      <c r="P864" s="11">
        <v>0</v>
      </c>
    </row>
    <row r="865" spans="1:16" ht="15" thickBot="1" x14ac:dyDescent="0.3">
      <c r="A865" s="3" t="s">
        <v>11</v>
      </c>
      <c r="B865" s="4">
        <v>830065</v>
      </c>
      <c r="C865" s="3" t="s">
        <v>9</v>
      </c>
      <c r="D865" s="18">
        <v>0.1</v>
      </c>
      <c r="E865" s="21">
        <v>7.9741404289037643E-3</v>
      </c>
      <c r="F865" s="5">
        <v>38001</v>
      </c>
      <c r="G865" s="5">
        <v>39097</v>
      </c>
      <c r="H865" s="16">
        <v>1096</v>
      </c>
      <c r="I865" s="5">
        <v>39097</v>
      </c>
      <c r="J865" s="5">
        <v>38554</v>
      </c>
      <c r="K865" s="16">
        <v>553</v>
      </c>
      <c r="L865" s="13">
        <v>5508.27</v>
      </c>
      <c r="M865" s="15">
        <v>174.39663517431754</v>
      </c>
      <c r="N865" s="13">
        <v>5508.27</v>
      </c>
      <c r="O865" s="13">
        <v>0</v>
      </c>
      <c r="P865" s="11">
        <v>0</v>
      </c>
    </row>
    <row r="866" spans="1:16" ht="15" thickBot="1" x14ac:dyDescent="0.3">
      <c r="A866" s="3" t="s">
        <v>11</v>
      </c>
      <c r="B866" s="4">
        <v>626592</v>
      </c>
      <c r="C866" s="3" t="s">
        <v>9</v>
      </c>
      <c r="D866" s="18">
        <v>0.1</v>
      </c>
      <c r="E866" s="21">
        <v>7.9741404289037643E-3</v>
      </c>
      <c r="F866" s="5">
        <v>38006</v>
      </c>
      <c r="G866" s="5">
        <v>39833</v>
      </c>
      <c r="H866" s="16">
        <v>1827</v>
      </c>
      <c r="I866" s="5">
        <v>39833</v>
      </c>
      <c r="J866" s="5">
        <v>40742</v>
      </c>
      <c r="K866" s="16">
        <v>2736</v>
      </c>
      <c r="L866" s="13">
        <v>7600.83</v>
      </c>
      <c r="M866" s="15">
        <v>158.04399177105941</v>
      </c>
      <c r="N866" s="13">
        <v>7600.83</v>
      </c>
      <c r="O866" s="13">
        <v>0</v>
      </c>
      <c r="P866" s="11">
        <v>0</v>
      </c>
    </row>
    <row r="867" spans="1:16" ht="15" thickBot="1" x14ac:dyDescent="0.3">
      <c r="A867" s="3" t="s">
        <v>11</v>
      </c>
      <c r="B867" s="4">
        <v>757155</v>
      </c>
      <c r="C867" s="3" t="s">
        <v>9</v>
      </c>
      <c r="D867" s="18">
        <v>0.105</v>
      </c>
      <c r="E867" s="21">
        <v>8.355155683635207E-3</v>
      </c>
      <c r="F867" s="5">
        <v>38034</v>
      </c>
      <c r="G867" s="5">
        <v>38765</v>
      </c>
      <c r="H867" s="16">
        <v>731</v>
      </c>
      <c r="I867" s="5">
        <v>38765</v>
      </c>
      <c r="J867" s="5">
        <v>38335</v>
      </c>
      <c r="K867" s="16">
        <v>301</v>
      </c>
      <c r="L867" s="13">
        <v>5389.78</v>
      </c>
      <c r="M867" s="15">
        <v>245.39411239269054</v>
      </c>
      <c r="N867" s="13">
        <v>5389.78</v>
      </c>
      <c r="O867" s="13">
        <v>0</v>
      </c>
      <c r="P867" s="11">
        <v>0</v>
      </c>
    </row>
    <row r="868" spans="1:16" ht="15" thickBot="1" x14ac:dyDescent="0.3">
      <c r="A868" s="3" t="s">
        <v>11</v>
      </c>
      <c r="B868" s="4">
        <v>62625</v>
      </c>
      <c r="C868" s="3" t="s">
        <v>9</v>
      </c>
      <c r="D868" s="18">
        <v>0.1</v>
      </c>
      <c r="E868" s="21">
        <v>7.9741404289037643E-3</v>
      </c>
      <c r="F868" s="5">
        <v>38037</v>
      </c>
      <c r="G868" s="5">
        <v>38492</v>
      </c>
      <c r="H868" s="16">
        <v>455</v>
      </c>
      <c r="I868" s="5">
        <v>38492</v>
      </c>
      <c r="J868" s="5">
        <v>38492</v>
      </c>
      <c r="K868" s="16">
        <v>455</v>
      </c>
      <c r="L868" s="13">
        <v>174.82</v>
      </c>
      <c r="M868" s="15">
        <v>12.283500141461134</v>
      </c>
      <c r="N868" s="13">
        <v>174.82</v>
      </c>
      <c r="O868" s="13">
        <v>0</v>
      </c>
      <c r="P868" s="11">
        <v>0</v>
      </c>
    </row>
    <row r="869" spans="1:16" ht="15" thickBot="1" x14ac:dyDescent="0.3">
      <c r="A869" s="3" t="s">
        <v>11</v>
      </c>
      <c r="B869" s="4">
        <v>350956</v>
      </c>
      <c r="C869" s="3" t="s">
        <v>9</v>
      </c>
      <c r="D869" s="18">
        <v>0.1</v>
      </c>
      <c r="E869" s="21">
        <v>7.9741404289037643E-3</v>
      </c>
      <c r="F869" s="5">
        <v>38040</v>
      </c>
      <c r="G869" s="5">
        <v>39409</v>
      </c>
      <c r="H869" s="16">
        <v>1369</v>
      </c>
      <c r="I869" s="5">
        <v>39409</v>
      </c>
      <c r="J869" s="5">
        <v>41103</v>
      </c>
      <c r="K869" s="16">
        <v>3063</v>
      </c>
      <c r="L869" s="13">
        <v>13809.62</v>
      </c>
      <c r="M869" s="15">
        <v>362.20498796961647</v>
      </c>
      <c r="N869" s="13">
        <v>13809.62</v>
      </c>
      <c r="O869" s="13">
        <v>0</v>
      </c>
      <c r="P869" s="11">
        <v>0</v>
      </c>
    </row>
    <row r="870" spans="1:16" ht="15" thickBot="1" x14ac:dyDescent="0.3">
      <c r="A870" s="3" t="s">
        <v>11</v>
      </c>
      <c r="B870" s="4">
        <v>819320</v>
      </c>
      <c r="C870" s="3" t="s">
        <v>9</v>
      </c>
      <c r="D870" s="18">
        <v>9.5000000000000001E-2</v>
      </c>
      <c r="E870" s="21">
        <v>7.5915342905825689E-3</v>
      </c>
      <c r="F870" s="5">
        <v>38058</v>
      </c>
      <c r="G870" s="5">
        <v>38306</v>
      </c>
      <c r="H870" s="16">
        <v>248</v>
      </c>
      <c r="I870" s="5">
        <v>38306</v>
      </c>
      <c r="J870" s="5">
        <v>41400</v>
      </c>
      <c r="K870" s="16">
        <v>3342</v>
      </c>
      <c r="L870" s="13">
        <v>6324.01</v>
      </c>
      <c r="M870" s="15">
        <v>792.15589435929758</v>
      </c>
      <c r="N870" s="13">
        <v>6324.01</v>
      </c>
      <c r="O870" s="13">
        <v>0</v>
      </c>
      <c r="P870" s="11">
        <v>0</v>
      </c>
    </row>
    <row r="871" spans="1:16" ht="15" thickBot="1" x14ac:dyDescent="0.3">
      <c r="A871" s="3" t="s">
        <v>11</v>
      </c>
      <c r="B871" s="4">
        <v>313994</v>
      </c>
      <c r="C871" s="3" t="s">
        <v>2</v>
      </c>
      <c r="D871" s="18">
        <v>0.09</v>
      </c>
      <c r="E871" s="21">
        <v>7.2073233161367156E-3</v>
      </c>
      <c r="F871" s="5">
        <v>38068</v>
      </c>
      <c r="G871" s="5">
        <v>38433</v>
      </c>
      <c r="H871" s="16">
        <v>365</v>
      </c>
      <c r="I871" s="5">
        <v>43921</v>
      </c>
      <c r="J871" s="5">
        <v>44011</v>
      </c>
      <c r="K871" s="16">
        <v>5943</v>
      </c>
      <c r="L871" s="13">
        <v>125000</v>
      </c>
      <c r="M871" s="15">
        <v>10767.968843268784</v>
      </c>
      <c r="N871" s="13">
        <v>11700</v>
      </c>
      <c r="O871" s="13">
        <v>0</v>
      </c>
      <c r="P871" s="11">
        <v>0</v>
      </c>
    </row>
    <row r="872" spans="1:16" ht="15" thickBot="1" x14ac:dyDescent="0.3">
      <c r="A872" s="3" t="s">
        <v>11</v>
      </c>
      <c r="B872" s="4">
        <v>573129</v>
      </c>
      <c r="C872" s="3" t="s">
        <v>9</v>
      </c>
      <c r="D872" s="18">
        <v>0.105</v>
      </c>
      <c r="E872" s="21">
        <v>8.355155683635207E-3</v>
      </c>
      <c r="F872" s="5">
        <v>38075</v>
      </c>
      <c r="G872" s="5">
        <v>38607</v>
      </c>
      <c r="H872" s="16">
        <v>532</v>
      </c>
      <c r="I872" s="5">
        <v>38607</v>
      </c>
      <c r="J872" s="5">
        <v>40238</v>
      </c>
      <c r="K872" s="16">
        <v>2163</v>
      </c>
      <c r="L872" s="13">
        <v>1733.86</v>
      </c>
      <c r="M872" s="15">
        <v>105.60334772801197</v>
      </c>
      <c r="N872" s="13">
        <v>1733.86</v>
      </c>
      <c r="O872" s="13">
        <v>0</v>
      </c>
      <c r="P872" s="11">
        <v>0</v>
      </c>
    </row>
    <row r="873" spans="1:16" ht="15" thickBot="1" x14ac:dyDescent="0.3">
      <c r="A873" s="3" t="s">
        <v>11</v>
      </c>
      <c r="B873" s="4">
        <v>195812</v>
      </c>
      <c r="C873" s="3" t="s">
        <v>9</v>
      </c>
      <c r="D873" s="18">
        <v>0.1</v>
      </c>
      <c r="E873" s="21">
        <v>7.9741404289037643E-3</v>
      </c>
      <c r="F873" s="5">
        <v>38092</v>
      </c>
      <c r="G873" s="5">
        <v>39553</v>
      </c>
      <c r="H873" s="16">
        <v>1461</v>
      </c>
      <c r="I873" s="5">
        <v>39553</v>
      </c>
      <c r="J873" s="5">
        <v>38572</v>
      </c>
      <c r="K873" s="16">
        <v>480</v>
      </c>
      <c r="L873" s="13">
        <v>4669.78</v>
      </c>
      <c r="M873" s="15">
        <v>116.0865632763805</v>
      </c>
      <c r="N873" s="13">
        <v>4669.78</v>
      </c>
      <c r="O873" s="13">
        <v>0</v>
      </c>
      <c r="P873" s="11">
        <v>0</v>
      </c>
    </row>
    <row r="874" spans="1:16" ht="15" thickBot="1" x14ac:dyDescent="0.3">
      <c r="A874" s="3" t="s">
        <v>11</v>
      </c>
      <c r="B874" s="4">
        <v>203262</v>
      </c>
      <c r="C874" s="3" t="s">
        <v>9</v>
      </c>
      <c r="D874" s="18">
        <v>0.11</v>
      </c>
      <c r="E874" s="21">
        <v>8.7345938235519061E-3</v>
      </c>
      <c r="F874" s="5">
        <v>38099</v>
      </c>
      <c r="G874" s="5">
        <v>38464</v>
      </c>
      <c r="H874" s="16">
        <v>365</v>
      </c>
      <c r="I874" s="5">
        <v>38464</v>
      </c>
      <c r="J874" s="5">
        <v>41249</v>
      </c>
      <c r="K874" s="16">
        <v>3150</v>
      </c>
      <c r="L874" s="13">
        <v>1000</v>
      </c>
      <c r="M874" s="15">
        <v>86.994515879086876</v>
      </c>
      <c r="N874" s="13">
        <v>1000</v>
      </c>
      <c r="O874" s="13">
        <v>0</v>
      </c>
      <c r="P874" s="11">
        <v>0</v>
      </c>
    </row>
    <row r="875" spans="1:16" ht="15" thickBot="1" x14ac:dyDescent="0.3">
      <c r="A875" s="3" t="s">
        <v>11</v>
      </c>
      <c r="B875" s="4">
        <v>641110</v>
      </c>
      <c r="C875" s="3" t="s">
        <v>9</v>
      </c>
      <c r="D875" s="18">
        <v>0.1</v>
      </c>
      <c r="E875" s="21">
        <v>7.9741404289037643E-3</v>
      </c>
      <c r="F875" s="5">
        <v>38100</v>
      </c>
      <c r="G875" s="5">
        <v>38465</v>
      </c>
      <c r="H875" s="16">
        <v>365</v>
      </c>
      <c r="I875" s="5">
        <v>38465</v>
      </c>
      <c r="J875" s="5">
        <v>38184</v>
      </c>
      <c r="K875" s="16">
        <v>84</v>
      </c>
      <c r="L875" s="13">
        <v>1489.45</v>
      </c>
      <c r="M875" s="15">
        <v>128.94217209876581</v>
      </c>
      <c r="N875" s="13">
        <v>1489.45</v>
      </c>
      <c r="O875" s="13">
        <v>0</v>
      </c>
      <c r="P875" s="11">
        <v>0</v>
      </c>
    </row>
    <row r="876" spans="1:16" ht="15" thickBot="1" x14ac:dyDescent="0.3">
      <c r="A876" s="3" t="s">
        <v>11</v>
      </c>
      <c r="B876" s="4">
        <v>669418</v>
      </c>
      <c r="C876" s="3" t="s">
        <v>9</v>
      </c>
      <c r="D876" s="18">
        <v>9.5000000000000001E-2</v>
      </c>
      <c r="E876" s="21">
        <v>7.5915342905825689E-3</v>
      </c>
      <c r="F876" s="5">
        <v>38106</v>
      </c>
      <c r="G876" s="5">
        <v>39934</v>
      </c>
      <c r="H876" s="16">
        <v>1828</v>
      </c>
      <c r="I876" s="5">
        <v>39934</v>
      </c>
      <c r="J876" s="5">
        <v>38596</v>
      </c>
      <c r="K876" s="16">
        <v>490</v>
      </c>
      <c r="L876" s="13">
        <v>15000</v>
      </c>
      <c r="M876" s="15">
        <v>308.3980273180951</v>
      </c>
      <c r="N876" s="13">
        <v>15000</v>
      </c>
      <c r="O876" s="13">
        <v>0</v>
      </c>
      <c r="P876" s="11">
        <v>0</v>
      </c>
    </row>
    <row r="877" spans="1:16" ht="15" thickBot="1" x14ac:dyDescent="0.3">
      <c r="A877" s="3" t="s">
        <v>11</v>
      </c>
      <c r="B877" s="4">
        <v>618421</v>
      </c>
      <c r="C877" s="3" t="s">
        <v>9</v>
      </c>
      <c r="D877" s="18">
        <v>9.5000000000000001E-2</v>
      </c>
      <c r="E877" s="21">
        <v>7.5915342905825689E-3</v>
      </c>
      <c r="F877" s="5">
        <v>38113</v>
      </c>
      <c r="G877" s="5">
        <v>38306</v>
      </c>
      <c r="H877" s="16">
        <v>193</v>
      </c>
      <c r="I877" s="5">
        <v>38306</v>
      </c>
      <c r="J877" s="5">
        <v>38498</v>
      </c>
      <c r="K877" s="16">
        <v>385</v>
      </c>
      <c r="L877" s="13">
        <v>5000</v>
      </c>
      <c r="M877" s="15">
        <v>799.28116249842151</v>
      </c>
      <c r="N877" s="13">
        <v>5000</v>
      </c>
      <c r="O877" s="13">
        <v>0</v>
      </c>
      <c r="P877" s="11">
        <v>0</v>
      </c>
    </row>
    <row r="878" spans="1:16" ht="15" thickBot="1" x14ac:dyDescent="0.3">
      <c r="A878" s="3" t="s">
        <v>11</v>
      </c>
      <c r="B878" s="4">
        <v>292874</v>
      </c>
      <c r="C878" s="3" t="s">
        <v>9</v>
      </c>
      <c r="D878" s="18">
        <v>0.1</v>
      </c>
      <c r="E878" s="21">
        <v>7.9741404289037643E-3</v>
      </c>
      <c r="F878" s="5">
        <v>38113</v>
      </c>
      <c r="G878" s="5">
        <v>39208</v>
      </c>
      <c r="H878" s="16">
        <v>1095</v>
      </c>
      <c r="I878" s="5">
        <v>39208</v>
      </c>
      <c r="J878" s="5">
        <v>38420</v>
      </c>
      <c r="K878" s="16">
        <v>307</v>
      </c>
      <c r="L878" s="13">
        <v>3633.02</v>
      </c>
      <c r="M878" s="15">
        <v>115.11512522858814</v>
      </c>
      <c r="N878" s="13">
        <v>3633.02</v>
      </c>
      <c r="O878" s="13">
        <v>0</v>
      </c>
      <c r="P878" s="11">
        <v>0</v>
      </c>
    </row>
    <row r="879" spans="1:16" ht="15" thickBot="1" x14ac:dyDescent="0.3">
      <c r="A879" s="3" t="s">
        <v>11</v>
      </c>
      <c r="B879" s="4">
        <v>810416</v>
      </c>
      <c r="C879" s="3" t="s">
        <v>9</v>
      </c>
      <c r="D879" s="18">
        <v>0.11</v>
      </c>
      <c r="E879" s="21">
        <v>8.7345938235519061E-3</v>
      </c>
      <c r="F879" s="5">
        <v>38117</v>
      </c>
      <c r="G879" s="5">
        <v>38421</v>
      </c>
      <c r="H879" s="16">
        <v>304</v>
      </c>
      <c r="I879" s="5">
        <v>38421</v>
      </c>
      <c r="J879" s="5">
        <v>38363</v>
      </c>
      <c r="K879" s="16">
        <v>246</v>
      </c>
      <c r="L879" s="13">
        <v>482.91</v>
      </c>
      <c r="M879" s="15">
        <v>50.003400439860094</v>
      </c>
      <c r="N879" s="13">
        <v>482.91</v>
      </c>
      <c r="O879" s="13">
        <v>0</v>
      </c>
      <c r="P879" s="11">
        <v>0</v>
      </c>
    </row>
    <row r="880" spans="1:16" ht="15" thickBot="1" x14ac:dyDescent="0.3">
      <c r="A880" s="3" t="s">
        <v>11</v>
      </c>
      <c r="B880" s="4">
        <v>588599</v>
      </c>
      <c r="C880" s="3" t="s">
        <v>9</v>
      </c>
      <c r="D880" s="18">
        <v>0.1075</v>
      </c>
      <c r="E880" s="21">
        <v>8.5450710394860963E-3</v>
      </c>
      <c r="F880" s="5">
        <v>38114</v>
      </c>
      <c r="G880" s="5">
        <v>40063</v>
      </c>
      <c r="H880" s="16">
        <v>1949</v>
      </c>
      <c r="I880" s="5">
        <v>40063</v>
      </c>
      <c r="J880" s="5">
        <v>38421</v>
      </c>
      <c r="K880" s="16">
        <v>307</v>
      </c>
      <c r="L880" s="13">
        <v>44.51</v>
      </c>
      <c r="M880" s="15">
        <v>0.8956462094141262</v>
      </c>
      <c r="N880" s="13">
        <v>44.51</v>
      </c>
      <c r="O880" s="13">
        <v>0</v>
      </c>
      <c r="P880" s="11">
        <v>0</v>
      </c>
    </row>
    <row r="881" spans="1:16" ht="15" thickBot="1" x14ac:dyDescent="0.3">
      <c r="A881" s="3" t="s">
        <v>11</v>
      </c>
      <c r="B881" s="4">
        <v>51869</v>
      </c>
      <c r="C881" s="3" t="s">
        <v>9</v>
      </c>
      <c r="D881" s="18">
        <v>0.1</v>
      </c>
      <c r="E881" s="21">
        <v>7.9741404289037643E-3</v>
      </c>
      <c r="F881" s="5">
        <v>38127</v>
      </c>
      <c r="G881" s="5">
        <v>38513</v>
      </c>
      <c r="H881" s="16">
        <v>386</v>
      </c>
      <c r="I881" s="5">
        <v>38513</v>
      </c>
      <c r="J881" s="5">
        <v>38498</v>
      </c>
      <c r="K881" s="16">
        <v>371</v>
      </c>
      <c r="L881" s="13">
        <v>2109.63</v>
      </c>
      <c r="M881" s="15">
        <v>173.16821967534406</v>
      </c>
      <c r="N881" s="13">
        <v>2109.63</v>
      </c>
      <c r="O881" s="13">
        <v>0</v>
      </c>
      <c r="P881" s="11">
        <v>0</v>
      </c>
    </row>
    <row r="882" spans="1:16" ht="15" thickBot="1" x14ac:dyDescent="0.3">
      <c r="A882" s="3" t="s">
        <v>11</v>
      </c>
      <c r="B882" s="4">
        <v>938106</v>
      </c>
      <c r="C882" s="3" t="s">
        <v>9</v>
      </c>
      <c r="D882" s="18">
        <v>0.11</v>
      </c>
      <c r="E882" s="21">
        <v>8.7345938235519061E-3</v>
      </c>
      <c r="F882" s="5">
        <v>38134</v>
      </c>
      <c r="G882" s="5">
        <v>39048</v>
      </c>
      <c r="H882" s="16">
        <v>914</v>
      </c>
      <c r="I882" s="5">
        <v>39048</v>
      </c>
      <c r="J882" s="5">
        <v>38498</v>
      </c>
      <c r="K882" s="16">
        <v>364</v>
      </c>
      <c r="L882" s="13">
        <v>3360.96</v>
      </c>
      <c r="M882" s="15">
        <v>126.12280158510873</v>
      </c>
      <c r="N882" s="13">
        <v>3360.96</v>
      </c>
      <c r="O882" s="13">
        <v>0</v>
      </c>
      <c r="P882" s="11">
        <v>0</v>
      </c>
    </row>
    <row r="883" spans="1:16" ht="15" thickBot="1" x14ac:dyDescent="0.3">
      <c r="A883" s="3" t="s">
        <v>11</v>
      </c>
      <c r="B883" s="4">
        <v>793988</v>
      </c>
      <c r="C883" s="3" t="s">
        <v>9</v>
      </c>
      <c r="D883" s="18">
        <v>0.105</v>
      </c>
      <c r="E883" s="21">
        <v>8.355155683635207E-3</v>
      </c>
      <c r="F883" s="5">
        <v>38135</v>
      </c>
      <c r="G883" s="5">
        <v>39230</v>
      </c>
      <c r="H883" s="16">
        <v>1095</v>
      </c>
      <c r="I883" s="5">
        <v>39230</v>
      </c>
      <c r="J883" s="5">
        <v>38861</v>
      </c>
      <c r="K883" s="16">
        <v>726</v>
      </c>
      <c r="L883" s="13">
        <v>1387.81</v>
      </c>
      <c r="M883" s="15">
        <v>44.271502180084688</v>
      </c>
      <c r="N883" s="13">
        <v>1387.81</v>
      </c>
      <c r="O883" s="13">
        <v>0</v>
      </c>
      <c r="P883" s="11">
        <v>0</v>
      </c>
    </row>
    <row r="884" spans="1:16" ht="15" thickBot="1" x14ac:dyDescent="0.3">
      <c r="A884" s="3" t="s">
        <v>11</v>
      </c>
      <c r="B884" s="4">
        <v>656343</v>
      </c>
      <c r="C884" s="3" t="s">
        <v>9</v>
      </c>
      <c r="D884" s="18">
        <v>0.1</v>
      </c>
      <c r="E884" s="21">
        <v>7.9741404289037643E-3</v>
      </c>
      <c r="F884" s="5">
        <v>38159</v>
      </c>
      <c r="G884" s="5">
        <v>40168</v>
      </c>
      <c r="H884" s="16">
        <v>2009</v>
      </c>
      <c r="I884" s="5">
        <v>40168</v>
      </c>
      <c r="J884" s="5">
        <v>38657</v>
      </c>
      <c r="K884" s="16">
        <v>498</v>
      </c>
      <c r="L884" s="13">
        <v>19097.599999999999</v>
      </c>
      <c r="M884" s="15">
        <v>369.17798892252529</v>
      </c>
      <c r="N884" s="13">
        <v>19097.599999999999</v>
      </c>
      <c r="O884" s="13">
        <v>0</v>
      </c>
      <c r="P884" s="11">
        <v>0</v>
      </c>
    </row>
    <row r="885" spans="1:16" ht="15" thickBot="1" x14ac:dyDescent="0.3">
      <c r="A885" s="3" t="s">
        <v>11</v>
      </c>
      <c r="B885" s="4">
        <v>848075</v>
      </c>
      <c r="C885" s="3" t="s">
        <v>9</v>
      </c>
      <c r="D885" s="18">
        <v>0.12</v>
      </c>
      <c r="E885" s="21">
        <v>9.4887929345830457E-3</v>
      </c>
      <c r="F885" s="5">
        <v>38170</v>
      </c>
      <c r="G885" s="5">
        <v>39204</v>
      </c>
      <c r="H885" s="16">
        <v>1034</v>
      </c>
      <c r="I885" s="5">
        <v>39204</v>
      </c>
      <c r="J885" s="5">
        <v>38708</v>
      </c>
      <c r="K885" s="16">
        <v>538</v>
      </c>
      <c r="L885" s="13">
        <v>4280.4799999999996</v>
      </c>
      <c r="M885" s="15">
        <v>146.18826025695617</v>
      </c>
      <c r="N885" s="13">
        <v>4280.4799999999996</v>
      </c>
      <c r="O885" s="13">
        <v>0</v>
      </c>
      <c r="P885" s="11">
        <v>0</v>
      </c>
    </row>
    <row r="886" spans="1:16" ht="15" thickBot="1" x14ac:dyDescent="0.3">
      <c r="A886" s="3" t="s">
        <v>11</v>
      </c>
      <c r="B886" s="4">
        <v>977188</v>
      </c>
      <c r="C886" s="3" t="s">
        <v>9</v>
      </c>
      <c r="D886" s="18">
        <v>0.11</v>
      </c>
      <c r="E886" s="21">
        <v>8.7345938235519061E-3</v>
      </c>
      <c r="F886" s="5">
        <v>38188</v>
      </c>
      <c r="G886" s="5">
        <v>39283</v>
      </c>
      <c r="H886" s="16">
        <v>1095</v>
      </c>
      <c r="I886" s="5">
        <v>39283</v>
      </c>
      <c r="J886" s="5">
        <v>38419</v>
      </c>
      <c r="K886" s="16">
        <v>231</v>
      </c>
      <c r="L886" s="13">
        <v>12677.12</v>
      </c>
      <c r="M886" s="15">
        <v>407.12189686116</v>
      </c>
      <c r="N886" s="13">
        <v>12677.12</v>
      </c>
      <c r="O886" s="13">
        <v>0</v>
      </c>
      <c r="P886" s="11">
        <v>0</v>
      </c>
    </row>
    <row r="887" spans="1:16" ht="15" thickBot="1" x14ac:dyDescent="0.3">
      <c r="A887" s="3" t="s">
        <v>11</v>
      </c>
      <c r="B887" s="4">
        <v>850422</v>
      </c>
      <c r="C887" s="3" t="s">
        <v>9</v>
      </c>
      <c r="D887" s="18">
        <v>0.1</v>
      </c>
      <c r="E887" s="21">
        <v>7.9741404289037643E-3</v>
      </c>
      <c r="F887" s="5">
        <v>38201</v>
      </c>
      <c r="G887" s="5">
        <v>40030</v>
      </c>
      <c r="H887" s="16">
        <v>1829</v>
      </c>
      <c r="I887" s="5">
        <v>40030</v>
      </c>
      <c r="J887" s="5">
        <v>40897</v>
      </c>
      <c r="K887" s="16">
        <v>2696</v>
      </c>
      <c r="L887" s="13">
        <v>5193.8900000000003</v>
      </c>
      <c r="M887" s="15">
        <v>107.90468514745075</v>
      </c>
      <c r="N887" s="13">
        <v>5193.8900000000003</v>
      </c>
      <c r="O887" s="13">
        <v>0</v>
      </c>
      <c r="P887" s="11">
        <v>0</v>
      </c>
    </row>
    <row r="888" spans="1:16" ht="15" thickBot="1" x14ac:dyDescent="0.3">
      <c r="A888" s="3" t="s">
        <v>11</v>
      </c>
      <c r="B888" s="4">
        <v>738495</v>
      </c>
      <c r="C888" s="3" t="s">
        <v>9</v>
      </c>
      <c r="D888" s="18">
        <v>0.1</v>
      </c>
      <c r="E888" s="21">
        <v>7.9741404289037643E-3</v>
      </c>
      <c r="F888" s="5">
        <v>38205</v>
      </c>
      <c r="G888" s="5">
        <v>38662</v>
      </c>
      <c r="H888" s="16">
        <v>457</v>
      </c>
      <c r="I888" s="5">
        <v>38662</v>
      </c>
      <c r="J888" s="5">
        <v>38356</v>
      </c>
      <c r="K888" s="16">
        <v>151</v>
      </c>
      <c r="L888" s="13">
        <v>2350.08</v>
      </c>
      <c r="M888" s="15">
        <v>164.44532410044783</v>
      </c>
      <c r="N888" s="13">
        <v>2350.08</v>
      </c>
      <c r="O888" s="13">
        <v>0</v>
      </c>
      <c r="P888" s="11">
        <v>0</v>
      </c>
    </row>
    <row r="889" spans="1:16" ht="15" thickBot="1" x14ac:dyDescent="0.3">
      <c r="A889" s="3" t="s">
        <v>11</v>
      </c>
      <c r="B889" s="4">
        <v>75932</v>
      </c>
      <c r="C889" s="3" t="s">
        <v>9</v>
      </c>
      <c r="D889" s="18">
        <v>0.1</v>
      </c>
      <c r="E889" s="21">
        <v>7.9741404289037643E-3</v>
      </c>
      <c r="F889" s="5">
        <v>38232</v>
      </c>
      <c r="G889" s="5">
        <v>39887</v>
      </c>
      <c r="H889" s="16">
        <v>1655</v>
      </c>
      <c r="I889" s="5">
        <v>39887</v>
      </c>
      <c r="J889" s="5">
        <v>42248</v>
      </c>
      <c r="K889" s="16">
        <v>4016</v>
      </c>
      <c r="L889" s="13">
        <v>691</v>
      </c>
      <c r="M889" s="15">
        <v>15.531173290972614</v>
      </c>
      <c r="N889" s="13">
        <v>691</v>
      </c>
      <c r="O889" s="13">
        <v>0</v>
      </c>
      <c r="P889" s="11">
        <v>0</v>
      </c>
    </row>
    <row r="890" spans="1:16" ht="15" thickBot="1" x14ac:dyDescent="0.3">
      <c r="A890" s="3" t="s">
        <v>11</v>
      </c>
      <c r="B890" s="4">
        <v>19677</v>
      </c>
      <c r="C890" s="3" t="s">
        <v>9</v>
      </c>
      <c r="D890" s="18">
        <v>0.11</v>
      </c>
      <c r="E890" s="21">
        <v>8.7345938235519061E-3</v>
      </c>
      <c r="F890" s="5">
        <v>38273</v>
      </c>
      <c r="G890" s="5">
        <v>39551</v>
      </c>
      <c r="H890" s="16">
        <v>1278</v>
      </c>
      <c r="I890" s="5">
        <v>39551</v>
      </c>
      <c r="J890" s="5">
        <v>38594</v>
      </c>
      <c r="K890" s="16">
        <v>321</v>
      </c>
      <c r="L890" s="13">
        <v>5952.21</v>
      </c>
      <c r="M890" s="15">
        <v>167.92907676671433</v>
      </c>
      <c r="N890" s="13">
        <v>5952.21</v>
      </c>
      <c r="O890" s="13">
        <v>0</v>
      </c>
      <c r="P890" s="11">
        <v>0</v>
      </c>
    </row>
    <row r="891" spans="1:16" ht="15" thickBot="1" x14ac:dyDescent="0.3">
      <c r="A891" s="3" t="s">
        <v>11</v>
      </c>
      <c r="B891" s="4">
        <v>493993</v>
      </c>
      <c r="C891" s="3" t="s">
        <v>9</v>
      </c>
      <c r="D891" s="18">
        <v>0.1</v>
      </c>
      <c r="E891" s="21">
        <v>7.9741404289037643E-3</v>
      </c>
      <c r="F891" s="5">
        <v>38274</v>
      </c>
      <c r="G891" s="5">
        <v>38731</v>
      </c>
      <c r="H891" s="16">
        <v>457</v>
      </c>
      <c r="I891" s="5">
        <v>38731</v>
      </c>
      <c r="J891" s="5">
        <v>38576</v>
      </c>
      <c r="K891" s="16">
        <v>302</v>
      </c>
      <c r="L891" s="13">
        <v>843.45</v>
      </c>
      <c r="M891" s="15">
        <v>59.019866818373302</v>
      </c>
      <c r="N891" s="13">
        <v>843.45</v>
      </c>
      <c r="O891" s="13">
        <v>0</v>
      </c>
      <c r="P891" s="11">
        <v>0</v>
      </c>
    </row>
    <row r="892" spans="1:16" ht="15" thickBot="1" x14ac:dyDescent="0.3">
      <c r="A892" s="3" t="s">
        <v>11</v>
      </c>
      <c r="B892" s="4">
        <v>344264</v>
      </c>
      <c r="C892" s="3" t="s">
        <v>9</v>
      </c>
      <c r="D892" s="18">
        <v>9.7500000000000003E-2</v>
      </c>
      <c r="E892" s="21">
        <v>7.7830370878799737E-3</v>
      </c>
      <c r="F892" s="5">
        <v>38275</v>
      </c>
      <c r="G892" s="5">
        <v>40066</v>
      </c>
      <c r="H892" s="16">
        <v>1791</v>
      </c>
      <c r="I892" s="5">
        <v>40066</v>
      </c>
      <c r="J892" s="5">
        <v>41968</v>
      </c>
      <c r="K892" s="16">
        <v>3693</v>
      </c>
      <c r="L892" s="13">
        <v>123897</v>
      </c>
      <c r="M892" s="15">
        <v>2602.6012534570918</v>
      </c>
      <c r="N892" s="13">
        <v>123897</v>
      </c>
      <c r="O892" s="13">
        <v>80000</v>
      </c>
      <c r="P892" s="11">
        <v>0</v>
      </c>
    </row>
    <row r="893" spans="1:16" ht="15" thickBot="1" x14ac:dyDescent="0.3">
      <c r="A893" s="3" t="s">
        <v>11</v>
      </c>
      <c r="B893" s="4">
        <v>355274</v>
      </c>
      <c r="C893" s="3" t="s">
        <v>9</v>
      </c>
      <c r="D893" s="18">
        <v>0.1</v>
      </c>
      <c r="E893" s="21">
        <v>7.9741404289037643E-3</v>
      </c>
      <c r="F893" s="5">
        <v>38279</v>
      </c>
      <c r="G893" s="5">
        <v>39557</v>
      </c>
      <c r="H893" s="16">
        <v>1278</v>
      </c>
      <c r="I893" s="5">
        <v>39557</v>
      </c>
      <c r="J893" s="5">
        <v>39171</v>
      </c>
      <c r="K893" s="16">
        <v>892</v>
      </c>
      <c r="L893" s="13">
        <v>3582.01</v>
      </c>
      <c r="M893" s="15">
        <v>99.505115653842495</v>
      </c>
      <c r="N893" s="13">
        <v>3582.01</v>
      </c>
      <c r="O893" s="13">
        <v>0</v>
      </c>
      <c r="P893" s="11">
        <v>0</v>
      </c>
    </row>
    <row r="894" spans="1:16" ht="15" thickBot="1" x14ac:dyDescent="0.3">
      <c r="A894" s="3" t="s">
        <v>11</v>
      </c>
      <c r="B894" s="4">
        <v>798444</v>
      </c>
      <c r="C894" s="3" t="s">
        <v>9</v>
      </c>
      <c r="D894" s="18">
        <v>0.12</v>
      </c>
      <c r="E894" s="21">
        <v>9.4887929345830457E-3</v>
      </c>
      <c r="F894" s="5">
        <v>38286</v>
      </c>
      <c r="G894" s="5">
        <v>39228</v>
      </c>
      <c r="H894" s="16">
        <v>942</v>
      </c>
      <c r="I894" s="5">
        <v>39228</v>
      </c>
      <c r="J894" s="5">
        <v>38554</v>
      </c>
      <c r="K894" s="16">
        <v>268</v>
      </c>
      <c r="L894" s="13">
        <v>6332.55</v>
      </c>
      <c r="M894" s="15">
        <v>234.15573421325237</v>
      </c>
      <c r="N894" s="13">
        <v>6332.55</v>
      </c>
      <c r="O894" s="13">
        <v>0</v>
      </c>
      <c r="P894" s="11">
        <v>0</v>
      </c>
    </row>
    <row r="895" spans="1:16" ht="15" thickBot="1" x14ac:dyDescent="0.3">
      <c r="A895" s="3" t="s">
        <v>11</v>
      </c>
      <c r="B895" s="4">
        <v>952954</v>
      </c>
      <c r="C895" s="3" t="s">
        <v>9</v>
      </c>
      <c r="D895" s="18">
        <v>0.1</v>
      </c>
      <c r="E895" s="21">
        <v>7.9741404289037643E-3</v>
      </c>
      <c r="F895" s="5">
        <v>38293</v>
      </c>
      <c r="G895" s="5">
        <v>40149</v>
      </c>
      <c r="H895" s="16">
        <v>1856</v>
      </c>
      <c r="I895" s="5">
        <v>40149</v>
      </c>
      <c r="J895" s="5">
        <v>40045</v>
      </c>
      <c r="K895" s="16">
        <v>1752</v>
      </c>
      <c r="L895" s="13">
        <v>11143.82</v>
      </c>
      <c r="M895" s="15">
        <v>228.89900409542039</v>
      </c>
      <c r="N895" s="13">
        <v>11143.82</v>
      </c>
      <c r="O895" s="13">
        <v>0</v>
      </c>
      <c r="P895" s="11">
        <v>0</v>
      </c>
    </row>
    <row r="896" spans="1:16" ht="15" thickBot="1" x14ac:dyDescent="0.3">
      <c r="A896" s="3" t="s">
        <v>11</v>
      </c>
      <c r="B896" s="4">
        <v>148735</v>
      </c>
      <c r="C896" s="3" t="s">
        <v>9</v>
      </c>
      <c r="D896" s="18">
        <v>0.11</v>
      </c>
      <c r="E896" s="21">
        <v>8.7345938235519061E-3</v>
      </c>
      <c r="F896" s="5">
        <v>38314</v>
      </c>
      <c r="G896" s="5">
        <v>39044</v>
      </c>
      <c r="H896" s="16">
        <v>730</v>
      </c>
      <c r="I896" s="5">
        <v>39044</v>
      </c>
      <c r="J896" s="5">
        <v>38833</v>
      </c>
      <c r="K896" s="16">
        <v>519</v>
      </c>
      <c r="L896" s="13">
        <v>16168.7</v>
      </c>
      <c r="M896" s="15">
        <v>740.4670249296596</v>
      </c>
      <c r="N896" s="13">
        <v>16168.7</v>
      </c>
      <c r="O896" s="13">
        <v>0</v>
      </c>
      <c r="P896" s="11">
        <v>0</v>
      </c>
    </row>
    <row r="897" spans="1:16" ht="15" thickBot="1" x14ac:dyDescent="0.3">
      <c r="A897" s="3" t="s">
        <v>11</v>
      </c>
      <c r="B897" s="4">
        <v>293541</v>
      </c>
      <c r="C897" s="3" t="s">
        <v>9</v>
      </c>
      <c r="D897" s="18">
        <v>0.1</v>
      </c>
      <c r="E897" s="21">
        <v>7.9741404289037643E-3</v>
      </c>
      <c r="F897" s="5">
        <v>38323</v>
      </c>
      <c r="G897" s="5">
        <v>39053</v>
      </c>
      <c r="H897" s="16">
        <v>730</v>
      </c>
      <c r="I897" s="5">
        <v>39053</v>
      </c>
      <c r="J897" s="5">
        <v>41526</v>
      </c>
      <c r="K897" s="16">
        <v>3203</v>
      </c>
      <c r="L897" s="13">
        <v>3224.51</v>
      </c>
      <c r="M897" s="15">
        <v>146.31196326690468</v>
      </c>
      <c r="N897" s="13">
        <v>3224.51</v>
      </c>
      <c r="O897" s="13">
        <v>0</v>
      </c>
      <c r="P897" s="11">
        <v>0</v>
      </c>
    </row>
    <row r="898" spans="1:16" ht="15" thickBot="1" x14ac:dyDescent="0.3">
      <c r="A898" s="3" t="s">
        <v>11</v>
      </c>
      <c r="B898" s="4">
        <v>846135</v>
      </c>
      <c r="C898" s="3" t="s">
        <v>9</v>
      </c>
      <c r="D898" s="18">
        <v>0.1</v>
      </c>
      <c r="E898" s="21">
        <v>7.9741404289037643E-3</v>
      </c>
      <c r="F898" s="5">
        <v>38324</v>
      </c>
      <c r="G898" s="5">
        <v>40150</v>
      </c>
      <c r="H898" s="16">
        <v>1826</v>
      </c>
      <c r="I898" s="5">
        <v>40150</v>
      </c>
      <c r="J898" s="5">
        <v>39750</v>
      </c>
      <c r="K898" s="16">
        <v>1426</v>
      </c>
      <c r="L898" s="13">
        <v>8395.93</v>
      </c>
      <c r="M898" s="15">
        <v>174.65084042694602</v>
      </c>
      <c r="N898" s="13">
        <v>8395.93</v>
      </c>
      <c r="O898" s="13">
        <v>0</v>
      </c>
      <c r="P898" s="11">
        <v>0</v>
      </c>
    </row>
    <row r="899" spans="1:16" ht="15" thickBot="1" x14ac:dyDescent="0.3">
      <c r="A899" s="3" t="s">
        <v>11</v>
      </c>
      <c r="B899" s="4">
        <v>763789</v>
      </c>
      <c r="C899" s="3" t="s">
        <v>9</v>
      </c>
      <c r="D899" s="18">
        <v>0.1</v>
      </c>
      <c r="E899" s="21">
        <v>7.9741404289037643E-3</v>
      </c>
      <c r="F899" s="5">
        <v>38348</v>
      </c>
      <c r="G899" s="5">
        <v>38895</v>
      </c>
      <c r="H899" s="16">
        <v>547</v>
      </c>
      <c r="I899" s="5">
        <v>38895</v>
      </c>
      <c r="J899" s="5">
        <v>40298</v>
      </c>
      <c r="K899" s="16">
        <v>1950</v>
      </c>
      <c r="L899" s="13">
        <v>810.25</v>
      </c>
      <c r="M899" s="15">
        <v>47.923254717373645</v>
      </c>
      <c r="N899" s="13">
        <v>810.25</v>
      </c>
      <c r="O899" s="13">
        <v>0</v>
      </c>
      <c r="P899" s="11">
        <v>0</v>
      </c>
    </row>
    <row r="900" spans="1:16" ht="15" thickBot="1" x14ac:dyDescent="0.3">
      <c r="A900" s="3" t="s">
        <v>11</v>
      </c>
      <c r="B900" s="4">
        <v>270291</v>
      </c>
      <c r="C900" s="3" t="s">
        <v>9</v>
      </c>
      <c r="D900" s="18">
        <v>0.1</v>
      </c>
      <c r="E900" s="21">
        <v>7.9741404289037643E-3</v>
      </c>
      <c r="F900" s="5">
        <v>38351</v>
      </c>
      <c r="G900" s="5">
        <v>38716</v>
      </c>
      <c r="H900" s="16">
        <v>365</v>
      </c>
      <c r="I900" s="5">
        <v>38716</v>
      </c>
      <c r="J900" s="5">
        <v>38362</v>
      </c>
      <c r="K900" s="16">
        <v>11</v>
      </c>
      <c r="L900" s="13">
        <v>21000</v>
      </c>
      <c r="M900" s="15">
        <v>1817.976846536696</v>
      </c>
      <c r="N900" s="13">
        <v>21000</v>
      </c>
      <c r="O900" s="13">
        <v>0</v>
      </c>
      <c r="P900" s="11">
        <v>0</v>
      </c>
    </row>
    <row r="901" spans="1:16" ht="15" thickBot="1" x14ac:dyDescent="0.3">
      <c r="A901" s="3" t="s">
        <v>11</v>
      </c>
      <c r="B901" s="4">
        <v>396699</v>
      </c>
      <c r="C901" s="3" t="s">
        <v>9</v>
      </c>
      <c r="D901" s="18">
        <v>0.105</v>
      </c>
      <c r="E901" s="21">
        <v>8.355155683635207E-3</v>
      </c>
      <c r="F901" s="5">
        <v>38358</v>
      </c>
      <c r="G901" s="5">
        <v>39819</v>
      </c>
      <c r="H901" s="16">
        <v>1461</v>
      </c>
      <c r="I901" s="5">
        <v>39819</v>
      </c>
      <c r="J901" s="5">
        <v>39216</v>
      </c>
      <c r="K901" s="16">
        <v>858</v>
      </c>
      <c r="L901" s="13">
        <v>8167.35</v>
      </c>
      <c r="M901" s="15">
        <v>204.8247425435508</v>
      </c>
      <c r="N901" s="13">
        <v>8167.35</v>
      </c>
      <c r="O901" s="13">
        <v>0</v>
      </c>
      <c r="P901" s="11">
        <v>0</v>
      </c>
    </row>
    <row r="902" spans="1:16" ht="15" thickBot="1" x14ac:dyDescent="0.3">
      <c r="A902" s="3" t="s">
        <v>11</v>
      </c>
      <c r="B902" s="4">
        <v>986910</v>
      </c>
      <c r="C902" s="3" t="s">
        <v>9</v>
      </c>
      <c r="D902" s="18">
        <v>0.1</v>
      </c>
      <c r="E902" s="21">
        <v>7.9741404289037643E-3</v>
      </c>
      <c r="F902" s="5">
        <v>38362</v>
      </c>
      <c r="G902" s="5">
        <v>40188</v>
      </c>
      <c r="H902" s="16">
        <v>1826</v>
      </c>
      <c r="I902" s="5">
        <v>40188</v>
      </c>
      <c r="J902" s="5">
        <v>39430</v>
      </c>
      <c r="K902" s="16">
        <v>1068</v>
      </c>
      <c r="L902" s="13">
        <v>7360.75</v>
      </c>
      <c r="M902" s="15">
        <v>153.11718578795234</v>
      </c>
      <c r="N902" s="13">
        <v>7360.75</v>
      </c>
      <c r="O902" s="13">
        <v>0</v>
      </c>
      <c r="P902" s="11">
        <v>0</v>
      </c>
    </row>
    <row r="903" spans="1:16" ht="15" thickBot="1" x14ac:dyDescent="0.3">
      <c r="A903" s="3" t="s">
        <v>11</v>
      </c>
      <c r="B903" s="4">
        <v>985218</v>
      </c>
      <c r="C903" s="3" t="s">
        <v>9</v>
      </c>
      <c r="D903" s="18">
        <v>9.5000000000000001E-2</v>
      </c>
      <c r="E903" s="21">
        <v>7.5915342905825689E-3</v>
      </c>
      <c r="F903" s="5">
        <v>38376</v>
      </c>
      <c r="G903" s="5">
        <v>40353</v>
      </c>
      <c r="H903" s="16">
        <v>1977</v>
      </c>
      <c r="I903" s="5">
        <v>40353</v>
      </c>
      <c r="J903" s="5">
        <v>40394</v>
      </c>
      <c r="K903" s="16">
        <v>2018</v>
      </c>
      <c r="L903" s="13">
        <v>46894.59</v>
      </c>
      <c r="M903" s="15">
        <v>907.02576897244046</v>
      </c>
      <c r="N903" s="13">
        <v>46894.59</v>
      </c>
      <c r="O903" s="13">
        <v>0</v>
      </c>
      <c r="P903" s="11">
        <v>0</v>
      </c>
    </row>
    <row r="904" spans="1:16" ht="15" thickBot="1" x14ac:dyDescent="0.3">
      <c r="A904" s="3" t="s">
        <v>11</v>
      </c>
      <c r="B904" s="4">
        <v>225770</v>
      </c>
      <c r="C904" s="3" t="s">
        <v>9</v>
      </c>
      <c r="D904" s="18">
        <v>0.12</v>
      </c>
      <c r="E904" s="21">
        <v>9.4887929345830457E-3</v>
      </c>
      <c r="F904" s="5">
        <v>38380</v>
      </c>
      <c r="G904" s="5">
        <v>39627</v>
      </c>
      <c r="H904" s="16">
        <v>1247</v>
      </c>
      <c r="I904" s="5">
        <v>39627</v>
      </c>
      <c r="J904" s="5">
        <v>39304</v>
      </c>
      <c r="K904" s="16">
        <v>924</v>
      </c>
      <c r="L904" s="13">
        <v>2473.0700000000002</v>
      </c>
      <c r="M904" s="15">
        <v>72.277224032820769</v>
      </c>
      <c r="N904" s="13">
        <v>2473.0700000000002</v>
      </c>
      <c r="O904" s="13">
        <v>0</v>
      </c>
      <c r="P904" s="11">
        <v>0</v>
      </c>
    </row>
    <row r="905" spans="1:16" ht="15" thickBot="1" x14ac:dyDescent="0.3">
      <c r="A905" s="3" t="s">
        <v>11</v>
      </c>
      <c r="B905" s="4">
        <v>191032</v>
      </c>
      <c r="C905" s="3" t="s">
        <v>9</v>
      </c>
      <c r="D905" s="18">
        <v>0.105</v>
      </c>
      <c r="E905" s="21">
        <v>8.355155683635207E-3</v>
      </c>
      <c r="F905" s="5">
        <v>38394</v>
      </c>
      <c r="G905" s="5">
        <v>40220</v>
      </c>
      <c r="H905" s="16">
        <v>1826</v>
      </c>
      <c r="I905" s="5">
        <v>40220</v>
      </c>
      <c r="J905" s="5">
        <v>38666</v>
      </c>
      <c r="K905" s="16">
        <v>272</v>
      </c>
      <c r="L905" s="13">
        <v>3293.94</v>
      </c>
      <c r="M905" s="15">
        <v>69.260316074911842</v>
      </c>
      <c r="N905" s="13">
        <v>3293.94</v>
      </c>
      <c r="O905" s="13">
        <v>0</v>
      </c>
      <c r="P905" s="11">
        <v>0</v>
      </c>
    </row>
    <row r="906" spans="1:16" ht="15" thickBot="1" x14ac:dyDescent="0.3">
      <c r="A906" s="3" t="s">
        <v>11</v>
      </c>
      <c r="B906" s="4">
        <v>879442</v>
      </c>
      <c r="C906" s="3" t="s">
        <v>9</v>
      </c>
      <c r="D906" s="18">
        <v>0.11</v>
      </c>
      <c r="E906" s="21">
        <v>8.7345938235519061E-3</v>
      </c>
      <c r="F906" s="5">
        <v>38401</v>
      </c>
      <c r="G906" s="5">
        <v>40620</v>
      </c>
      <c r="H906" s="16">
        <v>2219</v>
      </c>
      <c r="I906" s="5">
        <v>40620</v>
      </c>
      <c r="J906" s="5">
        <v>39141</v>
      </c>
      <c r="K906" s="16">
        <v>740</v>
      </c>
      <c r="L906" s="13">
        <v>13636.4</v>
      </c>
      <c r="M906" s="15">
        <v>251.05814825540688</v>
      </c>
      <c r="N906" s="13">
        <v>13636.4</v>
      </c>
      <c r="O906" s="13">
        <v>0</v>
      </c>
      <c r="P906" s="11">
        <v>0</v>
      </c>
    </row>
    <row r="907" spans="1:16" ht="15" thickBot="1" x14ac:dyDescent="0.3">
      <c r="A907" s="3" t="s">
        <v>11</v>
      </c>
      <c r="B907" s="4">
        <v>530301</v>
      </c>
      <c r="C907" s="3" t="s">
        <v>9</v>
      </c>
      <c r="D907" s="18">
        <v>0.1</v>
      </c>
      <c r="E907" s="21">
        <v>7.9741404289037643E-3</v>
      </c>
      <c r="F907" s="5">
        <v>38433</v>
      </c>
      <c r="G907" s="5">
        <v>39894</v>
      </c>
      <c r="H907" s="16">
        <v>1461</v>
      </c>
      <c r="I907" s="5">
        <v>39894</v>
      </c>
      <c r="J907" s="5">
        <v>38583</v>
      </c>
      <c r="K907" s="16">
        <v>150</v>
      </c>
      <c r="L907" s="13">
        <v>2095.9699999999998</v>
      </c>
      <c r="M907" s="15">
        <v>52.10394366124212</v>
      </c>
      <c r="N907" s="13">
        <v>2095.9699999999998</v>
      </c>
      <c r="O907" s="13">
        <v>0</v>
      </c>
      <c r="P907" s="11">
        <v>0</v>
      </c>
    </row>
    <row r="908" spans="1:16" ht="15" thickBot="1" x14ac:dyDescent="0.3">
      <c r="A908" s="3" t="s">
        <v>11</v>
      </c>
      <c r="B908" s="4">
        <v>706102</v>
      </c>
      <c r="C908" s="3" t="s">
        <v>9</v>
      </c>
      <c r="D908" s="18">
        <v>0.1</v>
      </c>
      <c r="E908" s="21">
        <v>7.9741404289037643E-3</v>
      </c>
      <c r="F908" s="5">
        <v>38435</v>
      </c>
      <c r="G908" s="5">
        <v>40018</v>
      </c>
      <c r="H908" s="16">
        <v>1583</v>
      </c>
      <c r="I908" s="5">
        <v>40018</v>
      </c>
      <c r="J908" s="5">
        <v>38932</v>
      </c>
      <c r="K908" s="16">
        <v>497</v>
      </c>
      <c r="L908" s="13">
        <v>17477.330000000002</v>
      </c>
      <c r="M908" s="15">
        <v>407.07452096407496</v>
      </c>
      <c r="N908" s="13">
        <v>17477.330000000002</v>
      </c>
      <c r="O908" s="13">
        <v>0</v>
      </c>
      <c r="P908" s="11">
        <v>0</v>
      </c>
    </row>
    <row r="909" spans="1:16" ht="15" thickBot="1" x14ac:dyDescent="0.3">
      <c r="A909" s="3" t="s">
        <v>11</v>
      </c>
      <c r="B909" s="4">
        <v>190465</v>
      </c>
      <c r="C909" s="3" t="s">
        <v>9</v>
      </c>
      <c r="D909" s="18">
        <v>0.11</v>
      </c>
      <c r="E909" s="21">
        <v>8.7345938235519061E-3</v>
      </c>
      <c r="F909" s="5">
        <v>38441</v>
      </c>
      <c r="G909" s="5">
        <v>38806</v>
      </c>
      <c r="H909" s="16">
        <v>365</v>
      </c>
      <c r="I909" s="5">
        <v>38806</v>
      </c>
      <c r="J909" s="5">
        <v>38833</v>
      </c>
      <c r="K909" s="16">
        <v>392</v>
      </c>
      <c r="L909" s="13">
        <v>10000</v>
      </c>
      <c r="M909" s="15">
        <v>869.94515879086873</v>
      </c>
      <c r="N909" s="13">
        <v>10000</v>
      </c>
      <c r="O909" s="13">
        <v>0</v>
      </c>
      <c r="P909" s="11">
        <v>0</v>
      </c>
    </row>
    <row r="910" spans="1:16" ht="15" thickBot="1" x14ac:dyDescent="0.3">
      <c r="A910" s="3" t="s">
        <v>11</v>
      </c>
      <c r="B910" s="4">
        <v>690259</v>
      </c>
      <c r="C910" s="3" t="s">
        <v>9</v>
      </c>
      <c r="D910" s="18">
        <v>0.1</v>
      </c>
      <c r="E910" s="21">
        <v>7.9741404289037643E-3</v>
      </c>
      <c r="F910" s="5">
        <v>38460</v>
      </c>
      <c r="G910" s="5">
        <v>39556</v>
      </c>
      <c r="H910" s="16">
        <v>1096</v>
      </c>
      <c r="I910" s="5">
        <v>39556</v>
      </c>
      <c r="J910" s="5">
        <v>38582</v>
      </c>
      <c r="K910" s="16">
        <v>122</v>
      </c>
      <c r="L910" s="13">
        <v>1806.29</v>
      </c>
      <c r="M910" s="15">
        <v>57.188717718815163</v>
      </c>
      <c r="N910" s="13">
        <v>1806.29</v>
      </c>
      <c r="O910" s="13">
        <v>0</v>
      </c>
      <c r="P910" s="11">
        <v>0</v>
      </c>
    </row>
    <row r="911" spans="1:16" ht="15" thickBot="1" x14ac:dyDescent="0.3">
      <c r="A911" s="3" t="s">
        <v>11</v>
      </c>
      <c r="B911" s="4">
        <v>23474</v>
      </c>
      <c r="C911" s="3" t="s">
        <v>9</v>
      </c>
      <c r="D911" s="18">
        <v>0.1</v>
      </c>
      <c r="E911" s="21">
        <v>7.9741404289037643E-3</v>
      </c>
      <c r="F911" s="5">
        <v>38461</v>
      </c>
      <c r="G911" s="5">
        <v>40682</v>
      </c>
      <c r="H911" s="16">
        <v>2221</v>
      </c>
      <c r="I911" s="5">
        <v>40682</v>
      </c>
      <c r="J911" s="5">
        <v>40889</v>
      </c>
      <c r="K911" s="16">
        <v>2428</v>
      </c>
      <c r="L911" s="13">
        <v>412.97</v>
      </c>
      <c r="M911" s="15">
        <v>7.4073561121479221</v>
      </c>
      <c r="N911" s="13">
        <v>412.97</v>
      </c>
      <c r="O911" s="13">
        <v>0</v>
      </c>
      <c r="P911" s="11">
        <v>0</v>
      </c>
    </row>
    <row r="912" spans="1:16" ht="15" thickBot="1" x14ac:dyDescent="0.3">
      <c r="A912" s="3" t="s">
        <v>11</v>
      </c>
      <c r="B912" s="4">
        <v>30300</v>
      </c>
      <c r="C912" s="3" t="s">
        <v>9</v>
      </c>
      <c r="D912" s="18">
        <v>0.1</v>
      </c>
      <c r="E912" s="21">
        <v>7.9741404289037643E-3</v>
      </c>
      <c r="F912" s="5">
        <v>38468</v>
      </c>
      <c r="G912" s="5">
        <v>40659</v>
      </c>
      <c r="H912" s="16">
        <v>2191</v>
      </c>
      <c r="I912" s="5">
        <v>40659</v>
      </c>
      <c r="J912" s="5">
        <v>39195</v>
      </c>
      <c r="K912" s="16">
        <v>727</v>
      </c>
      <c r="L912" s="13">
        <v>325.37</v>
      </c>
      <c r="M912" s="15">
        <v>5.8948213583391338</v>
      </c>
      <c r="N912" s="13">
        <v>325.37</v>
      </c>
      <c r="O912" s="13">
        <v>0</v>
      </c>
      <c r="P912" s="11">
        <v>0</v>
      </c>
    </row>
    <row r="913" spans="1:16" ht="15" thickBot="1" x14ac:dyDescent="0.3">
      <c r="A913" s="3" t="s">
        <v>11</v>
      </c>
      <c r="B913" s="4">
        <v>105083</v>
      </c>
      <c r="C913" s="3" t="s">
        <v>9</v>
      </c>
      <c r="D913" s="18">
        <v>0.11</v>
      </c>
      <c r="E913" s="21">
        <v>8.7345938235519061E-3</v>
      </c>
      <c r="F913" s="5">
        <v>38469</v>
      </c>
      <c r="G913" s="5">
        <v>39199</v>
      </c>
      <c r="H913" s="16">
        <v>730</v>
      </c>
      <c r="I913" s="5">
        <v>39199</v>
      </c>
      <c r="J913" s="5">
        <v>38821</v>
      </c>
      <c r="K913" s="16">
        <v>352</v>
      </c>
      <c r="L913" s="13">
        <v>2419.37</v>
      </c>
      <c r="M913" s="15">
        <v>110.79825255611584</v>
      </c>
      <c r="N913" s="13">
        <v>2419.37</v>
      </c>
      <c r="O913" s="13">
        <v>0</v>
      </c>
      <c r="P913" s="11">
        <v>0</v>
      </c>
    </row>
    <row r="914" spans="1:16" ht="15" thickBot="1" x14ac:dyDescent="0.3">
      <c r="A914" s="3" t="s">
        <v>11</v>
      </c>
      <c r="B914" s="4">
        <v>108096</v>
      </c>
      <c r="C914" s="3" t="s">
        <v>9</v>
      </c>
      <c r="D914" s="18">
        <v>0.1</v>
      </c>
      <c r="E914" s="21">
        <v>7.9741404289037643E-3</v>
      </c>
      <c r="F914" s="5">
        <v>38478</v>
      </c>
      <c r="G914" s="5">
        <v>41400</v>
      </c>
      <c r="H914" s="16">
        <v>2922</v>
      </c>
      <c r="I914" s="5">
        <v>41400</v>
      </c>
      <c r="J914" s="5">
        <v>41864</v>
      </c>
      <c r="K914" s="16">
        <v>3386</v>
      </c>
      <c r="L914" s="13">
        <v>1369.48</v>
      </c>
      <c r="M914" s="15">
        <v>20.273648949855733</v>
      </c>
      <c r="N914" s="13">
        <v>1369.48</v>
      </c>
      <c r="O914" s="13">
        <v>0</v>
      </c>
      <c r="P914" s="11">
        <v>0</v>
      </c>
    </row>
    <row r="915" spans="1:16" ht="15" thickBot="1" x14ac:dyDescent="0.3">
      <c r="A915" s="3" t="s">
        <v>11</v>
      </c>
      <c r="B915" s="4">
        <v>47491</v>
      </c>
      <c r="C915" s="3" t="s">
        <v>9</v>
      </c>
      <c r="D915" s="18">
        <v>0.13</v>
      </c>
      <c r="E915" s="21">
        <v>1.02368443581764E-2</v>
      </c>
      <c r="F915" s="5">
        <v>38491</v>
      </c>
      <c r="G915" s="5">
        <v>38856</v>
      </c>
      <c r="H915" s="16">
        <v>365</v>
      </c>
      <c r="I915" s="5">
        <v>38856</v>
      </c>
      <c r="J915" s="5">
        <v>38793</v>
      </c>
      <c r="K915" s="16">
        <v>302</v>
      </c>
      <c r="L915" s="13">
        <v>171.81</v>
      </c>
      <c r="M915" s="15">
        <v>15.091079515780518</v>
      </c>
      <c r="N915" s="13">
        <v>171.81</v>
      </c>
      <c r="O915" s="13">
        <v>0</v>
      </c>
      <c r="P915" s="11">
        <v>0</v>
      </c>
    </row>
    <row r="916" spans="1:16" ht="15" thickBot="1" x14ac:dyDescent="0.3">
      <c r="A916" s="3" t="s">
        <v>11</v>
      </c>
      <c r="B916" s="4">
        <v>291772</v>
      </c>
      <c r="C916" s="3" t="s">
        <v>9</v>
      </c>
      <c r="D916" s="18">
        <v>0.11</v>
      </c>
      <c r="E916" s="21">
        <v>8.7345938235519061E-3</v>
      </c>
      <c r="F916" s="5">
        <v>38496</v>
      </c>
      <c r="G916" s="5">
        <v>38680</v>
      </c>
      <c r="H916" s="16">
        <v>184</v>
      </c>
      <c r="I916" s="5">
        <v>38680</v>
      </c>
      <c r="J916" s="5">
        <v>39867</v>
      </c>
      <c r="K916" s="16">
        <v>1371</v>
      </c>
      <c r="L916" s="13">
        <v>5016.9799999999996</v>
      </c>
      <c r="M916" s="15">
        <v>843.65849478738903</v>
      </c>
      <c r="N916" s="13">
        <v>5016.9799999999996</v>
      </c>
      <c r="O916" s="13">
        <v>0</v>
      </c>
      <c r="P916" s="11">
        <v>0</v>
      </c>
    </row>
    <row r="917" spans="1:16" ht="15" thickBot="1" x14ac:dyDescent="0.3">
      <c r="A917" s="3" t="s">
        <v>11</v>
      </c>
      <c r="B917" s="4">
        <v>906545</v>
      </c>
      <c r="C917" s="3" t="s">
        <v>9</v>
      </c>
      <c r="D917" s="18">
        <v>0.12</v>
      </c>
      <c r="E917" s="21">
        <v>9.4887929345830457E-3</v>
      </c>
      <c r="F917" s="5">
        <v>38497</v>
      </c>
      <c r="G917" s="5">
        <v>39227</v>
      </c>
      <c r="H917" s="16">
        <v>730</v>
      </c>
      <c r="I917" s="5">
        <v>39227</v>
      </c>
      <c r="J917" s="5">
        <v>40350</v>
      </c>
      <c r="K917" s="16">
        <v>1853</v>
      </c>
      <c r="L917" s="13">
        <v>2184.7800000000002</v>
      </c>
      <c r="M917" s="15">
        <v>100.97290691388174</v>
      </c>
      <c r="N917" s="13">
        <v>2184.7800000000002</v>
      </c>
      <c r="O917" s="13">
        <v>0</v>
      </c>
      <c r="P917" s="11">
        <v>0</v>
      </c>
    </row>
    <row r="918" spans="1:16" ht="15" thickBot="1" x14ac:dyDescent="0.3">
      <c r="A918" s="3" t="s">
        <v>11</v>
      </c>
      <c r="B918" s="4">
        <v>469019</v>
      </c>
      <c r="C918" s="3" t="s">
        <v>9</v>
      </c>
      <c r="D918" s="18">
        <v>0.1</v>
      </c>
      <c r="E918" s="21">
        <v>7.9741404289037643E-3</v>
      </c>
      <c r="F918" s="5">
        <v>38506</v>
      </c>
      <c r="G918" s="5">
        <v>38901</v>
      </c>
      <c r="H918" s="16">
        <v>395</v>
      </c>
      <c r="I918" s="5">
        <v>38901</v>
      </c>
      <c r="J918" s="5">
        <v>38540</v>
      </c>
      <c r="K918" s="16">
        <v>34</v>
      </c>
      <c r="L918" s="13">
        <v>3316.51</v>
      </c>
      <c r="M918" s="15">
        <v>266.34338456941299</v>
      </c>
      <c r="N918" s="13">
        <v>3316.51</v>
      </c>
      <c r="O918" s="13">
        <v>0</v>
      </c>
      <c r="P918" s="11">
        <v>0</v>
      </c>
    </row>
    <row r="919" spans="1:16" ht="15" thickBot="1" x14ac:dyDescent="0.3">
      <c r="A919" s="3" t="s">
        <v>11</v>
      </c>
      <c r="B919" s="4">
        <v>308747</v>
      </c>
      <c r="C919" s="3" t="s">
        <v>9</v>
      </c>
      <c r="D919" s="18">
        <v>9.7500000000000003E-2</v>
      </c>
      <c r="E919" s="21">
        <v>7.7830370878799737E-3</v>
      </c>
      <c r="F919" s="5">
        <v>38517</v>
      </c>
      <c r="G919" s="5">
        <v>38790</v>
      </c>
      <c r="H919" s="16">
        <v>273</v>
      </c>
      <c r="I919" s="5">
        <v>38790</v>
      </c>
      <c r="J919" s="5">
        <v>40350</v>
      </c>
      <c r="K919" s="16">
        <v>1833</v>
      </c>
      <c r="L919" s="13">
        <v>167460</v>
      </c>
      <c r="M919" s="15">
        <v>19133.053574829981</v>
      </c>
      <c r="N919" s="13">
        <v>167460</v>
      </c>
      <c r="O919" s="13">
        <v>0</v>
      </c>
      <c r="P919" s="11">
        <v>0</v>
      </c>
    </row>
    <row r="920" spans="1:16" ht="15" thickBot="1" x14ac:dyDescent="0.3">
      <c r="A920" s="3" t="s">
        <v>11</v>
      </c>
      <c r="B920" s="4">
        <v>81971</v>
      </c>
      <c r="C920" s="3" t="s">
        <v>2</v>
      </c>
      <c r="D920" s="18">
        <v>0.06</v>
      </c>
      <c r="E920" s="21">
        <v>4.8675505653430484E-3</v>
      </c>
      <c r="F920" s="5">
        <v>38518</v>
      </c>
      <c r="G920" s="5">
        <v>39979</v>
      </c>
      <c r="H920" s="16">
        <v>1461</v>
      </c>
      <c r="I920" s="5">
        <v>43449</v>
      </c>
      <c r="J920" s="5">
        <v>43734</v>
      </c>
      <c r="K920" s="16">
        <v>5216</v>
      </c>
      <c r="L920" s="13">
        <v>38000</v>
      </c>
      <c r="M920" s="15">
        <v>878.3100489611727</v>
      </c>
      <c r="N920" s="13">
        <v>2500</v>
      </c>
      <c r="O920" s="13">
        <v>0</v>
      </c>
      <c r="P920" s="11">
        <v>0</v>
      </c>
    </row>
    <row r="921" spans="1:16" ht="15" thickBot="1" x14ac:dyDescent="0.3">
      <c r="A921" s="3" t="s">
        <v>11</v>
      </c>
      <c r="B921" s="4">
        <v>519675</v>
      </c>
      <c r="C921" s="3" t="s">
        <v>9</v>
      </c>
      <c r="D921" s="18">
        <v>0.1</v>
      </c>
      <c r="E921" s="21">
        <v>7.9741404289037643E-3</v>
      </c>
      <c r="F921" s="5">
        <v>38525</v>
      </c>
      <c r="G921" s="5">
        <v>38890</v>
      </c>
      <c r="H921" s="16">
        <v>365</v>
      </c>
      <c r="I921" s="5">
        <v>38890</v>
      </c>
      <c r="J921" s="5">
        <v>38705</v>
      </c>
      <c r="K921" s="16">
        <v>180</v>
      </c>
      <c r="L921" s="13">
        <v>1083.67</v>
      </c>
      <c r="M921" s="15">
        <v>93.81366520411531</v>
      </c>
      <c r="N921" s="13">
        <v>1083.67</v>
      </c>
      <c r="O921" s="13">
        <v>0</v>
      </c>
      <c r="P921" s="11">
        <v>0</v>
      </c>
    </row>
    <row r="922" spans="1:16" ht="15" thickBot="1" x14ac:dyDescent="0.3">
      <c r="A922" s="3" t="s">
        <v>11</v>
      </c>
      <c r="B922" s="4">
        <v>481966</v>
      </c>
      <c r="C922" s="3" t="s">
        <v>9</v>
      </c>
      <c r="D922" s="18">
        <v>0.12</v>
      </c>
      <c r="E922" s="21">
        <v>9.4887929345830457E-3</v>
      </c>
      <c r="F922" s="5">
        <v>38525</v>
      </c>
      <c r="G922" s="5">
        <v>40320</v>
      </c>
      <c r="H922" s="16">
        <v>1795</v>
      </c>
      <c r="I922" s="5">
        <v>40320</v>
      </c>
      <c r="J922" s="5">
        <v>40704</v>
      </c>
      <c r="K922" s="16">
        <v>2179</v>
      </c>
      <c r="L922" s="13">
        <v>4.5999999999999996</v>
      </c>
      <c r="M922" s="15">
        <v>0.10111313402980794</v>
      </c>
      <c r="N922" s="13">
        <v>4.5999999999999996</v>
      </c>
      <c r="O922" s="13">
        <v>4.5999999999999996</v>
      </c>
      <c r="P922" s="11">
        <v>0</v>
      </c>
    </row>
    <row r="923" spans="1:16" ht="15" thickBot="1" x14ac:dyDescent="0.3">
      <c r="A923" s="3" t="s">
        <v>11</v>
      </c>
      <c r="B923" s="4">
        <v>590007</v>
      </c>
      <c r="C923" s="3" t="s">
        <v>9</v>
      </c>
      <c r="D923" s="18">
        <v>0.1</v>
      </c>
      <c r="E923" s="21">
        <v>7.9741404289037643E-3</v>
      </c>
      <c r="F923" s="5">
        <v>38527</v>
      </c>
      <c r="G923" s="5">
        <v>38984</v>
      </c>
      <c r="H923" s="16">
        <v>457</v>
      </c>
      <c r="I923" s="5">
        <v>38984</v>
      </c>
      <c r="J923" s="5">
        <v>39203</v>
      </c>
      <c r="K923" s="16">
        <v>676</v>
      </c>
      <c r="L923" s="13">
        <v>2278.2800000000002</v>
      </c>
      <c r="M923" s="15">
        <v>159.42116565885772</v>
      </c>
      <c r="N923" s="13">
        <v>2278.2800000000002</v>
      </c>
      <c r="O923" s="13">
        <v>0</v>
      </c>
      <c r="P923" s="11">
        <v>0</v>
      </c>
    </row>
    <row r="924" spans="1:16" ht="15" thickBot="1" x14ac:dyDescent="0.3">
      <c r="A924" s="3" t="s">
        <v>11</v>
      </c>
      <c r="B924" s="4">
        <v>121960</v>
      </c>
      <c r="C924" s="3" t="s">
        <v>9</v>
      </c>
      <c r="D924" s="18">
        <v>0.12</v>
      </c>
      <c r="E924" s="21">
        <v>9.4887929345830457E-3</v>
      </c>
      <c r="F924" s="5">
        <v>38539</v>
      </c>
      <c r="G924" s="5">
        <v>38723</v>
      </c>
      <c r="H924" s="16">
        <v>184</v>
      </c>
      <c r="I924" s="5">
        <v>38723</v>
      </c>
      <c r="J924" s="5">
        <v>38581</v>
      </c>
      <c r="K924" s="16">
        <v>42</v>
      </c>
      <c r="L924" s="13">
        <v>420.59</v>
      </c>
      <c r="M924" s="15">
        <v>70.913997352936278</v>
      </c>
      <c r="N924" s="13">
        <v>420.59</v>
      </c>
      <c r="O924" s="13">
        <v>0</v>
      </c>
      <c r="P924" s="11">
        <v>0</v>
      </c>
    </row>
    <row r="925" spans="1:16" ht="15" thickBot="1" x14ac:dyDescent="0.3">
      <c r="A925" s="3" t="s">
        <v>11</v>
      </c>
      <c r="B925" s="4">
        <v>590077</v>
      </c>
      <c r="C925" s="3" t="s">
        <v>9</v>
      </c>
      <c r="D925" s="18">
        <v>0.1</v>
      </c>
      <c r="E925" s="21">
        <v>7.9741404289037643E-3</v>
      </c>
      <c r="F925" s="5">
        <v>38545</v>
      </c>
      <c r="G925" s="5">
        <v>38910</v>
      </c>
      <c r="H925" s="16">
        <v>365</v>
      </c>
      <c r="I925" s="5">
        <v>38910</v>
      </c>
      <c r="J925" s="5">
        <v>38705</v>
      </c>
      <c r="K925" s="16">
        <v>160</v>
      </c>
      <c r="L925" s="13">
        <v>1138.97</v>
      </c>
      <c r="M925" s="15">
        <v>98.601004233328595</v>
      </c>
      <c r="N925" s="13">
        <v>1138.97</v>
      </c>
      <c r="O925" s="13">
        <v>0</v>
      </c>
      <c r="P925" s="11">
        <v>0</v>
      </c>
    </row>
    <row r="926" spans="1:16" ht="15" thickBot="1" x14ac:dyDescent="0.3">
      <c r="A926" s="3" t="s">
        <v>11</v>
      </c>
      <c r="B926" s="4">
        <v>34266</v>
      </c>
      <c r="C926" s="3" t="s">
        <v>9</v>
      </c>
      <c r="D926" s="18">
        <v>0.1</v>
      </c>
      <c r="E926" s="21">
        <v>7.9741404289037643E-3</v>
      </c>
      <c r="F926" s="5">
        <v>38551</v>
      </c>
      <c r="G926" s="5">
        <v>40742</v>
      </c>
      <c r="H926" s="16">
        <v>2191</v>
      </c>
      <c r="I926" s="5">
        <v>40742</v>
      </c>
      <c r="J926" s="5">
        <v>40522</v>
      </c>
      <c r="K926" s="16">
        <v>1971</v>
      </c>
      <c r="L926" s="13">
        <v>16330.39</v>
      </c>
      <c r="M926" s="15">
        <v>295.86234674987799</v>
      </c>
      <c r="N926" s="13">
        <v>16330.39</v>
      </c>
      <c r="O926" s="13">
        <v>0</v>
      </c>
      <c r="P926" s="11">
        <v>0</v>
      </c>
    </row>
    <row r="927" spans="1:16" ht="15" thickBot="1" x14ac:dyDescent="0.3">
      <c r="A927" s="3" t="s">
        <v>11</v>
      </c>
      <c r="B927" s="4">
        <v>825427</v>
      </c>
      <c r="C927" s="3" t="s">
        <v>9</v>
      </c>
      <c r="D927" s="18">
        <v>0.1</v>
      </c>
      <c r="E927" s="21">
        <v>7.9741404289037643E-3</v>
      </c>
      <c r="F927" s="5">
        <v>38583</v>
      </c>
      <c r="G927" s="5">
        <v>40517</v>
      </c>
      <c r="H927" s="16">
        <v>1934</v>
      </c>
      <c r="I927" s="5">
        <v>40517</v>
      </c>
      <c r="J927" s="5">
        <v>40680</v>
      </c>
      <c r="K927" s="16">
        <v>2097</v>
      </c>
      <c r="L927" s="13">
        <v>9023.74</v>
      </c>
      <c r="M927" s="15">
        <v>179.56790091910457</v>
      </c>
      <c r="N927" s="13">
        <v>9023.74</v>
      </c>
      <c r="O927" s="13">
        <v>0</v>
      </c>
      <c r="P927" s="11">
        <v>0</v>
      </c>
    </row>
    <row r="928" spans="1:16" ht="15" thickBot="1" x14ac:dyDescent="0.3">
      <c r="A928" s="3" t="s">
        <v>11</v>
      </c>
      <c r="B928" s="4">
        <v>520794</v>
      </c>
      <c r="C928" s="3" t="s">
        <v>9</v>
      </c>
      <c r="D928" s="18">
        <v>0.1</v>
      </c>
      <c r="E928" s="21">
        <v>7.9741404289037643E-3</v>
      </c>
      <c r="F928" s="5">
        <v>38589</v>
      </c>
      <c r="G928" s="5">
        <v>40293</v>
      </c>
      <c r="H928" s="16">
        <v>1704</v>
      </c>
      <c r="I928" s="5">
        <v>40293</v>
      </c>
      <c r="J928" s="5">
        <v>40641</v>
      </c>
      <c r="K928" s="16">
        <v>2052</v>
      </c>
      <c r="L928" s="13">
        <v>3613.12</v>
      </c>
      <c r="M928" s="15">
        <v>79.349818161166112</v>
      </c>
      <c r="N928" s="13">
        <v>3613.12</v>
      </c>
      <c r="O928" s="13">
        <v>0</v>
      </c>
      <c r="P928" s="11">
        <v>0</v>
      </c>
    </row>
    <row r="929" spans="1:16" ht="15" thickBot="1" x14ac:dyDescent="0.3">
      <c r="A929" s="3" t="s">
        <v>11</v>
      </c>
      <c r="B929" s="4">
        <v>841228</v>
      </c>
      <c r="C929" s="3" t="s">
        <v>9</v>
      </c>
      <c r="D929" s="18">
        <v>0.13</v>
      </c>
      <c r="E929" s="21">
        <v>1.02368443581764E-2</v>
      </c>
      <c r="F929" s="5">
        <v>38597</v>
      </c>
      <c r="G929" s="5">
        <v>38870</v>
      </c>
      <c r="H929" s="16">
        <v>273</v>
      </c>
      <c r="I929" s="5">
        <v>38870</v>
      </c>
      <c r="J929" s="5">
        <v>38804</v>
      </c>
      <c r="K929" s="16">
        <v>207</v>
      </c>
      <c r="L929" s="13">
        <v>225.17</v>
      </c>
      <c r="M929" s="15">
        <v>26.040706491740373</v>
      </c>
      <c r="N929" s="13">
        <v>225.17</v>
      </c>
      <c r="O929" s="13">
        <v>0</v>
      </c>
      <c r="P929" s="11">
        <v>0</v>
      </c>
    </row>
    <row r="930" spans="1:16" ht="15" thickBot="1" x14ac:dyDescent="0.3">
      <c r="A930" s="3" t="s">
        <v>11</v>
      </c>
      <c r="B930" s="4">
        <v>903512</v>
      </c>
      <c r="C930" s="3" t="s">
        <v>9</v>
      </c>
      <c r="D930" s="18">
        <v>0.1</v>
      </c>
      <c r="E930" s="21">
        <v>7.9741404289037643E-3</v>
      </c>
      <c r="F930" s="5">
        <v>38608</v>
      </c>
      <c r="G930" s="5">
        <v>40799</v>
      </c>
      <c r="H930" s="16">
        <v>2191</v>
      </c>
      <c r="I930" s="5">
        <v>40799</v>
      </c>
      <c r="J930" s="5">
        <v>39309</v>
      </c>
      <c r="K930" s="16">
        <v>701</v>
      </c>
      <c r="L930" s="13">
        <v>7300</v>
      </c>
      <c r="M930" s="15">
        <v>132.25618808087924</v>
      </c>
      <c r="N930" s="13">
        <v>7300</v>
      </c>
      <c r="O930" s="13">
        <v>0</v>
      </c>
      <c r="P930" s="11">
        <v>0</v>
      </c>
    </row>
    <row r="931" spans="1:16" ht="15" thickBot="1" x14ac:dyDescent="0.3">
      <c r="A931" s="3" t="s">
        <v>11</v>
      </c>
      <c r="B931" s="4">
        <v>208392</v>
      </c>
      <c r="C931" s="3" t="s">
        <v>9</v>
      </c>
      <c r="D931" s="18">
        <v>0.1</v>
      </c>
      <c r="E931" s="21">
        <v>7.9741404289037643E-3</v>
      </c>
      <c r="F931" s="5">
        <v>38614</v>
      </c>
      <c r="G931" s="5">
        <v>39070</v>
      </c>
      <c r="H931" s="16">
        <v>456</v>
      </c>
      <c r="I931" s="5">
        <v>39070</v>
      </c>
      <c r="J931" s="5">
        <v>38812</v>
      </c>
      <c r="K931" s="16">
        <v>198</v>
      </c>
      <c r="L931" s="13">
        <v>15000</v>
      </c>
      <c r="M931" s="15">
        <v>1051.780626457233</v>
      </c>
      <c r="N931" s="13">
        <v>15000</v>
      </c>
      <c r="O931" s="13">
        <v>0</v>
      </c>
      <c r="P931" s="11">
        <v>0</v>
      </c>
    </row>
    <row r="932" spans="1:16" ht="15" thickBot="1" x14ac:dyDescent="0.3">
      <c r="A932" s="3" t="s">
        <v>11</v>
      </c>
      <c r="B932" s="4">
        <v>982433</v>
      </c>
      <c r="C932" s="3" t="s">
        <v>9</v>
      </c>
      <c r="D932" s="18">
        <v>0.11</v>
      </c>
      <c r="E932" s="21">
        <v>8.7345938235519061E-3</v>
      </c>
      <c r="F932" s="5">
        <v>38614</v>
      </c>
      <c r="G932" s="5">
        <v>39101</v>
      </c>
      <c r="H932" s="16">
        <v>487</v>
      </c>
      <c r="I932" s="5">
        <v>39101</v>
      </c>
      <c r="J932" s="5">
        <v>38803</v>
      </c>
      <c r="K932" s="16">
        <v>189</v>
      </c>
      <c r="L932" s="13">
        <v>3308.58</v>
      </c>
      <c r="M932" s="15">
        <v>219.49221538101847</v>
      </c>
      <c r="N932" s="13">
        <v>3308.58</v>
      </c>
      <c r="O932" s="13">
        <v>0</v>
      </c>
      <c r="P932" s="11">
        <v>0</v>
      </c>
    </row>
    <row r="933" spans="1:16" ht="15" thickBot="1" x14ac:dyDescent="0.3">
      <c r="A933" s="3" t="s">
        <v>11</v>
      </c>
      <c r="B933" s="4">
        <v>93968</v>
      </c>
      <c r="C933" s="3" t="s">
        <v>9</v>
      </c>
      <c r="D933" s="18">
        <v>0.1</v>
      </c>
      <c r="E933" s="21">
        <v>7.9741404289037643E-3</v>
      </c>
      <c r="F933" s="5">
        <v>38622</v>
      </c>
      <c r="G933" s="5">
        <v>39718</v>
      </c>
      <c r="H933" s="16">
        <v>1096</v>
      </c>
      <c r="I933" s="5">
        <v>39718</v>
      </c>
      <c r="J933" s="5">
        <v>40024</v>
      </c>
      <c r="K933" s="16">
        <v>1402</v>
      </c>
      <c r="L933" s="13">
        <v>1953.71</v>
      </c>
      <c r="M933" s="15">
        <v>61.856163569762536</v>
      </c>
      <c r="N933" s="13">
        <v>1953.71</v>
      </c>
      <c r="O933" s="13">
        <v>0</v>
      </c>
      <c r="P933" s="11">
        <v>0</v>
      </c>
    </row>
    <row r="934" spans="1:16" ht="15" thickBot="1" x14ac:dyDescent="0.3">
      <c r="A934" s="3" t="s">
        <v>11</v>
      </c>
      <c r="B934" s="4">
        <v>524364</v>
      </c>
      <c r="C934" s="3" t="s">
        <v>9</v>
      </c>
      <c r="D934" s="18">
        <v>0.1</v>
      </c>
      <c r="E934" s="21">
        <v>7.9741404289037643E-3</v>
      </c>
      <c r="F934" s="5">
        <v>38625</v>
      </c>
      <c r="G934" s="5">
        <v>39416</v>
      </c>
      <c r="H934" s="16">
        <v>791</v>
      </c>
      <c r="I934" s="5">
        <v>39416</v>
      </c>
      <c r="J934" s="5">
        <v>39009</v>
      </c>
      <c r="K934" s="16">
        <v>384</v>
      </c>
      <c r="L934" s="13">
        <v>2632.73</v>
      </c>
      <c r="M934" s="15">
        <v>111.11126386736035</v>
      </c>
      <c r="N934" s="13">
        <v>2632.73</v>
      </c>
      <c r="O934" s="13">
        <v>0</v>
      </c>
      <c r="P934" s="11">
        <v>0</v>
      </c>
    </row>
    <row r="935" spans="1:16" ht="15" thickBot="1" x14ac:dyDescent="0.3">
      <c r="A935" s="3" t="s">
        <v>11</v>
      </c>
      <c r="B935" s="4">
        <v>127994</v>
      </c>
      <c r="C935" s="3" t="s">
        <v>9</v>
      </c>
      <c r="D935" s="18">
        <v>0.1</v>
      </c>
      <c r="E935" s="21">
        <v>7.9741404289037643E-3</v>
      </c>
      <c r="F935" s="5">
        <v>38625</v>
      </c>
      <c r="G935" s="5">
        <v>39169</v>
      </c>
      <c r="H935" s="16">
        <v>544</v>
      </c>
      <c r="I935" s="5">
        <v>39169</v>
      </c>
      <c r="J935" s="5">
        <v>42447</v>
      </c>
      <c r="K935" s="16">
        <v>3822</v>
      </c>
      <c r="L935" s="13">
        <v>11008.57</v>
      </c>
      <c r="M935" s="15">
        <v>654.45272632242097</v>
      </c>
      <c r="N935" s="13">
        <v>11008.57</v>
      </c>
      <c r="O935" s="13">
        <v>0</v>
      </c>
      <c r="P935" s="11">
        <v>0</v>
      </c>
    </row>
    <row r="936" spans="1:16" ht="15" thickBot="1" x14ac:dyDescent="0.3">
      <c r="A936" s="3" t="s">
        <v>11</v>
      </c>
      <c r="B936" s="4">
        <v>973042</v>
      </c>
      <c r="C936" s="3" t="s">
        <v>9</v>
      </c>
      <c r="D936" s="18">
        <v>0.11</v>
      </c>
      <c r="E936" s="21">
        <v>8.7345938235519061E-3</v>
      </c>
      <c r="F936" s="5">
        <v>38642</v>
      </c>
      <c r="G936" s="5">
        <v>39433</v>
      </c>
      <c r="H936" s="16">
        <v>791</v>
      </c>
      <c r="I936" s="5">
        <v>39433</v>
      </c>
      <c r="J936" s="5">
        <v>39500</v>
      </c>
      <c r="K936" s="16">
        <v>858</v>
      </c>
      <c r="L936" s="13">
        <v>2137.89</v>
      </c>
      <c r="M936" s="15">
        <v>91.129972763128109</v>
      </c>
      <c r="N936" s="13">
        <v>2137.89</v>
      </c>
      <c r="O936" s="13">
        <v>0</v>
      </c>
      <c r="P936" s="11">
        <v>0</v>
      </c>
    </row>
    <row r="937" spans="1:16" ht="15" thickBot="1" x14ac:dyDescent="0.3">
      <c r="A937" s="3" t="s">
        <v>11</v>
      </c>
      <c r="B937" s="4">
        <v>859708</v>
      </c>
      <c r="C937" s="3" t="s">
        <v>9</v>
      </c>
      <c r="D937" s="18">
        <v>0.1</v>
      </c>
      <c r="E937" s="21">
        <v>7.9741404289037643E-3</v>
      </c>
      <c r="F937" s="5">
        <v>38658</v>
      </c>
      <c r="G937" s="5">
        <v>40946</v>
      </c>
      <c r="H937" s="16">
        <v>2288</v>
      </c>
      <c r="I937" s="5">
        <v>40946</v>
      </c>
      <c r="J937" s="5">
        <v>39680</v>
      </c>
      <c r="K937" s="16">
        <v>1022</v>
      </c>
      <c r="L937" s="13">
        <v>17144.84</v>
      </c>
      <c r="M937" s="15">
        <v>300.91344466191993</v>
      </c>
      <c r="N937" s="13">
        <v>17144.84</v>
      </c>
      <c r="O937" s="13">
        <v>0</v>
      </c>
      <c r="P937" s="11">
        <v>0</v>
      </c>
    </row>
    <row r="938" spans="1:16" ht="15" thickBot="1" x14ac:dyDescent="0.3">
      <c r="A938" s="3" t="s">
        <v>11</v>
      </c>
      <c r="B938" s="4">
        <v>860040</v>
      </c>
      <c r="C938" s="3" t="s">
        <v>9</v>
      </c>
      <c r="D938" s="18">
        <v>0.12</v>
      </c>
      <c r="E938" s="21">
        <v>9.4887929345830457E-3</v>
      </c>
      <c r="F938" s="5">
        <v>38699</v>
      </c>
      <c r="G938" s="5">
        <v>39064</v>
      </c>
      <c r="H938" s="16">
        <v>365</v>
      </c>
      <c r="I938" s="5">
        <v>39064</v>
      </c>
      <c r="J938" s="5">
        <v>38911</v>
      </c>
      <c r="K938" s="16">
        <v>212</v>
      </c>
      <c r="L938" s="13">
        <v>563.61</v>
      </c>
      <c r="M938" s="15">
        <v>49.268729720114109</v>
      </c>
      <c r="N938" s="13">
        <v>563.61</v>
      </c>
      <c r="O938" s="13">
        <v>0</v>
      </c>
      <c r="P938" s="11">
        <v>0</v>
      </c>
    </row>
    <row r="939" spans="1:16" ht="15" thickBot="1" x14ac:dyDescent="0.3">
      <c r="A939" s="3" t="s">
        <v>11</v>
      </c>
      <c r="B939" s="4">
        <v>751479</v>
      </c>
      <c r="C939" s="3" t="s">
        <v>9</v>
      </c>
      <c r="D939" s="18">
        <v>0.115</v>
      </c>
      <c r="E939" s="21">
        <v>9.1124684369046083E-3</v>
      </c>
      <c r="F939" s="5">
        <v>38716</v>
      </c>
      <c r="G939" s="5">
        <v>39537</v>
      </c>
      <c r="H939" s="16">
        <v>821</v>
      </c>
      <c r="I939" s="5">
        <v>39537</v>
      </c>
      <c r="J939" s="5">
        <v>39212</v>
      </c>
      <c r="K939" s="16">
        <v>496</v>
      </c>
      <c r="L939" s="13">
        <v>4691.28</v>
      </c>
      <c r="M939" s="15">
        <v>194.46103667868763</v>
      </c>
      <c r="N939" s="13">
        <v>4691.28</v>
      </c>
      <c r="O939" s="13">
        <v>0</v>
      </c>
      <c r="P939" s="11">
        <v>0</v>
      </c>
    </row>
    <row r="940" spans="1:16" ht="15" thickBot="1" x14ac:dyDescent="0.3">
      <c r="A940" s="3" t="s">
        <v>11</v>
      </c>
      <c r="B940" s="4">
        <v>639828</v>
      </c>
      <c r="C940" s="3" t="s">
        <v>9</v>
      </c>
      <c r="D940" s="18">
        <v>0.1</v>
      </c>
      <c r="E940" s="21">
        <v>7.9741404289037643E-3</v>
      </c>
      <c r="F940" s="5">
        <v>38716</v>
      </c>
      <c r="G940" s="5">
        <v>39061</v>
      </c>
      <c r="H940" s="16">
        <v>345</v>
      </c>
      <c r="I940" s="5">
        <v>39061</v>
      </c>
      <c r="J940" s="5">
        <v>38812</v>
      </c>
      <c r="K940" s="16">
        <v>96</v>
      </c>
      <c r="L940" s="13">
        <v>13500</v>
      </c>
      <c r="M940" s="15">
        <v>1233.2320484771526</v>
      </c>
      <c r="N940" s="13">
        <v>13500</v>
      </c>
      <c r="O940" s="13">
        <v>0</v>
      </c>
      <c r="P940" s="11">
        <v>0</v>
      </c>
    </row>
    <row r="941" spans="1:16" ht="15" thickBot="1" x14ac:dyDescent="0.3">
      <c r="A941" s="3" t="s">
        <v>11</v>
      </c>
      <c r="B941" s="4">
        <v>593339</v>
      </c>
      <c r="C941" s="3" t="s">
        <v>9</v>
      </c>
      <c r="D941" s="18">
        <v>0.09</v>
      </c>
      <c r="E941" s="21">
        <v>7.2073233161367156E-3</v>
      </c>
      <c r="F941" s="5">
        <v>38716</v>
      </c>
      <c r="G941" s="5">
        <v>39081</v>
      </c>
      <c r="H941" s="16">
        <v>365</v>
      </c>
      <c r="I941" s="5">
        <v>39081</v>
      </c>
      <c r="J941" s="5">
        <v>39443</v>
      </c>
      <c r="K941" s="16">
        <v>727</v>
      </c>
      <c r="L941" s="13">
        <v>42603.11</v>
      </c>
      <c r="M941" s="15">
        <v>3669.9916888508214</v>
      </c>
      <c r="N941" s="13">
        <v>42603.11</v>
      </c>
      <c r="O941" s="13">
        <v>0</v>
      </c>
      <c r="P941" s="11">
        <v>0</v>
      </c>
    </row>
    <row r="942" spans="1:16" ht="15" thickBot="1" x14ac:dyDescent="0.3">
      <c r="A942" s="3" t="s">
        <v>11</v>
      </c>
      <c r="B942" s="4">
        <v>692760</v>
      </c>
      <c r="C942" s="3" t="s">
        <v>9</v>
      </c>
      <c r="D942" s="18">
        <v>9.5000000000000001E-2</v>
      </c>
      <c r="E942" s="21">
        <v>7.5915342905825689E-3</v>
      </c>
      <c r="F942" s="5">
        <v>38734</v>
      </c>
      <c r="G942" s="5">
        <v>39524</v>
      </c>
      <c r="H942" s="16">
        <v>790</v>
      </c>
      <c r="I942" s="5">
        <v>39524</v>
      </c>
      <c r="J942" s="5">
        <v>39395</v>
      </c>
      <c r="K942" s="16">
        <v>661</v>
      </c>
      <c r="L942" s="13">
        <v>5406.4</v>
      </c>
      <c r="M942" s="15">
        <v>227.28678663430011</v>
      </c>
      <c r="N942" s="13">
        <v>5406.4</v>
      </c>
      <c r="O942" s="13">
        <v>0</v>
      </c>
      <c r="P942" s="11">
        <v>0</v>
      </c>
    </row>
    <row r="943" spans="1:16" ht="15" thickBot="1" x14ac:dyDescent="0.3">
      <c r="A943" s="3" t="s">
        <v>11</v>
      </c>
      <c r="B943" s="4">
        <v>450280</v>
      </c>
      <c r="C943" s="3" t="s">
        <v>9</v>
      </c>
      <c r="D943" s="18">
        <v>0.12</v>
      </c>
      <c r="E943" s="21">
        <v>9.4887929345830457E-3</v>
      </c>
      <c r="F943" s="5">
        <v>38734</v>
      </c>
      <c r="G943" s="5">
        <v>39130</v>
      </c>
      <c r="H943" s="16">
        <v>396</v>
      </c>
      <c r="I943" s="5">
        <v>39130</v>
      </c>
      <c r="J943" s="5">
        <v>38838</v>
      </c>
      <c r="K943" s="16">
        <v>104</v>
      </c>
      <c r="L943" s="13">
        <v>2007.31</v>
      </c>
      <c r="M943" s="15">
        <v>162.5105708884825</v>
      </c>
      <c r="N943" s="13">
        <v>2007.31</v>
      </c>
      <c r="O943" s="13">
        <v>0</v>
      </c>
      <c r="P943" s="11">
        <v>0</v>
      </c>
    </row>
    <row r="944" spans="1:16" ht="15" thickBot="1" x14ac:dyDescent="0.3">
      <c r="A944" s="3" t="s">
        <v>11</v>
      </c>
      <c r="B944" s="4">
        <v>797076</v>
      </c>
      <c r="C944" s="3" t="s">
        <v>9</v>
      </c>
      <c r="D944" s="18">
        <v>0.1</v>
      </c>
      <c r="E944" s="21">
        <v>7.9741404289037643E-3</v>
      </c>
      <c r="F944" s="5">
        <v>40350</v>
      </c>
      <c r="G944" s="5">
        <v>40533</v>
      </c>
      <c r="H944" s="16">
        <v>183</v>
      </c>
      <c r="I944" s="5">
        <v>40533</v>
      </c>
      <c r="J944" s="5">
        <v>40374</v>
      </c>
      <c r="K944" s="16">
        <v>24</v>
      </c>
      <c r="L944" s="13">
        <v>500.95</v>
      </c>
      <c r="M944" s="15">
        <v>84.463397710579756</v>
      </c>
      <c r="N944" s="13">
        <v>500.95</v>
      </c>
      <c r="O944" s="13">
        <v>0</v>
      </c>
      <c r="P944" s="11">
        <v>0</v>
      </c>
    </row>
    <row r="945" spans="1:16" ht="15" thickBot="1" x14ac:dyDescent="0.3">
      <c r="A945" s="3" t="s">
        <v>11</v>
      </c>
      <c r="B945" s="4">
        <v>426134</v>
      </c>
      <c r="C945" s="3" t="s">
        <v>9</v>
      </c>
      <c r="D945" s="18">
        <v>9.5000000000000001E-2</v>
      </c>
      <c r="E945" s="21">
        <v>7.5915342905825689E-3</v>
      </c>
      <c r="F945" s="5">
        <v>38764</v>
      </c>
      <c r="G945" s="5">
        <v>40590</v>
      </c>
      <c r="H945" s="16">
        <v>1826</v>
      </c>
      <c r="I945" s="5">
        <v>40590</v>
      </c>
      <c r="J945" s="5">
        <v>40203</v>
      </c>
      <c r="K945" s="16">
        <v>1439</v>
      </c>
      <c r="L945" s="13">
        <v>16007.99</v>
      </c>
      <c r="M945" s="15">
        <v>329.40595490192732</v>
      </c>
      <c r="N945" s="13">
        <v>16007.99</v>
      </c>
      <c r="O945" s="13">
        <v>0</v>
      </c>
      <c r="P945" s="11">
        <v>0</v>
      </c>
    </row>
    <row r="946" spans="1:16" ht="15" thickBot="1" x14ac:dyDescent="0.3">
      <c r="A946" s="3" t="s">
        <v>11</v>
      </c>
      <c r="B946" s="4">
        <v>508394</v>
      </c>
      <c r="C946" s="3" t="s">
        <v>2</v>
      </c>
      <c r="D946" s="18">
        <v>0.06</v>
      </c>
      <c r="E946" s="21">
        <v>4.8675505653430484E-3</v>
      </c>
      <c r="F946" s="5">
        <v>38765</v>
      </c>
      <c r="G946" s="5">
        <v>40226</v>
      </c>
      <c r="H946" s="16">
        <v>1461</v>
      </c>
      <c r="I946" s="5">
        <v>43523</v>
      </c>
      <c r="J946" s="5">
        <v>43734</v>
      </c>
      <c r="K946" s="16">
        <v>4969</v>
      </c>
      <c r="L946" s="13">
        <v>225000</v>
      </c>
      <c r="M946" s="15">
        <v>5200.5200267437849</v>
      </c>
      <c r="N946" s="13">
        <v>11956.89</v>
      </c>
      <c r="O946" s="13">
        <v>0</v>
      </c>
      <c r="P946" s="11">
        <v>0</v>
      </c>
    </row>
    <row r="947" spans="1:16" ht="15" thickBot="1" x14ac:dyDescent="0.3">
      <c r="A947" s="3" t="s">
        <v>11</v>
      </c>
      <c r="B947" s="4">
        <v>801454</v>
      </c>
      <c r="C947" s="3" t="s">
        <v>9</v>
      </c>
      <c r="D947" s="18">
        <v>0.11</v>
      </c>
      <c r="E947" s="21">
        <v>8.7345938235519061E-3</v>
      </c>
      <c r="F947" s="5">
        <v>38769</v>
      </c>
      <c r="G947" s="5">
        <v>39103</v>
      </c>
      <c r="H947" s="16">
        <v>334</v>
      </c>
      <c r="I947" s="5">
        <v>39103</v>
      </c>
      <c r="J947" s="5">
        <v>38847</v>
      </c>
      <c r="K947" s="16">
        <v>78</v>
      </c>
      <c r="L947" s="13">
        <v>1266.5899999999999</v>
      </c>
      <c r="M947" s="15">
        <v>119.88252123049067</v>
      </c>
      <c r="N947" s="13">
        <v>1266.5899999999999</v>
      </c>
      <c r="O947" s="13">
        <v>0</v>
      </c>
      <c r="P947" s="11">
        <v>0</v>
      </c>
    </row>
    <row r="948" spans="1:16" ht="15" thickBot="1" x14ac:dyDescent="0.3">
      <c r="A948" s="3" t="s">
        <v>11</v>
      </c>
      <c r="B948" s="4">
        <v>130443</v>
      </c>
      <c r="C948" s="3" t="s">
        <v>9</v>
      </c>
      <c r="D948" s="18">
        <v>9.7500000000000003E-2</v>
      </c>
      <c r="E948" s="21">
        <v>7.7830370878799737E-3</v>
      </c>
      <c r="F948" s="5">
        <v>38770</v>
      </c>
      <c r="G948" s="5">
        <v>39073</v>
      </c>
      <c r="H948" s="16">
        <v>303</v>
      </c>
      <c r="I948" s="5">
        <v>39073</v>
      </c>
      <c r="J948" s="5">
        <v>40486</v>
      </c>
      <c r="K948" s="16">
        <v>1716</v>
      </c>
      <c r="L948" s="13">
        <v>36718</v>
      </c>
      <c r="M948" s="15">
        <v>3794.3280571382302</v>
      </c>
      <c r="N948" s="13">
        <v>36718</v>
      </c>
      <c r="O948" s="13">
        <v>0</v>
      </c>
      <c r="P948" s="11">
        <v>0</v>
      </c>
    </row>
    <row r="949" spans="1:16" ht="15" thickBot="1" x14ac:dyDescent="0.3">
      <c r="A949" s="3" t="s">
        <v>11</v>
      </c>
      <c r="B949" s="4">
        <v>798580</v>
      </c>
      <c r="C949" s="3" t="s">
        <v>9</v>
      </c>
      <c r="D949" s="18">
        <v>0.12</v>
      </c>
      <c r="E949" s="21">
        <v>9.4887929345830457E-3</v>
      </c>
      <c r="F949" s="5">
        <v>38772</v>
      </c>
      <c r="G949" s="5">
        <v>39014</v>
      </c>
      <c r="H949" s="16">
        <v>242</v>
      </c>
      <c r="I949" s="5">
        <v>39014</v>
      </c>
      <c r="J949" s="5">
        <v>38810</v>
      </c>
      <c r="K949" s="16">
        <v>38</v>
      </c>
      <c r="L949" s="13">
        <v>1347.88</v>
      </c>
      <c r="M949" s="15">
        <v>174.36013262159068</v>
      </c>
      <c r="N949" s="13">
        <v>1347.88</v>
      </c>
      <c r="O949" s="13">
        <v>0</v>
      </c>
      <c r="P949" s="11">
        <v>0</v>
      </c>
    </row>
    <row r="950" spans="1:16" ht="15" thickBot="1" x14ac:dyDescent="0.3">
      <c r="A950" s="3" t="s">
        <v>11</v>
      </c>
      <c r="B950" s="4">
        <v>111130</v>
      </c>
      <c r="C950" s="3" t="s">
        <v>9</v>
      </c>
      <c r="D950" s="18">
        <v>0.1</v>
      </c>
      <c r="E950" s="21">
        <v>7.9741404289037643E-3</v>
      </c>
      <c r="F950" s="5">
        <v>38772</v>
      </c>
      <c r="G950" s="5">
        <v>39562</v>
      </c>
      <c r="H950" s="16">
        <v>790</v>
      </c>
      <c r="I950" s="5">
        <v>39562</v>
      </c>
      <c r="J950" s="5">
        <v>39562</v>
      </c>
      <c r="K950" s="16">
        <v>790</v>
      </c>
      <c r="L950" s="13">
        <v>8991.75</v>
      </c>
      <c r="M950" s="15">
        <v>379.91802172695452</v>
      </c>
      <c r="N950" s="13">
        <v>8991.75</v>
      </c>
      <c r="O950" s="13">
        <v>0</v>
      </c>
      <c r="P950" s="11">
        <v>0</v>
      </c>
    </row>
    <row r="951" spans="1:16" ht="15" thickBot="1" x14ac:dyDescent="0.3">
      <c r="A951" s="3" t="s">
        <v>11</v>
      </c>
      <c r="B951" s="4">
        <v>999310</v>
      </c>
      <c r="C951" s="3" t="s">
        <v>9</v>
      </c>
      <c r="D951" s="18">
        <v>0.1</v>
      </c>
      <c r="E951" s="21">
        <v>7.9741404289037643E-3</v>
      </c>
      <c r="F951" s="5">
        <v>38791</v>
      </c>
      <c r="G951" s="5">
        <v>40198</v>
      </c>
      <c r="H951" s="16">
        <v>1407</v>
      </c>
      <c r="I951" s="5">
        <v>40198</v>
      </c>
      <c r="J951" s="5">
        <v>40641</v>
      </c>
      <c r="K951" s="16">
        <v>1850</v>
      </c>
      <c r="L951" s="13">
        <v>3214.82</v>
      </c>
      <c r="M951" s="15">
        <v>82.430859235061249</v>
      </c>
      <c r="N951" s="13">
        <v>3214.82</v>
      </c>
      <c r="O951" s="13">
        <v>0</v>
      </c>
      <c r="P951" s="11">
        <v>0</v>
      </c>
    </row>
    <row r="952" spans="1:16" ht="15" thickBot="1" x14ac:dyDescent="0.3">
      <c r="A952" s="3" t="s">
        <v>11</v>
      </c>
      <c r="B952" s="4">
        <v>859342</v>
      </c>
      <c r="C952" s="3" t="s">
        <v>9</v>
      </c>
      <c r="D952" s="18">
        <v>0.13</v>
      </c>
      <c r="E952" s="21">
        <v>1.02368443581764E-2</v>
      </c>
      <c r="F952" s="5">
        <v>38797</v>
      </c>
      <c r="G952" s="5">
        <v>39559</v>
      </c>
      <c r="H952" s="16">
        <v>762</v>
      </c>
      <c r="I952" s="5">
        <v>39559</v>
      </c>
      <c r="J952" s="5">
        <v>39038</v>
      </c>
      <c r="K952" s="16">
        <v>241</v>
      </c>
      <c r="L952" s="13">
        <v>4589.8900000000003</v>
      </c>
      <c r="M952" s="15">
        <v>206.13246462229347</v>
      </c>
      <c r="N952" s="13">
        <v>4589.8900000000003</v>
      </c>
      <c r="O952" s="13">
        <v>0</v>
      </c>
      <c r="P952" s="11">
        <v>0</v>
      </c>
    </row>
    <row r="953" spans="1:16" ht="15" thickBot="1" x14ac:dyDescent="0.3">
      <c r="A953" s="3" t="s">
        <v>11</v>
      </c>
      <c r="B953" s="4">
        <v>424939</v>
      </c>
      <c r="C953" s="3" t="s">
        <v>9</v>
      </c>
      <c r="D953" s="18">
        <v>9.7500000000000003E-2</v>
      </c>
      <c r="E953" s="21">
        <v>7.7830370878799737E-3</v>
      </c>
      <c r="F953" s="5">
        <v>38800</v>
      </c>
      <c r="G953" s="5">
        <v>40066</v>
      </c>
      <c r="H953" s="16">
        <v>1266</v>
      </c>
      <c r="I953" s="5">
        <v>40066</v>
      </c>
      <c r="J953" s="5">
        <v>39721</v>
      </c>
      <c r="K953" s="16">
        <v>921</v>
      </c>
      <c r="L953" s="13">
        <v>50456</v>
      </c>
      <c r="M953" s="15">
        <v>1407.3248085506268</v>
      </c>
      <c r="N953" s="13">
        <v>217456</v>
      </c>
      <c r="O953" s="13">
        <v>0</v>
      </c>
      <c r="P953" s="11">
        <v>0</v>
      </c>
    </row>
    <row r="954" spans="1:16" ht="15" thickBot="1" x14ac:dyDescent="0.3">
      <c r="A954" s="3" t="s">
        <v>11</v>
      </c>
      <c r="B954" s="4">
        <v>904454</v>
      </c>
      <c r="C954" s="3" t="s">
        <v>9</v>
      </c>
      <c r="D954" s="18">
        <v>9.7500000000000003E-2</v>
      </c>
      <c r="E954" s="21">
        <v>7.7830370878799737E-3</v>
      </c>
      <c r="F954" s="5">
        <v>38800</v>
      </c>
      <c r="G954" s="5">
        <v>40066</v>
      </c>
      <c r="H954" s="16">
        <v>1266</v>
      </c>
      <c r="I954" s="5">
        <v>40066</v>
      </c>
      <c r="J954" s="5">
        <v>43112</v>
      </c>
      <c r="K954" s="16">
        <v>4312</v>
      </c>
      <c r="L954" s="13">
        <v>126452.06</v>
      </c>
      <c r="M954" s="15">
        <v>3527.0160363550895</v>
      </c>
      <c r="N954" s="13">
        <v>126452.06</v>
      </c>
      <c r="O954" s="13">
        <v>50000</v>
      </c>
      <c r="P954" s="11">
        <v>0</v>
      </c>
    </row>
    <row r="955" spans="1:16" ht="15" thickBot="1" x14ac:dyDescent="0.3">
      <c r="A955" s="3" t="s">
        <v>11</v>
      </c>
      <c r="B955" s="4">
        <v>840844</v>
      </c>
      <c r="C955" s="3" t="s">
        <v>9</v>
      </c>
      <c r="D955" s="18">
        <v>0.11</v>
      </c>
      <c r="E955" s="21">
        <v>8.7345938235519061E-3</v>
      </c>
      <c r="F955" s="5">
        <v>38805</v>
      </c>
      <c r="G955" s="5">
        <v>39536</v>
      </c>
      <c r="H955" s="16">
        <v>731</v>
      </c>
      <c r="I955" s="5">
        <v>39536</v>
      </c>
      <c r="J955" s="5">
        <v>39171</v>
      </c>
      <c r="K955" s="16">
        <v>366</v>
      </c>
      <c r="L955" s="13">
        <v>2000</v>
      </c>
      <c r="M955" s="15">
        <v>91.480141405580341</v>
      </c>
      <c r="N955" s="13">
        <v>2000</v>
      </c>
      <c r="O955" s="13">
        <v>0</v>
      </c>
      <c r="P955" s="11">
        <v>0</v>
      </c>
    </row>
    <row r="956" spans="1:16" ht="15" thickBot="1" x14ac:dyDescent="0.3">
      <c r="A956" s="3" t="s">
        <v>11</v>
      </c>
      <c r="B956" s="4">
        <v>636185</v>
      </c>
      <c r="C956" s="3" t="s">
        <v>9</v>
      </c>
      <c r="D956" s="18">
        <v>0.1</v>
      </c>
      <c r="E956" s="21">
        <v>7.9741404289037643E-3</v>
      </c>
      <c r="F956" s="5">
        <v>38806</v>
      </c>
      <c r="G956" s="5">
        <v>38990</v>
      </c>
      <c r="H956" s="16">
        <v>184</v>
      </c>
      <c r="I956" s="5">
        <v>38990</v>
      </c>
      <c r="J956" s="5">
        <v>42915</v>
      </c>
      <c r="K956" s="16">
        <v>4109</v>
      </c>
      <c r="L956" s="13">
        <v>235.8</v>
      </c>
      <c r="M956" s="15">
        <v>39.546518733029153</v>
      </c>
      <c r="N956" s="13">
        <v>235.8</v>
      </c>
      <c r="O956" s="13">
        <v>0</v>
      </c>
      <c r="P956" s="11">
        <v>0</v>
      </c>
    </row>
    <row r="957" spans="1:16" ht="15" thickBot="1" x14ac:dyDescent="0.3">
      <c r="A957" s="3" t="s">
        <v>11</v>
      </c>
      <c r="B957" s="4">
        <v>232163</v>
      </c>
      <c r="C957" s="3" t="s">
        <v>9</v>
      </c>
      <c r="D957" s="18">
        <v>0.105</v>
      </c>
      <c r="E957" s="21">
        <v>8.355155683635207E-3</v>
      </c>
      <c r="F957" s="5">
        <v>38807</v>
      </c>
      <c r="G957" s="5">
        <v>39903</v>
      </c>
      <c r="H957" s="16">
        <v>1096</v>
      </c>
      <c r="I957" s="5">
        <v>39903</v>
      </c>
      <c r="J957" s="5">
        <v>40147</v>
      </c>
      <c r="K957" s="16">
        <v>1340</v>
      </c>
      <c r="L957" s="13">
        <v>10.33</v>
      </c>
      <c r="M957" s="15">
        <v>0.32927238747883014</v>
      </c>
      <c r="N957" s="13">
        <v>10.33</v>
      </c>
      <c r="O957" s="13">
        <v>0</v>
      </c>
      <c r="P957" s="11">
        <v>0</v>
      </c>
    </row>
    <row r="958" spans="1:16" ht="15" thickBot="1" x14ac:dyDescent="0.3">
      <c r="A958" s="3" t="s">
        <v>11</v>
      </c>
      <c r="B958" s="4">
        <v>294551</v>
      </c>
      <c r="C958" s="3" t="s">
        <v>9</v>
      </c>
      <c r="D958" s="18">
        <v>0.1</v>
      </c>
      <c r="E958" s="21">
        <v>7.9741404289037643E-3</v>
      </c>
      <c r="F958" s="5">
        <v>38821</v>
      </c>
      <c r="G958" s="5">
        <v>39766</v>
      </c>
      <c r="H958" s="16">
        <v>945</v>
      </c>
      <c r="I958" s="5">
        <v>39766</v>
      </c>
      <c r="J958" s="5">
        <v>41257</v>
      </c>
      <c r="K958" s="16">
        <v>2436</v>
      </c>
      <c r="L958" s="13">
        <v>4.67</v>
      </c>
      <c r="M958" s="15">
        <v>0.16823949851365541</v>
      </c>
      <c r="N958" s="13">
        <v>4.67</v>
      </c>
      <c r="O958" s="13">
        <v>0</v>
      </c>
      <c r="P958" s="11">
        <v>0</v>
      </c>
    </row>
    <row r="959" spans="1:16" ht="15" thickBot="1" x14ac:dyDescent="0.3">
      <c r="A959" s="3" t="s">
        <v>11</v>
      </c>
      <c r="B959" s="4">
        <v>402226</v>
      </c>
      <c r="C959" s="3" t="s">
        <v>9</v>
      </c>
      <c r="D959" s="18">
        <v>0.1</v>
      </c>
      <c r="E959" s="21">
        <v>7.9741404289037643E-3</v>
      </c>
      <c r="F959" s="5">
        <v>38856</v>
      </c>
      <c r="G959" s="5">
        <v>40682</v>
      </c>
      <c r="H959" s="16">
        <v>1826</v>
      </c>
      <c r="I959" s="5">
        <v>40682</v>
      </c>
      <c r="J959" s="5">
        <v>41436</v>
      </c>
      <c r="K959" s="16">
        <v>2580</v>
      </c>
      <c r="L959" s="13">
        <v>6001.45</v>
      </c>
      <c r="M959" s="15">
        <v>124.84123691839915</v>
      </c>
      <c r="N959" s="13">
        <v>6001.45</v>
      </c>
      <c r="O959" s="13">
        <v>0</v>
      </c>
      <c r="P959" s="11">
        <v>0</v>
      </c>
    </row>
    <row r="960" spans="1:16" ht="15" thickBot="1" x14ac:dyDescent="0.3">
      <c r="A960" s="3" t="s">
        <v>11</v>
      </c>
      <c r="B960" s="4">
        <v>74598</v>
      </c>
      <c r="C960" s="3" t="s">
        <v>9</v>
      </c>
      <c r="D960" s="18">
        <v>0.1</v>
      </c>
      <c r="E960" s="21">
        <v>7.9741404289037643E-3</v>
      </c>
      <c r="F960" s="5">
        <v>38874</v>
      </c>
      <c r="G960" s="5">
        <v>39222</v>
      </c>
      <c r="H960" s="16">
        <v>348</v>
      </c>
      <c r="I960" s="5">
        <v>39222</v>
      </c>
      <c r="J960" s="5">
        <v>39013</v>
      </c>
      <c r="K960" s="16">
        <v>139</v>
      </c>
      <c r="L960" s="13">
        <v>1921.21</v>
      </c>
      <c r="M960" s="15">
        <v>174.05862821615617</v>
      </c>
      <c r="N960" s="13">
        <v>1921.21</v>
      </c>
      <c r="O960" s="13">
        <v>0</v>
      </c>
      <c r="P960" s="11">
        <v>0</v>
      </c>
    </row>
    <row r="961" spans="1:16" ht="15" thickBot="1" x14ac:dyDescent="0.3">
      <c r="A961" s="3" t="s">
        <v>11</v>
      </c>
      <c r="B961" s="4">
        <v>824104</v>
      </c>
      <c r="C961" s="3" t="s">
        <v>2</v>
      </c>
      <c r="D961" s="18">
        <v>0.06</v>
      </c>
      <c r="E961" s="21">
        <v>4.8675505653430484E-3</v>
      </c>
      <c r="F961" s="5">
        <v>38891</v>
      </c>
      <c r="G961" s="5">
        <v>40352</v>
      </c>
      <c r="H961" s="16">
        <v>1461</v>
      </c>
      <c r="I961" s="5">
        <v>43427</v>
      </c>
      <c r="J961" s="5">
        <v>43734</v>
      </c>
      <c r="K961" s="16">
        <v>4843</v>
      </c>
      <c r="L961" s="13">
        <v>150000</v>
      </c>
      <c r="M961" s="15">
        <v>3467.0133511625236</v>
      </c>
      <c r="N961" s="13">
        <v>11700</v>
      </c>
      <c r="O961" s="13">
        <v>0</v>
      </c>
      <c r="P961" s="11">
        <v>0</v>
      </c>
    </row>
    <row r="962" spans="1:16" ht="15" thickBot="1" x14ac:dyDescent="0.3">
      <c r="A962" s="3" t="s">
        <v>11</v>
      </c>
      <c r="B962" s="4">
        <v>790185</v>
      </c>
      <c r="C962" s="3" t="s">
        <v>9</v>
      </c>
      <c r="D962" s="18">
        <v>0.12</v>
      </c>
      <c r="E962" s="21">
        <v>9.4887929345830457E-3</v>
      </c>
      <c r="F962" s="5">
        <v>38897</v>
      </c>
      <c r="G962" s="5">
        <v>39993</v>
      </c>
      <c r="H962" s="16">
        <v>1096</v>
      </c>
      <c r="I962" s="5">
        <v>39993</v>
      </c>
      <c r="J962" s="5">
        <v>39806</v>
      </c>
      <c r="K962" s="16">
        <v>909</v>
      </c>
      <c r="L962" s="13">
        <v>1138.4100000000001</v>
      </c>
      <c r="M962" s="15">
        <v>37.019500385465015</v>
      </c>
      <c r="N962" s="13">
        <v>1138.4100000000001</v>
      </c>
      <c r="O962" s="13">
        <v>0</v>
      </c>
      <c r="P962" s="11">
        <v>0</v>
      </c>
    </row>
    <row r="963" spans="1:16" ht="15" thickBot="1" x14ac:dyDescent="0.3">
      <c r="A963" s="3" t="s">
        <v>11</v>
      </c>
      <c r="B963" s="4">
        <v>219204</v>
      </c>
      <c r="C963" s="3" t="s">
        <v>9</v>
      </c>
      <c r="D963" s="18">
        <v>0.105</v>
      </c>
      <c r="E963" s="21">
        <v>8.355155683635207E-3</v>
      </c>
      <c r="F963" s="5">
        <v>38904</v>
      </c>
      <c r="G963" s="5">
        <v>39088</v>
      </c>
      <c r="H963" s="16">
        <v>184</v>
      </c>
      <c r="I963" s="5">
        <v>39088</v>
      </c>
      <c r="J963" s="5">
        <v>39098</v>
      </c>
      <c r="K963" s="16">
        <v>194</v>
      </c>
      <c r="L963" s="13">
        <v>530.36</v>
      </c>
      <c r="M963" s="15">
        <v>89.066944579450293</v>
      </c>
      <c r="N963" s="13">
        <v>530.36</v>
      </c>
      <c r="O963" s="13">
        <v>0</v>
      </c>
      <c r="P963" s="11">
        <v>0</v>
      </c>
    </row>
    <row r="964" spans="1:16" ht="15" thickBot="1" x14ac:dyDescent="0.3">
      <c r="A964" s="3" t="s">
        <v>11</v>
      </c>
      <c r="B964" s="4">
        <v>726960</v>
      </c>
      <c r="C964" s="3" t="s">
        <v>9</v>
      </c>
      <c r="D964" s="18">
        <v>9.7500000000000003E-2</v>
      </c>
      <c r="E964" s="21">
        <v>7.7830370878799737E-3</v>
      </c>
      <c r="F964" s="5">
        <v>38911</v>
      </c>
      <c r="G964" s="5">
        <v>39520</v>
      </c>
      <c r="H964" s="16">
        <v>609</v>
      </c>
      <c r="I964" s="5">
        <v>39520</v>
      </c>
      <c r="J964" s="5">
        <v>39906</v>
      </c>
      <c r="K964" s="16">
        <v>995</v>
      </c>
      <c r="L964" s="13">
        <v>279782.96000000002</v>
      </c>
      <c r="M964" s="15">
        <v>14953.305261000678</v>
      </c>
      <c r="N964" s="13">
        <v>279782.96000000002</v>
      </c>
      <c r="O964" s="13">
        <v>0</v>
      </c>
      <c r="P964" s="11">
        <v>0</v>
      </c>
    </row>
    <row r="965" spans="1:16" ht="15" thickBot="1" x14ac:dyDescent="0.3">
      <c r="A965" s="3" t="s">
        <v>11</v>
      </c>
      <c r="B965" s="4">
        <v>807476</v>
      </c>
      <c r="C965" s="3" t="s">
        <v>9</v>
      </c>
      <c r="D965" s="18">
        <v>0.105</v>
      </c>
      <c r="E965" s="21">
        <v>8.355155683635207E-3</v>
      </c>
      <c r="F965" s="5">
        <v>38915</v>
      </c>
      <c r="G965" s="5">
        <v>40956</v>
      </c>
      <c r="H965" s="16">
        <v>2041</v>
      </c>
      <c r="I965" s="5">
        <v>40956</v>
      </c>
      <c r="J965" s="5">
        <v>40584</v>
      </c>
      <c r="K965" s="16">
        <v>1669</v>
      </c>
      <c r="L965" s="13">
        <v>4152.1899999999996</v>
      </c>
      <c r="M965" s="15">
        <v>80.260245009861393</v>
      </c>
      <c r="N965" s="13">
        <v>4152.1899999999996</v>
      </c>
      <c r="O965" s="13">
        <v>0</v>
      </c>
      <c r="P965" s="11">
        <v>0</v>
      </c>
    </row>
    <row r="966" spans="1:16" ht="15" thickBot="1" x14ac:dyDescent="0.3">
      <c r="A966" s="3" t="s">
        <v>11</v>
      </c>
      <c r="B966" s="4">
        <v>345734</v>
      </c>
      <c r="C966" s="3" t="s">
        <v>9</v>
      </c>
      <c r="D966" s="18">
        <v>0.1</v>
      </c>
      <c r="E966" s="21">
        <v>7.9741404289037643E-3</v>
      </c>
      <c r="F966" s="5">
        <v>38926</v>
      </c>
      <c r="G966" s="5">
        <v>40752</v>
      </c>
      <c r="H966" s="16">
        <v>1826</v>
      </c>
      <c r="I966" s="5">
        <v>40752</v>
      </c>
      <c r="J966" s="5">
        <v>40337</v>
      </c>
      <c r="K966" s="16">
        <v>1411</v>
      </c>
      <c r="L966" s="13">
        <v>1139.31</v>
      </c>
      <c r="M966" s="15">
        <v>23.699750832465707</v>
      </c>
      <c r="N966" s="13">
        <v>1139.31</v>
      </c>
      <c r="O966" s="13">
        <v>0</v>
      </c>
      <c r="P966" s="11">
        <v>0</v>
      </c>
    </row>
    <row r="967" spans="1:16" ht="15" thickBot="1" x14ac:dyDescent="0.3">
      <c r="A967" s="3" t="s">
        <v>11</v>
      </c>
      <c r="B967" s="4">
        <v>7756</v>
      </c>
      <c r="C967" s="3" t="s">
        <v>9</v>
      </c>
      <c r="D967" s="18">
        <v>0.09</v>
      </c>
      <c r="E967" s="21">
        <v>7.2073233161367156E-3</v>
      </c>
      <c r="F967" s="5">
        <v>38945</v>
      </c>
      <c r="G967" s="5">
        <v>41045</v>
      </c>
      <c r="H967" s="16">
        <v>2100</v>
      </c>
      <c r="I967" s="5">
        <v>41045</v>
      </c>
      <c r="J967" s="5">
        <v>40046</v>
      </c>
      <c r="K967" s="16">
        <v>1101</v>
      </c>
      <c r="L967" s="13">
        <v>6078.06</v>
      </c>
      <c r="M967" s="15">
        <v>110.8726875085552</v>
      </c>
      <c r="N967" s="13">
        <v>6078.06</v>
      </c>
      <c r="O967" s="13">
        <v>0</v>
      </c>
      <c r="P967" s="11">
        <v>0</v>
      </c>
    </row>
    <row r="968" spans="1:16" ht="15" thickBot="1" x14ac:dyDescent="0.3">
      <c r="A968" s="3" t="s">
        <v>11</v>
      </c>
      <c r="B968" s="4">
        <v>154953</v>
      </c>
      <c r="C968" s="3" t="s">
        <v>9</v>
      </c>
      <c r="D968" s="18">
        <v>9.7500000000000003E-2</v>
      </c>
      <c r="E968" s="21">
        <v>7.7830370878799737E-3</v>
      </c>
      <c r="F968" s="5">
        <v>38959</v>
      </c>
      <c r="G968" s="5">
        <v>40066</v>
      </c>
      <c r="H968" s="16">
        <v>1107</v>
      </c>
      <c r="I968" s="5">
        <v>40066</v>
      </c>
      <c r="J968" s="5">
        <v>39721</v>
      </c>
      <c r="K968" s="16">
        <v>762</v>
      </c>
      <c r="L968" s="13">
        <v>50310</v>
      </c>
      <c r="M968" s="15">
        <v>1573.8180931571167</v>
      </c>
      <c r="N968" s="13">
        <v>50310</v>
      </c>
      <c r="O968" s="13">
        <v>0</v>
      </c>
      <c r="P968" s="11">
        <v>0</v>
      </c>
    </row>
    <row r="969" spans="1:16" ht="15" thickBot="1" x14ac:dyDescent="0.3">
      <c r="A969" s="3" t="s">
        <v>11</v>
      </c>
      <c r="B969" s="4">
        <v>303581</v>
      </c>
      <c r="C969" s="3" t="s">
        <v>9</v>
      </c>
      <c r="D969" s="18">
        <v>0.12</v>
      </c>
      <c r="E969" s="21">
        <v>9.4887929345830457E-3</v>
      </c>
      <c r="F969" s="5">
        <v>38959</v>
      </c>
      <c r="G969" s="5">
        <v>39294</v>
      </c>
      <c r="H969" s="16">
        <v>335</v>
      </c>
      <c r="I969" s="5">
        <v>39294</v>
      </c>
      <c r="J969" s="5">
        <v>39059</v>
      </c>
      <c r="K969" s="16">
        <v>100</v>
      </c>
      <c r="L969" s="13">
        <v>1514.36</v>
      </c>
      <c r="M969" s="15">
        <v>143.56770647419432</v>
      </c>
      <c r="N969" s="13">
        <v>1514.36</v>
      </c>
      <c r="O969" s="13">
        <v>0</v>
      </c>
      <c r="P969" s="11">
        <v>0</v>
      </c>
    </row>
    <row r="970" spans="1:16" ht="15" thickBot="1" x14ac:dyDescent="0.3">
      <c r="A970" s="3" t="s">
        <v>11</v>
      </c>
      <c r="B970" s="4">
        <v>688941</v>
      </c>
      <c r="C970" s="3" t="s">
        <v>9</v>
      </c>
      <c r="D970" s="18">
        <v>0.11</v>
      </c>
      <c r="E970" s="21">
        <v>8.7345938235519061E-3</v>
      </c>
      <c r="F970" s="5">
        <v>38966</v>
      </c>
      <c r="G970" s="5">
        <v>40549</v>
      </c>
      <c r="H970" s="16">
        <v>1583</v>
      </c>
      <c r="I970" s="5">
        <v>40549</v>
      </c>
      <c r="J970" s="5">
        <v>39605</v>
      </c>
      <c r="K970" s="16">
        <v>639</v>
      </c>
      <c r="L970" s="13">
        <v>156.83000000000001</v>
      </c>
      <c r="M970" s="15">
        <v>3.7222276927399389</v>
      </c>
      <c r="N970" s="13">
        <v>156.83000000000001</v>
      </c>
      <c r="O970" s="13">
        <v>0</v>
      </c>
      <c r="P970" s="11">
        <v>0</v>
      </c>
    </row>
    <row r="971" spans="1:16" ht="15" thickBot="1" x14ac:dyDescent="0.3">
      <c r="A971" s="3" t="s">
        <v>11</v>
      </c>
      <c r="B971" s="4">
        <v>654715</v>
      </c>
      <c r="C971" s="3" t="s">
        <v>9</v>
      </c>
      <c r="D971" s="18">
        <v>0.1</v>
      </c>
      <c r="E971" s="21">
        <v>7.9741404289037643E-3</v>
      </c>
      <c r="F971" s="5">
        <v>38975</v>
      </c>
      <c r="G971" s="5">
        <v>40344</v>
      </c>
      <c r="H971" s="16">
        <v>1369</v>
      </c>
      <c r="I971" s="5">
        <v>40344</v>
      </c>
      <c r="J971" s="5">
        <v>39262</v>
      </c>
      <c r="K971" s="16">
        <v>287</v>
      </c>
      <c r="L971" s="13">
        <v>10617.36</v>
      </c>
      <c r="M971" s="15">
        <v>278.47694223802586</v>
      </c>
      <c r="N971" s="13">
        <v>10617.36</v>
      </c>
      <c r="O971" s="13">
        <v>0</v>
      </c>
      <c r="P971" s="11">
        <v>0</v>
      </c>
    </row>
    <row r="972" spans="1:16" ht="15" thickBot="1" x14ac:dyDescent="0.3">
      <c r="A972" s="3" t="s">
        <v>11</v>
      </c>
      <c r="B972" s="4">
        <v>979322</v>
      </c>
      <c r="C972" s="3" t="s">
        <v>9</v>
      </c>
      <c r="D972" s="18">
        <v>9.5000000000000001E-2</v>
      </c>
      <c r="E972" s="21">
        <v>7.5915342905825689E-3</v>
      </c>
      <c r="F972" s="5">
        <v>38985</v>
      </c>
      <c r="G972" s="5">
        <v>40811</v>
      </c>
      <c r="H972" s="16">
        <v>1826</v>
      </c>
      <c r="I972" s="5">
        <v>40811</v>
      </c>
      <c r="J972" s="5">
        <v>41289</v>
      </c>
      <c r="K972" s="16">
        <v>2304</v>
      </c>
      <c r="L972" s="13">
        <v>12382.54</v>
      </c>
      <c r="M972" s="15">
        <v>254.80290859822574</v>
      </c>
      <c r="N972" s="13">
        <v>12382.54</v>
      </c>
      <c r="O972" s="13">
        <v>500</v>
      </c>
      <c r="P972" s="11">
        <v>0</v>
      </c>
    </row>
    <row r="973" spans="1:16" ht="15" thickBot="1" x14ac:dyDescent="0.3">
      <c r="A973" s="3" t="s">
        <v>11</v>
      </c>
      <c r="B973" s="4">
        <v>219288</v>
      </c>
      <c r="C973" s="3" t="s">
        <v>9</v>
      </c>
      <c r="D973" s="18">
        <v>0.1</v>
      </c>
      <c r="E973" s="21">
        <v>7.9741404289037643E-3</v>
      </c>
      <c r="F973" s="5">
        <v>38987</v>
      </c>
      <c r="G973" s="5">
        <v>40966</v>
      </c>
      <c r="H973" s="16">
        <v>1979</v>
      </c>
      <c r="I973" s="5">
        <v>40966</v>
      </c>
      <c r="J973" s="5">
        <v>40066</v>
      </c>
      <c r="K973" s="16">
        <v>1079</v>
      </c>
      <c r="L973" s="13">
        <v>4546.1000000000004</v>
      </c>
      <c r="M973" s="15">
        <v>88.890732832713994</v>
      </c>
      <c r="N973" s="13">
        <v>4546.1000000000004</v>
      </c>
      <c r="O973" s="13">
        <v>0</v>
      </c>
      <c r="P973" s="11">
        <v>0</v>
      </c>
    </row>
    <row r="974" spans="1:16" ht="15" thickBot="1" x14ac:dyDescent="0.3">
      <c r="A974" s="3" t="s">
        <v>11</v>
      </c>
      <c r="B974" s="4">
        <v>965354</v>
      </c>
      <c r="C974" s="3" t="s">
        <v>9</v>
      </c>
      <c r="D974" s="18">
        <v>0.1</v>
      </c>
      <c r="E974" s="21">
        <v>7.9741404289037643E-3</v>
      </c>
      <c r="F974" s="5">
        <v>38989</v>
      </c>
      <c r="G974" s="5">
        <v>39720</v>
      </c>
      <c r="H974" s="16">
        <v>731</v>
      </c>
      <c r="I974" s="5">
        <v>39720</v>
      </c>
      <c r="J974" s="5">
        <v>39671</v>
      </c>
      <c r="K974" s="16">
        <v>682</v>
      </c>
      <c r="L974" s="13">
        <v>1869.4</v>
      </c>
      <c r="M974" s="15">
        <v>84.718736325485381</v>
      </c>
      <c r="N974" s="13">
        <v>1869.4</v>
      </c>
      <c r="O974" s="13">
        <v>1600</v>
      </c>
      <c r="P974" s="11">
        <v>0</v>
      </c>
    </row>
    <row r="975" spans="1:16" ht="15" thickBot="1" x14ac:dyDescent="0.3">
      <c r="A975" s="3" t="s">
        <v>11</v>
      </c>
      <c r="B975" s="4">
        <v>56681</v>
      </c>
      <c r="C975" s="3" t="s">
        <v>9</v>
      </c>
      <c r="D975" s="18">
        <v>0.11</v>
      </c>
      <c r="E975" s="21">
        <v>8.7345938235519061E-3</v>
      </c>
      <c r="F975" s="5">
        <v>38992</v>
      </c>
      <c r="G975" s="5">
        <v>40879</v>
      </c>
      <c r="H975" s="16">
        <v>1887</v>
      </c>
      <c r="I975" s="5">
        <v>40879</v>
      </c>
      <c r="J975" s="5">
        <v>42474</v>
      </c>
      <c r="K975" s="16">
        <v>3482</v>
      </c>
      <c r="L975" s="13">
        <v>6209.96</v>
      </c>
      <c r="M975" s="15">
        <v>128.73914600605906</v>
      </c>
      <c r="N975" s="13">
        <v>6209.96</v>
      </c>
      <c r="O975" s="13">
        <v>0</v>
      </c>
      <c r="P975" s="11">
        <v>0</v>
      </c>
    </row>
    <row r="976" spans="1:16" ht="15" thickBot="1" x14ac:dyDescent="0.3">
      <c r="A976" s="3" t="s">
        <v>11</v>
      </c>
      <c r="B976" s="4">
        <v>550794</v>
      </c>
      <c r="C976" s="3" t="s">
        <v>9</v>
      </c>
      <c r="D976" s="18">
        <v>0.12</v>
      </c>
      <c r="E976" s="21">
        <v>9.4887929345830457E-3</v>
      </c>
      <c r="F976" s="5">
        <v>38995</v>
      </c>
      <c r="G976" s="5">
        <v>39360</v>
      </c>
      <c r="H976" s="16">
        <v>365</v>
      </c>
      <c r="I976" s="5">
        <v>39360</v>
      </c>
      <c r="J976" s="5">
        <v>39059</v>
      </c>
      <c r="K976" s="16">
        <v>64</v>
      </c>
      <c r="L976" s="13">
        <v>1724.08</v>
      </c>
      <c r="M976" s="15">
        <v>150.71278283893884</v>
      </c>
      <c r="N976" s="13">
        <v>1724.08</v>
      </c>
      <c r="O976" s="13">
        <v>0</v>
      </c>
      <c r="P976" s="11">
        <v>0</v>
      </c>
    </row>
    <row r="977" spans="1:16" ht="15" thickBot="1" x14ac:dyDescent="0.3">
      <c r="A977" s="3" t="s">
        <v>11</v>
      </c>
      <c r="B977" s="4">
        <v>554473</v>
      </c>
      <c r="C977" s="3" t="s">
        <v>9</v>
      </c>
      <c r="D977" s="18">
        <v>0.105</v>
      </c>
      <c r="E977" s="21">
        <v>8.355155683635207E-3</v>
      </c>
      <c r="F977" s="5">
        <v>39013</v>
      </c>
      <c r="G977" s="5">
        <v>40664</v>
      </c>
      <c r="H977" s="16">
        <v>1651</v>
      </c>
      <c r="I977" s="5">
        <v>40664</v>
      </c>
      <c r="J977" s="5">
        <v>40641</v>
      </c>
      <c r="K977" s="16">
        <v>1628</v>
      </c>
      <c r="L977" s="13">
        <v>11878.3</v>
      </c>
      <c r="M977" s="15">
        <v>270.13510560690395</v>
      </c>
      <c r="N977" s="13">
        <v>11878.3</v>
      </c>
      <c r="O977" s="13">
        <v>0</v>
      </c>
      <c r="P977" s="11">
        <v>0</v>
      </c>
    </row>
    <row r="978" spans="1:16" ht="15" thickBot="1" x14ac:dyDescent="0.3">
      <c r="A978" s="3" t="s">
        <v>11</v>
      </c>
      <c r="B978" s="4">
        <v>191785</v>
      </c>
      <c r="C978" s="3" t="s">
        <v>9</v>
      </c>
      <c r="D978" s="18">
        <v>9.5000000000000001E-2</v>
      </c>
      <c r="E978" s="21">
        <v>7.5915342905825689E-3</v>
      </c>
      <c r="F978" s="5">
        <v>39028</v>
      </c>
      <c r="G978" s="5">
        <v>40397</v>
      </c>
      <c r="H978" s="16">
        <v>1369</v>
      </c>
      <c r="I978" s="5">
        <v>40397</v>
      </c>
      <c r="J978" s="5">
        <v>40318</v>
      </c>
      <c r="K978" s="16">
        <v>1290</v>
      </c>
      <c r="L978" s="13">
        <v>4647.79</v>
      </c>
      <c r="M978" s="15">
        <v>120.89156117541012</v>
      </c>
      <c r="N978" s="13">
        <v>4647.79</v>
      </c>
      <c r="O978" s="13">
        <v>0</v>
      </c>
      <c r="P978" s="11">
        <v>0</v>
      </c>
    </row>
    <row r="979" spans="1:16" ht="15" thickBot="1" x14ac:dyDescent="0.3">
      <c r="A979" s="3" t="s">
        <v>11</v>
      </c>
      <c r="B979" s="4">
        <v>457715</v>
      </c>
      <c r="C979" s="3" t="s">
        <v>9</v>
      </c>
      <c r="D979" s="18">
        <v>0.09</v>
      </c>
      <c r="E979" s="21">
        <v>7.2073233161367156E-3</v>
      </c>
      <c r="F979" s="5">
        <v>39029</v>
      </c>
      <c r="G979" s="5">
        <v>43259</v>
      </c>
      <c r="H979" s="16">
        <v>4230</v>
      </c>
      <c r="I979" s="5">
        <v>43259</v>
      </c>
      <c r="J979" s="5">
        <v>43005</v>
      </c>
      <c r="K979" s="16">
        <v>3976</v>
      </c>
      <c r="L979" s="13">
        <v>18300</v>
      </c>
      <c r="M979" s="15">
        <v>207.14525166943653</v>
      </c>
      <c r="N979" s="13">
        <v>18300</v>
      </c>
      <c r="O979" s="13">
        <v>0</v>
      </c>
      <c r="P979" s="11">
        <v>1</v>
      </c>
    </row>
    <row r="980" spans="1:16" ht="15" thickBot="1" x14ac:dyDescent="0.3">
      <c r="A980" s="3" t="s">
        <v>11</v>
      </c>
      <c r="B980" s="4">
        <v>249876</v>
      </c>
      <c r="C980" s="3" t="s">
        <v>9</v>
      </c>
      <c r="D980" s="18">
        <v>0.1</v>
      </c>
      <c r="E980" s="21">
        <v>7.9741404289037643E-3</v>
      </c>
      <c r="F980" s="5">
        <v>39042</v>
      </c>
      <c r="G980" s="5">
        <v>40518</v>
      </c>
      <c r="H980" s="16">
        <v>1476</v>
      </c>
      <c r="I980" s="5">
        <v>40518</v>
      </c>
      <c r="J980" s="5">
        <v>41754</v>
      </c>
      <c r="K980" s="16">
        <v>2712</v>
      </c>
      <c r="L980" s="13">
        <v>2550.0100000000002</v>
      </c>
      <c r="M980" s="15">
        <v>62.863402711706691</v>
      </c>
      <c r="N980" s="13">
        <v>2550.0100000000002</v>
      </c>
      <c r="O980" s="13">
        <v>0</v>
      </c>
      <c r="P980" s="11">
        <v>0</v>
      </c>
    </row>
    <row r="981" spans="1:16" ht="15" thickBot="1" x14ac:dyDescent="0.3">
      <c r="A981" s="3" t="s">
        <v>11</v>
      </c>
      <c r="B981" s="4">
        <v>148592</v>
      </c>
      <c r="C981" s="3" t="s">
        <v>9</v>
      </c>
      <c r="D981" s="18">
        <v>0.11</v>
      </c>
      <c r="E981" s="21">
        <v>8.7345938235519061E-3</v>
      </c>
      <c r="F981" s="5">
        <v>39052</v>
      </c>
      <c r="G981" s="5">
        <v>39417</v>
      </c>
      <c r="H981" s="16">
        <v>365</v>
      </c>
      <c r="I981" s="5">
        <v>39417</v>
      </c>
      <c r="J981" s="5">
        <v>39332</v>
      </c>
      <c r="K981" s="16">
        <v>280</v>
      </c>
      <c r="L981" s="13">
        <v>498.85</v>
      </c>
      <c r="M981" s="15">
        <v>43.397214246282495</v>
      </c>
      <c r="N981" s="13">
        <v>498.85</v>
      </c>
      <c r="O981" s="13">
        <v>0</v>
      </c>
      <c r="P981" s="11">
        <v>0</v>
      </c>
    </row>
    <row r="982" spans="1:16" ht="15" thickBot="1" x14ac:dyDescent="0.3">
      <c r="A982" s="3" t="s">
        <v>11</v>
      </c>
      <c r="B982" s="4">
        <v>845247</v>
      </c>
      <c r="C982" s="3" t="s">
        <v>9</v>
      </c>
      <c r="D982" s="18">
        <v>9.5000000000000001E-2</v>
      </c>
      <c r="E982" s="21">
        <v>7.5915342905825689E-3</v>
      </c>
      <c r="F982" s="5">
        <v>39094</v>
      </c>
      <c r="G982" s="5">
        <v>40190</v>
      </c>
      <c r="H982" s="16">
        <v>1096</v>
      </c>
      <c r="I982" s="5">
        <v>40190</v>
      </c>
      <c r="J982" s="5">
        <v>39790</v>
      </c>
      <c r="K982" s="16">
        <v>696</v>
      </c>
      <c r="L982" s="13">
        <v>5114.8599999999997</v>
      </c>
      <c r="M982" s="15">
        <v>160.8437730962238</v>
      </c>
      <c r="N982" s="13">
        <v>5114.8599999999997</v>
      </c>
      <c r="O982" s="13">
        <v>0</v>
      </c>
      <c r="P982" s="11">
        <v>0</v>
      </c>
    </row>
    <row r="983" spans="1:16" ht="15" thickBot="1" x14ac:dyDescent="0.3">
      <c r="A983" s="3" t="s">
        <v>11</v>
      </c>
      <c r="B983" s="4">
        <v>490783</v>
      </c>
      <c r="C983" s="3" t="s">
        <v>3</v>
      </c>
      <c r="D983" s="18">
        <v>0.06</v>
      </c>
      <c r="E983" s="21">
        <v>4.8675505653430484E-3</v>
      </c>
      <c r="F983" s="5">
        <v>39115</v>
      </c>
      <c r="G983" s="5">
        <v>40941</v>
      </c>
      <c r="H983" s="16">
        <v>1826</v>
      </c>
      <c r="I983" s="5">
        <v>43314</v>
      </c>
      <c r="J983" s="5">
        <v>43734</v>
      </c>
      <c r="K983" s="16">
        <v>4619</v>
      </c>
      <c r="L983" s="13">
        <v>330180</v>
      </c>
      <c r="M983" s="15">
        <v>6280.9457115464256</v>
      </c>
      <c r="N983" s="13">
        <v>196103.86</v>
      </c>
      <c r="O983" s="13">
        <v>0</v>
      </c>
      <c r="P983" s="11">
        <v>0</v>
      </c>
    </row>
    <row r="984" spans="1:16" ht="15" thickBot="1" x14ac:dyDescent="0.3">
      <c r="A984" s="3" t="s">
        <v>11</v>
      </c>
      <c r="B984" s="4">
        <v>562721</v>
      </c>
      <c r="C984" s="3" t="s">
        <v>9</v>
      </c>
      <c r="D984" s="18">
        <v>0.1</v>
      </c>
      <c r="E984" s="21">
        <v>7.9741404289037643E-3</v>
      </c>
      <c r="F984" s="5">
        <v>39129</v>
      </c>
      <c r="G984" s="5">
        <v>41045</v>
      </c>
      <c r="H984" s="16">
        <v>1916</v>
      </c>
      <c r="I984" s="5">
        <v>41045</v>
      </c>
      <c r="J984" s="5">
        <v>39519</v>
      </c>
      <c r="K984" s="16">
        <v>390</v>
      </c>
      <c r="L984" s="13">
        <v>12223.27</v>
      </c>
      <c r="M984" s="15">
        <v>244.98709348614364</v>
      </c>
      <c r="N984" s="13">
        <v>12223.27</v>
      </c>
      <c r="O984" s="13">
        <v>0</v>
      </c>
      <c r="P984" s="11">
        <v>0</v>
      </c>
    </row>
    <row r="985" spans="1:16" ht="15" thickBot="1" x14ac:dyDescent="0.3">
      <c r="A985" s="3" t="s">
        <v>11</v>
      </c>
      <c r="B985" s="4">
        <v>81469</v>
      </c>
      <c r="C985" s="3" t="s">
        <v>9</v>
      </c>
      <c r="D985" s="18">
        <v>9.7500000000000003E-2</v>
      </c>
      <c r="E985" s="21">
        <v>7.7830370878799737E-3</v>
      </c>
      <c r="F985" s="5">
        <v>39140</v>
      </c>
      <c r="G985" s="5">
        <v>39626</v>
      </c>
      <c r="H985" s="16">
        <v>486</v>
      </c>
      <c r="I985" s="5">
        <v>39626</v>
      </c>
      <c r="J985" s="5">
        <v>39405</v>
      </c>
      <c r="K985" s="16">
        <v>265</v>
      </c>
      <c r="L985" s="13">
        <v>663350</v>
      </c>
      <c r="M985" s="15">
        <v>43742.134521350876</v>
      </c>
      <c r="N985" s="13">
        <v>663350</v>
      </c>
      <c r="O985" s="13">
        <v>0</v>
      </c>
      <c r="P985" s="11">
        <v>0</v>
      </c>
    </row>
    <row r="986" spans="1:16" ht="15" thickBot="1" x14ac:dyDescent="0.3">
      <c r="A986" s="3" t="s">
        <v>11</v>
      </c>
      <c r="B986" s="4">
        <v>3138</v>
      </c>
      <c r="C986" s="3" t="s">
        <v>9</v>
      </c>
      <c r="D986" s="18">
        <v>9.7500000000000003E-2</v>
      </c>
      <c r="E986" s="21">
        <v>7.7830370878799737E-3</v>
      </c>
      <c r="F986" s="5">
        <v>39140</v>
      </c>
      <c r="G986" s="5">
        <v>39626</v>
      </c>
      <c r="H986" s="16">
        <v>486</v>
      </c>
      <c r="I986" s="5">
        <v>39626</v>
      </c>
      <c r="J986" s="5">
        <v>39405</v>
      </c>
      <c r="K986" s="16">
        <v>265</v>
      </c>
      <c r="L986" s="13">
        <v>449000</v>
      </c>
      <c r="M986" s="15">
        <v>29607.625537177271</v>
      </c>
      <c r="N986" s="13">
        <v>449000</v>
      </c>
      <c r="O986" s="13">
        <v>0</v>
      </c>
      <c r="P986" s="11">
        <v>0</v>
      </c>
    </row>
    <row r="987" spans="1:16" ht="15" thickBot="1" x14ac:dyDescent="0.3">
      <c r="A987" s="3" t="s">
        <v>11</v>
      </c>
      <c r="B987" s="4">
        <v>320870</v>
      </c>
      <c r="C987" s="3" t="s">
        <v>9</v>
      </c>
      <c r="D987" s="18">
        <v>0.1</v>
      </c>
      <c r="E987" s="21">
        <v>7.9741404289037643E-3</v>
      </c>
      <c r="F987" s="5">
        <v>39141</v>
      </c>
      <c r="G987" s="5">
        <v>40967</v>
      </c>
      <c r="H987" s="16">
        <v>1826</v>
      </c>
      <c r="I987" s="5">
        <v>40967</v>
      </c>
      <c r="J987" s="5">
        <v>40347</v>
      </c>
      <c r="K987" s="16">
        <v>1206</v>
      </c>
      <c r="L987" s="13">
        <v>938.49</v>
      </c>
      <c r="M987" s="15">
        <v>19.522324177581822</v>
      </c>
      <c r="N987" s="13">
        <v>938.49</v>
      </c>
      <c r="O987" s="13">
        <v>0</v>
      </c>
      <c r="P987" s="11">
        <v>0</v>
      </c>
    </row>
    <row r="988" spans="1:16" ht="15" thickBot="1" x14ac:dyDescent="0.3">
      <c r="A988" s="3" t="s">
        <v>11</v>
      </c>
      <c r="B988" s="4">
        <v>549871</v>
      </c>
      <c r="C988" s="3" t="s">
        <v>9</v>
      </c>
      <c r="D988" s="18">
        <v>9.7500000000000003E-2</v>
      </c>
      <c r="E988" s="21">
        <v>7.7830370878799737E-3</v>
      </c>
      <c r="F988" s="5">
        <v>39146</v>
      </c>
      <c r="G988" s="5">
        <v>39421</v>
      </c>
      <c r="H988" s="16">
        <v>275</v>
      </c>
      <c r="I988" s="5">
        <v>39421</v>
      </c>
      <c r="J988" s="5">
        <v>39356</v>
      </c>
      <c r="K988" s="16">
        <v>210</v>
      </c>
      <c r="L988" s="13">
        <v>9189.51</v>
      </c>
      <c r="M988" s="15">
        <v>1042.5728688506508</v>
      </c>
      <c r="N988" s="13">
        <v>816.01</v>
      </c>
      <c r="O988" s="13">
        <v>0</v>
      </c>
      <c r="P988" s="11">
        <v>0</v>
      </c>
    </row>
    <row r="989" spans="1:16" ht="15" thickBot="1" x14ac:dyDescent="0.3">
      <c r="A989" s="3" t="s">
        <v>11</v>
      </c>
      <c r="B989" s="4">
        <v>224352</v>
      </c>
      <c r="C989" s="3" t="s">
        <v>9</v>
      </c>
      <c r="D989" s="18">
        <v>0.12</v>
      </c>
      <c r="E989" s="21">
        <v>9.4887929345830457E-3</v>
      </c>
      <c r="F989" s="5">
        <v>39153</v>
      </c>
      <c r="G989" s="5">
        <v>39703</v>
      </c>
      <c r="H989" s="16">
        <v>550</v>
      </c>
      <c r="I989" s="5">
        <v>39703</v>
      </c>
      <c r="J989" s="5">
        <v>40641</v>
      </c>
      <c r="K989" s="16">
        <v>1488</v>
      </c>
      <c r="L989" s="13">
        <v>2589.7800000000002</v>
      </c>
      <c r="M989" s="15">
        <v>154.57119769769244</v>
      </c>
      <c r="N989" s="13">
        <v>2589.7800000000002</v>
      </c>
      <c r="O989" s="13">
        <v>0</v>
      </c>
      <c r="P989" s="11">
        <v>0</v>
      </c>
    </row>
    <row r="990" spans="1:16" ht="15" thickBot="1" x14ac:dyDescent="0.3">
      <c r="A990" s="3" t="s">
        <v>11</v>
      </c>
      <c r="B990" s="4">
        <v>681053</v>
      </c>
      <c r="C990" s="3" t="s">
        <v>9</v>
      </c>
      <c r="D990" s="18">
        <v>0.105</v>
      </c>
      <c r="E990" s="21">
        <v>8.355155683635207E-3</v>
      </c>
      <c r="F990" s="5">
        <v>39154</v>
      </c>
      <c r="G990" s="5">
        <v>40372</v>
      </c>
      <c r="H990" s="16">
        <v>1218</v>
      </c>
      <c r="I990" s="5">
        <v>40372</v>
      </c>
      <c r="J990" s="5">
        <v>40298</v>
      </c>
      <c r="K990" s="16">
        <v>1144</v>
      </c>
      <c r="L990" s="13">
        <v>4028.82</v>
      </c>
      <c r="M990" s="15">
        <v>117.42250321912705</v>
      </c>
      <c r="N990" s="13">
        <v>4028.82</v>
      </c>
      <c r="O990" s="13">
        <v>40</v>
      </c>
      <c r="P990" s="11">
        <v>0</v>
      </c>
    </row>
    <row r="991" spans="1:16" ht="15" thickBot="1" x14ac:dyDescent="0.3">
      <c r="A991" s="3" t="s">
        <v>11</v>
      </c>
      <c r="B991" s="4">
        <v>142155</v>
      </c>
      <c r="C991" s="3" t="s">
        <v>9</v>
      </c>
      <c r="D991" s="18">
        <v>0.1</v>
      </c>
      <c r="E991" s="21">
        <v>7.9741404289037643E-3</v>
      </c>
      <c r="F991" s="5">
        <v>42048</v>
      </c>
      <c r="G991" s="5">
        <v>44240</v>
      </c>
      <c r="H991" s="16">
        <v>2192</v>
      </c>
      <c r="I991" s="5">
        <v>44240</v>
      </c>
      <c r="J991" s="5">
        <v>43770</v>
      </c>
      <c r="K991" s="16">
        <v>1722</v>
      </c>
      <c r="L991" s="13">
        <v>6915.78</v>
      </c>
      <c r="M991" s="15">
        <v>125.25298933347743</v>
      </c>
      <c r="N991" s="13">
        <v>6915.78</v>
      </c>
      <c r="O991" s="13">
        <v>6900</v>
      </c>
      <c r="P991" s="11">
        <v>1</v>
      </c>
    </row>
    <row r="992" spans="1:16" ht="15" thickBot="1" x14ac:dyDescent="0.3">
      <c r="A992" s="3" t="s">
        <v>11</v>
      </c>
      <c r="B992" s="4">
        <v>649116</v>
      </c>
      <c r="C992" s="3" t="s">
        <v>9</v>
      </c>
      <c r="D992" s="18">
        <v>9.7500000000000003E-2</v>
      </c>
      <c r="E992" s="21">
        <v>7.7830370878799737E-3</v>
      </c>
      <c r="F992" s="5">
        <v>39161</v>
      </c>
      <c r="G992" s="5">
        <v>39619</v>
      </c>
      <c r="H992" s="16">
        <v>458</v>
      </c>
      <c r="I992" s="5">
        <v>39619</v>
      </c>
      <c r="J992" s="5">
        <v>39580</v>
      </c>
      <c r="K992" s="16">
        <v>419</v>
      </c>
      <c r="L992" s="13">
        <v>619860</v>
      </c>
      <c r="M992" s="15">
        <v>43219.753980125453</v>
      </c>
      <c r="N992" s="13">
        <v>619860</v>
      </c>
      <c r="O992" s="13">
        <v>0</v>
      </c>
      <c r="P992" s="11">
        <v>0</v>
      </c>
    </row>
    <row r="993" spans="1:16" ht="15" thickBot="1" x14ac:dyDescent="0.3">
      <c r="A993" s="3" t="s">
        <v>11</v>
      </c>
      <c r="B993" s="4">
        <v>956355</v>
      </c>
      <c r="C993" s="3" t="s">
        <v>9</v>
      </c>
      <c r="D993" s="18">
        <v>0.1</v>
      </c>
      <c r="E993" s="21">
        <v>7.9741404289037643E-3</v>
      </c>
      <c r="F993" s="5">
        <v>39162</v>
      </c>
      <c r="G993" s="5">
        <v>40999</v>
      </c>
      <c r="H993" s="16">
        <v>1837</v>
      </c>
      <c r="I993" s="5">
        <v>40999</v>
      </c>
      <c r="J993" s="5">
        <v>39384</v>
      </c>
      <c r="K993" s="16">
        <v>222</v>
      </c>
      <c r="L993" s="13">
        <v>2921.34</v>
      </c>
      <c r="M993" s="15">
        <v>60.48630761293353</v>
      </c>
      <c r="N993" s="13">
        <v>2921.34</v>
      </c>
      <c r="O993" s="13">
        <v>0</v>
      </c>
      <c r="P993" s="11">
        <v>0</v>
      </c>
    </row>
    <row r="994" spans="1:16" ht="15" thickBot="1" x14ac:dyDescent="0.3">
      <c r="A994" s="3" t="s">
        <v>11</v>
      </c>
      <c r="B994" s="4">
        <v>872088</v>
      </c>
      <c r="C994" s="3" t="s">
        <v>9</v>
      </c>
      <c r="D994" s="18">
        <v>0.11</v>
      </c>
      <c r="E994" s="21">
        <v>8.7345938235519061E-3</v>
      </c>
      <c r="F994" s="5">
        <v>39171</v>
      </c>
      <c r="G994" s="5">
        <v>40999</v>
      </c>
      <c r="H994" s="16">
        <v>1828</v>
      </c>
      <c r="I994" s="5">
        <v>40999</v>
      </c>
      <c r="J994" s="5">
        <v>39538</v>
      </c>
      <c r="K994" s="16">
        <v>367</v>
      </c>
      <c r="L994" s="13">
        <v>3576.73</v>
      </c>
      <c r="M994" s="15">
        <v>75.948889824815794</v>
      </c>
      <c r="N994" s="13">
        <v>3576.73</v>
      </c>
      <c r="O994" s="13">
        <v>0</v>
      </c>
      <c r="P994" s="11">
        <v>0</v>
      </c>
    </row>
    <row r="995" spans="1:16" ht="15" thickBot="1" x14ac:dyDescent="0.3">
      <c r="A995" s="3" t="s">
        <v>11</v>
      </c>
      <c r="B995" s="4">
        <v>184085</v>
      </c>
      <c r="C995" s="3" t="s">
        <v>9</v>
      </c>
      <c r="D995" s="18">
        <v>0.12</v>
      </c>
      <c r="E995" s="21">
        <v>9.4887929345830457E-3</v>
      </c>
      <c r="F995" s="5">
        <v>39175</v>
      </c>
      <c r="G995" s="5">
        <v>39541</v>
      </c>
      <c r="H995" s="16">
        <v>366</v>
      </c>
      <c r="I995" s="5">
        <v>39541</v>
      </c>
      <c r="J995" s="5">
        <v>39367</v>
      </c>
      <c r="K995" s="16">
        <v>192</v>
      </c>
      <c r="L995" s="13">
        <v>974.25</v>
      </c>
      <c r="M995" s="15">
        <v>84.945801087507434</v>
      </c>
      <c r="N995" s="13">
        <v>974.25</v>
      </c>
      <c r="O995" s="13">
        <v>0</v>
      </c>
      <c r="P995" s="11">
        <v>0</v>
      </c>
    </row>
    <row r="996" spans="1:16" ht="15" thickBot="1" x14ac:dyDescent="0.3">
      <c r="A996" s="3" t="s">
        <v>11</v>
      </c>
      <c r="B996" s="4">
        <v>216792</v>
      </c>
      <c r="C996" s="3" t="s">
        <v>9</v>
      </c>
      <c r="D996" s="18">
        <v>0.1</v>
      </c>
      <c r="E996" s="21">
        <v>7.9741404289037643E-3</v>
      </c>
      <c r="F996" s="5">
        <v>39175</v>
      </c>
      <c r="G996" s="5">
        <v>40819</v>
      </c>
      <c r="H996" s="16">
        <v>1644</v>
      </c>
      <c r="I996" s="5">
        <v>40819</v>
      </c>
      <c r="J996" s="5">
        <v>42474</v>
      </c>
      <c r="K996" s="16">
        <v>3299</v>
      </c>
      <c r="L996" s="13">
        <v>10491.98</v>
      </c>
      <c r="M996" s="15">
        <v>237.07914431495337</v>
      </c>
      <c r="N996" s="13">
        <v>10491.98</v>
      </c>
      <c r="O996" s="13">
        <v>0</v>
      </c>
      <c r="P996" s="11">
        <v>0</v>
      </c>
    </row>
    <row r="997" spans="1:16" ht="15" thickBot="1" x14ac:dyDescent="0.3">
      <c r="A997" s="3" t="s">
        <v>11</v>
      </c>
      <c r="B997" s="4">
        <v>137701</v>
      </c>
      <c r="C997" s="3" t="s">
        <v>9</v>
      </c>
      <c r="D997" s="18">
        <v>0.1</v>
      </c>
      <c r="E997" s="21">
        <v>7.9741404289037643E-3</v>
      </c>
      <c r="F997" s="5">
        <v>39177</v>
      </c>
      <c r="G997" s="5">
        <v>39908</v>
      </c>
      <c r="H997" s="16">
        <v>731</v>
      </c>
      <c r="I997" s="5">
        <v>39908</v>
      </c>
      <c r="J997" s="5">
        <v>39254</v>
      </c>
      <c r="K997" s="16">
        <v>77</v>
      </c>
      <c r="L997" s="13">
        <v>9273.75</v>
      </c>
      <c r="M997" s="15">
        <v>420.27408847676793</v>
      </c>
      <c r="N997" s="13">
        <v>9273.75</v>
      </c>
      <c r="O997" s="13">
        <v>0</v>
      </c>
      <c r="P997" s="11">
        <v>0</v>
      </c>
    </row>
    <row r="998" spans="1:16" ht="15" thickBot="1" x14ac:dyDescent="0.3">
      <c r="A998" s="3" t="s">
        <v>11</v>
      </c>
      <c r="B998" s="4">
        <v>169035</v>
      </c>
      <c r="C998" s="3" t="s">
        <v>9</v>
      </c>
      <c r="D998" s="18">
        <v>9.7500000000000003E-2</v>
      </c>
      <c r="E998" s="21">
        <v>7.7830370878799737E-3</v>
      </c>
      <c r="F998" s="5">
        <v>39190</v>
      </c>
      <c r="G998" s="5">
        <v>39995</v>
      </c>
      <c r="H998" s="16">
        <v>805</v>
      </c>
      <c r="I998" s="5">
        <v>39995</v>
      </c>
      <c r="J998" s="5">
        <v>40380</v>
      </c>
      <c r="K998" s="16">
        <v>1190</v>
      </c>
      <c r="L998" s="13">
        <v>983600.5</v>
      </c>
      <c r="M998" s="15">
        <v>40758.702817395693</v>
      </c>
      <c r="N998" s="13">
        <v>983600</v>
      </c>
      <c r="O998" s="13">
        <v>0</v>
      </c>
      <c r="P998" s="11">
        <v>0</v>
      </c>
    </row>
    <row r="999" spans="1:16" ht="15" thickBot="1" x14ac:dyDescent="0.3">
      <c r="A999" s="3" t="s">
        <v>11</v>
      </c>
      <c r="B999" s="4">
        <v>202047</v>
      </c>
      <c r="C999" s="3" t="s">
        <v>9</v>
      </c>
      <c r="D999" s="18">
        <v>9.7500000000000003E-2</v>
      </c>
      <c r="E999" s="21">
        <v>7.7830370878799737E-3</v>
      </c>
      <c r="F999" s="5">
        <v>39196</v>
      </c>
      <c r="G999" s="5">
        <v>39623</v>
      </c>
      <c r="H999" s="16">
        <v>427</v>
      </c>
      <c r="I999" s="5">
        <v>39623</v>
      </c>
      <c r="J999" s="5">
        <v>41157</v>
      </c>
      <c r="K999" s="16">
        <v>1961</v>
      </c>
      <c r="L999" s="13">
        <v>560302.71</v>
      </c>
      <c r="M999" s="15">
        <v>41739.045568556721</v>
      </c>
      <c r="N999" s="13">
        <v>560302.71</v>
      </c>
      <c r="O999" s="13">
        <v>0</v>
      </c>
      <c r="P999" s="11">
        <v>0</v>
      </c>
    </row>
    <row r="1000" spans="1:16" ht="15" thickBot="1" x14ac:dyDescent="0.3">
      <c r="A1000" s="3" t="s">
        <v>11</v>
      </c>
      <c r="B1000" s="4">
        <v>239130</v>
      </c>
      <c r="C1000" s="3" t="s">
        <v>9</v>
      </c>
      <c r="D1000" s="18">
        <v>9.7500000000000003E-2</v>
      </c>
      <c r="E1000" s="21">
        <v>7.7830370878799737E-3</v>
      </c>
      <c r="F1000" s="5">
        <v>39196</v>
      </c>
      <c r="G1000" s="5">
        <v>39531</v>
      </c>
      <c r="H1000" s="16">
        <v>335</v>
      </c>
      <c r="I1000" s="5">
        <v>39531</v>
      </c>
      <c r="J1000" s="5">
        <v>43633</v>
      </c>
      <c r="K1000" s="16">
        <v>4437</v>
      </c>
      <c r="L1000" s="13">
        <v>603660</v>
      </c>
      <c r="M1000" s="15">
        <v>56652.250491710452</v>
      </c>
      <c r="N1000" s="13">
        <v>520043.85</v>
      </c>
      <c r="O1000" s="13">
        <v>0</v>
      </c>
      <c r="P1000" s="11">
        <v>0</v>
      </c>
    </row>
    <row r="1001" spans="1:16" ht="15" thickBot="1" x14ac:dyDescent="0.3">
      <c r="A1001" s="3" t="s">
        <v>11</v>
      </c>
      <c r="B1001" s="4">
        <v>677421</v>
      </c>
      <c r="C1001" s="3" t="s">
        <v>9</v>
      </c>
      <c r="D1001" s="18">
        <v>0.12</v>
      </c>
      <c r="E1001" s="21">
        <v>9.4887929345830457E-3</v>
      </c>
      <c r="F1001" s="5">
        <v>39197</v>
      </c>
      <c r="G1001" s="5">
        <v>40568</v>
      </c>
      <c r="H1001" s="16">
        <v>1371</v>
      </c>
      <c r="I1001" s="5">
        <v>40568</v>
      </c>
      <c r="J1001" s="5">
        <v>40032</v>
      </c>
      <c r="K1001" s="16">
        <v>835</v>
      </c>
      <c r="L1001" s="13">
        <v>2189.0700000000002</v>
      </c>
      <c r="M1001" s="15">
        <v>59.258360145464621</v>
      </c>
      <c r="N1001" s="13">
        <v>2189.0700000000002</v>
      </c>
      <c r="O1001" s="13">
        <v>0</v>
      </c>
      <c r="P1001" s="11">
        <v>0</v>
      </c>
    </row>
    <row r="1002" spans="1:16" ht="15" thickBot="1" x14ac:dyDescent="0.3">
      <c r="A1002" s="3" t="s">
        <v>11</v>
      </c>
      <c r="B1002" s="4">
        <v>420821</v>
      </c>
      <c r="C1002" s="3" t="s">
        <v>9</v>
      </c>
      <c r="D1002" s="18">
        <v>9.7500000000000003E-2</v>
      </c>
      <c r="E1002" s="21">
        <v>7.7830370878799737E-3</v>
      </c>
      <c r="F1002" s="5">
        <v>39210</v>
      </c>
      <c r="G1002" s="5">
        <v>40155</v>
      </c>
      <c r="H1002" s="16">
        <v>945</v>
      </c>
      <c r="I1002" s="5">
        <v>40155</v>
      </c>
      <c r="J1002" s="5">
        <v>39994</v>
      </c>
      <c r="K1002" s="16">
        <v>784</v>
      </c>
      <c r="L1002" s="13">
        <v>254000</v>
      </c>
      <c r="M1002" s="15">
        <v>9123.4689828249539</v>
      </c>
      <c r="N1002" s="13">
        <v>254000</v>
      </c>
      <c r="O1002" s="13">
        <v>0</v>
      </c>
      <c r="P1002" s="11">
        <v>0</v>
      </c>
    </row>
    <row r="1003" spans="1:16" ht="15" thickBot="1" x14ac:dyDescent="0.3">
      <c r="A1003" s="3" t="s">
        <v>11</v>
      </c>
      <c r="B1003" s="4">
        <v>291927</v>
      </c>
      <c r="C1003" s="3" t="s">
        <v>9</v>
      </c>
      <c r="D1003" s="18">
        <v>9.7500000000000003E-2</v>
      </c>
      <c r="E1003" s="21">
        <v>7.7830370878799737E-3</v>
      </c>
      <c r="F1003" s="5">
        <v>39223</v>
      </c>
      <c r="G1003" s="5">
        <v>39712</v>
      </c>
      <c r="H1003" s="16">
        <v>489</v>
      </c>
      <c r="I1003" s="5">
        <v>39712</v>
      </c>
      <c r="J1003" s="5">
        <v>39538</v>
      </c>
      <c r="K1003" s="16">
        <v>315</v>
      </c>
      <c r="L1003" s="13">
        <v>134710</v>
      </c>
      <c r="M1003" s="15">
        <v>8831.8015681582619</v>
      </c>
      <c r="N1003" s="13">
        <v>134710</v>
      </c>
      <c r="O1003" s="13">
        <v>0</v>
      </c>
      <c r="P1003" s="11">
        <v>0</v>
      </c>
    </row>
    <row r="1004" spans="1:16" ht="15" thickBot="1" x14ac:dyDescent="0.3">
      <c r="A1004" s="3" t="s">
        <v>11</v>
      </c>
      <c r="B1004" s="4">
        <v>475269</v>
      </c>
      <c r="C1004" s="3" t="s">
        <v>9</v>
      </c>
      <c r="D1004" s="18">
        <v>0.1</v>
      </c>
      <c r="E1004" s="21">
        <v>7.9741404289037643E-3</v>
      </c>
      <c r="F1004" s="5">
        <v>39231</v>
      </c>
      <c r="G1004" s="5">
        <v>40692</v>
      </c>
      <c r="H1004" s="16">
        <v>1461</v>
      </c>
      <c r="I1004" s="5">
        <v>40692</v>
      </c>
      <c r="J1004" s="5">
        <v>39617</v>
      </c>
      <c r="K1004" s="16">
        <v>386</v>
      </c>
      <c r="L1004" s="13">
        <v>9138</v>
      </c>
      <c r="M1004" s="15">
        <v>227.16252483405322</v>
      </c>
      <c r="N1004" s="13">
        <v>9138</v>
      </c>
      <c r="O1004" s="13">
        <v>0</v>
      </c>
      <c r="P1004" s="11">
        <v>0</v>
      </c>
    </row>
    <row r="1005" spans="1:16" ht="15" thickBot="1" x14ac:dyDescent="0.3">
      <c r="A1005" s="3" t="s">
        <v>11</v>
      </c>
      <c r="B1005" s="4">
        <v>575928</v>
      </c>
      <c r="C1005" s="3" t="s">
        <v>9</v>
      </c>
      <c r="D1005" s="18">
        <v>0.12</v>
      </c>
      <c r="E1005" s="21">
        <v>9.4887929345830457E-3</v>
      </c>
      <c r="F1005" s="5">
        <v>39233</v>
      </c>
      <c r="G1005" s="5">
        <v>39902</v>
      </c>
      <c r="H1005" s="16">
        <v>669</v>
      </c>
      <c r="I1005" s="5">
        <v>39902</v>
      </c>
      <c r="J1005" s="5">
        <v>40555</v>
      </c>
      <c r="K1005" s="16">
        <v>1322</v>
      </c>
      <c r="L1005" s="13">
        <v>442.61</v>
      </c>
      <c r="M1005" s="15">
        <v>22.115571394568008</v>
      </c>
      <c r="N1005" s="13">
        <v>442.61</v>
      </c>
      <c r="O1005" s="13">
        <v>0</v>
      </c>
      <c r="P1005" s="11">
        <v>0</v>
      </c>
    </row>
    <row r="1006" spans="1:16" ht="15" thickBot="1" x14ac:dyDescent="0.3">
      <c r="A1006" s="3" t="s">
        <v>11</v>
      </c>
      <c r="B1006" s="4">
        <v>951288</v>
      </c>
      <c r="C1006" s="3" t="s">
        <v>9</v>
      </c>
      <c r="D1006" s="18">
        <v>9.7500000000000003E-2</v>
      </c>
      <c r="E1006" s="21">
        <v>7.7830370878799737E-3</v>
      </c>
      <c r="F1006" s="5">
        <v>39258</v>
      </c>
      <c r="G1006" s="5">
        <v>40075</v>
      </c>
      <c r="H1006" s="16">
        <v>817</v>
      </c>
      <c r="I1006" s="5">
        <v>40075</v>
      </c>
      <c r="J1006" s="5">
        <v>39708</v>
      </c>
      <c r="K1006" s="16">
        <v>450</v>
      </c>
      <c r="L1006" s="13">
        <v>99290</v>
      </c>
      <c r="M1006" s="15">
        <v>4060.0450313590222</v>
      </c>
      <c r="N1006" s="13">
        <v>99290</v>
      </c>
      <c r="O1006" s="13">
        <v>0</v>
      </c>
      <c r="P1006" s="11">
        <v>0</v>
      </c>
    </row>
    <row r="1007" spans="1:16" ht="15" thickBot="1" x14ac:dyDescent="0.3">
      <c r="A1007" s="3" t="s">
        <v>11</v>
      </c>
      <c r="B1007" s="4">
        <v>188636</v>
      </c>
      <c r="C1007" s="3" t="s">
        <v>9</v>
      </c>
      <c r="D1007" s="18">
        <v>9.7500000000000003E-2</v>
      </c>
      <c r="E1007" s="21">
        <v>7.7830370878799737E-3</v>
      </c>
      <c r="F1007" s="5">
        <v>39258</v>
      </c>
      <c r="G1007" s="5">
        <v>39989</v>
      </c>
      <c r="H1007" s="16">
        <v>731</v>
      </c>
      <c r="I1007" s="5">
        <v>39989</v>
      </c>
      <c r="J1007" s="5">
        <v>39815</v>
      </c>
      <c r="K1007" s="16">
        <v>557</v>
      </c>
      <c r="L1007" s="13">
        <v>132085</v>
      </c>
      <c r="M1007" s="15">
        <v>5971.9780919617051</v>
      </c>
      <c r="N1007" s="13">
        <v>132085</v>
      </c>
      <c r="O1007" s="13">
        <v>0</v>
      </c>
      <c r="P1007" s="11">
        <v>0</v>
      </c>
    </row>
    <row r="1008" spans="1:16" ht="15" thickBot="1" x14ac:dyDescent="0.3">
      <c r="A1008" s="3" t="s">
        <v>11</v>
      </c>
      <c r="B1008" s="4">
        <v>503838</v>
      </c>
      <c r="C1008" s="3" t="s">
        <v>9</v>
      </c>
      <c r="D1008" s="18">
        <v>0.12</v>
      </c>
      <c r="E1008" s="21">
        <v>9.4887929345830457E-3</v>
      </c>
      <c r="F1008" s="5">
        <v>39259</v>
      </c>
      <c r="G1008" s="5">
        <v>39625</v>
      </c>
      <c r="H1008" s="16">
        <v>366</v>
      </c>
      <c r="I1008" s="5">
        <v>39625</v>
      </c>
      <c r="J1008" s="5">
        <v>39437</v>
      </c>
      <c r="K1008" s="16">
        <v>178</v>
      </c>
      <c r="L1008" s="13">
        <v>1034.1300000000001</v>
      </c>
      <c r="M1008" s="15">
        <v>90.166796282908976</v>
      </c>
      <c r="N1008" s="13">
        <v>1034.1300000000001</v>
      </c>
      <c r="O1008" s="13">
        <v>0</v>
      </c>
      <c r="P1008" s="11">
        <v>0</v>
      </c>
    </row>
    <row r="1009" spans="1:16" ht="15" thickBot="1" x14ac:dyDescent="0.3">
      <c r="A1009" s="3" t="s">
        <v>11</v>
      </c>
      <c r="B1009" s="4">
        <v>399719</v>
      </c>
      <c r="C1009" s="3" t="s">
        <v>9</v>
      </c>
      <c r="D1009" s="18">
        <v>0.1</v>
      </c>
      <c r="E1009" s="21">
        <v>7.9741404289037643E-3</v>
      </c>
      <c r="F1009" s="5">
        <v>39262</v>
      </c>
      <c r="G1009" s="5">
        <v>41333</v>
      </c>
      <c r="H1009" s="16">
        <v>2071</v>
      </c>
      <c r="I1009" s="5">
        <v>41333</v>
      </c>
      <c r="J1009" s="5">
        <v>39365</v>
      </c>
      <c r="K1009" s="16">
        <v>103</v>
      </c>
      <c r="L1009" s="13">
        <v>17446.59</v>
      </c>
      <c r="M1009" s="15">
        <v>329.61917804107867</v>
      </c>
      <c r="N1009" s="13">
        <v>17446.59</v>
      </c>
      <c r="O1009" s="13">
        <v>0</v>
      </c>
      <c r="P1009" s="11">
        <v>0</v>
      </c>
    </row>
    <row r="1010" spans="1:16" ht="15" thickBot="1" x14ac:dyDescent="0.3">
      <c r="A1010" s="3" t="s">
        <v>11</v>
      </c>
      <c r="B1010" s="4">
        <v>182323</v>
      </c>
      <c r="C1010" s="3" t="s">
        <v>9</v>
      </c>
      <c r="D1010" s="18">
        <v>9.7500000000000003E-2</v>
      </c>
      <c r="E1010" s="21">
        <v>7.7830370878799737E-3</v>
      </c>
      <c r="F1010" s="5">
        <v>39268</v>
      </c>
      <c r="G1010" s="5">
        <v>39646</v>
      </c>
      <c r="H1010" s="16">
        <v>378</v>
      </c>
      <c r="I1010" s="5">
        <v>39646</v>
      </c>
      <c r="J1010" s="5">
        <v>41339</v>
      </c>
      <c r="K1010" s="16">
        <v>2071</v>
      </c>
      <c r="L1010" s="13">
        <v>34914.01</v>
      </c>
      <c r="M1010" s="15">
        <v>2919.802711483751</v>
      </c>
      <c r="N1010" s="13">
        <v>34914.01</v>
      </c>
      <c r="O1010" s="13">
        <v>0</v>
      </c>
      <c r="P1010" s="11">
        <v>0</v>
      </c>
    </row>
    <row r="1011" spans="1:16" ht="15" thickBot="1" x14ac:dyDescent="0.3">
      <c r="A1011" s="3" t="s">
        <v>11</v>
      </c>
      <c r="B1011" s="4">
        <v>195980</v>
      </c>
      <c r="C1011" s="3" t="s">
        <v>9</v>
      </c>
      <c r="D1011" s="18">
        <v>0.1</v>
      </c>
      <c r="E1011" s="21">
        <v>7.9741404289037643E-3</v>
      </c>
      <c r="F1011" s="5">
        <v>39269</v>
      </c>
      <c r="G1011" s="5">
        <v>41096</v>
      </c>
      <c r="H1011" s="16">
        <v>1827</v>
      </c>
      <c r="I1011" s="5">
        <v>41096</v>
      </c>
      <c r="J1011" s="5">
        <v>39931</v>
      </c>
      <c r="K1011" s="16">
        <v>662</v>
      </c>
      <c r="L1011" s="13">
        <v>9784.2099999999991</v>
      </c>
      <c r="M1011" s="15">
        <v>203.44299303185537</v>
      </c>
      <c r="N1011" s="13">
        <v>9784.2099999999991</v>
      </c>
      <c r="O1011" s="13">
        <v>0</v>
      </c>
      <c r="P1011" s="11">
        <v>0</v>
      </c>
    </row>
    <row r="1012" spans="1:16" ht="15" thickBot="1" x14ac:dyDescent="0.3">
      <c r="A1012" s="3" t="s">
        <v>11</v>
      </c>
      <c r="B1012" s="4">
        <v>957786</v>
      </c>
      <c r="C1012" s="3" t="s">
        <v>9</v>
      </c>
      <c r="D1012" s="18">
        <v>0.11</v>
      </c>
      <c r="E1012" s="21">
        <v>8.7345938235519061E-3</v>
      </c>
      <c r="F1012" s="5">
        <v>39269</v>
      </c>
      <c r="G1012" s="5">
        <v>41553</v>
      </c>
      <c r="H1012" s="16">
        <v>2284</v>
      </c>
      <c r="I1012" s="5">
        <v>41553</v>
      </c>
      <c r="J1012" s="5">
        <v>40360</v>
      </c>
      <c r="K1012" s="16">
        <v>1091</v>
      </c>
      <c r="L1012" s="13">
        <v>1160.07</v>
      </c>
      <c r="M1012" s="15">
        <v>20.925203041550091</v>
      </c>
      <c r="N1012" s="13">
        <v>1160.07</v>
      </c>
      <c r="O1012" s="13">
        <v>0</v>
      </c>
      <c r="P1012" s="11">
        <v>0</v>
      </c>
    </row>
    <row r="1013" spans="1:16" ht="15" thickBot="1" x14ac:dyDescent="0.3">
      <c r="A1013" s="3" t="s">
        <v>11</v>
      </c>
      <c r="B1013" s="4">
        <v>777824</v>
      </c>
      <c r="C1013" s="3" t="s">
        <v>9</v>
      </c>
      <c r="D1013" s="18">
        <v>0.1</v>
      </c>
      <c r="E1013" s="21">
        <v>7.9741404289037643E-3</v>
      </c>
      <c r="F1013" s="5">
        <v>39272</v>
      </c>
      <c r="G1013" s="5">
        <v>40733</v>
      </c>
      <c r="H1013" s="16">
        <v>1461</v>
      </c>
      <c r="I1013" s="5">
        <v>40733</v>
      </c>
      <c r="J1013" s="5">
        <v>40641</v>
      </c>
      <c r="K1013" s="16">
        <v>1369</v>
      </c>
      <c r="L1013" s="13">
        <v>9019.81</v>
      </c>
      <c r="M1013" s="15">
        <v>224.2244269121735</v>
      </c>
      <c r="N1013" s="13">
        <v>9019.81</v>
      </c>
      <c r="O1013" s="13">
        <v>0</v>
      </c>
      <c r="P1013" s="11">
        <v>0</v>
      </c>
    </row>
    <row r="1014" spans="1:16" ht="15" thickBot="1" x14ac:dyDescent="0.3">
      <c r="A1014" s="3" t="s">
        <v>11</v>
      </c>
      <c r="B1014" s="4">
        <v>694842</v>
      </c>
      <c r="C1014" s="3" t="s">
        <v>9</v>
      </c>
      <c r="D1014" s="18">
        <v>0.12</v>
      </c>
      <c r="E1014" s="21">
        <v>9.4887929345830457E-3</v>
      </c>
      <c r="F1014" s="5">
        <v>39297</v>
      </c>
      <c r="G1014" s="5">
        <v>40028</v>
      </c>
      <c r="H1014" s="16">
        <v>731</v>
      </c>
      <c r="I1014" s="5">
        <v>40028</v>
      </c>
      <c r="J1014" s="5">
        <v>39605</v>
      </c>
      <c r="K1014" s="16">
        <v>308</v>
      </c>
      <c r="L1014" s="13">
        <v>1849.13</v>
      </c>
      <c r="M1014" s="15">
        <v>85.35634621284018</v>
      </c>
      <c r="N1014" s="13">
        <v>1849.13</v>
      </c>
      <c r="O1014" s="13">
        <v>0</v>
      </c>
      <c r="P1014" s="11">
        <v>0</v>
      </c>
    </row>
    <row r="1015" spans="1:16" ht="15" thickBot="1" x14ac:dyDescent="0.3">
      <c r="A1015" s="3" t="s">
        <v>11</v>
      </c>
      <c r="B1015" s="4">
        <v>582986</v>
      </c>
      <c r="C1015" s="3" t="s">
        <v>9</v>
      </c>
      <c r="D1015" s="18">
        <v>0.1</v>
      </c>
      <c r="E1015" s="21">
        <v>7.9741404289037643E-3</v>
      </c>
      <c r="F1015" s="5">
        <v>39302</v>
      </c>
      <c r="G1015" s="5">
        <v>40763</v>
      </c>
      <c r="H1015" s="16">
        <v>1461</v>
      </c>
      <c r="I1015" s="5">
        <v>40763</v>
      </c>
      <c r="J1015" s="5">
        <v>39595</v>
      </c>
      <c r="K1015" s="16">
        <v>293</v>
      </c>
      <c r="L1015" s="13">
        <v>12187.11</v>
      </c>
      <c r="M1015" s="15">
        <v>302.96067826989912</v>
      </c>
      <c r="N1015" s="13">
        <v>12187.11</v>
      </c>
      <c r="O1015" s="13">
        <v>0</v>
      </c>
      <c r="P1015" s="11">
        <v>0</v>
      </c>
    </row>
    <row r="1016" spans="1:16" ht="15" thickBot="1" x14ac:dyDescent="0.3">
      <c r="A1016" s="3" t="s">
        <v>11</v>
      </c>
      <c r="B1016" s="4">
        <v>224971</v>
      </c>
      <c r="C1016" s="3" t="s">
        <v>9</v>
      </c>
      <c r="D1016" s="18">
        <v>9.7500000000000003E-2</v>
      </c>
      <c r="E1016" s="21">
        <v>7.7830370878799737E-3</v>
      </c>
      <c r="F1016" s="5">
        <v>39303</v>
      </c>
      <c r="G1016" s="5">
        <v>39730</v>
      </c>
      <c r="H1016" s="16">
        <v>427</v>
      </c>
      <c r="I1016" s="5">
        <v>39730</v>
      </c>
      <c r="J1016" s="5">
        <v>39569</v>
      </c>
      <c r="K1016" s="16">
        <v>266</v>
      </c>
      <c r="L1016" s="13">
        <v>240760</v>
      </c>
      <c r="M1016" s="15">
        <v>17935.113344509289</v>
      </c>
      <c r="N1016" s="13">
        <v>240760</v>
      </c>
      <c r="O1016" s="13">
        <v>0</v>
      </c>
      <c r="P1016" s="11">
        <v>0</v>
      </c>
    </row>
    <row r="1017" spans="1:16" ht="15" thickBot="1" x14ac:dyDescent="0.3">
      <c r="A1017" s="3" t="s">
        <v>11</v>
      </c>
      <c r="B1017" s="4">
        <v>680170</v>
      </c>
      <c r="C1017" s="3" t="s">
        <v>9</v>
      </c>
      <c r="D1017" s="18">
        <v>0.12</v>
      </c>
      <c r="E1017" s="21">
        <v>9.4887929345830457E-3</v>
      </c>
      <c r="F1017" s="5">
        <v>39308</v>
      </c>
      <c r="G1017" s="5">
        <v>41135</v>
      </c>
      <c r="H1017" s="16">
        <v>1827</v>
      </c>
      <c r="I1017" s="5">
        <v>41135</v>
      </c>
      <c r="J1017" s="5">
        <v>39622</v>
      </c>
      <c r="K1017" s="16">
        <v>314</v>
      </c>
      <c r="L1017" s="13">
        <v>6523.62</v>
      </c>
      <c r="M1017" s="15">
        <v>141.52886959649368</v>
      </c>
      <c r="N1017" s="13">
        <v>6523.62</v>
      </c>
      <c r="O1017" s="13">
        <v>0</v>
      </c>
      <c r="P1017" s="11">
        <v>0</v>
      </c>
    </row>
    <row r="1018" spans="1:16" ht="15" thickBot="1" x14ac:dyDescent="0.3">
      <c r="A1018" s="3" t="s">
        <v>11</v>
      </c>
      <c r="B1018" s="4">
        <v>404368</v>
      </c>
      <c r="C1018" s="3" t="s">
        <v>9</v>
      </c>
      <c r="D1018" s="18">
        <v>0.1</v>
      </c>
      <c r="E1018" s="21">
        <v>7.9741404289037643E-3</v>
      </c>
      <c r="F1018" s="5">
        <v>39317</v>
      </c>
      <c r="G1018" s="5">
        <v>40413</v>
      </c>
      <c r="H1018" s="16">
        <v>1096</v>
      </c>
      <c r="I1018" s="5">
        <v>40413</v>
      </c>
      <c r="J1018" s="5">
        <v>39504</v>
      </c>
      <c r="K1018" s="16">
        <v>187</v>
      </c>
      <c r="L1018" s="13">
        <v>3836.34</v>
      </c>
      <c r="M1018" s="15">
        <v>121.46187230920802</v>
      </c>
      <c r="N1018" s="13">
        <v>3836.34</v>
      </c>
      <c r="O1018" s="13">
        <v>25</v>
      </c>
      <c r="P1018" s="11">
        <v>0</v>
      </c>
    </row>
    <row r="1019" spans="1:16" ht="15" thickBot="1" x14ac:dyDescent="0.3">
      <c r="A1019" s="3" t="s">
        <v>11</v>
      </c>
      <c r="B1019" s="4">
        <v>145825</v>
      </c>
      <c r="C1019" s="3" t="s">
        <v>9</v>
      </c>
      <c r="D1019" s="18">
        <v>0.11</v>
      </c>
      <c r="E1019" s="21">
        <v>8.7345938235519061E-3</v>
      </c>
      <c r="F1019" s="5">
        <v>39335</v>
      </c>
      <c r="G1019" s="5">
        <v>40584</v>
      </c>
      <c r="H1019" s="16">
        <v>1249</v>
      </c>
      <c r="I1019" s="5">
        <v>40584</v>
      </c>
      <c r="J1019" s="5">
        <v>39706</v>
      </c>
      <c r="K1019" s="16">
        <v>371</v>
      </c>
      <c r="L1019" s="13">
        <v>6523.56</v>
      </c>
      <c r="M1019" s="15">
        <v>187.57994928028518</v>
      </c>
      <c r="N1019" s="13">
        <v>6523.56</v>
      </c>
      <c r="O1019" s="13">
        <v>0</v>
      </c>
      <c r="P1019" s="11">
        <v>0</v>
      </c>
    </row>
    <row r="1020" spans="1:16" ht="15" thickBot="1" x14ac:dyDescent="0.3">
      <c r="A1020" s="3" t="s">
        <v>11</v>
      </c>
      <c r="B1020" s="4">
        <v>413313</v>
      </c>
      <c r="C1020" s="3" t="s">
        <v>9</v>
      </c>
      <c r="D1020" s="18">
        <v>0.1</v>
      </c>
      <c r="E1020" s="21">
        <v>7.9741404289037643E-3</v>
      </c>
      <c r="F1020" s="5">
        <v>39358</v>
      </c>
      <c r="G1020" s="5">
        <v>40911</v>
      </c>
      <c r="H1020" s="16">
        <v>1553</v>
      </c>
      <c r="I1020" s="5">
        <v>40911</v>
      </c>
      <c r="J1020" s="5">
        <v>40508</v>
      </c>
      <c r="K1020" s="16">
        <v>1150</v>
      </c>
      <c r="L1020" s="13">
        <v>5122.46</v>
      </c>
      <c r="M1020" s="15">
        <v>121.16610875790484</v>
      </c>
      <c r="N1020" s="13">
        <v>5122.46</v>
      </c>
      <c r="O1020" s="13">
        <v>0</v>
      </c>
      <c r="P1020" s="11">
        <v>0</v>
      </c>
    </row>
    <row r="1021" spans="1:16" ht="15" thickBot="1" x14ac:dyDescent="0.3">
      <c r="A1021" s="3" t="s">
        <v>11</v>
      </c>
      <c r="B1021" s="4">
        <v>575470</v>
      </c>
      <c r="C1021" s="3" t="s">
        <v>9</v>
      </c>
      <c r="D1021" s="18">
        <v>9.7500000000000003E-2</v>
      </c>
      <c r="E1021" s="21">
        <v>7.7830370878799737E-3</v>
      </c>
      <c r="F1021" s="5">
        <v>39359</v>
      </c>
      <c r="G1021" s="5">
        <v>39817</v>
      </c>
      <c r="H1021" s="16">
        <v>458</v>
      </c>
      <c r="I1021" s="5">
        <v>39817</v>
      </c>
      <c r="J1021" s="5">
        <v>42563</v>
      </c>
      <c r="K1021" s="16">
        <v>3204</v>
      </c>
      <c r="L1021" s="13">
        <v>440281.93</v>
      </c>
      <c r="M1021" s="15">
        <v>30698.668564667529</v>
      </c>
      <c r="N1021" s="13">
        <v>440281.93</v>
      </c>
      <c r="O1021" s="13">
        <v>0</v>
      </c>
      <c r="P1021" s="11">
        <v>0</v>
      </c>
    </row>
    <row r="1022" spans="1:16" ht="15" thickBot="1" x14ac:dyDescent="0.3">
      <c r="A1022" s="3" t="s">
        <v>11</v>
      </c>
      <c r="B1022" s="4">
        <v>886733</v>
      </c>
      <c r="C1022" s="3" t="s">
        <v>9</v>
      </c>
      <c r="D1022" s="18">
        <v>9.7500000000000003E-2</v>
      </c>
      <c r="E1022" s="21">
        <v>7.7830370878799737E-3</v>
      </c>
      <c r="F1022" s="5">
        <v>39359</v>
      </c>
      <c r="G1022" s="5">
        <v>39817</v>
      </c>
      <c r="H1022" s="16">
        <v>458</v>
      </c>
      <c r="I1022" s="5">
        <v>39817</v>
      </c>
      <c r="J1022" s="5">
        <v>40469</v>
      </c>
      <c r="K1022" s="16">
        <v>1110</v>
      </c>
      <c r="L1022" s="13">
        <v>473245.08</v>
      </c>
      <c r="M1022" s="15">
        <v>32997.025021625515</v>
      </c>
      <c r="N1022" s="13">
        <v>473245.08</v>
      </c>
      <c r="O1022" s="13">
        <v>0</v>
      </c>
      <c r="P1022" s="11">
        <v>0</v>
      </c>
    </row>
    <row r="1023" spans="1:16" ht="15" thickBot="1" x14ac:dyDescent="0.3">
      <c r="A1023" s="3" t="s">
        <v>11</v>
      </c>
      <c r="B1023" s="4">
        <v>936355</v>
      </c>
      <c r="C1023" s="3" t="s">
        <v>9</v>
      </c>
      <c r="D1023" s="18">
        <v>0.11</v>
      </c>
      <c r="E1023" s="21">
        <v>8.7345938235519061E-3</v>
      </c>
      <c r="F1023" s="5">
        <v>39365</v>
      </c>
      <c r="G1023" s="5">
        <v>39639</v>
      </c>
      <c r="H1023" s="16">
        <v>274</v>
      </c>
      <c r="I1023" s="5">
        <v>39639</v>
      </c>
      <c r="J1023" s="5">
        <v>39489</v>
      </c>
      <c r="K1023" s="16">
        <v>124</v>
      </c>
      <c r="L1023" s="13">
        <v>2875.94</v>
      </c>
      <c r="M1023" s="15">
        <v>328.98348008027216</v>
      </c>
      <c r="N1023" s="13">
        <v>2875.94</v>
      </c>
      <c r="O1023" s="13">
        <v>0</v>
      </c>
      <c r="P1023" s="11">
        <v>0</v>
      </c>
    </row>
    <row r="1024" spans="1:16" ht="15" thickBot="1" x14ac:dyDescent="0.3">
      <c r="A1024" s="3" t="s">
        <v>11</v>
      </c>
      <c r="B1024" s="4">
        <v>920834</v>
      </c>
      <c r="C1024" s="3" t="s">
        <v>9</v>
      </c>
      <c r="D1024" s="18">
        <v>0.1</v>
      </c>
      <c r="E1024" s="21">
        <v>7.9741404289037643E-3</v>
      </c>
      <c r="F1024" s="5">
        <v>39365</v>
      </c>
      <c r="G1024" s="5">
        <v>41557</v>
      </c>
      <c r="H1024" s="16">
        <v>2192</v>
      </c>
      <c r="I1024" s="5">
        <v>41557</v>
      </c>
      <c r="J1024" s="5">
        <v>40030</v>
      </c>
      <c r="K1024" s="16">
        <v>665</v>
      </c>
      <c r="L1024" s="13">
        <v>1955.57</v>
      </c>
      <c r="M1024" s="15">
        <v>35.4176952347918</v>
      </c>
      <c r="N1024" s="13">
        <v>1955.57</v>
      </c>
      <c r="O1024" s="13">
        <v>0</v>
      </c>
      <c r="P1024" s="11">
        <v>0</v>
      </c>
    </row>
    <row r="1025" spans="1:16" ht="15" thickBot="1" x14ac:dyDescent="0.3">
      <c r="A1025" s="3" t="s">
        <v>11</v>
      </c>
      <c r="B1025" s="4">
        <v>889267</v>
      </c>
      <c r="C1025" s="3" t="s">
        <v>9</v>
      </c>
      <c r="D1025" s="18">
        <v>9.7500000000000003E-2</v>
      </c>
      <c r="E1025" s="21">
        <v>7.7830370878799737E-3</v>
      </c>
      <c r="F1025" s="5">
        <v>39374</v>
      </c>
      <c r="G1025" s="5">
        <v>39922</v>
      </c>
      <c r="H1025" s="16">
        <v>548</v>
      </c>
      <c r="I1025" s="5">
        <v>39922</v>
      </c>
      <c r="J1025" s="5">
        <v>39748</v>
      </c>
      <c r="K1025" s="16">
        <v>374</v>
      </c>
      <c r="L1025" s="13">
        <v>693000</v>
      </c>
      <c r="M1025" s="15">
        <v>40845.856660121237</v>
      </c>
      <c r="N1025" s="13">
        <v>693000</v>
      </c>
      <c r="O1025" s="13">
        <v>0</v>
      </c>
      <c r="P1025" s="11">
        <v>0</v>
      </c>
    </row>
    <row r="1026" spans="1:16" ht="15" thickBot="1" x14ac:dyDescent="0.3">
      <c r="A1026" s="3" t="s">
        <v>11</v>
      </c>
      <c r="B1026" s="4">
        <v>744639</v>
      </c>
      <c r="C1026" s="3" t="s">
        <v>9</v>
      </c>
      <c r="D1026" s="18">
        <v>0.1</v>
      </c>
      <c r="E1026" s="21">
        <v>7.9741404289037643E-3</v>
      </c>
      <c r="F1026" s="5">
        <v>39379</v>
      </c>
      <c r="G1026" s="5">
        <v>41206</v>
      </c>
      <c r="H1026" s="16">
        <v>1827</v>
      </c>
      <c r="I1026" s="5">
        <v>41206</v>
      </c>
      <c r="J1026" s="5">
        <v>39735</v>
      </c>
      <c r="K1026" s="16">
        <v>356</v>
      </c>
      <c r="L1026" s="13">
        <v>8069.63</v>
      </c>
      <c r="M1026" s="15">
        <v>167.7917460745069</v>
      </c>
      <c r="N1026" s="13">
        <v>8069.63</v>
      </c>
      <c r="O1026" s="13">
        <v>0</v>
      </c>
      <c r="P1026" s="11">
        <v>0</v>
      </c>
    </row>
    <row r="1027" spans="1:16" ht="15" thickBot="1" x14ac:dyDescent="0.3">
      <c r="A1027" s="3" t="s">
        <v>11</v>
      </c>
      <c r="B1027" s="4">
        <v>841162</v>
      </c>
      <c r="C1027" s="3" t="s">
        <v>9</v>
      </c>
      <c r="D1027" s="18">
        <v>0.1</v>
      </c>
      <c r="E1027" s="21">
        <v>7.9741404289037643E-3</v>
      </c>
      <c r="F1027" s="5">
        <v>39385</v>
      </c>
      <c r="G1027" s="5">
        <v>40483</v>
      </c>
      <c r="H1027" s="16">
        <v>1098</v>
      </c>
      <c r="I1027" s="5">
        <v>40483</v>
      </c>
      <c r="J1027" s="5">
        <v>39514</v>
      </c>
      <c r="K1027" s="16">
        <v>129</v>
      </c>
      <c r="L1027" s="13">
        <v>3222.46</v>
      </c>
      <c r="M1027" s="15">
        <v>101.86571842590544</v>
      </c>
      <c r="N1027" s="13">
        <v>3222.46</v>
      </c>
      <c r="O1027" s="13">
        <v>0</v>
      </c>
      <c r="P1027" s="11">
        <v>0</v>
      </c>
    </row>
    <row r="1028" spans="1:16" ht="15" thickBot="1" x14ac:dyDescent="0.3">
      <c r="A1028" s="3" t="s">
        <v>11</v>
      </c>
      <c r="B1028" s="4">
        <v>499656</v>
      </c>
      <c r="C1028" s="3" t="s">
        <v>9</v>
      </c>
      <c r="D1028" s="18">
        <v>9.7500000000000003E-2</v>
      </c>
      <c r="E1028" s="21">
        <v>7.7830370878799737E-3</v>
      </c>
      <c r="F1028" s="5">
        <v>39401</v>
      </c>
      <c r="G1028" s="5">
        <v>39767</v>
      </c>
      <c r="H1028" s="16">
        <v>366</v>
      </c>
      <c r="I1028" s="5">
        <v>39767</v>
      </c>
      <c r="J1028" s="5">
        <v>39721</v>
      </c>
      <c r="K1028" s="16">
        <v>320</v>
      </c>
      <c r="L1028" s="13">
        <v>758700</v>
      </c>
      <c r="M1028" s="15">
        <v>65429.251702442918</v>
      </c>
      <c r="N1028" s="13">
        <v>648356.9</v>
      </c>
      <c r="O1028" s="13">
        <v>0</v>
      </c>
      <c r="P1028" s="11">
        <v>0</v>
      </c>
    </row>
    <row r="1029" spans="1:16" ht="15" thickBot="1" x14ac:dyDescent="0.3">
      <c r="A1029" s="3" t="s">
        <v>11</v>
      </c>
      <c r="B1029" s="4">
        <v>834615</v>
      </c>
      <c r="C1029" s="3" t="s">
        <v>9</v>
      </c>
      <c r="D1029" s="18">
        <v>0.12</v>
      </c>
      <c r="E1029" s="21">
        <v>9.4887929345830457E-3</v>
      </c>
      <c r="F1029" s="5">
        <v>39401</v>
      </c>
      <c r="G1029" s="5">
        <v>41228</v>
      </c>
      <c r="H1029" s="16">
        <v>1827</v>
      </c>
      <c r="I1029" s="5">
        <v>41228</v>
      </c>
      <c r="J1029" s="5">
        <v>39701</v>
      </c>
      <c r="K1029" s="16">
        <v>300</v>
      </c>
      <c r="L1029" s="13">
        <v>6493.18</v>
      </c>
      <c r="M1029" s="15">
        <v>140.86847877199483</v>
      </c>
      <c r="N1029" s="13">
        <v>6493.18</v>
      </c>
      <c r="O1029" s="13">
        <v>0</v>
      </c>
      <c r="P1029" s="11">
        <v>0</v>
      </c>
    </row>
    <row r="1030" spans="1:16" ht="15" thickBot="1" x14ac:dyDescent="0.3">
      <c r="A1030" s="3" t="s">
        <v>11</v>
      </c>
      <c r="B1030" s="4">
        <v>387177</v>
      </c>
      <c r="C1030" s="3" t="s">
        <v>9</v>
      </c>
      <c r="D1030" s="18">
        <v>9.7500000000000003E-2</v>
      </c>
      <c r="E1030" s="21">
        <v>7.7830370878799737E-3</v>
      </c>
      <c r="F1030" s="5">
        <v>39402</v>
      </c>
      <c r="G1030" s="5">
        <v>39615</v>
      </c>
      <c r="H1030" s="16">
        <v>213</v>
      </c>
      <c r="I1030" s="5">
        <v>39615</v>
      </c>
      <c r="J1030" s="5">
        <v>39538</v>
      </c>
      <c r="K1030" s="16">
        <v>136</v>
      </c>
      <c r="L1030" s="13">
        <v>19140</v>
      </c>
      <c r="M1030" s="15">
        <v>2781.4187132110401</v>
      </c>
      <c r="N1030" s="13">
        <v>19140</v>
      </c>
      <c r="O1030" s="13">
        <v>0</v>
      </c>
      <c r="P1030" s="11">
        <v>0</v>
      </c>
    </row>
    <row r="1031" spans="1:16" ht="15" thickBot="1" x14ac:dyDescent="0.3">
      <c r="A1031" s="3" t="s">
        <v>11</v>
      </c>
      <c r="B1031" s="4">
        <v>772499</v>
      </c>
      <c r="C1031" s="3" t="s">
        <v>9</v>
      </c>
      <c r="D1031" s="18">
        <v>9.7500000000000003E-2</v>
      </c>
      <c r="E1031" s="21">
        <v>7.7830370878799737E-3</v>
      </c>
      <c r="F1031" s="5">
        <v>39405</v>
      </c>
      <c r="G1031" s="5">
        <v>39710</v>
      </c>
      <c r="H1031" s="16">
        <v>305</v>
      </c>
      <c r="I1031" s="5">
        <v>39710</v>
      </c>
      <c r="J1031" s="5">
        <v>40513</v>
      </c>
      <c r="K1031" s="16">
        <v>1108</v>
      </c>
      <c r="L1031" s="13">
        <v>141224.78</v>
      </c>
      <c r="M1031" s="15">
        <v>14501.74690103594</v>
      </c>
      <c r="N1031" s="13">
        <v>141224.78</v>
      </c>
      <c r="O1031" s="13">
        <v>0</v>
      </c>
      <c r="P1031" s="11">
        <v>0</v>
      </c>
    </row>
    <row r="1032" spans="1:16" ht="15" thickBot="1" x14ac:dyDescent="0.3">
      <c r="A1032" s="3" t="s">
        <v>11</v>
      </c>
      <c r="B1032" s="4">
        <v>523847</v>
      </c>
      <c r="C1032" s="3" t="s">
        <v>9</v>
      </c>
      <c r="D1032" s="18">
        <v>9.7500000000000003E-2</v>
      </c>
      <c r="E1032" s="21">
        <v>7.7830370878799737E-3</v>
      </c>
      <c r="F1032" s="5">
        <v>39406</v>
      </c>
      <c r="G1032" s="5">
        <v>40086</v>
      </c>
      <c r="H1032" s="16">
        <v>680</v>
      </c>
      <c r="I1032" s="5">
        <v>40086</v>
      </c>
      <c r="J1032" s="5">
        <v>40140</v>
      </c>
      <c r="K1032" s="16">
        <v>734</v>
      </c>
      <c r="L1032" s="13">
        <v>10906.25</v>
      </c>
      <c r="M1032" s="15">
        <v>526.71240878956337</v>
      </c>
      <c r="N1032" s="13">
        <v>10906.25</v>
      </c>
      <c r="O1032" s="13">
        <v>0</v>
      </c>
      <c r="P1032" s="11">
        <v>0</v>
      </c>
    </row>
    <row r="1033" spans="1:16" ht="15" thickBot="1" x14ac:dyDescent="0.3">
      <c r="A1033" s="3" t="s">
        <v>11</v>
      </c>
      <c r="B1033" s="4">
        <v>38140</v>
      </c>
      <c r="C1033" s="3" t="s">
        <v>9</v>
      </c>
      <c r="D1033" s="18">
        <v>0.1</v>
      </c>
      <c r="E1033" s="21">
        <v>7.9741404289037643E-3</v>
      </c>
      <c r="F1033" s="5">
        <v>39412</v>
      </c>
      <c r="G1033" s="5">
        <v>41269</v>
      </c>
      <c r="H1033" s="16">
        <v>1857</v>
      </c>
      <c r="I1033" s="5">
        <v>41269</v>
      </c>
      <c r="J1033" s="5">
        <v>40249</v>
      </c>
      <c r="K1033" s="16">
        <v>837</v>
      </c>
      <c r="L1033" s="13">
        <v>6409.41</v>
      </c>
      <c r="M1033" s="15">
        <v>131.59722626935903</v>
      </c>
      <c r="N1033" s="13">
        <v>6409.41</v>
      </c>
      <c r="O1033" s="13">
        <v>0</v>
      </c>
      <c r="P1033" s="11">
        <v>0</v>
      </c>
    </row>
    <row r="1034" spans="1:16" ht="15" thickBot="1" x14ac:dyDescent="0.3">
      <c r="A1034" s="3" t="s">
        <v>11</v>
      </c>
      <c r="B1034" s="4">
        <v>229005</v>
      </c>
      <c r="C1034" s="3" t="s">
        <v>9</v>
      </c>
      <c r="D1034" s="18">
        <v>0.1</v>
      </c>
      <c r="E1034" s="21">
        <v>7.9741404289037643E-3</v>
      </c>
      <c r="F1034" s="5">
        <v>39410</v>
      </c>
      <c r="G1034" s="5">
        <v>41663</v>
      </c>
      <c r="H1034" s="16">
        <v>2253</v>
      </c>
      <c r="I1034" s="5">
        <v>41663</v>
      </c>
      <c r="J1034" s="5">
        <v>40256</v>
      </c>
      <c r="K1034" s="16">
        <v>846</v>
      </c>
      <c r="L1034" s="13">
        <v>13169.55</v>
      </c>
      <c r="M1034" s="15">
        <v>233.75567331912001</v>
      </c>
      <c r="N1034" s="13">
        <v>13169.55</v>
      </c>
      <c r="O1034" s="13">
        <v>0</v>
      </c>
      <c r="P1034" s="11">
        <v>0</v>
      </c>
    </row>
    <row r="1035" spans="1:16" ht="15" thickBot="1" x14ac:dyDescent="0.3">
      <c r="A1035" s="3" t="s">
        <v>11</v>
      </c>
      <c r="B1035" s="4">
        <v>207741</v>
      </c>
      <c r="C1035" s="3" t="s">
        <v>9</v>
      </c>
      <c r="D1035" s="18">
        <v>0.1</v>
      </c>
      <c r="E1035" s="21">
        <v>7.9741404289037643E-3</v>
      </c>
      <c r="F1035" s="5">
        <v>39422</v>
      </c>
      <c r="G1035" s="5">
        <v>40914</v>
      </c>
      <c r="H1035" s="16">
        <v>1492</v>
      </c>
      <c r="I1035" s="5">
        <v>40914</v>
      </c>
      <c r="J1035" s="5">
        <v>40660</v>
      </c>
      <c r="K1035" s="16">
        <v>1238</v>
      </c>
      <c r="L1035" s="13">
        <v>18500</v>
      </c>
      <c r="M1035" s="15">
        <v>452.06930892743702</v>
      </c>
      <c r="N1035" s="13">
        <v>18500</v>
      </c>
      <c r="O1035" s="13">
        <v>0</v>
      </c>
      <c r="P1035" s="11">
        <v>0</v>
      </c>
    </row>
    <row r="1036" spans="1:16" ht="15" thickBot="1" x14ac:dyDescent="0.3">
      <c r="A1036" s="3" t="s">
        <v>11</v>
      </c>
      <c r="B1036" s="4">
        <v>490530</v>
      </c>
      <c r="C1036" s="3" t="s">
        <v>9</v>
      </c>
      <c r="D1036" s="18">
        <v>9.5000000000000001E-2</v>
      </c>
      <c r="E1036" s="21">
        <v>7.5915342905825689E-3</v>
      </c>
      <c r="F1036" s="5">
        <v>39427</v>
      </c>
      <c r="G1036" s="5">
        <v>41537</v>
      </c>
      <c r="H1036" s="16">
        <v>2110</v>
      </c>
      <c r="I1036" s="5">
        <v>41537</v>
      </c>
      <c r="J1036" s="5">
        <v>39766</v>
      </c>
      <c r="K1036" s="16">
        <v>339</v>
      </c>
      <c r="L1036" s="13">
        <v>12936.26</v>
      </c>
      <c r="M1036" s="15">
        <v>238.06093345471194</v>
      </c>
      <c r="N1036" s="13">
        <v>12936.26</v>
      </c>
      <c r="O1036" s="13">
        <v>0</v>
      </c>
      <c r="P1036" s="11">
        <v>0</v>
      </c>
    </row>
    <row r="1037" spans="1:16" ht="15" thickBot="1" x14ac:dyDescent="0.3">
      <c r="A1037" s="3" t="s">
        <v>11</v>
      </c>
      <c r="B1037" s="4">
        <v>302940</v>
      </c>
      <c r="C1037" s="3" t="s">
        <v>9</v>
      </c>
      <c r="D1037" s="18">
        <v>0.1</v>
      </c>
      <c r="E1037" s="21">
        <v>7.9741404289037643E-3</v>
      </c>
      <c r="F1037" s="5">
        <v>39433</v>
      </c>
      <c r="G1037" s="5">
        <v>41633</v>
      </c>
      <c r="H1037" s="16">
        <v>2200</v>
      </c>
      <c r="I1037" s="5">
        <v>41633</v>
      </c>
      <c r="J1037" s="5">
        <v>39849</v>
      </c>
      <c r="K1037" s="16">
        <v>416</v>
      </c>
      <c r="L1037" s="13">
        <v>2971.08</v>
      </c>
      <c r="M1037" s="15">
        <v>53.665446550806323</v>
      </c>
      <c r="N1037" s="13">
        <v>2971.08</v>
      </c>
      <c r="O1037" s="13">
        <v>0</v>
      </c>
      <c r="P1037" s="11">
        <v>0</v>
      </c>
    </row>
    <row r="1038" spans="1:16" ht="15" thickBot="1" x14ac:dyDescent="0.3">
      <c r="A1038" s="3" t="s">
        <v>11</v>
      </c>
      <c r="B1038" s="4">
        <v>144953</v>
      </c>
      <c r="C1038" s="3" t="s">
        <v>9</v>
      </c>
      <c r="D1038" s="18">
        <v>0.1</v>
      </c>
      <c r="E1038" s="21">
        <v>7.9741404289037643E-3</v>
      </c>
      <c r="F1038" s="5">
        <v>39450</v>
      </c>
      <c r="G1038" s="5">
        <v>40971</v>
      </c>
      <c r="H1038" s="16">
        <v>1521</v>
      </c>
      <c r="I1038" s="5">
        <v>40971</v>
      </c>
      <c r="J1038" s="5">
        <v>42597</v>
      </c>
      <c r="K1038" s="16">
        <v>3147</v>
      </c>
      <c r="L1038" s="13">
        <v>40658</v>
      </c>
      <c r="M1038" s="15">
        <v>978.08272292420133</v>
      </c>
      <c r="N1038" s="13">
        <v>40658</v>
      </c>
      <c r="O1038" s="13">
        <v>0</v>
      </c>
      <c r="P1038" s="11">
        <v>0</v>
      </c>
    </row>
    <row r="1039" spans="1:16" ht="15" thickBot="1" x14ac:dyDescent="0.3">
      <c r="A1039" s="3" t="s">
        <v>11</v>
      </c>
      <c r="B1039" s="4">
        <v>531090</v>
      </c>
      <c r="C1039" s="3" t="s">
        <v>9</v>
      </c>
      <c r="D1039" s="18">
        <v>0.11</v>
      </c>
      <c r="E1039" s="21">
        <v>8.7345938235519061E-3</v>
      </c>
      <c r="F1039" s="5">
        <v>39451</v>
      </c>
      <c r="G1039" s="5">
        <v>40151</v>
      </c>
      <c r="H1039" s="16">
        <v>700</v>
      </c>
      <c r="I1039" s="5">
        <v>40151</v>
      </c>
      <c r="J1039" s="5">
        <v>39612</v>
      </c>
      <c r="K1039" s="16">
        <v>161</v>
      </c>
      <c r="L1039" s="13">
        <v>2492.0700000000002</v>
      </c>
      <c r="M1039" s="15">
        <v>118.52020934269557</v>
      </c>
      <c r="N1039" s="13">
        <v>2492.0700000000002</v>
      </c>
      <c r="O1039" s="13">
        <v>0</v>
      </c>
      <c r="P1039" s="11">
        <v>0</v>
      </c>
    </row>
    <row r="1040" spans="1:16" ht="15" thickBot="1" x14ac:dyDescent="0.3">
      <c r="A1040" s="3" t="s">
        <v>11</v>
      </c>
      <c r="B1040" s="4">
        <v>34608</v>
      </c>
      <c r="C1040" s="3" t="s">
        <v>9</v>
      </c>
      <c r="D1040" s="18">
        <v>0.11</v>
      </c>
      <c r="E1040" s="21">
        <v>8.7345938235519061E-3</v>
      </c>
      <c r="F1040" s="5">
        <v>39456</v>
      </c>
      <c r="G1040" s="5">
        <v>40368</v>
      </c>
      <c r="H1040" s="16">
        <v>912</v>
      </c>
      <c r="I1040" s="5">
        <v>40368</v>
      </c>
      <c r="J1040" s="5">
        <v>39926</v>
      </c>
      <c r="K1040" s="16">
        <v>470</v>
      </c>
      <c r="L1040" s="13">
        <v>5222.82</v>
      </c>
      <c r="M1040" s="15">
        <v>196.36601701472503</v>
      </c>
      <c r="N1040" s="13">
        <v>5222.82</v>
      </c>
      <c r="O1040" s="13">
        <v>0</v>
      </c>
      <c r="P1040" s="11">
        <v>0</v>
      </c>
    </row>
    <row r="1041" spans="1:16" ht="15" thickBot="1" x14ac:dyDescent="0.3">
      <c r="A1041" s="3" t="s">
        <v>11</v>
      </c>
      <c r="B1041" s="4">
        <v>662600</v>
      </c>
      <c r="C1041" s="3" t="s">
        <v>9</v>
      </c>
      <c r="D1041" s="18">
        <v>8.2500000000000004E-2</v>
      </c>
      <c r="E1041" s="21">
        <v>6.6279668043680573E-3</v>
      </c>
      <c r="F1041" s="5">
        <v>39451</v>
      </c>
      <c r="G1041" s="5">
        <v>39906</v>
      </c>
      <c r="H1041" s="16">
        <v>455</v>
      </c>
      <c r="I1041" s="5">
        <v>39906</v>
      </c>
      <c r="J1041" s="5">
        <v>39843</v>
      </c>
      <c r="K1041" s="16">
        <v>392</v>
      </c>
      <c r="L1041" s="13">
        <v>981723.88</v>
      </c>
      <c r="M1041" s="15">
        <v>68251.057384117492</v>
      </c>
      <c r="N1041" s="13">
        <v>943099.13</v>
      </c>
      <c r="O1041" s="13">
        <v>0</v>
      </c>
      <c r="P1041" s="11">
        <v>0</v>
      </c>
    </row>
    <row r="1042" spans="1:16" ht="15" thickBot="1" x14ac:dyDescent="0.3">
      <c r="A1042" s="3" t="s">
        <v>11</v>
      </c>
      <c r="B1042" s="4">
        <v>305622</v>
      </c>
      <c r="C1042" s="3" t="s">
        <v>9</v>
      </c>
      <c r="D1042" s="18">
        <v>0.12</v>
      </c>
      <c r="E1042" s="21">
        <v>9.4887929345830457E-3</v>
      </c>
      <c r="F1042" s="5">
        <v>39472</v>
      </c>
      <c r="G1042" s="5">
        <v>39777</v>
      </c>
      <c r="H1042" s="16">
        <v>305</v>
      </c>
      <c r="I1042" s="5">
        <v>39777</v>
      </c>
      <c r="J1042" s="5">
        <v>39668</v>
      </c>
      <c r="K1042" s="16">
        <v>196</v>
      </c>
      <c r="L1042" s="13">
        <v>774.34</v>
      </c>
      <c r="M1042" s="15">
        <v>80.257932673750858</v>
      </c>
      <c r="N1042" s="13">
        <v>774.34</v>
      </c>
      <c r="O1042" s="13">
        <v>0</v>
      </c>
      <c r="P1042" s="11">
        <v>0</v>
      </c>
    </row>
    <row r="1043" spans="1:16" ht="15" thickBot="1" x14ac:dyDescent="0.3">
      <c r="A1043" s="3" t="s">
        <v>11</v>
      </c>
      <c r="B1043" s="4">
        <v>34348</v>
      </c>
      <c r="C1043" s="3" t="s">
        <v>9</v>
      </c>
      <c r="D1043" s="18">
        <v>9.7500000000000003E-2</v>
      </c>
      <c r="E1043" s="21">
        <v>7.7830370878799737E-3</v>
      </c>
      <c r="F1043" s="5">
        <v>39475</v>
      </c>
      <c r="G1043" s="5">
        <v>39995</v>
      </c>
      <c r="H1043" s="16">
        <v>520</v>
      </c>
      <c r="I1043" s="5">
        <v>39995</v>
      </c>
      <c r="J1043" s="5">
        <v>39644</v>
      </c>
      <c r="K1043" s="16">
        <v>169</v>
      </c>
      <c r="L1043" s="13">
        <v>500000</v>
      </c>
      <c r="M1043" s="15">
        <v>30947.590019107225</v>
      </c>
      <c r="N1043" s="13">
        <v>500000</v>
      </c>
      <c r="O1043" s="13">
        <v>0</v>
      </c>
      <c r="P1043" s="11">
        <v>0</v>
      </c>
    </row>
    <row r="1044" spans="1:16" ht="15" thickBot="1" x14ac:dyDescent="0.3">
      <c r="A1044" s="3" t="s">
        <v>11</v>
      </c>
      <c r="B1044" s="4">
        <v>148342</v>
      </c>
      <c r="C1044" s="3" t="s">
        <v>9</v>
      </c>
      <c r="D1044" s="18">
        <v>0.11</v>
      </c>
      <c r="E1044" s="21">
        <v>8.7345938235519061E-3</v>
      </c>
      <c r="F1044" s="5">
        <v>39477</v>
      </c>
      <c r="G1044" s="5">
        <v>40633</v>
      </c>
      <c r="H1044" s="16">
        <v>1156</v>
      </c>
      <c r="I1044" s="5">
        <v>40633</v>
      </c>
      <c r="J1044" s="5">
        <v>40268</v>
      </c>
      <c r="K1044" s="16">
        <v>791</v>
      </c>
      <c r="L1044" s="13">
        <v>5189.8900000000003</v>
      </c>
      <c r="M1044" s="15">
        <v>159.20244235877911</v>
      </c>
      <c r="N1044" s="13">
        <v>5189.8900000000003</v>
      </c>
      <c r="O1044" s="13">
        <v>0</v>
      </c>
      <c r="P1044" s="11">
        <v>0</v>
      </c>
    </row>
    <row r="1045" spans="1:16" ht="15" thickBot="1" x14ac:dyDescent="0.3">
      <c r="A1045" s="3" t="s">
        <v>11</v>
      </c>
      <c r="B1045" s="4">
        <v>41286</v>
      </c>
      <c r="C1045" s="3" t="s">
        <v>9</v>
      </c>
      <c r="D1045" s="18">
        <v>0.14000000000000001</v>
      </c>
      <c r="E1045" s="21">
        <v>1.0978851950173452E-2</v>
      </c>
      <c r="F1045" s="5">
        <v>39477</v>
      </c>
      <c r="G1045" s="5">
        <v>39813</v>
      </c>
      <c r="H1045" s="16">
        <v>336</v>
      </c>
      <c r="I1045" s="5">
        <v>39813</v>
      </c>
      <c r="J1045" s="5">
        <v>39671</v>
      </c>
      <c r="K1045" s="16">
        <v>194</v>
      </c>
      <c r="L1045" s="13">
        <v>1708.7</v>
      </c>
      <c r="M1045" s="15">
        <v>162.96937135586063</v>
      </c>
      <c r="N1045" s="13">
        <v>1708.7</v>
      </c>
      <c r="O1045" s="13">
        <v>0</v>
      </c>
      <c r="P1045" s="11">
        <v>0</v>
      </c>
    </row>
    <row r="1046" spans="1:16" ht="15" thickBot="1" x14ac:dyDescent="0.3">
      <c r="A1046" s="3" t="s">
        <v>11</v>
      </c>
      <c r="B1046" s="4">
        <v>637590</v>
      </c>
      <c r="C1046" s="3" t="s">
        <v>9</v>
      </c>
      <c r="D1046" s="18">
        <v>0.1</v>
      </c>
      <c r="E1046" s="21">
        <v>7.9741404289037643E-3</v>
      </c>
      <c r="F1046" s="5">
        <v>39478</v>
      </c>
      <c r="G1046" s="5">
        <v>41882</v>
      </c>
      <c r="H1046" s="16">
        <v>2404</v>
      </c>
      <c r="I1046" s="5">
        <v>41882</v>
      </c>
      <c r="J1046" s="5">
        <v>42500</v>
      </c>
      <c r="K1046" s="16">
        <v>3022</v>
      </c>
      <c r="L1046" s="13">
        <v>8</v>
      </c>
      <c r="M1046" s="15">
        <v>0.13548854608531272</v>
      </c>
      <c r="N1046" s="13">
        <v>8</v>
      </c>
      <c r="O1046" s="13">
        <v>0</v>
      </c>
      <c r="P1046" s="11">
        <v>0</v>
      </c>
    </row>
    <row r="1047" spans="1:16" ht="15" thickBot="1" x14ac:dyDescent="0.3">
      <c r="A1047" s="3" t="s">
        <v>11</v>
      </c>
      <c r="B1047" s="4">
        <v>135849</v>
      </c>
      <c r="C1047" s="3" t="s">
        <v>9</v>
      </c>
      <c r="D1047" s="18">
        <v>0.11</v>
      </c>
      <c r="E1047" s="21">
        <v>8.7345938235519061E-3</v>
      </c>
      <c r="F1047" s="5">
        <v>39493</v>
      </c>
      <c r="G1047" s="5">
        <v>39736</v>
      </c>
      <c r="H1047" s="16">
        <v>243</v>
      </c>
      <c r="I1047" s="5">
        <v>39736</v>
      </c>
      <c r="J1047" s="5">
        <v>39687</v>
      </c>
      <c r="K1047" s="16">
        <v>194</v>
      </c>
      <c r="L1047" s="13">
        <v>1213</v>
      </c>
      <c r="M1047" s="15">
        <v>155.76587633695303</v>
      </c>
      <c r="N1047" s="13">
        <v>1213</v>
      </c>
      <c r="O1047" s="13">
        <v>0</v>
      </c>
      <c r="P1047" s="11">
        <v>0</v>
      </c>
    </row>
    <row r="1048" spans="1:16" ht="15" thickBot="1" x14ac:dyDescent="0.3">
      <c r="A1048" s="3" t="s">
        <v>11</v>
      </c>
      <c r="B1048" s="4">
        <v>271116</v>
      </c>
      <c r="C1048" s="3" t="s">
        <v>9</v>
      </c>
      <c r="D1048" s="18">
        <v>0.12</v>
      </c>
      <c r="E1048" s="21">
        <v>9.4887929345830457E-3</v>
      </c>
      <c r="F1048" s="5">
        <v>39503</v>
      </c>
      <c r="G1048" s="5">
        <v>40599</v>
      </c>
      <c r="H1048" s="16">
        <v>1096</v>
      </c>
      <c r="I1048" s="5">
        <v>40599</v>
      </c>
      <c r="J1048" s="5">
        <v>39573</v>
      </c>
      <c r="K1048" s="16">
        <v>70</v>
      </c>
      <c r="L1048" s="13">
        <v>3858.7</v>
      </c>
      <c r="M1048" s="15">
        <v>125.47952507215663</v>
      </c>
      <c r="N1048" s="13">
        <v>3858.7</v>
      </c>
      <c r="O1048" s="13">
        <v>0</v>
      </c>
      <c r="P1048" s="11">
        <v>0</v>
      </c>
    </row>
    <row r="1049" spans="1:16" ht="15" thickBot="1" x14ac:dyDescent="0.3">
      <c r="A1049" s="3" t="s">
        <v>11</v>
      </c>
      <c r="B1049" s="4">
        <v>486916</v>
      </c>
      <c r="C1049" s="3" t="s">
        <v>9</v>
      </c>
      <c r="D1049" s="18">
        <v>0.11</v>
      </c>
      <c r="E1049" s="21">
        <v>8.7345938235519061E-3</v>
      </c>
      <c r="F1049" s="5">
        <v>39505</v>
      </c>
      <c r="G1049" s="5">
        <v>40236</v>
      </c>
      <c r="H1049" s="16">
        <v>731</v>
      </c>
      <c r="I1049" s="5">
        <v>40236</v>
      </c>
      <c r="J1049" s="5">
        <v>39563</v>
      </c>
      <c r="K1049" s="16">
        <v>58</v>
      </c>
      <c r="L1049" s="13">
        <v>2875.6</v>
      </c>
      <c r="M1049" s="15">
        <v>131.5301473129434</v>
      </c>
      <c r="N1049" s="13">
        <v>2875.6</v>
      </c>
      <c r="O1049" s="13">
        <v>0</v>
      </c>
      <c r="P1049" s="11">
        <v>0</v>
      </c>
    </row>
    <row r="1050" spans="1:16" ht="15" thickBot="1" x14ac:dyDescent="0.3">
      <c r="A1050" s="3" t="s">
        <v>11</v>
      </c>
      <c r="B1050" s="4">
        <v>37282</v>
      </c>
      <c r="C1050" s="3" t="s">
        <v>9</v>
      </c>
      <c r="D1050" s="18">
        <v>0.105</v>
      </c>
      <c r="E1050" s="21">
        <v>8.355155683635207E-3</v>
      </c>
      <c r="F1050" s="5">
        <v>39506</v>
      </c>
      <c r="G1050" s="5">
        <v>41333</v>
      </c>
      <c r="H1050" s="16">
        <v>1827</v>
      </c>
      <c r="I1050" s="5">
        <v>41333</v>
      </c>
      <c r="J1050" s="5">
        <v>40917</v>
      </c>
      <c r="K1050" s="16">
        <v>1411</v>
      </c>
      <c r="L1050" s="13">
        <v>3775.75</v>
      </c>
      <c r="M1050" s="15">
        <v>79.357760639515973</v>
      </c>
      <c r="N1050" s="13">
        <v>3775.75</v>
      </c>
      <c r="O1050" s="13">
        <v>0</v>
      </c>
      <c r="P1050" s="11">
        <v>0</v>
      </c>
    </row>
    <row r="1051" spans="1:16" ht="15" thickBot="1" x14ac:dyDescent="0.3">
      <c r="A1051" s="3" t="s">
        <v>11</v>
      </c>
      <c r="B1051" s="4">
        <v>786439</v>
      </c>
      <c r="C1051" s="3" t="s">
        <v>9</v>
      </c>
      <c r="D1051" s="18">
        <v>9.7500000000000003E-2</v>
      </c>
      <c r="E1051" s="21">
        <v>7.7830370878799737E-3</v>
      </c>
      <c r="F1051" s="5">
        <v>39513</v>
      </c>
      <c r="G1051" s="5">
        <v>39939</v>
      </c>
      <c r="H1051" s="16">
        <v>426</v>
      </c>
      <c r="I1051" s="5">
        <v>39939</v>
      </c>
      <c r="J1051" s="5">
        <v>39904</v>
      </c>
      <c r="K1051" s="16">
        <v>391</v>
      </c>
      <c r="L1051" s="13">
        <v>184461.75</v>
      </c>
      <c r="M1051" s="15">
        <v>13771.75552905895</v>
      </c>
      <c r="N1051" s="13">
        <v>184461.75</v>
      </c>
      <c r="O1051" s="13">
        <v>0</v>
      </c>
      <c r="P1051" s="11">
        <v>0</v>
      </c>
    </row>
    <row r="1052" spans="1:16" ht="15" thickBot="1" x14ac:dyDescent="0.3">
      <c r="A1052" s="3" t="s">
        <v>11</v>
      </c>
      <c r="B1052" s="4">
        <v>468534</v>
      </c>
      <c r="C1052" s="3" t="s">
        <v>9</v>
      </c>
      <c r="D1052" s="18">
        <v>9.7500000000000003E-2</v>
      </c>
      <c r="E1052" s="21">
        <v>7.7830370878799737E-3</v>
      </c>
      <c r="F1052" s="5">
        <v>39514</v>
      </c>
      <c r="G1052" s="5">
        <v>40066</v>
      </c>
      <c r="H1052" s="16">
        <v>552</v>
      </c>
      <c r="I1052" s="5">
        <v>40066</v>
      </c>
      <c r="J1052" s="5">
        <v>39721</v>
      </c>
      <c r="K1052" s="16">
        <v>207</v>
      </c>
      <c r="L1052" s="13">
        <v>80000</v>
      </c>
      <c r="M1052" s="15">
        <v>4683.4446922143761</v>
      </c>
      <c r="N1052" s="13">
        <v>80000</v>
      </c>
      <c r="O1052" s="13">
        <v>0</v>
      </c>
      <c r="P1052" s="11">
        <v>0</v>
      </c>
    </row>
    <row r="1053" spans="1:16" ht="15" thickBot="1" x14ac:dyDescent="0.3">
      <c r="A1053" s="3" t="s">
        <v>11</v>
      </c>
      <c r="B1053" s="4">
        <v>294652</v>
      </c>
      <c r="C1053" s="3" t="s">
        <v>9</v>
      </c>
      <c r="D1053" s="18">
        <v>0.1</v>
      </c>
      <c r="E1053" s="21">
        <v>7.9741404289037643E-3</v>
      </c>
      <c r="F1053" s="5">
        <v>39514</v>
      </c>
      <c r="G1053" s="5">
        <v>41432</v>
      </c>
      <c r="H1053" s="16">
        <v>1918</v>
      </c>
      <c r="I1053" s="5">
        <v>41432</v>
      </c>
      <c r="J1053" s="5">
        <v>41276</v>
      </c>
      <c r="K1053" s="16">
        <v>1762</v>
      </c>
      <c r="L1053" s="13">
        <v>4864.3599999999997</v>
      </c>
      <c r="M1053" s="15">
        <v>97.416765577498879</v>
      </c>
      <c r="N1053" s="13">
        <v>4864.3599999999997</v>
      </c>
      <c r="O1053" s="13">
        <v>0</v>
      </c>
      <c r="P1053" s="11">
        <v>0</v>
      </c>
    </row>
    <row r="1054" spans="1:16" ht="15" thickBot="1" x14ac:dyDescent="0.3">
      <c r="A1054" s="3" t="s">
        <v>11</v>
      </c>
      <c r="B1054" s="4">
        <v>203555</v>
      </c>
      <c r="C1054" s="3" t="s">
        <v>9</v>
      </c>
      <c r="D1054" s="18">
        <v>0.1</v>
      </c>
      <c r="E1054" s="21">
        <v>7.9741404289037643E-3</v>
      </c>
      <c r="F1054" s="5">
        <v>39518</v>
      </c>
      <c r="G1054" s="5">
        <v>41344</v>
      </c>
      <c r="H1054" s="16">
        <v>1826</v>
      </c>
      <c r="I1054" s="5">
        <v>41344</v>
      </c>
      <c r="J1054" s="5">
        <v>40438</v>
      </c>
      <c r="K1054" s="16">
        <v>920</v>
      </c>
      <c r="L1054" s="13">
        <v>7889.26</v>
      </c>
      <c r="M1054" s="15">
        <v>164.11116926256983</v>
      </c>
      <c r="N1054" s="13">
        <v>7889.26</v>
      </c>
      <c r="O1054" s="13">
        <v>0</v>
      </c>
      <c r="P1054" s="11">
        <v>0</v>
      </c>
    </row>
    <row r="1055" spans="1:16" ht="15" thickBot="1" x14ac:dyDescent="0.3">
      <c r="A1055" s="3" t="s">
        <v>11</v>
      </c>
      <c r="B1055" s="4">
        <v>439670</v>
      </c>
      <c r="C1055" s="3" t="s">
        <v>9</v>
      </c>
      <c r="D1055" s="18">
        <v>0.1</v>
      </c>
      <c r="E1055" s="21">
        <v>7.9741404289037643E-3</v>
      </c>
      <c r="F1055" s="5">
        <v>39521</v>
      </c>
      <c r="G1055" s="5">
        <v>41378</v>
      </c>
      <c r="H1055" s="16">
        <v>1857</v>
      </c>
      <c r="I1055" s="5">
        <v>41378</v>
      </c>
      <c r="J1055" s="5">
        <v>40478</v>
      </c>
      <c r="K1055" s="16">
        <v>957</v>
      </c>
      <c r="L1055" s="13">
        <v>3298.37</v>
      </c>
      <c r="M1055" s="15">
        <v>67.721731518199903</v>
      </c>
      <c r="N1055" s="13">
        <v>3298.37</v>
      </c>
      <c r="O1055" s="13">
        <v>0</v>
      </c>
      <c r="P1055" s="11">
        <v>0</v>
      </c>
    </row>
    <row r="1056" spans="1:16" ht="15" thickBot="1" x14ac:dyDescent="0.3">
      <c r="A1056" s="3" t="s">
        <v>11</v>
      </c>
      <c r="B1056" s="4">
        <v>45464</v>
      </c>
      <c r="C1056" s="3" t="s">
        <v>9</v>
      </c>
      <c r="D1056" s="18">
        <v>9.7500000000000003E-2</v>
      </c>
      <c r="E1056" s="21">
        <v>7.7830370878799737E-3</v>
      </c>
      <c r="F1056" s="5">
        <v>39526</v>
      </c>
      <c r="G1056" s="5">
        <v>40075</v>
      </c>
      <c r="H1056" s="16">
        <v>549</v>
      </c>
      <c r="I1056" s="5">
        <v>40075</v>
      </c>
      <c r="J1056" s="5">
        <v>39771</v>
      </c>
      <c r="K1056" s="16">
        <v>245</v>
      </c>
      <c r="L1056" s="13">
        <v>110437.5</v>
      </c>
      <c r="M1056" s="15">
        <v>6498.2190546770216</v>
      </c>
      <c r="N1056" s="13">
        <v>110437.5</v>
      </c>
      <c r="O1056" s="13">
        <v>0</v>
      </c>
      <c r="P1056" s="11">
        <v>0</v>
      </c>
    </row>
    <row r="1057" spans="1:16" ht="15" thickBot="1" x14ac:dyDescent="0.3">
      <c r="A1057" s="3" t="s">
        <v>11</v>
      </c>
      <c r="B1057" s="4">
        <v>593905</v>
      </c>
      <c r="C1057" s="3" t="s">
        <v>9</v>
      </c>
      <c r="D1057" s="18">
        <v>0.11</v>
      </c>
      <c r="E1057" s="21">
        <v>8.7345938235519061E-3</v>
      </c>
      <c r="F1057" s="5">
        <v>39531</v>
      </c>
      <c r="G1057" s="5">
        <v>40992</v>
      </c>
      <c r="H1057" s="16">
        <v>1461</v>
      </c>
      <c r="I1057" s="5">
        <v>40992</v>
      </c>
      <c r="J1057" s="5">
        <v>41033</v>
      </c>
      <c r="K1057" s="16">
        <v>1502</v>
      </c>
      <c r="L1057" s="13">
        <v>658.48</v>
      </c>
      <c r="M1057" s="15">
        <v>16.658283823907478</v>
      </c>
      <c r="N1057" s="13">
        <v>658.48</v>
      </c>
      <c r="O1057" s="13">
        <v>0</v>
      </c>
      <c r="P1057" s="11">
        <v>0</v>
      </c>
    </row>
    <row r="1058" spans="1:16" ht="15" thickBot="1" x14ac:dyDescent="0.3">
      <c r="A1058" s="3" t="s">
        <v>11</v>
      </c>
      <c r="B1058" s="4">
        <v>840606</v>
      </c>
      <c r="C1058" s="3" t="s">
        <v>9</v>
      </c>
      <c r="D1058" s="18">
        <v>0.1</v>
      </c>
      <c r="E1058" s="21">
        <v>7.9741404289037643E-3</v>
      </c>
      <c r="F1058" s="5">
        <v>39539</v>
      </c>
      <c r="G1058" s="5">
        <v>41944</v>
      </c>
      <c r="H1058" s="16">
        <v>2405</v>
      </c>
      <c r="I1058" s="5">
        <v>41944</v>
      </c>
      <c r="J1058" s="5">
        <v>42079</v>
      </c>
      <c r="K1058" s="16">
        <v>2540</v>
      </c>
      <c r="L1058" s="13">
        <v>5.28</v>
      </c>
      <c r="M1058" s="15">
        <v>8.939584454676866E-2</v>
      </c>
      <c r="N1058" s="13">
        <v>5.28</v>
      </c>
      <c r="O1058" s="13">
        <v>0</v>
      </c>
      <c r="P1058" s="11">
        <v>0</v>
      </c>
    </row>
    <row r="1059" spans="1:16" ht="15" thickBot="1" x14ac:dyDescent="0.3">
      <c r="A1059" s="3" t="s">
        <v>11</v>
      </c>
      <c r="B1059" s="4">
        <v>359271</v>
      </c>
      <c r="C1059" s="3" t="s">
        <v>9</v>
      </c>
      <c r="D1059" s="18">
        <v>0.04</v>
      </c>
      <c r="E1059" s="21">
        <v>3.2737397821989145E-3</v>
      </c>
      <c r="F1059" s="5">
        <v>39539</v>
      </c>
      <c r="G1059" s="5">
        <v>41273</v>
      </c>
      <c r="H1059" s="16">
        <v>1734</v>
      </c>
      <c r="I1059" s="5">
        <v>41273</v>
      </c>
      <c r="J1059" s="5">
        <v>43651</v>
      </c>
      <c r="K1059" s="16">
        <v>4112</v>
      </c>
      <c r="L1059" s="13">
        <v>52668.08</v>
      </c>
      <c r="M1059" s="15">
        <v>1001.6267531394853</v>
      </c>
      <c r="N1059" s="13">
        <v>50168.08</v>
      </c>
      <c r="O1059" s="13">
        <v>34250</v>
      </c>
      <c r="P1059" s="11">
        <v>0</v>
      </c>
    </row>
    <row r="1060" spans="1:16" ht="15" thickBot="1" x14ac:dyDescent="0.3">
      <c r="A1060" s="3" t="s">
        <v>11</v>
      </c>
      <c r="B1060" s="4">
        <v>501411</v>
      </c>
      <c r="C1060" s="3" t="s">
        <v>9</v>
      </c>
      <c r="D1060" s="18">
        <v>0.1</v>
      </c>
      <c r="E1060" s="21">
        <v>7.9741404289037643E-3</v>
      </c>
      <c r="F1060" s="5">
        <v>39540</v>
      </c>
      <c r="G1060" s="5">
        <v>40149</v>
      </c>
      <c r="H1060" s="16">
        <v>609</v>
      </c>
      <c r="I1060" s="5">
        <v>40149</v>
      </c>
      <c r="J1060" s="5">
        <v>40641</v>
      </c>
      <c r="K1060" s="16">
        <v>1101</v>
      </c>
      <c r="L1060" s="13">
        <v>2460.34</v>
      </c>
      <c r="M1060" s="15">
        <v>131.75464218237366</v>
      </c>
      <c r="N1060" s="13">
        <v>2460.34</v>
      </c>
      <c r="O1060" s="13">
        <v>0</v>
      </c>
      <c r="P1060" s="11">
        <v>0</v>
      </c>
    </row>
    <row r="1061" spans="1:16" ht="15" thickBot="1" x14ac:dyDescent="0.3">
      <c r="A1061" s="3" t="s">
        <v>11</v>
      </c>
      <c r="B1061" s="4">
        <v>688768</v>
      </c>
      <c r="C1061" s="3" t="s">
        <v>9</v>
      </c>
      <c r="D1061" s="18">
        <v>0.11</v>
      </c>
      <c r="E1061" s="21">
        <v>8.7345938235519061E-3</v>
      </c>
      <c r="F1061" s="5">
        <v>39572</v>
      </c>
      <c r="G1061" s="5">
        <v>41398</v>
      </c>
      <c r="H1061" s="16">
        <v>1826</v>
      </c>
      <c r="I1061" s="5">
        <v>41398</v>
      </c>
      <c r="J1061" s="5">
        <v>40388</v>
      </c>
      <c r="K1061" s="16">
        <v>816</v>
      </c>
      <c r="L1061" s="13">
        <v>6762.89</v>
      </c>
      <c r="M1061" s="15">
        <v>143.7236303761303</v>
      </c>
      <c r="N1061" s="13">
        <v>6762.89</v>
      </c>
      <c r="O1061" s="13">
        <v>0</v>
      </c>
      <c r="P1061" s="11">
        <v>0</v>
      </c>
    </row>
    <row r="1062" spans="1:16" ht="15" thickBot="1" x14ac:dyDescent="0.3">
      <c r="A1062" s="3" t="s">
        <v>11</v>
      </c>
      <c r="B1062" s="4">
        <v>385960</v>
      </c>
      <c r="C1062" s="3" t="s">
        <v>9</v>
      </c>
      <c r="D1062" s="18">
        <v>0.11</v>
      </c>
      <c r="E1062" s="21">
        <v>8.7345938235519061E-3</v>
      </c>
      <c r="F1062" s="5">
        <v>39559</v>
      </c>
      <c r="G1062" s="5">
        <v>41660</v>
      </c>
      <c r="H1062" s="16">
        <v>2101</v>
      </c>
      <c r="I1062" s="5">
        <v>41660</v>
      </c>
      <c r="J1062" s="5">
        <v>40616</v>
      </c>
      <c r="K1062" s="16">
        <v>1057</v>
      </c>
      <c r="L1062" s="13">
        <v>8752.9500000000007</v>
      </c>
      <c r="M1062" s="15">
        <v>167.61099757502041</v>
      </c>
      <c r="N1062" s="13">
        <v>8752.9500000000007</v>
      </c>
      <c r="O1062" s="13">
        <v>0</v>
      </c>
      <c r="P1062" s="11">
        <v>0</v>
      </c>
    </row>
    <row r="1063" spans="1:16" ht="15" thickBot="1" x14ac:dyDescent="0.3">
      <c r="A1063" s="3" t="s">
        <v>11</v>
      </c>
      <c r="B1063" s="4">
        <v>775775</v>
      </c>
      <c r="C1063" s="3" t="s">
        <v>9</v>
      </c>
      <c r="D1063" s="18">
        <v>9.7500000000000003E-2</v>
      </c>
      <c r="E1063" s="21">
        <v>7.7830370878799737E-3</v>
      </c>
      <c r="F1063" s="5">
        <v>39567</v>
      </c>
      <c r="G1063" s="5">
        <v>40266</v>
      </c>
      <c r="H1063" s="16">
        <v>699</v>
      </c>
      <c r="I1063" s="5">
        <v>40266</v>
      </c>
      <c r="J1063" s="5">
        <v>40359</v>
      </c>
      <c r="K1063" s="16">
        <v>792</v>
      </c>
      <c r="L1063" s="13">
        <v>5577.3</v>
      </c>
      <c r="M1063" s="15">
        <v>262.6566654756042</v>
      </c>
      <c r="N1063" s="13">
        <v>5577.3</v>
      </c>
      <c r="O1063" s="13">
        <v>0</v>
      </c>
      <c r="P1063" s="11">
        <v>0</v>
      </c>
    </row>
    <row r="1064" spans="1:16" ht="15" thickBot="1" x14ac:dyDescent="0.3">
      <c r="A1064" s="3" t="s">
        <v>11</v>
      </c>
      <c r="B1064" s="4">
        <v>323272</v>
      </c>
      <c r="C1064" s="3" t="s">
        <v>9</v>
      </c>
      <c r="D1064" s="18">
        <v>0.14499999999999999</v>
      </c>
      <c r="E1064" s="21">
        <v>1.1347621038123146E-2</v>
      </c>
      <c r="F1064" s="5">
        <v>39567</v>
      </c>
      <c r="G1064" s="5">
        <v>39962</v>
      </c>
      <c r="H1064" s="16">
        <v>395</v>
      </c>
      <c r="I1064" s="5">
        <v>39962</v>
      </c>
      <c r="J1064" s="5">
        <v>40087</v>
      </c>
      <c r="K1064" s="16">
        <v>520</v>
      </c>
      <c r="L1064" s="13">
        <v>2124.59</v>
      </c>
      <c r="M1064" s="15">
        <v>174.62797662184792</v>
      </c>
      <c r="N1064" s="13">
        <v>2124.59</v>
      </c>
      <c r="O1064" s="13">
        <v>0</v>
      </c>
      <c r="P1064" s="11">
        <v>0</v>
      </c>
    </row>
    <row r="1065" spans="1:16" ht="15" thickBot="1" x14ac:dyDescent="0.3">
      <c r="A1065" s="3" t="s">
        <v>11</v>
      </c>
      <c r="B1065" s="4">
        <v>121972</v>
      </c>
      <c r="C1065" s="3" t="s">
        <v>9</v>
      </c>
      <c r="D1065" s="18">
        <v>9.5000000000000001E-2</v>
      </c>
      <c r="E1065" s="21">
        <v>7.5915342905825689E-3</v>
      </c>
      <c r="F1065" s="5">
        <v>39584</v>
      </c>
      <c r="G1065" s="5">
        <v>41410</v>
      </c>
      <c r="H1065" s="16">
        <v>1826</v>
      </c>
      <c r="I1065" s="5">
        <v>41410</v>
      </c>
      <c r="J1065" s="5">
        <v>41906</v>
      </c>
      <c r="K1065" s="16">
        <v>2322</v>
      </c>
      <c r="L1065" s="13">
        <v>3218.77</v>
      </c>
      <c r="M1065" s="15">
        <v>66.234549463091653</v>
      </c>
      <c r="N1065" s="13">
        <v>3218.77</v>
      </c>
      <c r="O1065" s="13">
        <v>0</v>
      </c>
      <c r="P1065" s="11">
        <v>0</v>
      </c>
    </row>
    <row r="1066" spans="1:16" ht="15" thickBot="1" x14ac:dyDescent="0.3">
      <c r="A1066" s="3" t="s">
        <v>11</v>
      </c>
      <c r="B1066" s="4">
        <v>279990</v>
      </c>
      <c r="C1066" s="3" t="s">
        <v>9</v>
      </c>
      <c r="D1066" s="18">
        <v>0.1</v>
      </c>
      <c r="E1066" s="21">
        <v>7.9741404289037643E-3</v>
      </c>
      <c r="F1066" s="5">
        <v>39587</v>
      </c>
      <c r="G1066" s="5">
        <v>42131</v>
      </c>
      <c r="H1066" s="16">
        <v>2544</v>
      </c>
      <c r="I1066" s="5">
        <v>42131</v>
      </c>
      <c r="J1066" s="5">
        <v>42320</v>
      </c>
      <c r="K1066" s="16">
        <v>2733</v>
      </c>
      <c r="L1066" s="13">
        <v>6245.44</v>
      </c>
      <c r="M1066" s="15">
        <v>101.61765463055262</v>
      </c>
      <c r="N1066" s="13">
        <v>6245.44</v>
      </c>
      <c r="O1066" s="13">
        <v>0</v>
      </c>
      <c r="P1066" s="11">
        <v>1</v>
      </c>
    </row>
    <row r="1067" spans="1:16" ht="15" thickBot="1" x14ac:dyDescent="0.3">
      <c r="A1067" s="3" t="s">
        <v>11</v>
      </c>
      <c r="B1067" s="4">
        <v>46878</v>
      </c>
      <c r="C1067" s="3" t="s">
        <v>9</v>
      </c>
      <c r="D1067" s="18">
        <v>0.11</v>
      </c>
      <c r="E1067" s="21">
        <v>8.7345938235519061E-3</v>
      </c>
      <c r="F1067" s="5">
        <v>39588</v>
      </c>
      <c r="G1067" s="5">
        <v>41414</v>
      </c>
      <c r="H1067" s="16">
        <v>1826</v>
      </c>
      <c r="I1067" s="5">
        <v>41414</v>
      </c>
      <c r="J1067" s="5">
        <v>40171</v>
      </c>
      <c r="K1067" s="16">
        <v>583</v>
      </c>
      <c r="L1067" s="13">
        <v>5571.27</v>
      </c>
      <c r="M1067" s="15">
        <v>118.39955258855659</v>
      </c>
      <c r="N1067" s="13">
        <v>5571.27</v>
      </c>
      <c r="O1067" s="13">
        <v>0</v>
      </c>
      <c r="P1067" s="11">
        <v>0</v>
      </c>
    </row>
    <row r="1068" spans="1:16" ht="15" thickBot="1" x14ac:dyDescent="0.3">
      <c r="A1068" s="3" t="s">
        <v>11</v>
      </c>
      <c r="B1068" s="4">
        <v>247104</v>
      </c>
      <c r="C1068" s="3" t="s">
        <v>9</v>
      </c>
      <c r="D1068" s="18">
        <v>9.7500000000000003E-2</v>
      </c>
      <c r="E1068" s="21">
        <v>7.7830370878799737E-3</v>
      </c>
      <c r="F1068" s="5">
        <v>39597</v>
      </c>
      <c r="G1068" s="5">
        <v>40722</v>
      </c>
      <c r="H1068" s="16">
        <v>1125</v>
      </c>
      <c r="I1068" s="5">
        <v>40722</v>
      </c>
      <c r="J1068" s="5">
        <v>41533</v>
      </c>
      <c r="K1068" s="16">
        <v>1936</v>
      </c>
      <c r="L1068" s="13">
        <v>162437.5</v>
      </c>
      <c r="M1068" s="15">
        <v>5011.2173309511963</v>
      </c>
      <c r="N1068" s="13">
        <v>162437.5</v>
      </c>
      <c r="O1068" s="13">
        <v>0</v>
      </c>
      <c r="P1068" s="11">
        <v>0</v>
      </c>
    </row>
    <row r="1069" spans="1:16" ht="15" thickBot="1" x14ac:dyDescent="0.3">
      <c r="A1069" s="3" t="s">
        <v>11</v>
      </c>
      <c r="B1069" s="4">
        <v>288976</v>
      </c>
      <c r="C1069" s="3" t="s">
        <v>9</v>
      </c>
      <c r="D1069" s="18">
        <v>9.7500000000000003E-2</v>
      </c>
      <c r="E1069" s="21">
        <v>7.7830370878799737E-3</v>
      </c>
      <c r="F1069" s="5">
        <v>39603</v>
      </c>
      <c r="G1069" s="5">
        <v>40241</v>
      </c>
      <c r="H1069" s="16">
        <v>638</v>
      </c>
      <c r="I1069" s="5">
        <v>40241</v>
      </c>
      <c r="J1069" s="5">
        <v>41351</v>
      </c>
      <c r="K1069" s="16">
        <v>1748</v>
      </c>
      <c r="L1069" s="13">
        <v>31474.27</v>
      </c>
      <c r="M1069" s="15">
        <v>1611.5802554604647</v>
      </c>
      <c r="N1069" s="13">
        <v>31474.27</v>
      </c>
      <c r="O1069" s="13">
        <v>0</v>
      </c>
      <c r="P1069" s="11">
        <v>0</v>
      </c>
    </row>
    <row r="1070" spans="1:16" ht="15" thickBot="1" x14ac:dyDescent="0.3">
      <c r="A1070" s="3" t="s">
        <v>11</v>
      </c>
      <c r="B1070" s="4">
        <v>958667</v>
      </c>
      <c r="C1070" s="3" t="s">
        <v>9</v>
      </c>
      <c r="D1070" s="18">
        <v>9.7500000000000003E-2</v>
      </c>
      <c r="E1070" s="21">
        <v>7.7830370878799737E-3</v>
      </c>
      <c r="F1070" s="5">
        <v>39604</v>
      </c>
      <c r="G1070" s="5">
        <v>39999</v>
      </c>
      <c r="H1070" s="16">
        <v>395</v>
      </c>
      <c r="I1070" s="5">
        <v>39999</v>
      </c>
      <c r="J1070" s="5">
        <v>40618</v>
      </c>
      <c r="K1070" s="16">
        <v>1014</v>
      </c>
      <c r="L1070" s="13">
        <v>246705</v>
      </c>
      <c r="M1070" s="15">
        <v>19786.2981224549</v>
      </c>
      <c r="N1070" s="13">
        <v>246705</v>
      </c>
      <c r="O1070" s="13">
        <v>0</v>
      </c>
      <c r="P1070" s="11">
        <v>0</v>
      </c>
    </row>
    <row r="1071" spans="1:16" ht="15" thickBot="1" x14ac:dyDescent="0.3">
      <c r="A1071" s="3" t="s">
        <v>11</v>
      </c>
      <c r="B1071" s="4">
        <v>602893</v>
      </c>
      <c r="C1071" s="3" t="s">
        <v>9</v>
      </c>
      <c r="D1071" s="18">
        <v>0.115</v>
      </c>
      <c r="E1071" s="21">
        <v>9.1124684369046083E-3</v>
      </c>
      <c r="F1071" s="5">
        <v>39605</v>
      </c>
      <c r="G1071" s="5">
        <v>40518</v>
      </c>
      <c r="H1071" s="16">
        <v>913</v>
      </c>
      <c r="I1071" s="5">
        <v>40518</v>
      </c>
      <c r="J1071" s="5">
        <v>39843</v>
      </c>
      <c r="K1071" s="16">
        <v>238</v>
      </c>
      <c r="L1071" s="13">
        <v>4416.29</v>
      </c>
      <c r="M1071" s="15">
        <v>166.82005143499694</v>
      </c>
      <c r="N1071" s="13">
        <v>4416.29</v>
      </c>
      <c r="O1071" s="13">
        <v>0</v>
      </c>
      <c r="P1071" s="11">
        <v>0</v>
      </c>
    </row>
    <row r="1072" spans="1:16" ht="15" thickBot="1" x14ac:dyDescent="0.3">
      <c r="A1072" s="3" t="s">
        <v>11</v>
      </c>
      <c r="B1072" s="4">
        <v>334710</v>
      </c>
      <c r="C1072" s="3" t="s">
        <v>9</v>
      </c>
      <c r="D1072" s="18">
        <v>9.7500000000000003E-2</v>
      </c>
      <c r="E1072" s="21">
        <v>7.7830370878799737E-3</v>
      </c>
      <c r="F1072" s="5">
        <v>39609</v>
      </c>
      <c r="G1072" s="5">
        <v>40157</v>
      </c>
      <c r="H1072" s="16">
        <v>548</v>
      </c>
      <c r="I1072" s="5">
        <v>40157</v>
      </c>
      <c r="J1072" s="5">
        <v>42440</v>
      </c>
      <c r="K1072" s="16">
        <v>2831</v>
      </c>
      <c r="L1072" s="13">
        <v>115091.15</v>
      </c>
      <c r="M1072" s="15">
        <v>6783.5449000700019</v>
      </c>
      <c r="N1072" s="13">
        <v>115091.15</v>
      </c>
      <c r="O1072" s="13">
        <v>115091.15</v>
      </c>
      <c r="P1072" s="11">
        <v>0</v>
      </c>
    </row>
    <row r="1073" spans="1:16" ht="15" thickBot="1" x14ac:dyDescent="0.3">
      <c r="A1073" s="3" t="s">
        <v>11</v>
      </c>
      <c r="B1073" s="4">
        <v>813840</v>
      </c>
      <c r="C1073" s="3" t="s">
        <v>9</v>
      </c>
      <c r="D1073" s="18">
        <v>0.1</v>
      </c>
      <c r="E1073" s="21">
        <v>7.9741404289037643E-3</v>
      </c>
      <c r="F1073" s="5">
        <v>39611</v>
      </c>
      <c r="G1073" s="5">
        <v>40767</v>
      </c>
      <c r="H1073" s="16">
        <v>1156</v>
      </c>
      <c r="I1073" s="5">
        <v>40767</v>
      </c>
      <c r="J1073" s="5">
        <v>40176</v>
      </c>
      <c r="K1073" s="16">
        <v>565</v>
      </c>
      <c r="L1073" s="13">
        <v>7247.17</v>
      </c>
      <c r="M1073" s="15">
        <v>219.19079497002022</v>
      </c>
      <c r="N1073" s="13">
        <v>7247.17</v>
      </c>
      <c r="O1073" s="13">
        <v>0</v>
      </c>
      <c r="P1073" s="11">
        <v>0</v>
      </c>
    </row>
    <row r="1074" spans="1:16" ht="15" thickBot="1" x14ac:dyDescent="0.3">
      <c r="A1074" s="3" t="s">
        <v>11</v>
      </c>
      <c r="B1074" s="4">
        <v>771661</v>
      </c>
      <c r="C1074" s="3" t="s">
        <v>9</v>
      </c>
      <c r="D1074" s="18">
        <v>0.1</v>
      </c>
      <c r="E1074" s="21">
        <v>7.9741404289037643E-3</v>
      </c>
      <c r="F1074" s="5">
        <v>39615</v>
      </c>
      <c r="G1074" s="5">
        <v>42751</v>
      </c>
      <c r="H1074" s="16">
        <v>3136</v>
      </c>
      <c r="I1074" s="5">
        <v>42751</v>
      </c>
      <c r="J1074" s="5">
        <v>40807</v>
      </c>
      <c r="K1074" s="16">
        <v>1192</v>
      </c>
      <c r="L1074" s="13">
        <v>12477.28</v>
      </c>
      <c r="M1074" s="15">
        <v>176.39090134090222</v>
      </c>
      <c r="N1074" s="13">
        <v>12477.28</v>
      </c>
      <c r="O1074" s="13">
        <v>0</v>
      </c>
      <c r="P1074" s="11">
        <v>1</v>
      </c>
    </row>
    <row r="1075" spans="1:16" ht="15" thickBot="1" x14ac:dyDescent="0.3">
      <c r="A1075" s="3" t="s">
        <v>11</v>
      </c>
      <c r="B1075" s="4">
        <v>492537</v>
      </c>
      <c r="C1075" s="3" t="s">
        <v>9</v>
      </c>
      <c r="D1075" s="18">
        <v>0.1</v>
      </c>
      <c r="E1075" s="21">
        <v>7.9741404289037643E-3</v>
      </c>
      <c r="F1075" s="5">
        <v>39616</v>
      </c>
      <c r="G1075" s="5">
        <v>41260</v>
      </c>
      <c r="H1075" s="16">
        <v>1644</v>
      </c>
      <c r="I1075" s="5">
        <v>41260</v>
      </c>
      <c r="J1075" s="5">
        <v>40869</v>
      </c>
      <c r="K1075" s="16">
        <v>1253</v>
      </c>
      <c r="L1075" s="13">
        <v>3477.76</v>
      </c>
      <c r="M1075" s="15">
        <v>78.584248629217015</v>
      </c>
      <c r="N1075" s="13">
        <v>3477.76</v>
      </c>
      <c r="O1075" s="13">
        <v>0</v>
      </c>
      <c r="P1075" s="11">
        <v>0</v>
      </c>
    </row>
    <row r="1076" spans="1:16" ht="15" thickBot="1" x14ac:dyDescent="0.3">
      <c r="A1076" s="3" t="s">
        <v>11</v>
      </c>
      <c r="B1076" s="4">
        <v>311661</v>
      </c>
      <c r="C1076" s="3" t="s">
        <v>9</v>
      </c>
      <c r="D1076" s="18">
        <v>0.11</v>
      </c>
      <c r="E1076" s="21">
        <v>8.7345938235519061E-3</v>
      </c>
      <c r="F1076" s="5">
        <v>39625</v>
      </c>
      <c r="G1076" s="5">
        <v>39990</v>
      </c>
      <c r="H1076" s="16">
        <v>365</v>
      </c>
      <c r="I1076" s="5">
        <v>39990</v>
      </c>
      <c r="J1076" s="5">
        <v>39797</v>
      </c>
      <c r="K1076" s="16">
        <v>172</v>
      </c>
      <c r="L1076" s="13">
        <v>1799.12</v>
      </c>
      <c r="M1076" s="15">
        <v>156.51357340838277</v>
      </c>
      <c r="N1076" s="13">
        <v>1799.12</v>
      </c>
      <c r="O1076" s="13">
        <v>0</v>
      </c>
      <c r="P1076" s="11">
        <v>0</v>
      </c>
    </row>
    <row r="1077" spans="1:16" ht="15" thickBot="1" x14ac:dyDescent="0.3">
      <c r="A1077" s="3" t="s">
        <v>11</v>
      </c>
      <c r="B1077" s="4">
        <v>27625</v>
      </c>
      <c r="C1077" s="3" t="s">
        <v>9</v>
      </c>
      <c r="D1077" s="18">
        <v>0.1</v>
      </c>
      <c r="E1077" s="21">
        <v>7.9741404289037643E-3</v>
      </c>
      <c r="F1077" s="5">
        <v>39625</v>
      </c>
      <c r="G1077" s="5">
        <v>40563</v>
      </c>
      <c r="H1077" s="16">
        <v>938</v>
      </c>
      <c r="I1077" s="5">
        <v>40563</v>
      </c>
      <c r="J1077" s="5">
        <v>40290</v>
      </c>
      <c r="K1077" s="16">
        <v>665</v>
      </c>
      <c r="L1077" s="13">
        <v>1351.97</v>
      </c>
      <c r="M1077" s="15">
        <v>49.025426635635689</v>
      </c>
      <c r="N1077" s="13">
        <v>1351.97</v>
      </c>
      <c r="O1077" s="13">
        <v>0</v>
      </c>
      <c r="P1077" s="11">
        <v>0</v>
      </c>
    </row>
    <row r="1078" spans="1:16" ht="15" thickBot="1" x14ac:dyDescent="0.3">
      <c r="A1078" s="3" t="s">
        <v>11</v>
      </c>
      <c r="B1078" s="4">
        <v>332203</v>
      </c>
      <c r="C1078" s="3" t="s">
        <v>9</v>
      </c>
      <c r="D1078" s="18">
        <v>0.14000000000000001</v>
      </c>
      <c r="E1078" s="21">
        <v>1.0978851950173452E-2</v>
      </c>
      <c r="F1078" s="5">
        <v>39639</v>
      </c>
      <c r="G1078" s="5">
        <v>39731</v>
      </c>
      <c r="H1078" s="16">
        <v>92</v>
      </c>
      <c r="I1078" s="5">
        <v>39731</v>
      </c>
      <c r="J1078" s="5">
        <v>39666</v>
      </c>
      <c r="K1078" s="16">
        <v>27</v>
      </c>
      <c r="L1078" s="13">
        <v>468.38</v>
      </c>
      <c r="M1078" s="15">
        <v>156.15498342986558</v>
      </c>
      <c r="N1078" s="13">
        <v>468.38</v>
      </c>
      <c r="O1078" s="13">
        <v>0</v>
      </c>
      <c r="P1078" s="11">
        <v>0</v>
      </c>
    </row>
    <row r="1079" spans="1:16" ht="15" thickBot="1" x14ac:dyDescent="0.3">
      <c r="A1079" s="3" t="s">
        <v>11</v>
      </c>
      <c r="B1079" s="4">
        <v>955111</v>
      </c>
      <c r="C1079" s="3" t="s">
        <v>9</v>
      </c>
      <c r="D1079" s="18">
        <v>0.11</v>
      </c>
      <c r="E1079" s="21">
        <v>8.7345938235519061E-3</v>
      </c>
      <c r="F1079" s="5">
        <v>39657</v>
      </c>
      <c r="G1079" s="5">
        <v>40022</v>
      </c>
      <c r="H1079" s="16">
        <v>365</v>
      </c>
      <c r="I1079" s="5">
        <v>40022</v>
      </c>
      <c r="J1079" s="5">
        <v>42921</v>
      </c>
      <c r="K1079" s="16">
        <v>3264</v>
      </c>
      <c r="L1079" s="13">
        <v>235.9</v>
      </c>
      <c r="M1079" s="15">
        <v>20.522006295876594</v>
      </c>
      <c r="N1079" s="13">
        <v>235.9</v>
      </c>
      <c r="O1079" s="13">
        <v>0</v>
      </c>
      <c r="P1079" s="11">
        <v>0</v>
      </c>
    </row>
    <row r="1080" spans="1:16" ht="15" thickBot="1" x14ac:dyDescent="0.3">
      <c r="A1080" s="3" t="s">
        <v>11</v>
      </c>
      <c r="B1080" s="4">
        <v>561162</v>
      </c>
      <c r="C1080" s="3" t="s">
        <v>9</v>
      </c>
      <c r="D1080" s="18">
        <v>0.12</v>
      </c>
      <c r="E1080" s="21">
        <v>9.4887929345830457E-3</v>
      </c>
      <c r="F1080" s="5">
        <v>39659</v>
      </c>
      <c r="G1080" s="5">
        <v>41182</v>
      </c>
      <c r="H1080" s="16">
        <v>1523</v>
      </c>
      <c r="I1080" s="5">
        <v>41182</v>
      </c>
      <c r="J1080" s="5">
        <v>41095</v>
      </c>
      <c r="K1080" s="16">
        <v>1436</v>
      </c>
      <c r="L1080" s="13">
        <v>1507.71</v>
      </c>
      <c r="M1080" s="15">
        <v>37.562085627153401</v>
      </c>
      <c r="N1080" s="13">
        <v>1507.71</v>
      </c>
      <c r="O1080" s="13">
        <v>0</v>
      </c>
      <c r="P1080" s="11">
        <v>0</v>
      </c>
    </row>
    <row r="1081" spans="1:16" ht="15" thickBot="1" x14ac:dyDescent="0.3">
      <c r="A1081" s="3" t="s">
        <v>11</v>
      </c>
      <c r="B1081" s="4">
        <v>867865</v>
      </c>
      <c r="C1081" s="3" t="s">
        <v>9</v>
      </c>
      <c r="D1081" s="18">
        <v>0.11</v>
      </c>
      <c r="E1081" s="21">
        <v>8.7345938235519061E-3</v>
      </c>
      <c r="F1081" s="5">
        <v>39659</v>
      </c>
      <c r="G1081" s="5">
        <v>40938</v>
      </c>
      <c r="H1081" s="16">
        <v>1279</v>
      </c>
      <c r="I1081" s="5">
        <v>40938</v>
      </c>
      <c r="J1081" s="5">
        <v>40108</v>
      </c>
      <c r="K1081" s="16">
        <v>449</v>
      </c>
      <c r="L1081" s="13">
        <v>907.48</v>
      </c>
      <c r="M1081" s="15">
        <v>25.586100179948978</v>
      </c>
      <c r="N1081" s="13">
        <v>907.48</v>
      </c>
      <c r="O1081" s="13">
        <v>0</v>
      </c>
      <c r="P1081" s="11">
        <v>0</v>
      </c>
    </row>
    <row r="1082" spans="1:16" ht="15" thickBot="1" x14ac:dyDescent="0.3">
      <c r="A1082" s="3" t="s">
        <v>11</v>
      </c>
      <c r="B1082" s="4">
        <v>161931</v>
      </c>
      <c r="C1082" s="3" t="s">
        <v>9</v>
      </c>
      <c r="D1082" s="18">
        <v>0.1</v>
      </c>
      <c r="E1082" s="21">
        <v>7.9741404289037643E-3</v>
      </c>
      <c r="F1082" s="5">
        <v>39681</v>
      </c>
      <c r="G1082" s="5">
        <v>41518</v>
      </c>
      <c r="H1082" s="16">
        <v>1837</v>
      </c>
      <c r="I1082" s="5">
        <v>41518</v>
      </c>
      <c r="J1082" s="5">
        <v>40641</v>
      </c>
      <c r="K1082" s="16">
        <v>960</v>
      </c>
      <c r="L1082" s="13">
        <v>744.54</v>
      </c>
      <c r="M1082" s="15">
        <v>15.415691247897719</v>
      </c>
      <c r="N1082" s="13">
        <v>744.54</v>
      </c>
      <c r="O1082" s="13">
        <v>0</v>
      </c>
      <c r="P1082" s="11">
        <v>0</v>
      </c>
    </row>
    <row r="1083" spans="1:16" ht="15" thickBot="1" x14ac:dyDescent="0.3">
      <c r="A1083" s="3" t="s">
        <v>11</v>
      </c>
      <c r="B1083" s="4">
        <v>477804</v>
      </c>
      <c r="C1083" s="3" t="s">
        <v>9</v>
      </c>
      <c r="D1083" s="18">
        <v>0.12</v>
      </c>
      <c r="E1083" s="21">
        <v>9.4887929345830457E-3</v>
      </c>
      <c r="F1083" s="5">
        <v>39681</v>
      </c>
      <c r="G1083" s="5">
        <v>39924</v>
      </c>
      <c r="H1083" s="16">
        <v>243</v>
      </c>
      <c r="I1083" s="5">
        <v>39924</v>
      </c>
      <c r="J1083" s="5">
        <v>40571</v>
      </c>
      <c r="K1083" s="16">
        <v>890</v>
      </c>
      <c r="L1083" s="13">
        <v>293.01</v>
      </c>
      <c r="M1083" s="15">
        <v>37.753305723305232</v>
      </c>
      <c r="N1083" s="13">
        <v>293.01</v>
      </c>
      <c r="O1083" s="13">
        <v>0</v>
      </c>
      <c r="P1083" s="11">
        <v>0</v>
      </c>
    </row>
    <row r="1084" spans="1:16" ht="15" thickBot="1" x14ac:dyDescent="0.3">
      <c r="A1084" s="3" t="s">
        <v>11</v>
      </c>
      <c r="B1084" s="4">
        <v>67933</v>
      </c>
      <c r="C1084" s="3" t="s">
        <v>9</v>
      </c>
      <c r="D1084" s="18">
        <v>0.1</v>
      </c>
      <c r="E1084" s="21">
        <v>7.9741404289037643E-3</v>
      </c>
      <c r="F1084" s="5">
        <v>39682</v>
      </c>
      <c r="G1084" s="5">
        <v>42360</v>
      </c>
      <c r="H1084" s="16">
        <v>2678</v>
      </c>
      <c r="I1084" s="5">
        <v>42360</v>
      </c>
      <c r="J1084" s="5">
        <v>42160</v>
      </c>
      <c r="K1084" s="16">
        <v>2478</v>
      </c>
      <c r="L1084" s="13">
        <v>16704.22</v>
      </c>
      <c r="M1084" s="15">
        <v>262.27805439536593</v>
      </c>
      <c r="N1084" s="13">
        <v>16704.22</v>
      </c>
      <c r="O1084" s="13">
        <v>0</v>
      </c>
      <c r="P1084" s="11">
        <v>1</v>
      </c>
    </row>
    <row r="1085" spans="1:16" ht="15" thickBot="1" x14ac:dyDescent="0.3">
      <c r="A1085" s="3" t="s">
        <v>11</v>
      </c>
      <c r="B1085" s="4">
        <v>551200</v>
      </c>
      <c r="C1085" s="3" t="s">
        <v>9</v>
      </c>
      <c r="D1085" s="18">
        <v>0.12</v>
      </c>
      <c r="E1085" s="21">
        <v>9.4887929345830457E-3</v>
      </c>
      <c r="F1085" s="5">
        <v>39686</v>
      </c>
      <c r="G1085" s="5">
        <v>40965</v>
      </c>
      <c r="H1085" s="16">
        <v>1279</v>
      </c>
      <c r="I1085" s="5">
        <v>40965</v>
      </c>
      <c r="J1085" s="5">
        <v>43480</v>
      </c>
      <c r="K1085" s="16">
        <v>3794</v>
      </c>
      <c r="L1085" s="13">
        <v>2135.7600000000002</v>
      </c>
      <c r="M1085" s="15">
        <v>61.14434631297658</v>
      </c>
      <c r="N1085" s="13">
        <v>2044.83</v>
      </c>
      <c r="O1085" s="13">
        <v>0</v>
      </c>
      <c r="P1085" s="11">
        <v>0</v>
      </c>
    </row>
    <row r="1086" spans="1:16" ht="15" thickBot="1" x14ac:dyDescent="0.3">
      <c r="A1086" s="3" t="s">
        <v>11</v>
      </c>
      <c r="B1086" s="4">
        <v>23358</v>
      </c>
      <c r="C1086" s="3" t="s">
        <v>9</v>
      </c>
      <c r="D1086" s="18">
        <v>9.5000000000000001E-2</v>
      </c>
      <c r="E1086" s="21">
        <v>7.5915342905825689E-3</v>
      </c>
      <c r="F1086" s="5">
        <v>39687</v>
      </c>
      <c r="G1086" s="5">
        <v>41527</v>
      </c>
      <c r="H1086" s="16">
        <v>1840</v>
      </c>
      <c r="I1086" s="5">
        <v>41527</v>
      </c>
      <c r="J1086" s="5">
        <v>40400</v>
      </c>
      <c r="K1086" s="16">
        <v>713</v>
      </c>
      <c r="L1086" s="13">
        <v>33055.61</v>
      </c>
      <c r="M1086" s="15">
        <v>676.13020704491089</v>
      </c>
      <c r="N1086" s="13">
        <v>33055.61</v>
      </c>
      <c r="O1086" s="13">
        <v>0</v>
      </c>
      <c r="P1086" s="11">
        <v>0</v>
      </c>
    </row>
    <row r="1087" spans="1:16" ht="15" thickBot="1" x14ac:dyDescent="0.3">
      <c r="A1087" s="3" t="s">
        <v>11</v>
      </c>
      <c r="B1087" s="4">
        <v>336546</v>
      </c>
      <c r="C1087" s="3" t="s">
        <v>9</v>
      </c>
      <c r="D1087" s="18">
        <v>0.1</v>
      </c>
      <c r="E1087" s="21">
        <v>7.9741404289037643E-3</v>
      </c>
      <c r="F1087" s="5">
        <v>39695</v>
      </c>
      <c r="G1087" s="5">
        <v>42342</v>
      </c>
      <c r="H1087" s="16">
        <v>2647</v>
      </c>
      <c r="I1087" s="5">
        <v>42342</v>
      </c>
      <c r="J1087" s="5">
        <v>41339</v>
      </c>
      <c r="K1087" s="16">
        <v>1644</v>
      </c>
      <c r="L1087" s="13">
        <v>2216.0700000000002</v>
      </c>
      <c r="M1087" s="15">
        <v>35.075295283165239</v>
      </c>
      <c r="N1087" s="13">
        <v>2216.0700000000002</v>
      </c>
      <c r="O1087" s="13">
        <v>0</v>
      </c>
      <c r="P1087" s="11">
        <v>1</v>
      </c>
    </row>
    <row r="1088" spans="1:16" ht="15" thickBot="1" x14ac:dyDescent="0.3">
      <c r="A1088" s="3" t="s">
        <v>11</v>
      </c>
      <c r="B1088" s="4">
        <v>414442</v>
      </c>
      <c r="C1088" s="3" t="s">
        <v>9</v>
      </c>
      <c r="D1088" s="18">
        <v>8.5000000000000006E-2</v>
      </c>
      <c r="E1088" s="21">
        <v>6.8214933659622723E-3</v>
      </c>
      <c r="F1088" s="5">
        <v>39696</v>
      </c>
      <c r="G1088" s="5">
        <v>40067</v>
      </c>
      <c r="H1088" s="16">
        <v>371</v>
      </c>
      <c r="I1088" s="5">
        <v>40067</v>
      </c>
      <c r="J1088" s="5">
        <v>39899</v>
      </c>
      <c r="K1088" s="16">
        <v>203</v>
      </c>
      <c r="L1088" s="13">
        <v>27485</v>
      </c>
      <c r="M1088" s="15">
        <v>2325.1363321051654</v>
      </c>
      <c r="N1088" s="13">
        <v>27485</v>
      </c>
      <c r="O1088" s="13">
        <v>0</v>
      </c>
      <c r="P1088" s="11">
        <v>0</v>
      </c>
    </row>
    <row r="1089" spans="1:16" ht="15" thickBot="1" x14ac:dyDescent="0.3">
      <c r="A1089" s="3" t="s">
        <v>11</v>
      </c>
      <c r="B1089" s="4">
        <v>956017</v>
      </c>
      <c r="C1089" s="3" t="s">
        <v>9</v>
      </c>
      <c r="D1089" s="18">
        <v>0.12</v>
      </c>
      <c r="E1089" s="21">
        <v>9.4887929345830457E-3</v>
      </c>
      <c r="F1089" s="5">
        <v>39706</v>
      </c>
      <c r="G1089" s="5">
        <v>39767</v>
      </c>
      <c r="H1089" s="16">
        <v>61</v>
      </c>
      <c r="I1089" s="5">
        <v>39767</v>
      </c>
      <c r="J1089" s="5">
        <v>40049</v>
      </c>
      <c r="K1089" s="16">
        <v>343</v>
      </c>
      <c r="L1089" s="13">
        <v>655.53</v>
      </c>
      <c r="M1089" s="15">
        <v>327.03899824952367</v>
      </c>
      <c r="N1089" s="13">
        <v>655.53</v>
      </c>
      <c r="O1089" s="13">
        <v>0</v>
      </c>
      <c r="P1089" s="11">
        <v>0</v>
      </c>
    </row>
    <row r="1090" spans="1:16" ht="15" thickBot="1" x14ac:dyDescent="0.3">
      <c r="A1090" s="3" t="s">
        <v>11</v>
      </c>
      <c r="B1090" s="4">
        <v>624239</v>
      </c>
      <c r="C1090" s="3" t="s">
        <v>9</v>
      </c>
      <c r="D1090" s="18">
        <v>0.1</v>
      </c>
      <c r="E1090" s="21">
        <v>7.9741404289037643E-3</v>
      </c>
      <c r="F1090" s="5">
        <v>39716</v>
      </c>
      <c r="G1090" s="5">
        <v>41542</v>
      </c>
      <c r="H1090" s="16">
        <v>1826</v>
      </c>
      <c r="I1090" s="5">
        <v>41542</v>
      </c>
      <c r="J1090" s="5">
        <v>41054</v>
      </c>
      <c r="K1090" s="16">
        <v>1338</v>
      </c>
      <c r="L1090" s="13">
        <v>9053.2800000000007</v>
      </c>
      <c r="M1090" s="15">
        <v>188.32493370245604</v>
      </c>
      <c r="N1090" s="13">
        <v>9053.2800000000007</v>
      </c>
      <c r="O1090" s="13">
        <v>0</v>
      </c>
      <c r="P1090" s="11">
        <v>0</v>
      </c>
    </row>
    <row r="1091" spans="1:16" ht="15" thickBot="1" x14ac:dyDescent="0.3">
      <c r="A1091" s="3" t="s">
        <v>11</v>
      </c>
      <c r="B1091" s="4">
        <v>656778</v>
      </c>
      <c r="C1091" s="3" t="s">
        <v>9</v>
      </c>
      <c r="D1091" s="18">
        <v>7.7499999999999999E-2</v>
      </c>
      <c r="E1091" s="21">
        <v>6.2396814612857288E-3</v>
      </c>
      <c r="F1091" s="5">
        <v>39720</v>
      </c>
      <c r="G1091" s="5">
        <v>40541</v>
      </c>
      <c r="H1091" s="16">
        <v>821</v>
      </c>
      <c r="I1091" s="5">
        <v>40541</v>
      </c>
      <c r="J1091" s="5">
        <v>40359</v>
      </c>
      <c r="K1091" s="16">
        <v>639</v>
      </c>
      <c r="L1091" s="13">
        <v>415593.75</v>
      </c>
      <c r="M1091" s="15">
        <v>16566.813506368409</v>
      </c>
      <c r="N1091" s="13">
        <v>413327.06</v>
      </c>
      <c r="O1091" s="13">
        <v>0</v>
      </c>
      <c r="P1091" s="11">
        <v>0</v>
      </c>
    </row>
    <row r="1092" spans="1:16" ht="15" thickBot="1" x14ac:dyDescent="0.3">
      <c r="A1092" s="3" t="s">
        <v>11</v>
      </c>
      <c r="B1092" s="4">
        <v>260461</v>
      </c>
      <c r="C1092" s="3" t="s">
        <v>9</v>
      </c>
      <c r="D1092" s="18">
        <v>0.1</v>
      </c>
      <c r="E1092" s="21">
        <v>7.9741404289037643E-3</v>
      </c>
      <c r="F1092" s="5">
        <v>39720</v>
      </c>
      <c r="G1092" s="5">
        <v>40815</v>
      </c>
      <c r="H1092" s="16">
        <v>1095</v>
      </c>
      <c r="I1092" s="5">
        <v>40815</v>
      </c>
      <c r="J1092" s="5">
        <v>40682</v>
      </c>
      <c r="K1092" s="16">
        <v>962</v>
      </c>
      <c r="L1092" s="13">
        <v>4862.13</v>
      </c>
      <c r="M1092" s="15">
        <v>154.06045213835193</v>
      </c>
      <c r="N1092" s="13">
        <v>4862.13</v>
      </c>
      <c r="O1092" s="13">
        <v>0</v>
      </c>
      <c r="P1092" s="11">
        <v>0</v>
      </c>
    </row>
    <row r="1093" spans="1:16" ht="15" thickBot="1" x14ac:dyDescent="0.3">
      <c r="A1093" s="3" t="s">
        <v>11</v>
      </c>
      <c r="B1093" s="4">
        <v>936881</v>
      </c>
      <c r="C1093" s="3" t="s">
        <v>9</v>
      </c>
      <c r="D1093" s="18">
        <v>9.7500000000000003E-2</v>
      </c>
      <c r="E1093" s="21">
        <v>7.7830370878799737E-3</v>
      </c>
      <c r="F1093" s="5">
        <v>39721</v>
      </c>
      <c r="G1093" s="5">
        <v>40086</v>
      </c>
      <c r="H1093" s="16">
        <v>365</v>
      </c>
      <c r="I1093" s="5">
        <v>40086</v>
      </c>
      <c r="J1093" s="5">
        <v>42541</v>
      </c>
      <c r="K1093" s="16">
        <v>2820</v>
      </c>
      <c r="L1093" s="13">
        <v>87000</v>
      </c>
      <c r="M1093" s="15">
        <v>7522.35991439189</v>
      </c>
      <c r="N1093" s="13">
        <v>87000</v>
      </c>
      <c r="O1093" s="13">
        <v>0</v>
      </c>
      <c r="P1093" s="11">
        <v>0</v>
      </c>
    </row>
    <row r="1094" spans="1:16" ht="15" thickBot="1" x14ac:dyDescent="0.3">
      <c r="A1094" s="3" t="s">
        <v>11</v>
      </c>
      <c r="B1094" s="4">
        <v>140491</v>
      </c>
      <c r="C1094" s="3" t="s">
        <v>9</v>
      </c>
      <c r="D1094" s="18">
        <v>0.09</v>
      </c>
      <c r="E1094" s="21">
        <v>7.2073233161367156E-3</v>
      </c>
      <c r="F1094" s="5">
        <v>39759</v>
      </c>
      <c r="G1094" s="5">
        <v>41613</v>
      </c>
      <c r="H1094" s="16">
        <v>1854</v>
      </c>
      <c r="I1094" s="5">
        <v>41613</v>
      </c>
      <c r="J1094" s="5">
        <v>40396</v>
      </c>
      <c r="K1094" s="16">
        <v>637</v>
      </c>
      <c r="L1094" s="13">
        <v>3700.14</v>
      </c>
      <c r="M1094" s="15">
        <v>74.405457559703692</v>
      </c>
      <c r="N1094" s="13">
        <v>3700.14</v>
      </c>
      <c r="O1094" s="13">
        <v>0</v>
      </c>
      <c r="P1094" s="11">
        <v>0</v>
      </c>
    </row>
    <row r="1095" spans="1:16" ht="15" thickBot="1" x14ac:dyDescent="0.3">
      <c r="A1095" s="3" t="s">
        <v>11</v>
      </c>
      <c r="B1095" s="4">
        <v>843319</v>
      </c>
      <c r="C1095" s="3" t="s">
        <v>9</v>
      </c>
      <c r="D1095" s="18">
        <v>0.09</v>
      </c>
      <c r="E1095" s="21">
        <v>7.2073233161367156E-3</v>
      </c>
      <c r="F1095" s="5">
        <v>39759</v>
      </c>
      <c r="G1095" s="5">
        <v>41220</v>
      </c>
      <c r="H1095" s="16">
        <v>1461</v>
      </c>
      <c r="I1095" s="5">
        <v>41220</v>
      </c>
      <c r="J1095" s="5">
        <v>40473</v>
      </c>
      <c r="K1095" s="16">
        <v>714</v>
      </c>
      <c r="L1095" s="13">
        <v>2395.19</v>
      </c>
      <c r="M1095" s="15">
        <v>58.493127325856534</v>
      </c>
      <c r="N1095" s="13">
        <v>2395.19</v>
      </c>
      <c r="O1095" s="13">
        <v>0</v>
      </c>
      <c r="P1095" s="11">
        <v>0</v>
      </c>
    </row>
    <row r="1096" spans="1:16" ht="15" thickBot="1" x14ac:dyDescent="0.3">
      <c r="A1096" s="3" t="s">
        <v>11</v>
      </c>
      <c r="B1096" s="4">
        <v>945123</v>
      </c>
      <c r="C1096" s="3" t="s">
        <v>9</v>
      </c>
      <c r="D1096" s="18">
        <v>0.1</v>
      </c>
      <c r="E1096" s="21">
        <v>7.9741404289037643E-3</v>
      </c>
      <c r="F1096" s="5">
        <v>39769</v>
      </c>
      <c r="G1096" s="5">
        <v>41974</v>
      </c>
      <c r="H1096" s="16">
        <v>2205</v>
      </c>
      <c r="I1096" s="5">
        <v>41974</v>
      </c>
      <c r="J1096" s="5">
        <v>41339</v>
      </c>
      <c r="K1096" s="16">
        <v>1570</v>
      </c>
      <c r="L1096" s="13">
        <v>13532.18</v>
      </c>
      <c r="M1096" s="15">
        <v>244.01803465455893</v>
      </c>
      <c r="N1096" s="13">
        <v>13532.18</v>
      </c>
      <c r="O1096" s="13">
        <v>0</v>
      </c>
      <c r="P1096" s="11">
        <v>0</v>
      </c>
    </row>
    <row r="1097" spans="1:16" ht="15" thickBot="1" x14ac:dyDescent="0.3">
      <c r="A1097" s="3" t="s">
        <v>11</v>
      </c>
      <c r="B1097" s="4">
        <v>886796</v>
      </c>
      <c r="C1097" s="3" t="s">
        <v>2</v>
      </c>
      <c r="D1097" s="18">
        <v>0.1</v>
      </c>
      <c r="E1097" s="21">
        <v>7.9741404289037643E-3</v>
      </c>
      <c r="F1097" s="5">
        <v>39778</v>
      </c>
      <c r="G1097" s="5">
        <v>41420</v>
      </c>
      <c r="H1097" s="16">
        <v>1642</v>
      </c>
      <c r="I1097" s="5">
        <v>43522</v>
      </c>
      <c r="J1097" s="5">
        <v>43725</v>
      </c>
      <c r="K1097" s="16">
        <v>3947</v>
      </c>
      <c r="L1097" s="13">
        <v>51399.72</v>
      </c>
      <c r="M1097" s="15">
        <v>1162.5687382989038</v>
      </c>
      <c r="N1097" s="13">
        <v>8124.67</v>
      </c>
      <c r="O1097" s="13">
        <v>2040.62</v>
      </c>
      <c r="P1097" s="11">
        <v>0</v>
      </c>
    </row>
    <row r="1098" spans="1:16" ht="15" thickBot="1" x14ac:dyDescent="0.3">
      <c r="A1098" s="3" t="s">
        <v>11</v>
      </c>
      <c r="B1098" s="4">
        <v>320025</v>
      </c>
      <c r="C1098" s="3" t="s">
        <v>9</v>
      </c>
      <c r="D1098" s="18">
        <v>0.11</v>
      </c>
      <c r="E1098" s="21">
        <v>8.7345938235519061E-3</v>
      </c>
      <c r="F1098" s="5">
        <v>39786</v>
      </c>
      <c r="G1098" s="5">
        <v>40090</v>
      </c>
      <c r="H1098" s="16">
        <v>304</v>
      </c>
      <c r="I1098" s="5">
        <v>40090</v>
      </c>
      <c r="J1098" s="5">
        <v>39853</v>
      </c>
      <c r="K1098" s="16">
        <v>67</v>
      </c>
      <c r="L1098" s="13">
        <v>1322.16</v>
      </c>
      <c r="M1098" s="15">
        <v>136.90438368550127</v>
      </c>
      <c r="N1098" s="13">
        <v>1322.16</v>
      </c>
      <c r="O1098" s="13">
        <v>0</v>
      </c>
      <c r="P1098" s="11">
        <v>0</v>
      </c>
    </row>
    <row r="1099" spans="1:16" ht="15" thickBot="1" x14ac:dyDescent="0.3">
      <c r="A1099" s="3" t="s">
        <v>11</v>
      </c>
      <c r="B1099" s="4">
        <v>100536</v>
      </c>
      <c r="C1099" s="3" t="s">
        <v>9</v>
      </c>
      <c r="D1099" s="18">
        <v>0.09</v>
      </c>
      <c r="E1099" s="21">
        <v>7.2073233161367156E-3</v>
      </c>
      <c r="F1099" s="5">
        <v>39787</v>
      </c>
      <c r="G1099" s="5">
        <v>42343</v>
      </c>
      <c r="H1099" s="16">
        <v>2556</v>
      </c>
      <c r="I1099" s="5">
        <v>42343</v>
      </c>
      <c r="J1099" s="5">
        <v>43525</v>
      </c>
      <c r="K1099" s="16">
        <v>3738</v>
      </c>
      <c r="L1099" s="13">
        <v>17500</v>
      </c>
      <c r="M1099" s="15">
        <v>275.5937517957621</v>
      </c>
      <c r="N1099" s="13">
        <v>17150</v>
      </c>
      <c r="O1099" s="13">
        <v>0</v>
      </c>
      <c r="P1099" s="11">
        <v>1</v>
      </c>
    </row>
    <row r="1100" spans="1:16" ht="15" thickBot="1" x14ac:dyDescent="0.3">
      <c r="A1100" s="3" t="s">
        <v>11</v>
      </c>
      <c r="B1100" s="4">
        <v>580823</v>
      </c>
      <c r="C1100" s="3" t="s">
        <v>9</v>
      </c>
      <c r="D1100" s="18">
        <v>9.7500000000000003E-2</v>
      </c>
      <c r="E1100" s="21">
        <v>7.7830370878799737E-3</v>
      </c>
      <c r="F1100" s="5">
        <v>39792</v>
      </c>
      <c r="G1100" s="5">
        <v>39943</v>
      </c>
      <c r="H1100" s="16">
        <v>151</v>
      </c>
      <c r="I1100" s="5">
        <v>39943</v>
      </c>
      <c r="J1100" s="5">
        <v>39840</v>
      </c>
      <c r="K1100" s="16">
        <v>48</v>
      </c>
      <c r="L1100" s="13">
        <v>54787.5</v>
      </c>
      <c r="M1100" s="15">
        <v>11141.831157945539</v>
      </c>
      <c r="N1100" s="13">
        <v>45038.26</v>
      </c>
      <c r="O1100" s="13">
        <v>0</v>
      </c>
      <c r="P1100" s="11">
        <v>0</v>
      </c>
    </row>
    <row r="1101" spans="1:16" ht="15" thickBot="1" x14ac:dyDescent="0.3">
      <c r="A1101" s="3" t="s">
        <v>11</v>
      </c>
      <c r="B1101" s="4">
        <v>804084</v>
      </c>
      <c r="C1101" s="3" t="s">
        <v>9</v>
      </c>
      <c r="D1101" s="18">
        <v>0.11</v>
      </c>
      <c r="E1101" s="21">
        <v>8.7345938235519061E-3</v>
      </c>
      <c r="F1101" s="5">
        <v>39794</v>
      </c>
      <c r="G1101" s="5">
        <v>41710</v>
      </c>
      <c r="H1101" s="16">
        <v>1916</v>
      </c>
      <c r="I1101" s="5">
        <v>41710</v>
      </c>
      <c r="J1101" s="5">
        <v>40718</v>
      </c>
      <c r="K1101" s="16">
        <v>924</v>
      </c>
      <c r="L1101" s="13">
        <v>7183.08</v>
      </c>
      <c r="M1101" s="15">
        <v>147.22025354126629</v>
      </c>
      <c r="N1101" s="13">
        <v>7183.08</v>
      </c>
      <c r="O1101" s="13">
        <v>0</v>
      </c>
      <c r="P1101" s="11">
        <v>0</v>
      </c>
    </row>
    <row r="1102" spans="1:16" ht="15" thickBot="1" x14ac:dyDescent="0.3">
      <c r="A1102" s="3" t="s">
        <v>11</v>
      </c>
      <c r="B1102" s="4">
        <v>918007</v>
      </c>
      <c r="C1102" s="3" t="s">
        <v>9</v>
      </c>
      <c r="D1102" s="18">
        <v>0.1</v>
      </c>
      <c r="E1102" s="21">
        <v>7.9741404289037643E-3</v>
      </c>
      <c r="F1102" s="5">
        <v>39812</v>
      </c>
      <c r="G1102" s="5">
        <v>40998</v>
      </c>
      <c r="H1102" s="16">
        <v>1186</v>
      </c>
      <c r="I1102" s="5">
        <v>40998</v>
      </c>
      <c r="J1102" s="5">
        <v>41277</v>
      </c>
      <c r="K1102" s="16">
        <v>1465</v>
      </c>
      <c r="L1102" s="13">
        <v>9013.99</v>
      </c>
      <c r="M1102" s="15">
        <v>266.73487456536327</v>
      </c>
      <c r="N1102" s="13">
        <v>9013.99</v>
      </c>
      <c r="O1102" s="13">
        <v>0</v>
      </c>
      <c r="P1102" s="11">
        <v>0</v>
      </c>
    </row>
    <row r="1103" spans="1:16" ht="15" thickBot="1" x14ac:dyDescent="0.3">
      <c r="A1103" s="3" t="s">
        <v>11</v>
      </c>
      <c r="B1103" s="4">
        <v>144001</v>
      </c>
      <c r="C1103" s="3" t="s">
        <v>9</v>
      </c>
      <c r="D1103" s="18">
        <v>0.1</v>
      </c>
      <c r="E1103" s="21">
        <v>7.9741404289037643E-3</v>
      </c>
      <c r="F1103" s="5">
        <v>39818</v>
      </c>
      <c r="G1103" s="5">
        <v>41659</v>
      </c>
      <c r="H1103" s="16">
        <v>1841</v>
      </c>
      <c r="I1103" s="5">
        <v>41659</v>
      </c>
      <c r="J1103" s="5">
        <v>40298</v>
      </c>
      <c r="K1103" s="16">
        <v>480</v>
      </c>
      <c r="L1103" s="13">
        <v>12587.5</v>
      </c>
      <c r="M1103" s="15">
        <v>260.18436315125905</v>
      </c>
      <c r="N1103" s="13">
        <v>12587.5</v>
      </c>
      <c r="O1103" s="13">
        <v>0</v>
      </c>
      <c r="P1103" s="11">
        <v>0</v>
      </c>
    </row>
    <row r="1104" spans="1:16" ht="15" thickBot="1" x14ac:dyDescent="0.3">
      <c r="A1104" s="3" t="s">
        <v>11</v>
      </c>
      <c r="B1104" s="4">
        <v>603504</v>
      </c>
      <c r="C1104" s="3" t="s">
        <v>9</v>
      </c>
      <c r="D1104" s="18">
        <v>0.1</v>
      </c>
      <c r="E1104" s="21">
        <v>7.9741404289037643E-3</v>
      </c>
      <c r="F1104" s="5">
        <v>39818</v>
      </c>
      <c r="G1104" s="5">
        <v>42384</v>
      </c>
      <c r="H1104" s="16">
        <v>2566</v>
      </c>
      <c r="I1104" s="5">
        <v>42384</v>
      </c>
      <c r="J1104" s="5">
        <v>41848</v>
      </c>
      <c r="K1104" s="16">
        <v>2030</v>
      </c>
      <c r="L1104" s="13">
        <v>326.76</v>
      </c>
      <c r="M1104" s="15">
        <v>5.2846804364723985</v>
      </c>
      <c r="N1104" s="13">
        <v>326.76</v>
      </c>
      <c r="O1104" s="13">
        <v>0</v>
      </c>
      <c r="P1104" s="11">
        <v>1</v>
      </c>
    </row>
    <row r="1105" spans="1:16" ht="15" thickBot="1" x14ac:dyDescent="0.3">
      <c r="A1105" s="3" t="s">
        <v>11</v>
      </c>
      <c r="B1105" s="4">
        <v>185407</v>
      </c>
      <c r="C1105" s="3" t="s">
        <v>9</v>
      </c>
      <c r="D1105" s="18">
        <v>0.1</v>
      </c>
      <c r="E1105" s="21">
        <v>7.9741404289037643E-3</v>
      </c>
      <c r="F1105" s="5">
        <v>39822</v>
      </c>
      <c r="G1105" s="5">
        <v>41648</v>
      </c>
      <c r="H1105" s="16">
        <v>1826</v>
      </c>
      <c r="I1105" s="5">
        <v>41648</v>
      </c>
      <c r="J1105" s="5">
        <v>40350</v>
      </c>
      <c r="K1105" s="16">
        <v>528</v>
      </c>
      <c r="L1105" s="13">
        <v>14893.94</v>
      </c>
      <c r="M1105" s="15">
        <v>309.82144184962334</v>
      </c>
      <c r="N1105" s="13">
        <v>14893.94</v>
      </c>
      <c r="O1105" s="13">
        <v>0</v>
      </c>
      <c r="P1105" s="11">
        <v>0</v>
      </c>
    </row>
    <row r="1106" spans="1:16" ht="15" thickBot="1" x14ac:dyDescent="0.3">
      <c r="A1106" s="3" t="s">
        <v>11</v>
      </c>
      <c r="B1106" s="4">
        <v>430976</v>
      </c>
      <c r="C1106" s="3" t="s">
        <v>9</v>
      </c>
      <c r="D1106" s="18">
        <v>0.14000000000000001</v>
      </c>
      <c r="E1106" s="21">
        <v>1.0978851950173452E-2</v>
      </c>
      <c r="F1106" s="5">
        <v>39829</v>
      </c>
      <c r="G1106" s="5">
        <v>40072</v>
      </c>
      <c r="H1106" s="16">
        <v>243</v>
      </c>
      <c r="I1106" s="5">
        <v>40072</v>
      </c>
      <c r="J1106" s="5">
        <v>41981</v>
      </c>
      <c r="K1106" s="16">
        <v>2152</v>
      </c>
      <c r="L1106" s="13">
        <v>923.7</v>
      </c>
      <c r="M1106" s="15">
        <v>119.80721256455435</v>
      </c>
      <c r="N1106" s="13">
        <v>923.7</v>
      </c>
      <c r="O1106" s="13">
        <v>0</v>
      </c>
      <c r="P1106" s="11">
        <v>0</v>
      </c>
    </row>
    <row r="1107" spans="1:16" ht="15" thickBot="1" x14ac:dyDescent="0.3">
      <c r="A1107" s="3" t="s">
        <v>11</v>
      </c>
      <c r="B1107" s="4">
        <v>299402</v>
      </c>
      <c r="C1107" s="3" t="s">
        <v>9</v>
      </c>
      <c r="D1107" s="18">
        <v>0.105</v>
      </c>
      <c r="E1107" s="21">
        <v>8.355155683635207E-3</v>
      </c>
      <c r="F1107" s="5">
        <v>39866</v>
      </c>
      <c r="G1107" s="5">
        <v>42057</v>
      </c>
      <c r="H1107" s="16">
        <v>2191</v>
      </c>
      <c r="I1107" s="5">
        <v>42057</v>
      </c>
      <c r="J1107" s="5">
        <v>41570</v>
      </c>
      <c r="K1107" s="16">
        <v>1704</v>
      </c>
      <c r="L1107" s="13">
        <v>1868.08</v>
      </c>
      <c r="M1107" s="15">
        <v>34.274773710845956</v>
      </c>
      <c r="N1107" s="13">
        <v>1868.08</v>
      </c>
      <c r="O1107" s="13">
        <v>0</v>
      </c>
      <c r="P1107" s="11">
        <v>1</v>
      </c>
    </row>
    <row r="1108" spans="1:16" ht="15" thickBot="1" x14ac:dyDescent="0.3">
      <c r="A1108" s="3" t="s">
        <v>11</v>
      </c>
      <c r="B1108" s="4">
        <v>92583</v>
      </c>
      <c r="C1108" s="3" t="s">
        <v>9</v>
      </c>
      <c r="D1108" s="18">
        <v>9.5000000000000001E-2</v>
      </c>
      <c r="E1108" s="21">
        <v>7.5915342905825689E-3</v>
      </c>
      <c r="F1108" s="5">
        <v>39867</v>
      </c>
      <c r="G1108" s="5">
        <v>41693</v>
      </c>
      <c r="H1108" s="16">
        <v>1826</v>
      </c>
      <c r="I1108" s="5">
        <v>41693</v>
      </c>
      <c r="J1108" s="5">
        <v>42010</v>
      </c>
      <c r="K1108" s="16">
        <v>2143</v>
      </c>
      <c r="L1108" s="13">
        <v>28.64</v>
      </c>
      <c r="M1108" s="15">
        <v>0.58934235643520505</v>
      </c>
      <c r="N1108" s="13">
        <v>28.64</v>
      </c>
      <c r="O1108" s="13">
        <v>0</v>
      </c>
      <c r="P1108" s="11">
        <v>0</v>
      </c>
    </row>
    <row r="1109" spans="1:16" ht="15" thickBot="1" x14ac:dyDescent="0.3">
      <c r="A1109" s="3" t="s">
        <v>11</v>
      </c>
      <c r="B1109" s="4">
        <v>414202</v>
      </c>
      <c r="C1109" s="3" t="s">
        <v>9</v>
      </c>
      <c r="D1109" s="18">
        <v>0.12</v>
      </c>
      <c r="E1109" s="21">
        <v>9.4887929345830457E-3</v>
      </c>
      <c r="F1109" s="5">
        <v>39869</v>
      </c>
      <c r="G1109" s="5">
        <v>42060</v>
      </c>
      <c r="H1109" s="16">
        <v>2191</v>
      </c>
      <c r="I1109" s="5">
        <v>42060</v>
      </c>
      <c r="J1109" s="5">
        <v>40508</v>
      </c>
      <c r="K1109" s="16">
        <v>639</v>
      </c>
      <c r="L1109" s="13">
        <v>8948.89</v>
      </c>
      <c r="M1109" s="15">
        <v>170.41148530470701</v>
      </c>
      <c r="N1109" s="13">
        <v>8948.89</v>
      </c>
      <c r="O1109" s="13">
        <v>0</v>
      </c>
      <c r="P1109" s="11">
        <v>1</v>
      </c>
    </row>
    <row r="1110" spans="1:16" ht="15" thickBot="1" x14ac:dyDescent="0.3">
      <c r="A1110" s="3" t="s">
        <v>11</v>
      </c>
      <c r="B1110" s="4">
        <v>9989</v>
      </c>
      <c r="C1110" s="3" t="s">
        <v>9</v>
      </c>
      <c r="D1110" s="18">
        <v>0.105</v>
      </c>
      <c r="E1110" s="21">
        <v>8.355155683635207E-3</v>
      </c>
      <c r="F1110" s="5">
        <v>39881</v>
      </c>
      <c r="G1110" s="5">
        <v>42286</v>
      </c>
      <c r="H1110" s="16">
        <v>2405</v>
      </c>
      <c r="I1110" s="5">
        <v>42286</v>
      </c>
      <c r="J1110" s="5">
        <v>40526</v>
      </c>
      <c r="K1110" s="16">
        <v>645</v>
      </c>
      <c r="L1110" s="13">
        <v>14687.81</v>
      </c>
      <c r="M1110" s="15">
        <v>252.11103542371899</v>
      </c>
      <c r="N1110" s="13">
        <v>14687.81</v>
      </c>
      <c r="O1110" s="13">
        <v>0</v>
      </c>
      <c r="P1110" s="11">
        <v>1</v>
      </c>
    </row>
    <row r="1111" spans="1:16" ht="15" thickBot="1" x14ac:dyDescent="0.3">
      <c r="A1111" s="3" t="s">
        <v>11</v>
      </c>
      <c r="B1111" s="4">
        <v>189372</v>
      </c>
      <c r="C1111" s="3" t="s">
        <v>9</v>
      </c>
      <c r="D1111" s="18">
        <v>0.1</v>
      </c>
      <c r="E1111" s="21">
        <v>7.9741404289037643E-3</v>
      </c>
      <c r="F1111" s="5">
        <v>39891</v>
      </c>
      <c r="G1111" s="5">
        <v>41717</v>
      </c>
      <c r="H1111" s="16">
        <v>1826</v>
      </c>
      <c r="I1111" s="5">
        <v>41717</v>
      </c>
      <c r="J1111" s="5">
        <v>40119</v>
      </c>
      <c r="K1111" s="16">
        <v>228</v>
      </c>
      <c r="L1111" s="13">
        <v>6347.62</v>
      </c>
      <c r="M1111" s="15">
        <v>132.04221184679849</v>
      </c>
      <c r="N1111" s="13">
        <v>6347.62</v>
      </c>
      <c r="O1111" s="13">
        <v>0</v>
      </c>
      <c r="P1111" s="11">
        <v>0</v>
      </c>
    </row>
    <row r="1112" spans="1:16" ht="15" thickBot="1" x14ac:dyDescent="0.3">
      <c r="A1112" s="3" t="s">
        <v>11</v>
      </c>
      <c r="B1112" s="4">
        <v>310793</v>
      </c>
      <c r="C1112" s="3" t="s">
        <v>9</v>
      </c>
      <c r="D1112" s="18">
        <v>0.1</v>
      </c>
      <c r="E1112" s="21">
        <v>7.9741404289037643E-3</v>
      </c>
      <c r="F1112" s="5">
        <v>39910</v>
      </c>
      <c r="G1112" s="5">
        <v>41084</v>
      </c>
      <c r="H1112" s="16">
        <v>1174</v>
      </c>
      <c r="I1112" s="5">
        <v>41084</v>
      </c>
      <c r="J1112" s="5">
        <v>40774</v>
      </c>
      <c r="K1112" s="16">
        <v>864</v>
      </c>
      <c r="L1112" s="13">
        <v>20000</v>
      </c>
      <c r="M1112" s="15">
        <v>596.97384162882872</v>
      </c>
      <c r="N1112" s="13">
        <v>20000</v>
      </c>
      <c r="O1112" s="13">
        <v>0</v>
      </c>
      <c r="P1112" s="11">
        <v>0</v>
      </c>
    </row>
    <row r="1113" spans="1:16" ht="15" thickBot="1" x14ac:dyDescent="0.3">
      <c r="A1113" s="3" t="s">
        <v>11</v>
      </c>
      <c r="B1113" s="4">
        <v>963503</v>
      </c>
      <c r="C1113" s="3" t="s">
        <v>9</v>
      </c>
      <c r="D1113" s="18">
        <v>9.7500000000000003E-2</v>
      </c>
      <c r="E1113" s="21">
        <v>7.7830370878799737E-3</v>
      </c>
      <c r="F1113" s="5">
        <v>39896</v>
      </c>
      <c r="G1113" s="5">
        <v>40722</v>
      </c>
      <c r="H1113" s="16">
        <v>826</v>
      </c>
      <c r="I1113" s="5">
        <v>40722</v>
      </c>
      <c r="J1113" s="5">
        <v>40084</v>
      </c>
      <c r="K1113" s="16">
        <v>188</v>
      </c>
      <c r="L1113" s="13">
        <v>44500</v>
      </c>
      <c r="M1113" s="15">
        <v>1801.8330945602916</v>
      </c>
      <c r="N1113" s="13">
        <v>44500</v>
      </c>
      <c r="O1113" s="13">
        <v>0</v>
      </c>
      <c r="P1113" s="11">
        <v>0</v>
      </c>
    </row>
    <row r="1114" spans="1:16" ht="15" thickBot="1" x14ac:dyDescent="0.3">
      <c r="A1114" s="3" t="s">
        <v>11</v>
      </c>
      <c r="B1114" s="4">
        <v>301614</v>
      </c>
      <c r="C1114" s="3" t="s">
        <v>9</v>
      </c>
      <c r="D1114" s="18">
        <v>9.5000000000000001E-2</v>
      </c>
      <c r="E1114" s="21">
        <v>7.5915342905825689E-3</v>
      </c>
      <c r="F1114" s="5">
        <v>39904</v>
      </c>
      <c r="G1114" s="5">
        <v>41913</v>
      </c>
      <c r="H1114" s="16">
        <v>2009</v>
      </c>
      <c r="I1114" s="5">
        <v>41913</v>
      </c>
      <c r="J1114" s="5">
        <v>40690</v>
      </c>
      <c r="K1114" s="16">
        <v>786</v>
      </c>
      <c r="L1114" s="13">
        <v>3980.42</v>
      </c>
      <c r="M1114" s="15">
        <v>76.042814109828129</v>
      </c>
      <c r="N1114" s="13">
        <v>3980.42</v>
      </c>
      <c r="O1114" s="13">
        <v>3980.42</v>
      </c>
      <c r="P1114" s="11">
        <v>0</v>
      </c>
    </row>
    <row r="1115" spans="1:16" ht="15" thickBot="1" x14ac:dyDescent="0.3">
      <c r="A1115" s="3" t="s">
        <v>11</v>
      </c>
      <c r="B1115" s="4">
        <v>66586</v>
      </c>
      <c r="C1115" s="3" t="s">
        <v>9</v>
      </c>
      <c r="D1115" s="18">
        <v>0.1</v>
      </c>
      <c r="E1115" s="21">
        <v>7.9741404289037643E-3</v>
      </c>
      <c r="F1115" s="5">
        <v>41484</v>
      </c>
      <c r="G1115" s="5">
        <v>43737</v>
      </c>
      <c r="H1115" s="16">
        <v>2253</v>
      </c>
      <c r="I1115" s="5">
        <v>43737</v>
      </c>
      <c r="J1115" s="5">
        <v>42933</v>
      </c>
      <c r="K1115" s="16">
        <v>1449</v>
      </c>
      <c r="L1115" s="13">
        <v>11497.91</v>
      </c>
      <c r="M1115" s="15">
        <v>204.08455063480855</v>
      </c>
      <c r="N1115" s="13">
        <v>11497.91</v>
      </c>
      <c r="O1115" s="13">
        <v>0</v>
      </c>
      <c r="P1115" s="11">
        <v>1</v>
      </c>
    </row>
    <row r="1116" spans="1:16" ht="15" thickBot="1" x14ac:dyDescent="0.3">
      <c r="A1116" s="3" t="s">
        <v>11</v>
      </c>
      <c r="B1116" s="4">
        <v>173528</v>
      </c>
      <c r="C1116" s="3" t="s">
        <v>9</v>
      </c>
      <c r="D1116" s="18">
        <v>0.1</v>
      </c>
      <c r="E1116" s="21">
        <v>7.9741404289037643E-3</v>
      </c>
      <c r="F1116" s="5">
        <v>39919</v>
      </c>
      <c r="G1116" s="5">
        <v>42263</v>
      </c>
      <c r="H1116" s="16">
        <v>2344</v>
      </c>
      <c r="I1116" s="5">
        <v>42263</v>
      </c>
      <c r="J1116" s="5">
        <v>40785</v>
      </c>
      <c r="K1116" s="16">
        <v>866</v>
      </c>
      <c r="L1116" s="13">
        <v>17628.62</v>
      </c>
      <c r="M1116" s="15">
        <v>304.03064011771863</v>
      </c>
      <c r="N1116" s="13">
        <v>17628.62</v>
      </c>
      <c r="O1116" s="13">
        <v>0</v>
      </c>
      <c r="P1116" s="11">
        <v>1</v>
      </c>
    </row>
    <row r="1117" spans="1:16" ht="15" thickBot="1" x14ac:dyDescent="0.3">
      <c r="A1117" s="3" t="s">
        <v>11</v>
      </c>
      <c r="B1117" s="4">
        <v>126946</v>
      </c>
      <c r="C1117" s="3" t="s">
        <v>2</v>
      </c>
      <c r="D1117" s="18">
        <v>0.09</v>
      </c>
      <c r="E1117" s="21">
        <v>7.2073233161367156E-3</v>
      </c>
      <c r="F1117" s="5">
        <v>39924</v>
      </c>
      <c r="G1117" s="5">
        <v>39985</v>
      </c>
      <c r="H1117" s="16">
        <v>61</v>
      </c>
      <c r="I1117" s="5">
        <v>43272</v>
      </c>
      <c r="J1117" s="5">
        <v>43734</v>
      </c>
      <c r="K1117" s="16">
        <v>3810</v>
      </c>
      <c r="L1117" s="13">
        <v>17000</v>
      </c>
      <c r="M1117" s="15">
        <v>8452.1599934466467</v>
      </c>
      <c r="N1117" s="13">
        <v>5850</v>
      </c>
      <c r="O1117" s="13">
        <v>0</v>
      </c>
      <c r="P1117" s="11">
        <v>0</v>
      </c>
    </row>
    <row r="1118" spans="1:16" ht="15" thickBot="1" x14ac:dyDescent="0.3">
      <c r="A1118" s="3" t="s">
        <v>11</v>
      </c>
      <c r="B1118" s="4">
        <v>75056</v>
      </c>
      <c r="C1118" s="3" t="s">
        <v>2</v>
      </c>
      <c r="D1118" s="18">
        <v>9.7500000000000003E-2</v>
      </c>
      <c r="E1118" s="21">
        <v>7.7830370878799737E-3</v>
      </c>
      <c r="F1118" s="5">
        <v>39924</v>
      </c>
      <c r="G1118" s="5">
        <v>40015</v>
      </c>
      <c r="H1118" s="16">
        <v>91</v>
      </c>
      <c r="I1118" s="5">
        <v>43921</v>
      </c>
      <c r="J1118" s="5">
        <v>44011</v>
      </c>
      <c r="K1118" s="16">
        <v>4087</v>
      </c>
      <c r="L1118" s="13">
        <v>45000</v>
      </c>
      <c r="M1118" s="15">
        <v>15068.626265464702</v>
      </c>
      <c r="N1118" s="13">
        <v>3000</v>
      </c>
      <c r="O1118" s="13">
        <v>2500</v>
      </c>
      <c r="P1118" s="11">
        <v>0</v>
      </c>
    </row>
    <row r="1119" spans="1:16" ht="15" thickBot="1" x14ac:dyDescent="0.3">
      <c r="A1119" s="3" t="s">
        <v>11</v>
      </c>
      <c r="B1119" s="4">
        <v>272223</v>
      </c>
      <c r="C1119" s="3" t="s">
        <v>9</v>
      </c>
      <c r="D1119" s="18">
        <v>0.105</v>
      </c>
      <c r="E1119" s="21">
        <v>8.355155683635207E-3</v>
      </c>
      <c r="F1119" s="5">
        <v>39939</v>
      </c>
      <c r="G1119" s="5">
        <v>41949</v>
      </c>
      <c r="H1119" s="16">
        <v>2010</v>
      </c>
      <c r="I1119" s="5">
        <v>41949</v>
      </c>
      <c r="J1119" s="5">
        <v>42866</v>
      </c>
      <c r="K1119" s="16">
        <v>2927</v>
      </c>
      <c r="L1119" s="13">
        <v>7421.75</v>
      </c>
      <c r="M1119" s="15">
        <v>145.10535309288042</v>
      </c>
      <c r="N1119" s="13">
        <v>7421.75</v>
      </c>
      <c r="O1119" s="13">
        <v>3313.79</v>
      </c>
      <c r="P1119" s="11">
        <v>0</v>
      </c>
    </row>
    <row r="1120" spans="1:16" ht="15" thickBot="1" x14ac:dyDescent="0.3">
      <c r="A1120" s="3" t="s">
        <v>11</v>
      </c>
      <c r="B1120" s="4">
        <v>395263</v>
      </c>
      <c r="C1120" s="3" t="s">
        <v>9</v>
      </c>
      <c r="D1120" s="18">
        <v>0.11</v>
      </c>
      <c r="E1120" s="21">
        <v>8.7345938235519061E-3</v>
      </c>
      <c r="F1120" s="5">
        <v>39941</v>
      </c>
      <c r="G1120" s="5">
        <v>41402</v>
      </c>
      <c r="H1120" s="16">
        <v>1461</v>
      </c>
      <c r="I1120" s="5">
        <v>41402</v>
      </c>
      <c r="J1120" s="5">
        <v>40388</v>
      </c>
      <c r="K1120" s="16">
        <v>447</v>
      </c>
      <c r="L1120" s="13">
        <v>2714.46</v>
      </c>
      <c r="M1120" s="15">
        <v>68.670643160982706</v>
      </c>
      <c r="N1120" s="13">
        <v>2714.46</v>
      </c>
      <c r="O1120" s="13">
        <v>0</v>
      </c>
      <c r="P1120" s="11">
        <v>0</v>
      </c>
    </row>
    <row r="1121" spans="1:16" ht="15" thickBot="1" x14ac:dyDescent="0.3">
      <c r="A1121" s="3" t="s">
        <v>11</v>
      </c>
      <c r="B1121" s="4">
        <v>581738</v>
      </c>
      <c r="C1121" s="3" t="s">
        <v>9</v>
      </c>
      <c r="D1121" s="18">
        <v>0.10249999999999999</v>
      </c>
      <c r="E1121" s="21">
        <v>8.1648460519010424E-3</v>
      </c>
      <c r="F1121" s="5">
        <v>39947</v>
      </c>
      <c r="G1121" s="5">
        <v>42394</v>
      </c>
      <c r="H1121" s="16">
        <v>2447</v>
      </c>
      <c r="I1121" s="5">
        <v>42394</v>
      </c>
      <c r="J1121" s="5">
        <v>41129</v>
      </c>
      <c r="K1121" s="16">
        <v>1182</v>
      </c>
      <c r="L1121" s="13">
        <v>24756.6</v>
      </c>
      <c r="M1121" s="15">
        <v>416.90945445094957</v>
      </c>
      <c r="N1121" s="13">
        <v>24756.6</v>
      </c>
      <c r="O1121" s="13">
        <v>0</v>
      </c>
      <c r="P1121" s="11">
        <v>1</v>
      </c>
    </row>
    <row r="1122" spans="1:16" ht="15" thickBot="1" x14ac:dyDescent="0.3">
      <c r="A1122" s="3" t="s">
        <v>11</v>
      </c>
      <c r="B1122" s="4">
        <v>987233</v>
      </c>
      <c r="C1122" s="3" t="s">
        <v>9</v>
      </c>
      <c r="D1122" s="18">
        <v>8.5000000000000006E-2</v>
      </c>
      <c r="E1122" s="21">
        <v>6.8214933659622723E-3</v>
      </c>
      <c r="F1122" s="5">
        <v>39974</v>
      </c>
      <c r="G1122" s="5">
        <v>42287</v>
      </c>
      <c r="H1122" s="16">
        <v>2313</v>
      </c>
      <c r="I1122" s="5">
        <v>42287</v>
      </c>
      <c r="J1122" s="5">
        <v>43655</v>
      </c>
      <c r="K1122" s="16">
        <v>3681</v>
      </c>
      <c r="L1122" s="13">
        <v>15422.37</v>
      </c>
      <c r="M1122" s="15">
        <v>257.88833113286205</v>
      </c>
      <c r="N1122" s="13">
        <v>15038.83</v>
      </c>
      <c r="O1122" s="13">
        <v>6788.41</v>
      </c>
      <c r="P1122" s="11">
        <v>1</v>
      </c>
    </row>
    <row r="1123" spans="1:16" ht="15" thickBot="1" x14ac:dyDescent="0.3">
      <c r="A1123" s="3" t="s">
        <v>11</v>
      </c>
      <c r="B1123" s="4">
        <v>647511</v>
      </c>
      <c r="C1123" s="3" t="s">
        <v>9</v>
      </c>
      <c r="D1123" s="18">
        <v>0.1</v>
      </c>
      <c r="E1123" s="21">
        <v>7.9741404289037643E-3</v>
      </c>
      <c r="F1123" s="5">
        <v>39979</v>
      </c>
      <c r="G1123" s="5">
        <v>41562</v>
      </c>
      <c r="H1123" s="16">
        <v>1583</v>
      </c>
      <c r="I1123" s="5">
        <v>41562</v>
      </c>
      <c r="J1123" s="5">
        <v>41317</v>
      </c>
      <c r="K1123" s="16">
        <v>1338</v>
      </c>
      <c r="L1123" s="13">
        <v>4896.33</v>
      </c>
      <c r="M1123" s="15">
        <v>114.04323138786238</v>
      </c>
      <c r="N1123" s="13">
        <v>4896.33</v>
      </c>
      <c r="O1123" s="13">
        <v>4896.33</v>
      </c>
      <c r="P1123" s="11">
        <v>0</v>
      </c>
    </row>
    <row r="1124" spans="1:16" ht="15" thickBot="1" x14ac:dyDescent="0.3">
      <c r="A1124" s="3" t="s">
        <v>11</v>
      </c>
      <c r="B1124" s="4">
        <v>786168</v>
      </c>
      <c r="C1124" s="3" t="s">
        <v>9</v>
      </c>
      <c r="D1124" s="18">
        <v>0.1</v>
      </c>
      <c r="E1124" s="21">
        <v>7.9741404289037643E-3</v>
      </c>
      <c r="F1124" s="5">
        <v>39983</v>
      </c>
      <c r="G1124" s="5">
        <v>42174</v>
      </c>
      <c r="H1124" s="16">
        <v>2191</v>
      </c>
      <c r="I1124" s="5">
        <v>42174</v>
      </c>
      <c r="J1124" s="5">
        <v>41911</v>
      </c>
      <c r="K1124" s="16">
        <v>1928</v>
      </c>
      <c r="L1124" s="13">
        <v>1725.66</v>
      </c>
      <c r="M1124" s="15">
        <v>31.264275825157544</v>
      </c>
      <c r="N1124" s="13">
        <v>1725.66</v>
      </c>
      <c r="O1124" s="13">
        <v>0</v>
      </c>
      <c r="P1124" s="11">
        <v>1</v>
      </c>
    </row>
    <row r="1125" spans="1:16" ht="15" thickBot="1" x14ac:dyDescent="0.3">
      <c r="A1125" s="3" t="s">
        <v>11</v>
      </c>
      <c r="B1125" s="4">
        <v>619784</v>
      </c>
      <c r="C1125" s="3" t="s">
        <v>9</v>
      </c>
      <c r="D1125" s="18">
        <v>0.1</v>
      </c>
      <c r="E1125" s="21">
        <v>7.9741404289037643E-3</v>
      </c>
      <c r="F1125" s="5">
        <v>39981</v>
      </c>
      <c r="G1125" s="5">
        <v>42233</v>
      </c>
      <c r="H1125" s="16">
        <v>2252</v>
      </c>
      <c r="I1125" s="5">
        <v>42233</v>
      </c>
      <c r="J1125" s="5">
        <v>42040</v>
      </c>
      <c r="K1125" s="16">
        <v>2059</v>
      </c>
      <c r="L1125" s="13">
        <v>49800</v>
      </c>
      <c r="M1125" s="15">
        <v>884.22250352180799</v>
      </c>
      <c r="N1125" s="13">
        <v>49800</v>
      </c>
      <c r="O1125" s="13">
        <v>0</v>
      </c>
      <c r="P1125" s="11">
        <v>1</v>
      </c>
    </row>
    <row r="1126" spans="1:16" ht="15" thickBot="1" x14ac:dyDescent="0.3">
      <c r="A1126" s="3" t="s">
        <v>11</v>
      </c>
      <c r="B1126" s="4">
        <v>147359</v>
      </c>
      <c r="C1126" s="3" t="s">
        <v>9</v>
      </c>
      <c r="D1126" s="18">
        <v>0.1</v>
      </c>
      <c r="E1126" s="21">
        <v>7.9741404289037643E-3</v>
      </c>
      <c r="F1126" s="5">
        <v>40000</v>
      </c>
      <c r="G1126" s="5">
        <v>41735</v>
      </c>
      <c r="H1126" s="16">
        <v>1735</v>
      </c>
      <c r="I1126" s="5">
        <v>41735</v>
      </c>
      <c r="J1126" s="5">
        <v>41319</v>
      </c>
      <c r="K1126" s="16">
        <v>1319</v>
      </c>
      <c r="L1126" s="13">
        <v>5658.82</v>
      </c>
      <c r="M1126" s="15">
        <v>122.51999522609408</v>
      </c>
      <c r="N1126" s="13">
        <v>5658.82</v>
      </c>
      <c r="O1126" s="13">
        <v>0</v>
      </c>
      <c r="P1126" s="11">
        <v>0</v>
      </c>
    </row>
    <row r="1127" spans="1:16" ht="15" thickBot="1" x14ac:dyDescent="0.3">
      <c r="A1127" s="3" t="s">
        <v>11</v>
      </c>
      <c r="B1127" s="4">
        <v>530694</v>
      </c>
      <c r="C1127" s="3" t="s">
        <v>9</v>
      </c>
      <c r="D1127" s="18">
        <v>0.105</v>
      </c>
      <c r="E1127" s="21">
        <v>8.355155683635207E-3</v>
      </c>
      <c r="F1127" s="5">
        <v>40011</v>
      </c>
      <c r="G1127" s="5">
        <v>40772</v>
      </c>
      <c r="H1127" s="16">
        <v>761</v>
      </c>
      <c r="I1127" s="5">
        <v>40772</v>
      </c>
      <c r="J1127" s="5">
        <v>41058</v>
      </c>
      <c r="K1127" s="16">
        <v>1047</v>
      </c>
      <c r="L1127" s="13">
        <v>1351.15</v>
      </c>
      <c r="M1127" s="15">
        <v>59.329937151975585</v>
      </c>
      <c r="N1127" s="13">
        <v>1351.15</v>
      </c>
      <c r="O1127" s="13">
        <v>0</v>
      </c>
      <c r="P1127" s="11">
        <v>0</v>
      </c>
    </row>
    <row r="1128" spans="1:16" ht="15" thickBot="1" x14ac:dyDescent="0.3">
      <c r="A1128" s="3" t="s">
        <v>11</v>
      </c>
      <c r="B1128" s="4">
        <v>119432</v>
      </c>
      <c r="C1128" s="3" t="s">
        <v>9</v>
      </c>
      <c r="D1128" s="18">
        <v>0.11</v>
      </c>
      <c r="E1128" s="21">
        <v>8.7345938235519061E-3</v>
      </c>
      <c r="F1128" s="5">
        <v>40038</v>
      </c>
      <c r="G1128" s="5">
        <v>40311</v>
      </c>
      <c r="H1128" s="16">
        <v>273</v>
      </c>
      <c r="I1128" s="5">
        <v>40311</v>
      </c>
      <c r="J1128" s="5">
        <v>40095</v>
      </c>
      <c r="K1128" s="16">
        <v>57</v>
      </c>
      <c r="L1128" s="13">
        <v>431.78</v>
      </c>
      <c r="M1128" s="15">
        <v>49.565853630629086</v>
      </c>
      <c r="N1128" s="13">
        <v>431.78</v>
      </c>
      <c r="O1128" s="13">
        <v>0</v>
      </c>
      <c r="P1128" s="11">
        <v>0</v>
      </c>
    </row>
    <row r="1129" spans="1:16" ht="15" thickBot="1" x14ac:dyDescent="0.3">
      <c r="A1129" s="3" t="s">
        <v>11</v>
      </c>
      <c r="B1129" s="4">
        <v>231013</v>
      </c>
      <c r="C1129" s="3" t="s">
        <v>9</v>
      </c>
      <c r="D1129" s="18">
        <v>0.1</v>
      </c>
      <c r="E1129" s="21">
        <v>7.9741404289037643E-3</v>
      </c>
      <c r="F1129" s="5">
        <v>40043</v>
      </c>
      <c r="G1129" s="5">
        <v>42234</v>
      </c>
      <c r="H1129" s="16">
        <v>2191</v>
      </c>
      <c r="I1129" s="5">
        <v>42234</v>
      </c>
      <c r="J1129" s="5">
        <v>40142</v>
      </c>
      <c r="K1129" s="16">
        <v>99</v>
      </c>
      <c r="L1129" s="13">
        <v>11690.91</v>
      </c>
      <c r="M1129" s="15">
        <v>211.80756052008655</v>
      </c>
      <c r="N1129" s="13">
        <v>11690.91</v>
      </c>
      <c r="O1129" s="13">
        <v>0</v>
      </c>
      <c r="P1129" s="11">
        <v>1</v>
      </c>
    </row>
    <row r="1130" spans="1:16" ht="15" thickBot="1" x14ac:dyDescent="0.3">
      <c r="A1130" s="3" t="s">
        <v>11</v>
      </c>
      <c r="B1130" s="4">
        <v>342321</v>
      </c>
      <c r="C1130" s="3" t="s">
        <v>9</v>
      </c>
      <c r="D1130" s="18">
        <v>0.105</v>
      </c>
      <c r="E1130" s="21">
        <v>8.355155683635207E-3</v>
      </c>
      <c r="F1130" s="5">
        <v>40050</v>
      </c>
      <c r="G1130" s="5">
        <v>40993</v>
      </c>
      <c r="H1130" s="16">
        <v>943</v>
      </c>
      <c r="I1130" s="5">
        <v>40993</v>
      </c>
      <c r="J1130" s="5">
        <v>41017</v>
      </c>
      <c r="K1130" s="16">
        <v>967</v>
      </c>
      <c r="L1130" s="13">
        <v>3395.53</v>
      </c>
      <c r="M1130" s="15">
        <v>123.27658696864233</v>
      </c>
      <c r="N1130" s="13">
        <v>3395.53</v>
      </c>
      <c r="O1130" s="13">
        <v>0</v>
      </c>
      <c r="P1130" s="11">
        <v>0</v>
      </c>
    </row>
    <row r="1131" spans="1:16" ht="15" thickBot="1" x14ac:dyDescent="0.3">
      <c r="A1131" s="3" t="s">
        <v>11</v>
      </c>
      <c r="B1131" s="4">
        <v>52759</v>
      </c>
      <c r="C1131" s="3" t="s">
        <v>9</v>
      </c>
      <c r="D1131" s="18">
        <v>0.1</v>
      </c>
      <c r="E1131" s="21">
        <v>7.9741404289037643E-3</v>
      </c>
      <c r="F1131" s="5">
        <v>40071</v>
      </c>
      <c r="G1131" s="5">
        <v>40801</v>
      </c>
      <c r="H1131" s="16">
        <v>730</v>
      </c>
      <c r="I1131" s="5">
        <v>40801</v>
      </c>
      <c r="J1131" s="5">
        <v>40687</v>
      </c>
      <c r="K1131" s="16">
        <v>616</v>
      </c>
      <c r="L1131" s="13">
        <v>11355.92</v>
      </c>
      <c r="M1131" s="15">
        <v>515.27424318792873</v>
      </c>
      <c r="N1131" s="13">
        <v>11355.92</v>
      </c>
      <c r="O1131" s="13">
        <v>0</v>
      </c>
      <c r="P1131" s="11">
        <v>0</v>
      </c>
    </row>
    <row r="1132" spans="1:16" ht="15" thickBot="1" x14ac:dyDescent="0.3">
      <c r="A1132" s="3" t="s">
        <v>11</v>
      </c>
      <c r="B1132" s="4">
        <v>749323</v>
      </c>
      <c r="C1132" s="3" t="s">
        <v>9</v>
      </c>
      <c r="D1132" s="18">
        <v>0.11</v>
      </c>
      <c r="E1132" s="21">
        <v>8.7345938235519061E-3</v>
      </c>
      <c r="F1132" s="5">
        <v>40074</v>
      </c>
      <c r="G1132" s="5">
        <v>41657</v>
      </c>
      <c r="H1132" s="16">
        <v>1583</v>
      </c>
      <c r="I1132" s="5">
        <v>41657</v>
      </c>
      <c r="J1132" s="5">
        <v>40504</v>
      </c>
      <c r="K1132" s="16">
        <v>430</v>
      </c>
      <c r="L1132" s="13">
        <v>2287.9899999999998</v>
      </c>
      <c r="M1132" s="15">
        <v>54.303511692355109</v>
      </c>
      <c r="N1132" s="13">
        <v>2287.9899999999998</v>
      </c>
      <c r="O1132" s="13">
        <v>0</v>
      </c>
      <c r="P1132" s="11">
        <v>0</v>
      </c>
    </row>
    <row r="1133" spans="1:16" ht="15" thickBot="1" x14ac:dyDescent="0.3">
      <c r="A1133" s="3" t="s">
        <v>11</v>
      </c>
      <c r="B1133" s="4">
        <v>950672</v>
      </c>
      <c r="C1133" s="3" t="s">
        <v>9</v>
      </c>
      <c r="D1133" s="18">
        <v>0.1</v>
      </c>
      <c r="E1133" s="21">
        <v>7.9741404289037643E-3</v>
      </c>
      <c r="F1133" s="5">
        <v>40084</v>
      </c>
      <c r="G1133" s="5">
        <v>40814</v>
      </c>
      <c r="H1133" s="16">
        <v>730</v>
      </c>
      <c r="I1133" s="5">
        <v>40814</v>
      </c>
      <c r="J1133" s="5">
        <v>40423</v>
      </c>
      <c r="K1133" s="16">
        <v>339</v>
      </c>
      <c r="L1133" s="13">
        <v>13600</v>
      </c>
      <c r="M1133" s="15">
        <v>617.09924932157242</v>
      </c>
      <c r="N1133" s="13">
        <v>13600</v>
      </c>
      <c r="O1133" s="13">
        <v>0</v>
      </c>
      <c r="P1133" s="11">
        <v>0</v>
      </c>
    </row>
    <row r="1134" spans="1:16" ht="15" thickBot="1" x14ac:dyDescent="0.3">
      <c r="A1134" s="3" t="s">
        <v>11</v>
      </c>
      <c r="B1134" s="4">
        <v>32776</v>
      </c>
      <c r="C1134" s="3" t="s">
        <v>9</v>
      </c>
      <c r="D1134" s="18">
        <v>0.1</v>
      </c>
      <c r="E1134" s="21">
        <v>7.9741404289037643E-3</v>
      </c>
      <c r="F1134" s="5">
        <v>40086</v>
      </c>
      <c r="G1134" s="5">
        <v>40816</v>
      </c>
      <c r="H1134" s="16">
        <v>730</v>
      </c>
      <c r="I1134" s="5">
        <v>40816</v>
      </c>
      <c r="J1134" s="5">
        <v>40633</v>
      </c>
      <c r="K1134" s="16">
        <v>547</v>
      </c>
      <c r="L1134" s="13">
        <v>16299.87</v>
      </c>
      <c r="M1134" s="15">
        <v>739.60570154700133</v>
      </c>
      <c r="N1134" s="13">
        <v>16299.87</v>
      </c>
      <c r="O1134" s="13">
        <v>16299.87</v>
      </c>
      <c r="P1134" s="11">
        <v>0</v>
      </c>
    </row>
    <row r="1135" spans="1:16" ht="15" thickBot="1" x14ac:dyDescent="0.3">
      <c r="A1135" s="3" t="s">
        <v>11</v>
      </c>
      <c r="B1135" s="4">
        <v>705211</v>
      </c>
      <c r="C1135" s="3" t="s">
        <v>9</v>
      </c>
      <c r="D1135" s="18">
        <v>0.1</v>
      </c>
      <c r="E1135" s="21">
        <v>7.9741404289037643E-3</v>
      </c>
      <c r="F1135" s="5">
        <v>40093</v>
      </c>
      <c r="G1135" s="5">
        <v>41677</v>
      </c>
      <c r="H1135" s="16">
        <v>1584</v>
      </c>
      <c r="I1135" s="5">
        <v>41677</v>
      </c>
      <c r="J1135" s="5">
        <v>40857</v>
      </c>
      <c r="K1135" s="16">
        <v>764</v>
      </c>
      <c r="L1135" s="13">
        <v>2823.91</v>
      </c>
      <c r="M1135" s="15">
        <v>65.739880084575759</v>
      </c>
      <c r="N1135" s="13">
        <v>2823.91</v>
      </c>
      <c r="O1135" s="13">
        <v>0</v>
      </c>
      <c r="P1135" s="11">
        <v>0</v>
      </c>
    </row>
    <row r="1136" spans="1:16" ht="15" thickBot="1" x14ac:dyDescent="0.3">
      <c r="A1136" s="3" t="s">
        <v>11</v>
      </c>
      <c r="B1136" s="4">
        <v>841987</v>
      </c>
      <c r="C1136" s="3" t="s">
        <v>9</v>
      </c>
      <c r="D1136" s="18">
        <v>0.1</v>
      </c>
      <c r="E1136" s="21">
        <v>7.9741404289037643E-3</v>
      </c>
      <c r="F1136" s="5">
        <v>40093</v>
      </c>
      <c r="G1136" s="5">
        <v>41554</v>
      </c>
      <c r="H1136" s="16">
        <v>1461</v>
      </c>
      <c r="I1136" s="5">
        <v>41554</v>
      </c>
      <c r="J1136" s="5">
        <v>41208</v>
      </c>
      <c r="K1136" s="16">
        <v>1115</v>
      </c>
      <c r="L1136" s="13">
        <v>2117.09</v>
      </c>
      <c r="M1136" s="15">
        <v>52.628968012795553</v>
      </c>
      <c r="N1136" s="13">
        <v>2117.09</v>
      </c>
      <c r="O1136" s="13">
        <v>0</v>
      </c>
      <c r="P1136" s="11">
        <v>0</v>
      </c>
    </row>
    <row r="1137" spans="1:16" ht="15" thickBot="1" x14ac:dyDescent="0.3">
      <c r="A1137" s="3" t="s">
        <v>11</v>
      </c>
      <c r="B1137" s="4">
        <v>973379</v>
      </c>
      <c r="C1137" s="3" t="s">
        <v>9</v>
      </c>
      <c r="D1137" s="18">
        <v>0.11</v>
      </c>
      <c r="E1137" s="21">
        <v>8.7345938235519061E-3</v>
      </c>
      <c r="F1137" s="5">
        <v>40095</v>
      </c>
      <c r="G1137" s="5">
        <v>41000</v>
      </c>
      <c r="H1137" s="16">
        <v>905</v>
      </c>
      <c r="I1137" s="5">
        <v>41000</v>
      </c>
      <c r="J1137" s="5">
        <v>40960</v>
      </c>
      <c r="K1137" s="16">
        <v>865</v>
      </c>
      <c r="L1137" s="13">
        <v>2816.48</v>
      </c>
      <c r="M1137" s="15">
        <v>106.6087576825358</v>
      </c>
      <c r="N1137" s="13">
        <v>2816.48</v>
      </c>
      <c r="O1137" s="13">
        <v>0</v>
      </c>
      <c r="P1137" s="11">
        <v>0</v>
      </c>
    </row>
    <row r="1138" spans="1:16" ht="15" thickBot="1" x14ac:dyDescent="0.3">
      <c r="A1138" s="3" t="s">
        <v>11</v>
      </c>
      <c r="B1138" s="4">
        <v>598244</v>
      </c>
      <c r="C1138" s="3" t="s">
        <v>9</v>
      </c>
      <c r="D1138" s="18">
        <v>0.1</v>
      </c>
      <c r="E1138" s="21">
        <v>7.9741404289037643E-3</v>
      </c>
      <c r="F1138" s="5">
        <v>40106</v>
      </c>
      <c r="G1138" s="5">
        <v>41567</v>
      </c>
      <c r="H1138" s="16">
        <v>1461</v>
      </c>
      <c r="I1138" s="5">
        <v>41567</v>
      </c>
      <c r="J1138" s="5">
        <v>42193</v>
      </c>
      <c r="K1138" s="16">
        <v>2087</v>
      </c>
      <c r="L1138" s="13">
        <v>3481.79</v>
      </c>
      <c r="M1138" s="15">
        <v>86.55419209257586</v>
      </c>
      <c r="N1138" s="13">
        <v>3481.79</v>
      </c>
      <c r="O1138" s="13">
        <v>0</v>
      </c>
      <c r="P1138" s="11">
        <v>0</v>
      </c>
    </row>
    <row r="1139" spans="1:16" ht="15" thickBot="1" x14ac:dyDescent="0.3">
      <c r="A1139" s="3" t="s">
        <v>11</v>
      </c>
      <c r="B1139" s="4">
        <v>241246</v>
      </c>
      <c r="C1139" s="3" t="s">
        <v>9</v>
      </c>
      <c r="D1139" s="18">
        <v>0.1</v>
      </c>
      <c r="E1139" s="21">
        <v>7.9741404289037643E-3</v>
      </c>
      <c r="F1139" s="5">
        <v>40108</v>
      </c>
      <c r="G1139" s="5">
        <v>41386</v>
      </c>
      <c r="H1139" s="16">
        <v>1278</v>
      </c>
      <c r="I1139" s="5">
        <v>41386</v>
      </c>
      <c r="J1139" s="5">
        <v>41003</v>
      </c>
      <c r="K1139" s="16">
        <v>895</v>
      </c>
      <c r="L1139" s="13">
        <v>6100</v>
      </c>
      <c r="M1139" s="15">
        <v>169.45268312719369</v>
      </c>
      <c r="N1139" s="13">
        <v>6100</v>
      </c>
      <c r="O1139" s="13">
        <v>0</v>
      </c>
      <c r="P1139" s="11">
        <v>0</v>
      </c>
    </row>
    <row r="1140" spans="1:16" ht="15" thickBot="1" x14ac:dyDescent="0.3">
      <c r="A1140" s="3" t="s">
        <v>11</v>
      </c>
      <c r="B1140" s="4">
        <v>989703</v>
      </c>
      <c r="C1140" s="3" t="s">
        <v>9</v>
      </c>
      <c r="D1140" s="18">
        <v>0.09</v>
      </c>
      <c r="E1140" s="21">
        <v>7.2073233161367156E-3</v>
      </c>
      <c r="F1140" s="5">
        <v>40114</v>
      </c>
      <c r="G1140" s="5">
        <v>42305</v>
      </c>
      <c r="H1140" s="16">
        <v>2191</v>
      </c>
      <c r="I1140" s="5">
        <v>42305</v>
      </c>
      <c r="J1140" s="5">
        <v>41544</v>
      </c>
      <c r="K1140" s="16">
        <v>1430</v>
      </c>
      <c r="L1140" s="13">
        <v>36828.080000000002</v>
      </c>
      <c r="M1140" s="15">
        <v>650.34340557319968</v>
      </c>
      <c r="N1140" s="13">
        <v>36828.080000000002</v>
      </c>
      <c r="O1140" s="13">
        <v>0</v>
      </c>
      <c r="P1140" s="11">
        <v>1</v>
      </c>
    </row>
    <row r="1141" spans="1:16" ht="15" thickBot="1" x14ac:dyDescent="0.3">
      <c r="A1141" s="3" t="s">
        <v>11</v>
      </c>
      <c r="B1141" s="4">
        <v>198025</v>
      </c>
      <c r="C1141" s="3" t="s">
        <v>9</v>
      </c>
      <c r="D1141" s="18">
        <v>0.11</v>
      </c>
      <c r="E1141" s="21">
        <v>8.7345938235519061E-3</v>
      </c>
      <c r="F1141" s="5">
        <v>40122</v>
      </c>
      <c r="G1141" s="5">
        <v>41195</v>
      </c>
      <c r="H1141" s="16">
        <v>1073</v>
      </c>
      <c r="I1141" s="5">
        <v>41195</v>
      </c>
      <c r="J1141" s="5">
        <v>40723</v>
      </c>
      <c r="K1141" s="16">
        <v>601</v>
      </c>
      <c r="L1141" s="13">
        <v>3130.71</v>
      </c>
      <c r="M1141" s="15">
        <v>102.29364168130755</v>
      </c>
      <c r="N1141" s="13">
        <v>3130.71</v>
      </c>
      <c r="O1141" s="13">
        <v>0</v>
      </c>
      <c r="P1141" s="11">
        <v>0</v>
      </c>
    </row>
    <row r="1142" spans="1:16" ht="15" thickBot="1" x14ac:dyDescent="0.3">
      <c r="A1142" s="3" t="s">
        <v>11</v>
      </c>
      <c r="B1142" s="4">
        <v>69525</v>
      </c>
      <c r="C1142" s="3" t="s">
        <v>9</v>
      </c>
      <c r="D1142" s="18">
        <v>0.1</v>
      </c>
      <c r="E1142" s="21">
        <v>7.9741404289037643E-3</v>
      </c>
      <c r="F1142" s="5">
        <v>40126</v>
      </c>
      <c r="G1142" s="5">
        <v>41464</v>
      </c>
      <c r="H1142" s="16">
        <v>1338</v>
      </c>
      <c r="I1142" s="5">
        <v>41464</v>
      </c>
      <c r="J1142" s="5">
        <v>43549</v>
      </c>
      <c r="K1142" s="16">
        <v>3423</v>
      </c>
      <c r="L1142" s="13">
        <v>6221.14</v>
      </c>
      <c r="M1142" s="15">
        <v>166.30834194877721</v>
      </c>
      <c r="N1142" s="13">
        <v>6205.27</v>
      </c>
      <c r="O1142" s="13">
        <v>0</v>
      </c>
      <c r="P1142" s="11">
        <v>0</v>
      </c>
    </row>
    <row r="1143" spans="1:16" ht="15" thickBot="1" x14ac:dyDescent="0.3">
      <c r="A1143" s="3" t="s">
        <v>11</v>
      </c>
      <c r="B1143" s="4">
        <v>145239</v>
      </c>
      <c r="C1143" s="3" t="s">
        <v>9</v>
      </c>
      <c r="D1143" s="18">
        <v>0.1</v>
      </c>
      <c r="E1143" s="21">
        <v>7.9741404289037643E-3</v>
      </c>
      <c r="F1143" s="5">
        <v>40133</v>
      </c>
      <c r="G1143" s="5">
        <v>42140</v>
      </c>
      <c r="H1143" s="16">
        <v>2007</v>
      </c>
      <c r="I1143" s="5">
        <v>42140</v>
      </c>
      <c r="J1143" s="5">
        <v>40410</v>
      </c>
      <c r="K1143" s="16">
        <v>277</v>
      </c>
      <c r="L1143" s="13">
        <v>5833.1</v>
      </c>
      <c r="M1143" s="15">
        <v>112.84547610751567</v>
      </c>
      <c r="N1143" s="13">
        <v>5833.1</v>
      </c>
      <c r="O1143" s="13">
        <v>0</v>
      </c>
      <c r="P1143" s="11">
        <v>1</v>
      </c>
    </row>
    <row r="1144" spans="1:16" ht="15" thickBot="1" x14ac:dyDescent="0.3">
      <c r="A1144" s="3" t="s">
        <v>11</v>
      </c>
      <c r="B1144" s="4">
        <v>996244</v>
      </c>
      <c r="C1144" s="3" t="s">
        <v>9</v>
      </c>
      <c r="D1144" s="18">
        <v>0.1</v>
      </c>
      <c r="E1144" s="21">
        <v>7.9741404289037643E-3</v>
      </c>
      <c r="F1144" s="5">
        <v>40137</v>
      </c>
      <c r="G1144" s="5">
        <v>40867</v>
      </c>
      <c r="H1144" s="16">
        <v>730</v>
      </c>
      <c r="I1144" s="5">
        <v>40867</v>
      </c>
      <c r="J1144" s="5">
        <v>40210</v>
      </c>
      <c r="K1144" s="16">
        <v>73</v>
      </c>
      <c r="L1144" s="13">
        <v>4811.41</v>
      </c>
      <c r="M1144" s="15">
        <v>218.31746317487546</v>
      </c>
      <c r="N1144" s="13">
        <v>4811.41</v>
      </c>
      <c r="O1144" s="13">
        <v>0</v>
      </c>
      <c r="P1144" s="11">
        <v>0</v>
      </c>
    </row>
    <row r="1145" spans="1:16" ht="15" thickBot="1" x14ac:dyDescent="0.3">
      <c r="A1145" s="3" t="s">
        <v>11</v>
      </c>
      <c r="B1145" s="4">
        <v>961387</v>
      </c>
      <c r="C1145" s="3" t="s">
        <v>9</v>
      </c>
      <c r="D1145" s="18">
        <v>0.115</v>
      </c>
      <c r="E1145" s="21">
        <v>9.1124684369046083E-3</v>
      </c>
      <c r="F1145" s="5">
        <v>40158</v>
      </c>
      <c r="G1145" s="5">
        <v>40523</v>
      </c>
      <c r="H1145" s="16">
        <v>365</v>
      </c>
      <c r="I1145" s="5">
        <v>40523</v>
      </c>
      <c r="J1145" s="5">
        <v>40463</v>
      </c>
      <c r="K1145" s="16">
        <v>305</v>
      </c>
      <c r="L1145" s="13">
        <v>1984.7</v>
      </c>
      <c r="M1145" s="15">
        <v>173.07720431660553</v>
      </c>
      <c r="N1145" s="13">
        <v>1984.7</v>
      </c>
      <c r="O1145" s="13">
        <v>0</v>
      </c>
      <c r="P1145" s="11">
        <v>0</v>
      </c>
    </row>
    <row r="1146" spans="1:16" ht="15" thickBot="1" x14ac:dyDescent="0.3">
      <c r="A1146" s="3" t="s">
        <v>11</v>
      </c>
      <c r="B1146" s="4">
        <v>94771</v>
      </c>
      <c r="C1146" s="3" t="s">
        <v>9</v>
      </c>
      <c r="D1146" s="18">
        <v>0.06</v>
      </c>
      <c r="E1146" s="21">
        <v>4.8675505653430484E-3</v>
      </c>
      <c r="F1146" s="5">
        <v>40169</v>
      </c>
      <c r="G1146" s="5">
        <v>41386</v>
      </c>
      <c r="H1146" s="16">
        <v>1217</v>
      </c>
      <c r="I1146" s="5">
        <v>41386</v>
      </c>
      <c r="J1146" s="5">
        <v>41339</v>
      </c>
      <c r="K1146" s="16">
        <v>1170</v>
      </c>
      <c r="L1146" s="13">
        <v>4192.13</v>
      </c>
      <c r="M1146" s="15">
        <v>114.12802080668904</v>
      </c>
      <c r="N1146" s="13">
        <v>4192.13</v>
      </c>
      <c r="O1146" s="13">
        <v>0</v>
      </c>
      <c r="P1146" s="11">
        <v>0</v>
      </c>
    </row>
    <row r="1147" spans="1:16" ht="15" thickBot="1" x14ac:dyDescent="0.3">
      <c r="A1147" s="3" t="s">
        <v>11</v>
      </c>
      <c r="B1147" s="4">
        <v>635239</v>
      </c>
      <c r="C1147" s="3" t="s">
        <v>9</v>
      </c>
      <c r="D1147" s="18">
        <v>0.11</v>
      </c>
      <c r="E1147" s="21">
        <v>8.7345938235519061E-3</v>
      </c>
      <c r="F1147" s="5">
        <v>40165</v>
      </c>
      <c r="G1147" s="5">
        <v>40530</v>
      </c>
      <c r="H1147" s="16">
        <v>365</v>
      </c>
      <c r="I1147" s="5">
        <v>40530</v>
      </c>
      <c r="J1147" s="5">
        <v>40246</v>
      </c>
      <c r="K1147" s="16">
        <v>81</v>
      </c>
      <c r="L1147" s="13">
        <v>1293.6199999999999</v>
      </c>
      <c r="M1147" s="15">
        <v>112.53784563150437</v>
      </c>
      <c r="N1147" s="13">
        <v>1293.6199999999999</v>
      </c>
      <c r="O1147" s="13">
        <v>0</v>
      </c>
      <c r="P1147" s="11">
        <v>0</v>
      </c>
    </row>
    <row r="1148" spans="1:16" ht="15" thickBot="1" x14ac:dyDescent="0.3">
      <c r="A1148" s="3" t="s">
        <v>11</v>
      </c>
      <c r="B1148" s="4">
        <v>408653</v>
      </c>
      <c r="C1148" s="3" t="s">
        <v>9</v>
      </c>
      <c r="D1148" s="18">
        <v>9.7500000000000003E-2</v>
      </c>
      <c r="E1148" s="21">
        <v>7.7830370878799737E-3</v>
      </c>
      <c r="F1148" s="5">
        <v>40169</v>
      </c>
      <c r="G1148" s="5">
        <v>42360</v>
      </c>
      <c r="H1148" s="16">
        <v>2191</v>
      </c>
      <c r="I1148" s="5">
        <v>42360</v>
      </c>
      <c r="J1148" s="5">
        <v>41771</v>
      </c>
      <c r="K1148" s="16">
        <v>1602</v>
      </c>
      <c r="L1148" s="13">
        <v>3500</v>
      </c>
      <c r="M1148" s="15">
        <v>63.008425265618797</v>
      </c>
      <c r="N1148" s="13">
        <v>3500</v>
      </c>
      <c r="O1148" s="13">
        <v>0</v>
      </c>
      <c r="P1148" s="11">
        <v>1</v>
      </c>
    </row>
    <row r="1149" spans="1:16" ht="15" thickBot="1" x14ac:dyDescent="0.3">
      <c r="A1149" s="3" t="s">
        <v>11</v>
      </c>
      <c r="B1149" s="4">
        <v>655399</v>
      </c>
      <c r="C1149" s="3" t="s">
        <v>9</v>
      </c>
      <c r="D1149" s="18">
        <v>0.1</v>
      </c>
      <c r="E1149" s="21">
        <v>7.9741404289037643E-3</v>
      </c>
      <c r="F1149" s="5">
        <v>40175</v>
      </c>
      <c r="G1149" s="5">
        <v>42410</v>
      </c>
      <c r="H1149" s="16">
        <v>2235</v>
      </c>
      <c r="I1149" s="5">
        <v>42410</v>
      </c>
      <c r="J1149" s="5">
        <v>41124</v>
      </c>
      <c r="K1149" s="16">
        <v>949</v>
      </c>
      <c r="L1149" s="13">
        <v>9492.41</v>
      </c>
      <c r="M1149" s="15">
        <v>169.47998869490988</v>
      </c>
      <c r="N1149" s="13">
        <v>9492.41</v>
      </c>
      <c r="O1149" s="13">
        <v>0</v>
      </c>
      <c r="P1149" s="11">
        <v>1</v>
      </c>
    </row>
    <row r="1150" spans="1:16" ht="15" thickBot="1" x14ac:dyDescent="0.3">
      <c r="A1150" s="3" t="s">
        <v>11</v>
      </c>
      <c r="B1150" s="4">
        <v>792778</v>
      </c>
      <c r="C1150" s="3" t="s">
        <v>9</v>
      </c>
      <c r="D1150" s="18">
        <v>0.08</v>
      </c>
      <c r="E1150" s="21">
        <v>6.4340301100034303E-3</v>
      </c>
      <c r="F1150" s="5">
        <v>40178</v>
      </c>
      <c r="G1150" s="5">
        <v>40543</v>
      </c>
      <c r="H1150" s="16">
        <v>365</v>
      </c>
      <c r="I1150" s="5">
        <v>40543</v>
      </c>
      <c r="J1150" s="5">
        <v>42178</v>
      </c>
      <c r="K1150" s="16">
        <v>2000</v>
      </c>
      <c r="L1150" s="13">
        <v>2500</v>
      </c>
      <c r="M1150" s="15">
        <v>214.28689612104461</v>
      </c>
      <c r="N1150" s="13">
        <v>2500</v>
      </c>
      <c r="O1150" s="13">
        <v>0</v>
      </c>
      <c r="P1150" s="11">
        <v>0</v>
      </c>
    </row>
    <row r="1151" spans="1:16" ht="15" thickBot="1" x14ac:dyDescent="0.3">
      <c r="A1151" s="3" t="s">
        <v>11</v>
      </c>
      <c r="B1151" s="4">
        <v>577948</v>
      </c>
      <c r="C1151" s="3" t="s">
        <v>9</v>
      </c>
      <c r="D1151" s="18">
        <v>0.1</v>
      </c>
      <c r="E1151" s="21">
        <v>7.9741404289037643E-3</v>
      </c>
      <c r="F1151" s="5">
        <v>40186</v>
      </c>
      <c r="G1151" s="5">
        <v>41828</v>
      </c>
      <c r="H1151" s="16">
        <v>1642</v>
      </c>
      <c r="I1151" s="5">
        <v>41828</v>
      </c>
      <c r="J1151" s="5">
        <v>40253</v>
      </c>
      <c r="K1151" s="16">
        <v>67</v>
      </c>
      <c r="L1151" s="13">
        <v>9363.15</v>
      </c>
      <c r="M1151" s="15">
        <v>211.77752489708854</v>
      </c>
      <c r="N1151" s="13">
        <v>9363.15</v>
      </c>
      <c r="O1151" s="13">
        <v>2120</v>
      </c>
      <c r="P1151" s="11">
        <v>0</v>
      </c>
    </row>
    <row r="1152" spans="1:16" ht="15" thickBot="1" x14ac:dyDescent="0.3">
      <c r="A1152" s="3" t="s">
        <v>11</v>
      </c>
      <c r="B1152" s="4">
        <v>312512</v>
      </c>
      <c r="C1152" s="3" t="s">
        <v>9</v>
      </c>
      <c r="D1152" s="18">
        <v>0.12</v>
      </c>
      <c r="E1152" s="21">
        <v>9.4887929345830457E-3</v>
      </c>
      <c r="F1152" s="5">
        <v>40218</v>
      </c>
      <c r="G1152" s="5">
        <v>40703</v>
      </c>
      <c r="H1152" s="16">
        <v>485</v>
      </c>
      <c r="I1152" s="5">
        <v>40703</v>
      </c>
      <c r="J1152" s="5">
        <v>40288</v>
      </c>
      <c r="K1152" s="16">
        <v>70</v>
      </c>
      <c r="L1152" s="13">
        <v>2752.9</v>
      </c>
      <c r="M1152" s="15">
        <v>184.4821628857203</v>
      </c>
      <c r="N1152" s="13">
        <v>2752.9</v>
      </c>
      <c r="O1152" s="13">
        <v>0</v>
      </c>
      <c r="P1152" s="11">
        <v>0</v>
      </c>
    </row>
    <row r="1153" spans="1:16" ht="15" thickBot="1" x14ac:dyDescent="0.3">
      <c r="A1153" s="3" t="s">
        <v>11</v>
      </c>
      <c r="B1153" s="4">
        <v>496019</v>
      </c>
      <c r="C1153" s="3" t="s">
        <v>9</v>
      </c>
      <c r="D1153" s="18">
        <v>0.11</v>
      </c>
      <c r="E1153" s="21">
        <v>8.7345938235519061E-3</v>
      </c>
      <c r="F1153" s="5">
        <v>40218</v>
      </c>
      <c r="G1153" s="5">
        <v>40583</v>
      </c>
      <c r="H1153" s="16">
        <v>365</v>
      </c>
      <c r="I1153" s="5">
        <v>40583</v>
      </c>
      <c r="J1153" s="5">
        <v>40588</v>
      </c>
      <c r="K1153" s="16">
        <v>370</v>
      </c>
      <c r="L1153" s="13">
        <v>970</v>
      </c>
      <c r="M1153" s="15">
        <v>84.384680402714267</v>
      </c>
      <c r="N1153" s="13">
        <v>970</v>
      </c>
      <c r="O1153" s="13">
        <v>0</v>
      </c>
      <c r="P1153" s="11">
        <v>0</v>
      </c>
    </row>
    <row r="1154" spans="1:16" ht="15" thickBot="1" x14ac:dyDescent="0.3">
      <c r="A1154" s="3" t="s">
        <v>11</v>
      </c>
      <c r="B1154" s="4">
        <v>713114</v>
      </c>
      <c r="C1154" s="3" t="s">
        <v>9</v>
      </c>
      <c r="D1154" s="18">
        <v>0.1</v>
      </c>
      <c r="E1154" s="21">
        <v>7.9741404289037643E-3</v>
      </c>
      <c r="F1154" s="5">
        <v>40219</v>
      </c>
      <c r="G1154" s="5">
        <v>40796</v>
      </c>
      <c r="H1154" s="16">
        <v>577</v>
      </c>
      <c r="I1154" s="5">
        <v>40796</v>
      </c>
      <c r="J1154" s="5">
        <v>40472</v>
      </c>
      <c r="K1154" s="16">
        <v>253</v>
      </c>
      <c r="L1154" s="13">
        <v>299.95</v>
      </c>
      <c r="M1154" s="15">
        <v>16.883776200631907</v>
      </c>
      <c r="N1154" s="13">
        <v>299.95</v>
      </c>
      <c r="O1154" s="13">
        <v>0</v>
      </c>
      <c r="P1154" s="11">
        <v>0</v>
      </c>
    </row>
    <row r="1155" spans="1:16" ht="15" thickBot="1" x14ac:dyDescent="0.3">
      <c r="A1155" s="3" t="s">
        <v>11</v>
      </c>
      <c r="B1155" s="4">
        <v>387676</v>
      </c>
      <c r="C1155" s="3" t="s">
        <v>9</v>
      </c>
      <c r="D1155" s="18">
        <v>0.1</v>
      </c>
      <c r="E1155" s="21">
        <v>7.9741404289037643E-3</v>
      </c>
      <c r="F1155" s="5">
        <v>40246</v>
      </c>
      <c r="G1155" s="5">
        <v>40733</v>
      </c>
      <c r="H1155" s="16">
        <v>487</v>
      </c>
      <c r="I1155" s="5">
        <v>40733</v>
      </c>
      <c r="J1155" s="5">
        <v>40872</v>
      </c>
      <c r="K1155" s="16">
        <v>626</v>
      </c>
      <c r="L1155" s="13">
        <v>22814.22</v>
      </c>
      <c r="M1155" s="15">
        <v>1503.905442124297</v>
      </c>
      <c r="N1155" s="13">
        <v>22814.22</v>
      </c>
      <c r="O1155" s="13">
        <v>0</v>
      </c>
      <c r="P1155" s="11">
        <v>0</v>
      </c>
    </row>
    <row r="1156" spans="1:16" ht="15" thickBot="1" x14ac:dyDescent="0.3">
      <c r="A1156" s="3" t="s">
        <v>11</v>
      </c>
      <c r="B1156" s="4">
        <v>742441</v>
      </c>
      <c r="C1156" s="3" t="s">
        <v>9</v>
      </c>
      <c r="D1156" s="18">
        <v>0.1</v>
      </c>
      <c r="E1156" s="21">
        <v>7.9741404289037643E-3</v>
      </c>
      <c r="F1156" s="5">
        <v>40249</v>
      </c>
      <c r="G1156" s="5">
        <v>42075</v>
      </c>
      <c r="H1156" s="16">
        <v>1826</v>
      </c>
      <c r="I1156" s="5">
        <v>42075</v>
      </c>
      <c r="J1156" s="5">
        <v>40758</v>
      </c>
      <c r="K1156" s="16">
        <v>509</v>
      </c>
      <c r="L1156" s="13">
        <v>1954.58</v>
      </c>
      <c r="M1156" s="15">
        <v>40.658871582028446</v>
      </c>
      <c r="N1156" s="13">
        <v>1954.58</v>
      </c>
      <c r="O1156" s="13">
        <v>0</v>
      </c>
      <c r="P1156" s="11">
        <v>1</v>
      </c>
    </row>
    <row r="1157" spans="1:16" ht="15" thickBot="1" x14ac:dyDescent="0.3">
      <c r="A1157" s="3" t="s">
        <v>11</v>
      </c>
      <c r="B1157" s="4">
        <v>170354</v>
      </c>
      <c r="C1157" s="3" t="s">
        <v>9</v>
      </c>
      <c r="D1157" s="18">
        <v>9.5000000000000001E-2</v>
      </c>
      <c r="E1157" s="21">
        <v>7.5915342905825689E-3</v>
      </c>
      <c r="F1157" s="5">
        <v>40255</v>
      </c>
      <c r="G1157" s="5">
        <v>41017</v>
      </c>
      <c r="H1157" s="16">
        <v>762</v>
      </c>
      <c r="I1157" s="5">
        <v>41017</v>
      </c>
      <c r="J1157" s="5">
        <v>40660</v>
      </c>
      <c r="K1157" s="16">
        <v>405</v>
      </c>
      <c r="L1157" s="13">
        <v>10500</v>
      </c>
      <c r="M1157" s="15">
        <v>456.08375655088059</v>
      </c>
      <c r="N1157" s="13">
        <v>10500</v>
      </c>
      <c r="O1157" s="13">
        <v>0</v>
      </c>
      <c r="P1157" s="11">
        <v>0</v>
      </c>
    </row>
    <row r="1158" spans="1:16" ht="15" thickBot="1" x14ac:dyDescent="0.3">
      <c r="A1158" s="3" t="s">
        <v>11</v>
      </c>
      <c r="B1158" s="4">
        <v>238071</v>
      </c>
      <c r="C1158" s="3" t="s">
        <v>9</v>
      </c>
      <c r="D1158" s="18">
        <v>0.11</v>
      </c>
      <c r="E1158" s="21">
        <v>8.7345938235519061E-3</v>
      </c>
      <c r="F1158" s="5">
        <v>40260</v>
      </c>
      <c r="G1158" s="5">
        <v>42117</v>
      </c>
      <c r="H1158" s="16">
        <v>1857</v>
      </c>
      <c r="I1158" s="5">
        <v>42117</v>
      </c>
      <c r="J1158" s="5">
        <v>42447</v>
      </c>
      <c r="K1158" s="16">
        <v>2187</v>
      </c>
      <c r="L1158" s="13">
        <v>6878.56</v>
      </c>
      <c r="M1158" s="15">
        <v>144.33141174970763</v>
      </c>
      <c r="N1158" s="13">
        <v>6878.56</v>
      </c>
      <c r="O1158" s="13">
        <v>0</v>
      </c>
      <c r="P1158" s="11">
        <v>1</v>
      </c>
    </row>
    <row r="1159" spans="1:16" ht="15" thickBot="1" x14ac:dyDescent="0.3">
      <c r="A1159" s="3" t="s">
        <v>11</v>
      </c>
      <c r="B1159" s="4">
        <v>115645</v>
      </c>
      <c r="C1159" s="3" t="s">
        <v>9</v>
      </c>
      <c r="D1159" s="18">
        <v>0.1</v>
      </c>
      <c r="E1159" s="21">
        <v>7.9741404289037643E-3</v>
      </c>
      <c r="F1159" s="5">
        <v>40268</v>
      </c>
      <c r="G1159" s="5">
        <v>41213</v>
      </c>
      <c r="H1159" s="16">
        <v>945</v>
      </c>
      <c r="I1159" s="5">
        <v>41213</v>
      </c>
      <c r="J1159" s="5">
        <v>41087</v>
      </c>
      <c r="K1159" s="16">
        <v>819</v>
      </c>
      <c r="L1159" s="13">
        <v>2129.96</v>
      </c>
      <c r="M1159" s="15">
        <v>76.733062581187482</v>
      </c>
      <c r="N1159" s="13">
        <v>2129.96</v>
      </c>
      <c r="O1159" s="13">
        <v>0</v>
      </c>
      <c r="P1159" s="11">
        <v>0</v>
      </c>
    </row>
    <row r="1160" spans="1:16" ht="15" thickBot="1" x14ac:dyDescent="0.3">
      <c r="A1160" s="3" t="s">
        <v>11</v>
      </c>
      <c r="B1160" s="4">
        <v>981259</v>
      </c>
      <c r="C1160" s="3" t="s">
        <v>9</v>
      </c>
      <c r="D1160" s="18">
        <v>0.1</v>
      </c>
      <c r="E1160" s="21">
        <v>7.9741404289037643E-3</v>
      </c>
      <c r="F1160" s="5">
        <v>40268</v>
      </c>
      <c r="G1160" s="5">
        <v>41425</v>
      </c>
      <c r="H1160" s="16">
        <v>1157</v>
      </c>
      <c r="I1160" s="5">
        <v>41425</v>
      </c>
      <c r="J1160" s="5">
        <v>41906</v>
      </c>
      <c r="K1160" s="16">
        <v>1638</v>
      </c>
      <c r="L1160" s="13">
        <v>3927.57</v>
      </c>
      <c r="M1160" s="15">
        <v>118.7016710284508</v>
      </c>
      <c r="N1160" s="13">
        <v>3927.57</v>
      </c>
      <c r="O1160" s="13">
        <v>0</v>
      </c>
      <c r="P1160" s="11">
        <v>0</v>
      </c>
    </row>
    <row r="1161" spans="1:16" ht="15" thickBot="1" x14ac:dyDescent="0.3">
      <c r="A1161" s="3" t="s">
        <v>11</v>
      </c>
      <c r="B1161" s="4">
        <v>581052</v>
      </c>
      <c r="C1161" s="3" t="s">
        <v>9</v>
      </c>
      <c r="D1161" s="18">
        <v>0.105</v>
      </c>
      <c r="E1161" s="21">
        <v>8.355155683635207E-3</v>
      </c>
      <c r="F1161" s="5">
        <v>40294</v>
      </c>
      <c r="G1161" s="5">
        <v>40873</v>
      </c>
      <c r="H1161" s="16">
        <v>579</v>
      </c>
      <c r="I1161" s="5">
        <v>40873</v>
      </c>
      <c r="J1161" s="5">
        <v>40772</v>
      </c>
      <c r="K1161" s="16">
        <v>478</v>
      </c>
      <c r="L1161" s="13">
        <v>1307.95</v>
      </c>
      <c r="M1161" s="15">
        <v>73.662390351558955</v>
      </c>
      <c r="N1161" s="13">
        <v>1307.95</v>
      </c>
      <c r="O1161" s="13">
        <v>0</v>
      </c>
      <c r="P1161" s="11">
        <v>0</v>
      </c>
    </row>
    <row r="1162" spans="1:16" ht="15" thickBot="1" x14ac:dyDescent="0.3">
      <c r="A1162" s="3" t="s">
        <v>11</v>
      </c>
      <c r="B1162" s="4">
        <v>983585</v>
      </c>
      <c r="C1162" s="3" t="s">
        <v>9</v>
      </c>
      <c r="D1162" s="18">
        <v>0.12</v>
      </c>
      <c r="E1162" s="21">
        <v>9.4887929345830457E-3</v>
      </c>
      <c r="F1162" s="5">
        <v>40308</v>
      </c>
      <c r="G1162" s="5">
        <v>40492</v>
      </c>
      <c r="H1162" s="16">
        <v>184</v>
      </c>
      <c r="I1162" s="5">
        <v>40492</v>
      </c>
      <c r="J1162" s="5">
        <v>40322</v>
      </c>
      <c r="K1162" s="16">
        <v>14</v>
      </c>
      <c r="L1162" s="13">
        <v>249.6</v>
      </c>
      <c r="M1162" s="15">
        <v>42.084057488986645</v>
      </c>
      <c r="N1162" s="13">
        <v>249.6</v>
      </c>
      <c r="O1162" s="13">
        <v>0</v>
      </c>
      <c r="P1162" s="11">
        <v>0</v>
      </c>
    </row>
    <row r="1163" spans="1:16" ht="15" thickBot="1" x14ac:dyDescent="0.3">
      <c r="A1163" s="3" t="s">
        <v>11</v>
      </c>
      <c r="B1163" s="4">
        <v>352968</v>
      </c>
      <c r="C1163" s="3" t="s">
        <v>9</v>
      </c>
      <c r="D1163" s="18">
        <v>9.5000000000000001E-2</v>
      </c>
      <c r="E1163" s="21">
        <v>7.5915342905825689E-3</v>
      </c>
      <c r="F1163" s="5">
        <v>40310</v>
      </c>
      <c r="G1163" s="5">
        <v>42867</v>
      </c>
      <c r="H1163" s="16">
        <v>2557</v>
      </c>
      <c r="I1163" s="5">
        <v>42867</v>
      </c>
      <c r="J1163" s="5">
        <v>40592</v>
      </c>
      <c r="K1163" s="16">
        <v>282</v>
      </c>
      <c r="L1163" s="13">
        <v>15051.78</v>
      </c>
      <c r="M1163" s="15">
        <v>240.49349388606967</v>
      </c>
      <c r="N1163" s="13">
        <v>15051.78</v>
      </c>
      <c r="O1163" s="13">
        <v>0</v>
      </c>
      <c r="P1163" s="11">
        <v>1</v>
      </c>
    </row>
    <row r="1164" spans="1:16" ht="15" thickBot="1" x14ac:dyDescent="0.3">
      <c r="A1164" s="3" t="s">
        <v>11</v>
      </c>
      <c r="B1164" s="4">
        <v>681059</v>
      </c>
      <c r="C1164" s="3" t="s">
        <v>19</v>
      </c>
      <c r="D1164" s="18">
        <v>0.1</v>
      </c>
      <c r="E1164" s="21">
        <v>7.9741404289037643E-3</v>
      </c>
      <c r="F1164" s="5">
        <v>40317</v>
      </c>
      <c r="G1164" s="5">
        <v>43281</v>
      </c>
      <c r="H1164" s="16">
        <v>2964</v>
      </c>
      <c r="I1164" s="5">
        <v>43281</v>
      </c>
      <c r="J1164" s="5">
        <v>43496</v>
      </c>
      <c r="K1164" s="16">
        <v>3179</v>
      </c>
      <c r="L1164" s="13">
        <v>5925.75</v>
      </c>
      <c r="M1164" s="15">
        <v>86.901187200962497</v>
      </c>
      <c r="N1164" s="13">
        <v>5925.75</v>
      </c>
      <c r="O1164" s="13">
        <v>0</v>
      </c>
      <c r="P1164" s="11">
        <v>1</v>
      </c>
    </row>
    <row r="1165" spans="1:16" ht="15" thickBot="1" x14ac:dyDescent="0.3">
      <c r="A1165" s="3" t="s">
        <v>11</v>
      </c>
      <c r="B1165" s="4">
        <v>656399</v>
      </c>
      <c r="C1165" s="3" t="s">
        <v>9</v>
      </c>
      <c r="D1165" s="18">
        <v>0.1</v>
      </c>
      <c r="E1165" s="21">
        <v>7.9741404289037643E-3</v>
      </c>
      <c r="F1165" s="5">
        <v>40318</v>
      </c>
      <c r="G1165" s="5">
        <v>42055</v>
      </c>
      <c r="H1165" s="16">
        <v>1737</v>
      </c>
      <c r="I1165" s="5">
        <v>42055</v>
      </c>
      <c r="J1165" s="5">
        <v>41403</v>
      </c>
      <c r="K1165" s="16">
        <v>1085</v>
      </c>
      <c r="L1165" s="13">
        <v>11990.75</v>
      </c>
      <c r="M1165" s="15">
        <v>259.37809923869918</v>
      </c>
      <c r="N1165" s="13">
        <v>11990.75</v>
      </c>
      <c r="O1165" s="13">
        <v>0</v>
      </c>
      <c r="P1165" s="11">
        <v>1</v>
      </c>
    </row>
    <row r="1166" spans="1:16" ht="15" thickBot="1" x14ac:dyDescent="0.3">
      <c r="A1166" s="3" t="s">
        <v>11</v>
      </c>
      <c r="B1166" s="4">
        <v>986170</v>
      </c>
      <c r="C1166" s="3" t="s">
        <v>9</v>
      </c>
      <c r="D1166" s="18">
        <v>0.105</v>
      </c>
      <c r="E1166" s="21">
        <v>8.355155683635207E-3</v>
      </c>
      <c r="F1166" s="5">
        <v>40395</v>
      </c>
      <c r="G1166" s="5">
        <v>42272</v>
      </c>
      <c r="H1166" s="16">
        <v>1877</v>
      </c>
      <c r="I1166" s="5">
        <v>42272</v>
      </c>
      <c r="J1166" s="5">
        <v>41939</v>
      </c>
      <c r="K1166" s="16">
        <v>1544</v>
      </c>
      <c r="L1166" s="13">
        <v>9923</v>
      </c>
      <c r="M1166" s="15">
        <v>204.29514506649147</v>
      </c>
      <c r="N1166" s="13">
        <v>9923</v>
      </c>
      <c r="O1166" s="13">
        <v>0</v>
      </c>
      <c r="P1166" s="11">
        <v>1</v>
      </c>
    </row>
    <row r="1167" spans="1:16" ht="15" thickBot="1" x14ac:dyDescent="0.3">
      <c r="A1167" s="3" t="s">
        <v>11</v>
      </c>
      <c r="B1167" s="4">
        <v>855144</v>
      </c>
      <c r="C1167" s="3" t="s">
        <v>9</v>
      </c>
      <c r="D1167" s="18">
        <v>0.08</v>
      </c>
      <c r="E1167" s="21">
        <v>6.4340301100034303E-3</v>
      </c>
      <c r="F1167" s="5">
        <v>40340</v>
      </c>
      <c r="G1167" s="5">
        <v>42227</v>
      </c>
      <c r="H1167" s="16">
        <v>1887</v>
      </c>
      <c r="I1167" s="5">
        <v>42227</v>
      </c>
      <c r="J1167" s="5">
        <v>41893</v>
      </c>
      <c r="K1167" s="16">
        <v>1553</v>
      </c>
      <c r="L1167" s="13">
        <v>20000</v>
      </c>
      <c r="M1167" s="15">
        <v>387.64129944913344</v>
      </c>
      <c r="N1167" s="13">
        <v>20000</v>
      </c>
      <c r="O1167" s="13">
        <v>0</v>
      </c>
      <c r="P1167" s="11">
        <v>1</v>
      </c>
    </row>
    <row r="1168" spans="1:16" ht="15" thickBot="1" x14ac:dyDescent="0.3">
      <c r="A1168" s="3" t="s">
        <v>11</v>
      </c>
      <c r="B1168" s="4">
        <v>997261</v>
      </c>
      <c r="C1168" s="3" t="s">
        <v>9</v>
      </c>
      <c r="D1168" s="18">
        <v>9.5000000000000001E-2</v>
      </c>
      <c r="E1168" s="21">
        <v>7.5915342905825689E-3</v>
      </c>
      <c r="F1168" s="5">
        <v>40346</v>
      </c>
      <c r="G1168" s="5">
        <v>41807</v>
      </c>
      <c r="H1168" s="16">
        <v>1461</v>
      </c>
      <c r="I1168" s="5">
        <v>41807</v>
      </c>
      <c r="J1168" s="5">
        <v>41008</v>
      </c>
      <c r="K1168" s="16">
        <v>662</v>
      </c>
      <c r="L1168" s="13">
        <v>2563.33</v>
      </c>
      <c r="M1168" s="15">
        <v>63.16037589750826</v>
      </c>
      <c r="N1168" s="13">
        <v>2563.33</v>
      </c>
      <c r="O1168" s="13">
        <v>0</v>
      </c>
      <c r="P1168" s="11">
        <v>0</v>
      </c>
    </row>
    <row r="1169" spans="1:16" ht="15" thickBot="1" x14ac:dyDescent="0.3">
      <c r="A1169" s="3" t="s">
        <v>11</v>
      </c>
      <c r="B1169" s="4">
        <v>317669</v>
      </c>
      <c r="C1169" s="3" t="s">
        <v>9</v>
      </c>
      <c r="D1169" s="18">
        <v>0.1</v>
      </c>
      <c r="E1169" s="21">
        <v>7.9741404289037643E-3</v>
      </c>
      <c r="F1169" s="5">
        <v>40352</v>
      </c>
      <c r="G1169" s="5">
        <v>42178</v>
      </c>
      <c r="H1169" s="16">
        <v>1826</v>
      </c>
      <c r="I1169" s="5">
        <v>42178</v>
      </c>
      <c r="J1169" s="5">
        <v>40619</v>
      </c>
      <c r="K1169" s="16">
        <v>267</v>
      </c>
      <c r="L1169" s="13">
        <v>3206.08</v>
      </c>
      <c r="M1169" s="15">
        <v>66.692381484364802</v>
      </c>
      <c r="N1169" s="13">
        <v>3206.08</v>
      </c>
      <c r="O1169" s="13">
        <v>0</v>
      </c>
      <c r="P1169" s="11">
        <v>1</v>
      </c>
    </row>
    <row r="1170" spans="1:16" ht="15" thickBot="1" x14ac:dyDescent="0.3">
      <c r="A1170" s="3" t="s">
        <v>11</v>
      </c>
      <c r="B1170" s="4">
        <v>91836</v>
      </c>
      <c r="C1170" s="3" t="s">
        <v>9</v>
      </c>
      <c r="D1170" s="18">
        <v>0.1</v>
      </c>
      <c r="E1170" s="21">
        <v>7.9741404289037643E-3</v>
      </c>
      <c r="F1170" s="5">
        <v>40353</v>
      </c>
      <c r="G1170" s="5">
        <v>40718</v>
      </c>
      <c r="H1170" s="16">
        <v>365</v>
      </c>
      <c r="I1170" s="5">
        <v>40718</v>
      </c>
      <c r="J1170" s="5">
        <v>40681</v>
      </c>
      <c r="K1170" s="16">
        <v>328</v>
      </c>
      <c r="L1170" s="13">
        <v>20500</v>
      </c>
      <c r="M1170" s="15">
        <v>1774.6916835239174</v>
      </c>
      <c r="N1170" s="13">
        <v>20500</v>
      </c>
      <c r="O1170" s="13">
        <v>0</v>
      </c>
      <c r="P1170" s="11">
        <v>0</v>
      </c>
    </row>
    <row r="1171" spans="1:16" ht="15" thickBot="1" x14ac:dyDescent="0.3">
      <c r="A1171" s="3" t="s">
        <v>11</v>
      </c>
      <c r="B1171" s="4">
        <v>617245</v>
      </c>
      <c r="C1171" s="3" t="s">
        <v>9</v>
      </c>
      <c r="D1171" s="18">
        <v>0.1</v>
      </c>
      <c r="E1171" s="21">
        <v>7.9741404289037643E-3</v>
      </c>
      <c r="F1171" s="5">
        <v>40360</v>
      </c>
      <c r="G1171" s="5">
        <v>41456</v>
      </c>
      <c r="H1171" s="16">
        <v>1096</v>
      </c>
      <c r="I1171" s="5">
        <v>41456</v>
      </c>
      <c r="J1171" s="5">
        <v>40609</v>
      </c>
      <c r="K1171" s="16">
        <v>249</v>
      </c>
      <c r="L1171" s="13">
        <v>1980.72</v>
      </c>
      <c r="M1171" s="15">
        <v>62.711323740933942</v>
      </c>
      <c r="N1171" s="13">
        <v>1980.72</v>
      </c>
      <c r="O1171" s="13">
        <v>0</v>
      </c>
      <c r="P1171" s="11">
        <v>0</v>
      </c>
    </row>
    <row r="1172" spans="1:16" ht="15" thickBot="1" x14ac:dyDescent="0.3">
      <c r="A1172" s="3" t="s">
        <v>11</v>
      </c>
      <c r="B1172" s="4">
        <v>519536</v>
      </c>
      <c r="C1172" s="3" t="s">
        <v>9</v>
      </c>
      <c r="D1172" s="18">
        <v>9.7500000000000003E-2</v>
      </c>
      <c r="E1172" s="21">
        <v>7.7830370878799737E-3</v>
      </c>
      <c r="F1172" s="5">
        <v>40360</v>
      </c>
      <c r="G1172" s="5">
        <v>41021</v>
      </c>
      <c r="H1172" s="16">
        <v>661</v>
      </c>
      <c r="I1172" s="5">
        <v>41021</v>
      </c>
      <c r="J1172" s="5">
        <v>40660</v>
      </c>
      <c r="K1172" s="16">
        <v>300</v>
      </c>
      <c r="L1172" s="13">
        <v>29500</v>
      </c>
      <c r="M1172" s="15">
        <v>1462.1506336998712</v>
      </c>
      <c r="N1172" s="13">
        <v>29500</v>
      </c>
      <c r="O1172" s="13">
        <v>0</v>
      </c>
      <c r="P1172" s="11">
        <v>0</v>
      </c>
    </row>
    <row r="1173" spans="1:16" ht="15" thickBot="1" x14ac:dyDescent="0.3">
      <c r="A1173" s="3" t="s">
        <v>11</v>
      </c>
      <c r="B1173" s="4">
        <v>17844</v>
      </c>
      <c r="C1173" s="3" t="s">
        <v>9</v>
      </c>
      <c r="D1173" s="18">
        <v>0.1</v>
      </c>
      <c r="E1173" s="21">
        <v>7.9741404289037643E-3</v>
      </c>
      <c r="F1173" s="5">
        <v>40375</v>
      </c>
      <c r="G1173" s="5">
        <v>41045</v>
      </c>
      <c r="H1173" s="16">
        <v>670</v>
      </c>
      <c r="I1173" s="5">
        <v>41045</v>
      </c>
      <c r="J1173" s="5">
        <v>43549</v>
      </c>
      <c r="K1173" s="16">
        <v>3174</v>
      </c>
      <c r="L1173" s="13">
        <v>4743.71</v>
      </c>
      <c r="M1173" s="15">
        <v>232.72304469801</v>
      </c>
      <c r="N1173" s="13">
        <v>4738.03</v>
      </c>
      <c r="O1173" s="13">
        <v>0</v>
      </c>
      <c r="P1173" s="11">
        <v>0</v>
      </c>
    </row>
    <row r="1174" spans="1:16" ht="15" thickBot="1" x14ac:dyDescent="0.3">
      <c r="A1174" s="3" t="s">
        <v>11</v>
      </c>
      <c r="B1174" s="4">
        <v>905484</v>
      </c>
      <c r="C1174" s="3" t="s">
        <v>9</v>
      </c>
      <c r="D1174" s="18">
        <v>0.1</v>
      </c>
      <c r="E1174" s="21">
        <v>7.9741404289037643E-3</v>
      </c>
      <c r="F1174" s="5">
        <v>40381</v>
      </c>
      <c r="G1174" s="5">
        <v>42269</v>
      </c>
      <c r="H1174" s="16">
        <v>1888</v>
      </c>
      <c r="I1174" s="5">
        <v>42269</v>
      </c>
      <c r="J1174" s="5">
        <v>41269</v>
      </c>
      <c r="K1174" s="16">
        <v>888</v>
      </c>
      <c r="L1174" s="13">
        <v>11495</v>
      </c>
      <c r="M1174" s="15">
        <v>233.0145844128466</v>
      </c>
      <c r="N1174" s="13">
        <v>11495</v>
      </c>
      <c r="O1174" s="13">
        <v>0</v>
      </c>
      <c r="P1174" s="11">
        <v>1</v>
      </c>
    </row>
    <row r="1175" spans="1:16" ht="15" thickBot="1" x14ac:dyDescent="0.3">
      <c r="A1175" s="3" t="s">
        <v>11</v>
      </c>
      <c r="B1175" s="4">
        <v>660281</v>
      </c>
      <c r="C1175" s="3" t="s">
        <v>9</v>
      </c>
      <c r="D1175" s="18">
        <v>0.1</v>
      </c>
      <c r="E1175" s="21">
        <v>7.9741404289037643E-3</v>
      </c>
      <c r="F1175" s="5">
        <v>40393</v>
      </c>
      <c r="G1175" s="5">
        <v>40577</v>
      </c>
      <c r="H1175" s="16">
        <v>184</v>
      </c>
      <c r="I1175" s="5">
        <v>40577</v>
      </c>
      <c r="J1175" s="5">
        <v>40891</v>
      </c>
      <c r="K1175" s="16">
        <v>498</v>
      </c>
      <c r="L1175" s="13">
        <v>2500</v>
      </c>
      <c r="M1175" s="15">
        <v>419.28030887435483</v>
      </c>
      <c r="N1175" s="13">
        <v>2500</v>
      </c>
      <c r="O1175" s="13">
        <v>0</v>
      </c>
      <c r="P1175" s="11">
        <v>0</v>
      </c>
    </row>
    <row r="1176" spans="1:16" ht="15" thickBot="1" x14ac:dyDescent="0.3">
      <c r="A1176" s="3" t="s">
        <v>11</v>
      </c>
      <c r="B1176" s="4">
        <v>195486</v>
      </c>
      <c r="C1176" s="3" t="s">
        <v>9</v>
      </c>
      <c r="D1176" s="18">
        <v>0.1</v>
      </c>
      <c r="E1176" s="21">
        <v>7.9741404289037643E-3</v>
      </c>
      <c r="F1176" s="5">
        <v>40393</v>
      </c>
      <c r="G1176" s="5">
        <v>41854</v>
      </c>
      <c r="H1176" s="16">
        <v>1461</v>
      </c>
      <c r="I1176" s="5">
        <v>41854</v>
      </c>
      <c r="J1176" s="5">
        <v>41526</v>
      </c>
      <c r="K1176" s="16">
        <v>1133</v>
      </c>
      <c r="L1176" s="13">
        <v>11595.36</v>
      </c>
      <c r="M1176" s="15">
        <v>288.25030137445691</v>
      </c>
      <c r="N1176" s="13">
        <v>11595.36</v>
      </c>
      <c r="O1176" s="13">
        <v>0</v>
      </c>
      <c r="P1176" s="11">
        <v>0</v>
      </c>
    </row>
    <row r="1177" spans="1:16" ht="15" thickBot="1" x14ac:dyDescent="0.3">
      <c r="A1177" s="3" t="s">
        <v>11</v>
      </c>
      <c r="B1177" s="4">
        <v>574891</v>
      </c>
      <c r="C1177" s="3" t="s">
        <v>12</v>
      </c>
      <c r="D1177" s="18">
        <v>0.1</v>
      </c>
      <c r="E1177" s="21">
        <v>7.9741404289037643E-3</v>
      </c>
      <c r="F1177" s="5">
        <v>40421</v>
      </c>
      <c r="G1177" s="5">
        <v>41167</v>
      </c>
      <c r="H1177" s="16">
        <v>746</v>
      </c>
      <c r="I1177" s="5">
        <v>44089</v>
      </c>
      <c r="J1177" s="5">
        <v>44102</v>
      </c>
      <c r="K1177" s="16">
        <v>3681</v>
      </c>
      <c r="L1177" s="13">
        <v>36947.69</v>
      </c>
      <c r="M1177" s="15">
        <v>1643.9073459053534</v>
      </c>
      <c r="N1177" s="13">
        <v>26307</v>
      </c>
      <c r="O1177" s="13">
        <v>8000</v>
      </c>
      <c r="P1177" s="11">
        <v>0</v>
      </c>
    </row>
    <row r="1178" spans="1:16" ht="15" thickBot="1" x14ac:dyDescent="0.3">
      <c r="A1178" s="3" t="s">
        <v>11</v>
      </c>
      <c r="B1178" s="4">
        <v>539376</v>
      </c>
      <c r="C1178" s="3" t="s">
        <v>9</v>
      </c>
      <c r="D1178" s="18">
        <v>0.1</v>
      </c>
      <c r="E1178" s="21">
        <v>7.9741404289037643E-3</v>
      </c>
      <c r="F1178" s="5">
        <v>40428</v>
      </c>
      <c r="G1178" s="5">
        <v>41554</v>
      </c>
      <c r="H1178" s="16">
        <v>1126</v>
      </c>
      <c r="I1178" s="5">
        <v>41554</v>
      </c>
      <c r="J1178" s="5">
        <v>42264</v>
      </c>
      <c r="K1178" s="16">
        <v>1836</v>
      </c>
      <c r="L1178" s="13">
        <v>643.82000000000005</v>
      </c>
      <c r="M1178" s="15">
        <v>19.915892615791442</v>
      </c>
      <c r="N1178" s="13">
        <v>643.82000000000005</v>
      </c>
      <c r="O1178" s="13">
        <v>0</v>
      </c>
      <c r="P1178" s="11">
        <v>0</v>
      </c>
    </row>
    <row r="1179" spans="1:16" ht="15" thickBot="1" x14ac:dyDescent="0.3">
      <c r="A1179" s="3" t="s">
        <v>11</v>
      </c>
      <c r="B1179" s="4">
        <v>644677</v>
      </c>
      <c r="C1179" s="3" t="s">
        <v>9</v>
      </c>
      <c r="D1179" s="18">
        <v>0.1</v>
      </c>
      <c r="E1179" s="21">
        <v>7.9741404289037643E-3</v>
      </c>
      <c r="F1179" s="5">
        <v>40431</v>
      </c>
      <c r="G1179" s="5">
        <v>42287</v>
      </c>
      <c r="H1179" s="16">
        <v>1856</v>
      </c>
      <c r="I1179" s="5">
        <v>42287</v>
      </c>
      <c r="J1179" s="5">
        <v>41124</v>
      </c>
      <c r="K1179" s="16">
        <v>693</v>
      </c>
      <c r="L1179" s="13">
        <v>16861.509999999998</v>
      </c>
      <c r="M1179" s="15">
        <v>346.34289198362609</v>
      </c>
      <c r="N1179" s="13">
        <v>16861.509999999998</v>
      </c>
      <c r="O1179" s="13">
        <v>0</v>
      </c>
      <c r="P1179" s="11">
        <v>1</v>
      </c>
    </row>
    <row r="1180" spans="1:16" ht="15" thickBot="1" x14ac:dyDescent="0.3">
      <c r="A1180" s="3" t="s">
        <v>11</v>
      </c>
      <c r="B1180" s="4">
        <v>965716</v>
      </c>
      <c r="C1180" s="3" t="s">
        <v>9</v>
      </c>
      <c r="D1180" s="18">
        <v>0.09</v>
      </c>
      <c r="E1180" s="21">
        <v>7.2073233161367156E-3</v>
      </c>
      <c r="F1180" s="5">
        <v>40435</v>
      </c>
      <c r="G1180" s="5">
        <v>41622</v>
      </c>
      <c r="H1180" s="16">
        <v>1187</v>
      </c>
      <c r="I1180" s="5">
        <v>41622</v>
      </c>
      <c r="J1180" s="5">
        <v>41453</v>
      </c>
      <c r="K1180" s="16">
        <v>1018</v>
      </c>
      <c r="L1180" s="13">
        <v>44775.35</v>
      </c>
      <c r="M1180" s="15">
        <v>1304.7027790289144</v>
      </c>
      <c r="N1180" s="13">
        <v>44775.35</v>
      </c>
      <c r="O1180" s="13">
        <v>0</v>
      </c>
      <c r="P1180" s="11">
        <v>0</v>
      </c>
    </row>
    <row r="1181" spans="1:16" ht="15" thickBot="1" x14ac:dyDescent="0.3">
      <c r="A1181" s="3" t="s">
        <v>11</v>
      </c>
      <c r="B1181" s="4">
        <v>869733</v>
      </c>
      <c r="C1181" s="3" t="s">
        <v>9</v>
      </c>
      <c r="D1181" s="18">
        <v>0.1</v>
      </c>
      <c r="E1181" s="21">
        <v>7.9741404289037643E-3</v>
      </c>
      <c r="F1181" s="5">
        <v>40444</v>
      </c>
      <c r="G1181" s="5">
        <v>41570</v>
      </c>
      <c r="H1181" s="16">
        <v>1126</v>
      </c>
      <c r="I1181" s="5">
        <v>41570</v>
      </c>
      <c r="J1181" s="5">
        <v>41276</v>
      </c>
      <c r="K1181" s="16">
        <v>832</v>
      </c>
      <c r="L1181" s="13">
        <v>2203.89</v>
      </c>
      <c r="M1181" s="15">
        <v>68.175012545457733</v>
      </c>
      <c r="N1181" s="13">
        <v>2203.89</v>
      </c>
      <c r="O1181" s="13">
        <v>0</v>
      </c>
      <c r="P1181" s="11">
        <v>0</v>
      </c>
    </row>
    <row r="1182" spans="1:16" ht="15" thickBot="1" x14ac:dyDescent="0.3">
      <c r="A1182" s="3" t="s">
        <v>11</v>
      </c>
      <c r="B1182" s="4">
        <v>669154</v>
      </c>
      <c r="C1182" s="3" t="s">
        <v>19</v>
      </c>
      <c r="D1182" s="18">
        <v>0.1</v>
      </c>
      <c r="E1182" s="21">
        <v>7.9741404289037643E-3</v>
      </c>
      <c r="F1182" s="5">
        <v>40445</v>
      </c>
      <c r="G1182" s="5">
        <v>43367</v>
      </c>
      <c r="H1182" s="16">
        <v>2922</v>
      </c>
      <c r="I1182" s="5">
        <v>43367</v>
      </c>
      <c r="J1182" s="5">
        <v>43644</v>
      </c>
      <c r="K1182" s="16">
        <v>3199</v>
      </c>
      <c r="L1182" s="13">
        <v>1043.04</v>
      </c>
      <c r="M1182" s="15">
        <v>15.441062885662824</v>
      </c>
      <c r="N1182" s="13">
        <v>1043.04</v>
      </c>
      <c r="O1182" s="13">
        <v>459.38</v>
      </c>
      <c r="P1182" s="11">
        <v>1</v>
      </c>
    </row>
    <row r="1183" spans="1:16" ht="15" thickBot="1" x14ac:dyDescent="0.3">
      <c r="A1183" s="3" t="s">
        <v>11</v>
      </c>
      <c r="B1183" s="4">
        <v>933024</v>
      </c>
      <c r="C1183" s="3" t="s">
        <v>9</v>
      </c>
      <c r="D1183" s="18">
        <v>0.1</v>
      </c>
      <c r="E1183" s="21">
        <v>7.9741404289037643E-3</v>
      </c>
      <c r="F1183" s="5">
        <v>40455</v>
      </c>
      <c r="G1183" s="5">
        <v>42586</v>
      </c>
      <c r="H1183" s="16">
        <v>2131</v>
      </c>
      <c r="I1183" s="5">
        <v>42586</v>
      </c>
      <c r="J1183" s="5">
        <v>41115</v>
      </c>
      <c r="K1183" s="16">
        <v>660</v>
      </c>
      <c r="L1183" s="13">
        <v>14858.5</v>
      </c>
      <c r="M1183" s="15">
        <v>274.79244006724332</v>
      </c>
      <c r="N1183" s="13">
        <v>14858.5</v>
      </c>
      <c r="O1183" s="13">
        <v>0</v>
      </c>
      <c r="P1183" s="11">
        <v>1</v>
      </c>
    </row>
    <row r="1184" spans="1:16" ht="15" thickBot="1" x14ac:dyDescent="0.3">
      <c r="A1184" s="3" t="s">
        <v>11</v>
      </c>
      <c r="B1184" s="4">
        <v>181054</v>
      </c>
      <c r="C1184" s="3" t="s">
        <v>9</v>
      </c>
      <c r="D1184" s="18">
        <v>0.105</v>
      </c>
      <c r="E1184" s="21">
        <v>8.355155683635207E-3</v>
      </c>
      <c r="F1184" s="5">
        <v>40455</v>
      </c>
      <c r="G1184" s="5">
        <v>42678</v>
      </c>
      <c r="H1184" s="16">
        <v>2223</v>
      </c>
      <c r="I1184" s="5">
        <v>42678</v>
      </c>
      <c r="J1184" s="5">
        <v>41820</v>
      </c>
      <c r="K1184" s="16">
        <v>1365</v>
      </c>
      <c r="L1184" s="13">
        <v>5945.6</v>
      </c>
      <c r="M1184" s="15">
        <v>107.94674402793159</v>
      </c>
      <c r="N1184" s="13">
        <v>5945.6</v>
      </c>
      <c r="O1184" s="13">
        <v>0</v>
      </c>
      <c r="P1184" s="11">
        <v>1</v>
      </c>
    </row>
    <row r="1185" spans="1:16" ht="15" thickBot="1" x14ac:dyDescent="0.3">
      <c r="A1185" s="3" t="s">
        <v>11</v>
      </c>
      <c r="B1185" s="4">
        <v>921218</v>
      </c>
      <c r="C1185" s="3" t="s">
        <v>9</v>
      </c>
      <c r="D1185" s="18">
        <v>0.1</v>
      </c>
      <c r="E1185" s="21">
        <v>7.9741404289037643E-3</v>
      </c>
      <c r="F1185" s="5">
        <v>40456</v>
      </c>
      <c r="G1185" s="5">
        <v>41279</v>
      </c>
      <c r="H1185" s="16">
        <v>823</v>
      </c>
      <c r="I1185" s="5">
        <v>41279</v>
      </c>
      <c r="J1185" s="5">
        <v>40963</v>
      </c>
      <c r="K1185" s="16">
        <v>507</v>
      </c>
      <c r="L1185" s="13">
        <v>2479.98</v>
      </c>
      <c r="M1185" s="15">
        <v>101.0068454670986</v>
      </c>
      <c r="N1185" s="13">
        <v>2479.98</v>
      </c>
      <c r="O1185" s="13">
        <v>0</v>
      </c>
      <c r="P1185" s="11">
        <v>0</v>
      </c>
    </row>
    <row r="1186" spans="1:16" ht="15" thickBot="1" x14ac:dyDescent="0.3">
      <c r="A1186" s="3" t="s">
        <v>11</v>
      </c>
      <c r="B1186" s="4">
        <v>607805</v>
      </c>
      <c r="C1186" s="3" t="s">
        <v>9</v>
      </c>
      <c r="D1186" s="18">
        <v>0.1</v>
      </c>
      <c r="E1186" s="21">
        <v>7.9741404289037643E-3</v>
      </c>
      <c r="F1186" s="5">
        <v>40464</v>
      </c>
      <c r="G1186" s="5">
        <v>42290</v>
      </c>
      <c r="H1186" s="16">
        <v>1826</v>
      </c>
      <c r="I1186" s="5">
        <v>42290</v>
      </c>
      <c r="J1186" s="5">
        <v>41733</v>
      </c>
      <c r="K1186" s="16">
        <v>1269</v>
      </c>
      <c r="L1186" s="13">
        <v>15925</v>
      </c>
      <c r="M1186" s="15">
        <v>331.26939288430407</v>
      </c>
      <c r="N1186" s="13">
        <v>15925</v>
      </c>
      <c r="O1186" s="13">
        <v>0</v>
      </c>
      <c r="P1186" s="11">
        <v>1</v>
      </c>
    </row>
    <row r="1187" spans="1:16" ht="15" thickBot="1" x14ac:dyDescent="0.3">
      <c r="A1187" s="3" t="s">
        <v>11</v>
      </c>
      <c r="B1187" s="4">
        <v>600524</v>
      </c>
      <c r="C1187" s="3" t="s">
        <v>9</v>
      </c>
      <c r="D1187" s="18">
        <v>0.1</v>
      </c>
      <c r="E1187" s="21">
        <v>7.9741404289037643E-3</v>
      </c>
      <c r="F1187" s="5">
        <v>40485</v>
      </c>
      <c r="G1187" s="5">
        <v>41216</v>
      </c>
      <c r="H1187" s="16">
        <v>731</v>
      </c>
      <c r="I1187" s="5">
        <v>41216</v>
      </c>
      <c r="J1187" s="5">
        <v>41157</v>
      </c>
      <c r="K1187" s="16">
        <v>672</v>
      </c>
      <c r="L1187" s="13">
        <v>291.69</v>
      </c>
      <c r="M1187" s="15">
        <v>13.219005134685368</v>
      </c>
      <c r="N1187" s="13">
        <v>291.69</v>
      </c>
      <c r="O1187" s="13">
        <v>0</v>
      </c>
      <c r="P1187" s="11">
        <v>0</v>
      </c>
    </row>
    <row r="1188" spans="1:16" ht="15" thickBot="1" x14ac:dyDescent="0.3">
      <c r="A1188" s="3" t="s">
        <v>11</v>
      </c>
      <c r="B1188" s="4">
        <v>281664</v>
      </c>
      <c r="C1188" s="3" t="s">
        <v>9</v>
      </c>
      <c r="D1188" s="18">
        <v>0.1</v>
      </c>
      <c r="E1188" s="21">
        <v>7.9741404289037643E-3</v>
      </c>
      <c r="F1188" s="5">
        <v>40508</v>
      </c>
      <c r="G1188" s="5">
        <v>42592</v>
      </c>
      <c r="H1188" s="16">
        <v>2084</v>
      </c>
      <c r="I1188" s="5">
        <v>42592</v>
      </c>
      <c r="J1188" s="5">
        <v>43056</v>
      </c>
      <c r="K1188" s="16">
        <v>2548</v>
      </c>
      <c r="L1188" s="13">
        <v>9133.9599999999991</v>
      </c>
      <c r="M1188" s="15">
        <v>171.76022737963888</v>
      </c>
      <c r="N1188" s="13">
        <v>9133.9599999999991</v>
      </c>
      <c r="O1188" s="13">
        <v>0</v>
      </c>
      <c r="P1188" s="11">
        <v>1</v>
      </c>
    </row>
    <row r="1189" spans="1:16" ht="15" thickBot="1" x14ac:dyDescent="0.3">
      <c r="A1189" s="3" t="s">
        <v>11</v>
      </c>
      <c r="B1189" s="4">
        <v>918149</v>
      </c>
      <c r="C1189" s="3" t="s">
        <v>9</v>
      </c>
      <c r="D1189" s="18">
        <v>0.09</v>
      </c>
      <c r="E1189" s="21">
        <v>7.2073233161367156E-3</v>
      </c>
      <c r="F1189" s="5">
        <v>40543</v>
      </c>
      <c r="G1189" s="5">
        <v>41364</v>
      </c>
      <c r="H1189" s="16">
        <v>821</v>
      </c>
      <c r="I1189" s="5">
        <v>41364</v>
      </c>
      <c r="J1189" s="5">
        <v>40989</v>
      </c>
      <c r="K1189" s="16">
        <v>446</v>
      </c>
      <c r="L1189" s="13">
        <v>5000</v>
      </c>
      <c r="M1189" s="15">
        <v>201.96976237336608</v>
      </c>
      <c r="N1189" s="13">
        <v>5000</v>
      </c>
      <c r="O1189" s="13">
        <v>0</v>
      </c>
      <c r="P1189" s="11">
        <v>0</v>
      </c>
    </row>
    <row r="1190" spans="1:16" ht="15" thickBot="1" x14ac:dyDescent="0.3">
      <c r="A1190" s="3" t="s">
        <v>11</v>
      </c>
      <c r="B1190" s="4">
        <v>566867</v>
      </c>
      <c r="C1190" s="3" t="s">
        <v>9</v>
      </c>
      <c r="D1190" s="18">
        <v>9.5000000000000001E-2</v>
      </c>
      <c r="E1190" s="21">
        <v>7.5915342905825689E-3</v>
      </c>
      <c r="F1190" s="5">
        <v>40546</v>
      </c>
      <c r="G1190" s="5">
        <v>41642</v>
      </c>
      <c r="H1190" s="16">
        <v>1096</v>
      </c>
      <c r="I1190" s="5">
        <v>41642</v>
      </c>
      <c r="J1190" s="5">
        <v>41074</v>
      </c>
      <c r="K1190" s="16">
        <v>528</v>
      </c>
      <c r="L1190" s="13">
        <v>5237.3900000000003</v>
      </c>
      <c r="M1190" s="15">
        <v>164.69689664554488</v>
      </c>
      <c r="N1190" s="13">
        <v>5237.3900000000003</v>
      </c>
      <c r="O1190" s="13">
        <v>0</v>
      </c>
      <c r="P1190" s="11">
        <v>0</v>
      </c>
    </row>
    <row r="1191" spans="1:16" ht="15" thickBot="1" x14ac:dyDescent="0.3">
      <c r="A1191" s="3" t="s">
        <v>11</v>
      </c>
      <c r="B1191" s="4">
        <v>339215</v>
      </c>
      <c r="C1191" s="3" t="s">
        <v>9</v>
      </c>
      <c r="D1191" s="18">
        <v>9.5000000000000001E-2</v>
      </c>
      <c r="E1191" s="21">
        <v>7.5915342905825689E-3</v>
      </c>
      <c r="F1191" s="5">
        <v>40554</v>
      </c>
      <c r="G1191" s="5">
        <v>40735</v>
      </c>
      <c r="H1191" s="16">
        <v>181</v>
      </c>
      <c r="I1191" s="5">
        <v>40735</v>
      </c>
      <c r="J1191" s="5">
        <v>41124</v>
      </c>
      <c r="K1191" s="16">
        <v>570</v>
      </c>
      <c r="L1191" s="13">
        <v>20000</v>
      </c>
      <c r="M1191" s="15">
        <v>3403.9765703678995</v>
      </c>
      <c r="N1191" s="13">
        <v>20000</v>
      </c>
      <c r="O1191" s="13">
        <v>0</v>
      </c>
      <c r="P1191" s="11">
        <v>0</v>
      </c>
    </row>
    <row r="1192" spans="1:16" ht="15" thickBot="1" x14ac:dyDescent="0.3">
      <c r="A1192" s="3" t="s">
        <v>11</v>
      </c>
      <c r="B1192" s="4">
        <v>108314</v>
      </c>
      <c r="C1192" s="3" t="s">
        <v>9</v>
      </c>
      <c r="D1192" s="18">
        <v>0.1</v>
      </c>
      <c r="E1192" s="21">
        <v>7.9741404289037643E-3</v>
      </c>
      <c r="F1192" s="5">
        <v>40567</v>
      </c>
      <c r="G1192" s="5">
        <v>43002</v>
      </c>
      <c r="H1192" s="16">
        <v>2435</v>
      </c>
      <c r="I1192" s="5">
        <v>43002</v>
      </c>
      <c r="J1192" s="5">
        <v>41799</v>
      </c>
      <c r="K1192" s="16">
        <v>1232</v>
      </c>
      <c r="L1192" s="13">
        <v>6066.56</v>
      </c>
      <c r="M1192" s="15">
        <v>101.80844330706184</v>
      </c>
      <c r="N1192" s="13">
        <v>6066.56</v>
      </c>
      <c r="O1192" s="13">
        <v>0</v>
      </c>
      <c r="P1192" s="11">
        <v>1</v>
      </c>
    </row>
    <row r="1193" spans="1:16" ht="15" thickBot="1" x14ac:dyDescent="0.3">
      <c r="A1193" s="3" t="s">
        <v>11</v>
      </c>
      <c r="B1193" s="4">
        <v>282922</v>
      </c>
      <c r="C1193" s="3" t="s">
        <v>9</v>
      </c>
      <c r="D1193" s="18">
        <v>0.1</v>
      </c>
      <c r="E1193" s="21">
        <v>7.9741404289037643E-3</v>
      </c>
      <c r="F1193" s="5">
        <v>40590</v>
      </c>
      <c r="G1193" s="5">
        <v>41959</v>
      </c>
      <c r="H1193" s="16">
        <v>1369</v>
      </c>
      <c r="I1193" s="5">
        <v>41959</v>
      </c>
      <c r="J1193" s="5">
        <v>41345</v>
      </c>
      <c r="K1193" s="16">
        <v>755</v>
      </c>
      <c r="L1193" s="13">
        <v>4878.29</v>
      </c>
      <c r="M1193" s="15">
        <v>127.95000664480993</v>
      </c>
      <c r="N1193" s="13">
        <v>4878.29</v>
      </c>
      <c r="O1193" s="13">
        <v>0</v>
      </c>
      <c r="P1193" s="11">
        <v>0</v>
      </c>
    </row>
    <row r="1194" spans="1:16" ht="15" thickBot="1" x14ac:dyDescent="0.3">
      <c r="A1194" s="3" t="s">
        <v>11</v>
      </c>
      <c r="B1194" s="4">
        <v>313541</v>
      </c>
      <c r="C1194" s="3" t="s">
        <v>9</v>
      </c>
      <c r="D1194" s="18">
        <v>0.1</v>
      </c>
      <c r="E1194" s="21">
        <v>7.9741404289037643E-3</v>
      </c>
      <c r="F1194" s="5">
        <v>40599</v>
      </c>
      <c r="G1194" s="5">
        <v>42241</v>
      </c>
      <c r="H1194" s="16">
        <v>1642</v>
      </c>
      <c r="I1194" s="5">
        <v>42241</v>
      </c>
      <c r="J1194" s="5">
        <v>42110</v>
      </c>
      <c r="K1194" s="16">
        <v>1511</v>
      </c>
      <c r="L1194" s="13">
        <v>3406.82</v>
      </c>
      <c r="M1194" s="15">
        <v>77.056109041284103</v>
      </c>
      <c r="N1194" s="13">
        <v>3406.82</v>
      </c>
      <c r="O1194" s="13">
        <v>0</v>
      </c>
      <c r="P1194" s="11">
        <v>1</v>
      </c>
    </row>
    <row r="1195" spans="1:16" ht="15" thickBot="1" x14ac:dyDescent="0.3">
      <c r="A1195" s="3" t="s">
        <v>11</v>
      </c>
      <c r="B1195" s="4">
        <v>546329</v>
      </c>
      <c r="C1195" s="3" t="s">
        <v>9</v>
      </c>
      <c r="D1195" s="18">
        <v>0.1</v>
      </c>
      <c r="E1195" s="21">
        <v>7.9741404289037643E-3</v>
      </c>
      <c r="F1195" s="5">
        <v>40604</v>
      </c>
      <c r="G1195" s="5">
        <v>42126</v>
      </c>
      <c r="H1195" s="16">
        <v>1522</v>
      </c>
      <c r="I1195" s="5">
        <v>42126</v>
      </c>
      <c r="J1195" s="5">
        <v>41276</v>
      </c>
      <c r="K1195" s="16">
        <v>672</v>
      </c>
      <c r="L1195" s="13">
        <v>4819.99</v>
      </c>
      <c r="M1195" s="15">
        <v>115.88945363719763</v>
      </c>
      <c r="N1195" s="13">
        <v>4819.99</v>
      </c>
      <c r="O1195" s="13">
        <v>0</v>
      </c>
      <c r="P1195" s="11">
        <v>1</v>
      </c>
    </row>
    <row r="1196" spans="1:16" ht="15" thickBot="1" x14ac:dyDescent="0.3">
      <c r="A1196" s="3" t="s">
        <v>11</v>
      </c>
      <c r="B1196" s="4">
        <v>999441</v>
      </c>
      <c r="C1196" s="3" t="s">
        <v>9</v>
      </c>
      <c r="D1196" s="18">
        <v>0.105</v>
      </c>
      <c r="E1196" s="21">
        <v>8.355155683635207E-3</v>
      </c>
      <c r="F1196" s="5">
        <v>40617</v>
      </c>
      <c r="G1196" s="5">
        <v>41348</v>
      </c>
      <c r="H1196" s="16">
        <v>731</v>
      </c>
      <c r="I1196" s="5">
        <v>41348</v>
      </c>
      <c r="J1196" s="5">
        <v>41059</v>
      </c>
      <c r="K1196" s="16">
        <v>442</v>
      </c>
      <c r="L1196" s="13">
        <v>7799.33</v>
      </c>
      <c r="M1196" s="15">
        <v>355.09977450057022</v>
      </c>
      <c r="N1196" s="13">
        <v>7799.33</v>
      </c>
      <c r="O1196" s="13">
        <v>0</v>
      </c>
      <c r="P1196" s="11">
        <v>0</v>
      </c>
    </row>
    <row r="1197" spans="1:16" ht="15" thickBot="1" x14ac:dyDescent="0.3">
      <c r="A1197" s="3" t="s">
        <v>11</v>
      </c>
      <c r="B1197" s="4">
        <v>138249</v>
      </c>
      <c r="C1197" s="3" t="s">
        <v>9</v>
      </c>
      <c r="D1197" s="18">
        <v>0.11</v>
      </c>
      <c r="E1197" s="21">
        <v>8.7345938235519061E-3</v>
      </c>
      <c r="F1197" s="5">
        <v>40625</v>
      </c>
      <c r="G1197" s="5">
        <v>41843</v>
      </c>
      <c r="H1197" s="16">
        <v>1218</v>
      </c>
      <c r="I1197" s="5">
        <v>41843</v>
      </c>
      <c r="J1197" s="5">
        <v>43525</v>
      </c>
      <c r="K1197" s="16">
        <v>2900</v>
      </c>
      <c r="L1197" s="13">
        <v>922.65</v>
      </c>
      <c r="M1197" s="15">
        <v>27.090594308558618</v>
      </c>
      <c r="N1197" s="13">
        <v>871.83</v>
      </c>
      <c r="O1197" s="13">
        <v>0</v>
      </c>
      <c r="P1197" s="11">
        <v>0</v>
      </c>
    </row>
    <row r="1198" spans="1:16" ht="15" thickBot="1" x14ac:dyDescent="0.3">
      <c r="A1198" s="3" t="s">
        <v>11</v>
      </c>
      <c r="B1198" s="4">
        <v>616835</v>
      </c>
      <c r="C1198" s="3" t="s">
        <v>9</v>
      </c>
      <c r="D1198" s="18">
        <v>9.5000000000000001E-2</v>
      </c>
      <c r="E1198" s="21">
        <v>7.5915342905825689E-3</v>
      </c>
      <c r="F1198" s="5">
        <v>40639</v>
      </c>
      <c r="G1198" s="5">
        <v>43257</v>
      </c>
      <c r="H1198" s="16">
        <v>2618</v>
      </c>
      <c r="I1198" s="5">
        <v>43257</v>
      </c>
      <c r="J1198" s="5">
        <v>42954</v>
      </c>
      <c r="K1198" s="16">
        <v>2315</v>
      </c>
      <c r="L1198" s="13">
        <v>3408.71</v>
      </c>
      <c r="M1198" s="15">
        <v>53.560593465841926</v>
      </c>
      <c r="N1198" s="13">
        <v>3408.71</v>
      </c>
      <c r="O1198" s="13">
        <v>0</v>
      </c>
      <c r="P1198" s="11">
        <v>1</v>
      </c>
    </row>
    <row r="1199" spans="1:16" ht="15" thickBot="1" x14ac:dyDescent="0.3">
      <c r="A1199" s="3" t="s">
        <v>11</v>
      </c>
      <c r="B1199" s="4">
        <v>497284</v>
      </c>
      <c r="C1199" s="3" t="s">
        <v>9</v>
      </c>
      <c r="D1199" s="18">
        <v>0.1</v>
      </c>
      <c r="E1199" s="21">
        <v>7.9741404289037643E-3</v>
      </c>
      <c r="F1199" s="5">
        <v>40660</v>
      </c>
      <c r="G1199" s="5">
        <v>41939</v>
      </c>
      <c r="H1199" s="16">
        <v>1279</v>
      </c>
      <c r="I1199" s="5">
        <v>41939</v>
      </c>
      <c r="J1199" s="5">
        <v>40973</v>
      </c>
      <c r="K1199" s="16">
        <v>313</v>
      </c>
      <c r="L1199" s="13">
        <v>9038.52</v>
      </c>
      <c r="M1199" s="15">
        <v>250.91723915735733</v>
      </c>
      <c r="N1199" s="13">
        <v>9038.52</v>
      </c>
      <c r="O1199" s="13">
        <v>0</v>
      </c>
      <c r="P1199" s="11">
        <v>0</v>
      </c>
    </row>
    <row r="1200" spans="1:16" ht="15" thickBot="1" x14ac:dyDescent="0.3">
      <c r="A1200" s="3" t="s">
        <v>11</v>
      </c>
      <c r="B1200" s="4">
        <v>52204</v>
      </c>
      <c r="C1200" s="3" t="s">
        <v>9</v>
      </c>
      <c r="D1200" s="18">
        <v>0.1</v>
      </c>
      <c r="E1200" s="21">
        <v>7.9741404289037643E-3</v>
      </c>
      <c r="F1200" s="5">
        <v>40668</v>
      </c>
      <c r="G1200" s="5">
        <v>42860</v>
      </c>
      <c r="H1200" s="16">
        <v>2192</v>
      </c>
      <c r="I1200" s="5">
        <v>42860</v>
      </c>
      <c r="J1200" s="5">
        <v>42643</v>
      </c>
      <c r="K1200" s="16">
        <v>1975</v>
      </c>
      <c r="L1200" s="13">
        <v>5000</v>
      </c>
      <c r="M1200" s="15">
        <v>90.555938255321465</v>
      </c>
      <c r="N1200" s="13">
        <v>5000</v>
      </c>
      <c r="O1200" s="13">
        <v>0</v>
      </c>
      <c r="P1200" s="11">
        <v>1</v>
      </c>
    </row>
    <row r="1201" spans="1:16" ht="15" thickBot="1" x14ac:dyDescent="0.3">
      <c r="A1201" s="3" t="s">
        <v>11</v>
      </c>
      <c r="B1201" s="4">
        <v>868069</v>
      </c>
      <c r="C1201" s="3" t="s">
        <v>9</v>
      </c>
      <c r="D1201" s="18">
        <v>0.12</v>
      </c>
      <c r="E1201" s="21">
        <v>9.4887929345830457E-3</v>
      </c>
      <c r="F1201" s="5">
        <v>40676</v>
      </c>
      <c r="G1201" s="5">
        <v>42868</v>
      </c>
      <c r="H1201" s="16">
        <v>2192</v>
      </c>
      <c r="I1201" s="5">
        <v>42868</v>
      </c>
      <c r="J1201" s="5">
        <v>42291</v>
      </c>
      <c r="K1201" s="16">
        <v>1615</v>
      </c>
      <c r="L1201" s="13">
        <v>2149.87</v>
      </c>
      <c r="M1201" s="15">
        <v>40.926469237512642</v>
      </c>
      <c r="N1201" s="13">
        <v>2149.87</v>
      </c>
      <c r="O1201" s="13">
        <v>0</v>
      </c>
      <c r="P1201" s="11">
        <v>1</v>
      </c>
    </row>
    <row r="1202" spans="1:16" ht="15" thickBot="1" x14ac:dyDescent="0.3">
      <c r="A1202" s="3" t="s">
        <v>11</v>
      </c>
      <c r="B1202" s="4">
        <v>348821</v>
      </c>
      <c r="C1202" s="3" t="s">
        <v>9</v>
      </c>
      <c r="D1202" s="18">
        <v>0.09</v>
      </c>
      <c r="E1202" s="21">
        <v>7.2073233161367156E-3</v>
      </c>
      <c r="F1202" s="5">
        <v>40689</v>
      </c>
      <c r="G1202" s="5">
        <v>42730</v>
      </c>
      <c r="H1202" s="16">
        <v>2041</v>
      </c>
      <c r="I1202" s="5">
        <v>42730</v>
      </c>
      <c r="J1202" s="5">
        <v>41768</v>
      </c>
      <c r="K1202" s="16">
        <v>1079</v>
      </c>
      <c r="L1202" s="13">
        <v>11373.9</v>
      </c>
      <c r="M1202" s="15">
        <v>212.09513604411251</v>
      </c>
      <c r="N1202" s="13">
        <v>11373.9</v>
      </c>
      <c r="O1202" s="13">
        <v>0</v>
      </c>
      <c r="P1202" s="11">
        <v>1</v>
      </c>
    </row>
    <row r="1203" spans="1:16" ht="15" thickBot="1" x14ac:dyDescent="0.3">
      <c r="A1203" s="3" t="s">
        <v>11</v>
      </c>
      <c r="B1203" s="4">
        <v>960034</v>
      </c>
      <c r="C1203" s="3" t="s">
        <v>9</v>
      </c>
      <c r="D1203" s="18">
        <v>0.09</v>
      </c>
      <c r="E1203" s="21">
        <v>7.2073233161367156E-3</v>
      </c>
      <c r="F1203" s="5">
        <v>40694</v>
      </c>
      <c r="G1203" s="5">
        <v>41425</v>
      </c>
      <c r="H1203" s="16">
        <v>731</v>
      </c>
      <c r="I1203" s="5">
        <v>41425</v>
      </c>
      <c r="J1203" s="5">
        <v>41082</v>
      </c>
      <c r="K1203" s="16">
        <v>388</v>
      </c>
      <c r="L1203" s="13">
        <v>15000</v>
      </c>
      <c r="M1203" s="15">
        <v>673.44143654533536</v>
      </c>
      <c r="N1203" s="13">
        <v>15000</v>
      </c>
      <c r="O1203" s="13">
        <v>0</v>
      </c>
      <c r="P1203" s="11">
        <v>0</v>
      </c>
    </row>
    <row r="1204" spans="1:16" ht="15" thickBot="1" x14ac:dyDescent="0.3">
      <c r="A1204" s="3" t="s">
        <v>11</v>
      </c>
      <c r="B1204" s="4">
        <v>354032</v>
      </c>
      <c r="C1204" s="3" t="s">
        <v>9</v>
      </c>
      <c r="D1204" s="18">
        <v>0.1</v>
      </c>
      <c r="E1204" s="21">
        <v>7.9741404289037643E-3</v>
      </c>
      <c r="F1204" s="5">
        <v>40700</v>
      </c>
      <c r="G1204" s="5">
        <v>42358</v>
      </c>
      <c r="H1204" s="16">
        <v>1658</v>
      </c>
      <c r="I1204" s="5">
        <v>42358</v>
      </c>
      <c r="J1204" s="5">
        <v>42108</v>
      </c>
      <c r="K1204" s="16">
        <v>1408</v>
      </c>
      <c r="L1204" s="13">
        <v>6597.21</v>
      </c>
      <c r="M1204" s="15">
        <v>148.0675539407988</v>
      </c>
      <c r="N1204" s="13">
        <v>6597.21</v>
      </c>
      <c r="O1204" s="13">
        <v>0</v>
      </c>
      <c r="P1204" s="11">
        <v>1</v>
      </c>
    </row>
    <row r="1205" spans="1:16" ht="15" thickBot="1" x14ac:dyDescent="0.3">
      <c r="A1205" s="3" t="s">
        <v>11</v>
      </c>
      <c r="B1205" s="4">
        <v>172363</v>
      </c>
      <c r="C1205" s="3" t="s">
        <v>9</v>
      </c>
      <c r="D1205" s="18">
        <v>0.1</v>
      </c>
      <c r="E1205" s="21">
        <v>7.9741404289037643E-3</v>
      </c>
      <c r="F1205" s="5">
        <v>40700</v>
      </c>
      <c r="G1205" s="5">
        <v>41107</v>
      </c>
      <c r="H1205" s="16">
        <v>407</v>
      </c>
      <c r="I1205" s="5">
        <v>41107</v>
      </c>
      <c r="J1205" s="5">
        <v>41136</v>
      </c>
      <c r="K1205" s="16">
        <v>436</v>
      </c>
      <c r="L1205" s="13">
        <v>3281.49</v>
      </c>
      <c r="M1205" s="15">
        <v>256.16043272959689</v>
      </c>
      <c r="N1205" s="13">
        <v>3281.49</v>
      </c>
      <c r="O1205" s="13">
        <v>0</v>
      </c>
      <c r="P1205" s="11">
        <v>0</v>
      </c>
    </row>
    <row r="1206" spans="1:16" ht="15" thickBot="1" x14ac:dyDescent="0.3">
      <c r="A1206" s="3" t="s">
        <v>11</v>
      </c>
      <c r="B1206" s="4">
        <v>960908</v>
      </c>
      <c r="C1206" s="3" t="s">
        <v>9</v>
      </c>
      <c r="D1206" s="18">
        <v>0.1</v>
      </c>
      <c r="E1206" s="21">
        <v>7.9741404289037643E-3</v>
      </c>
      <c r="F1206" s="5">
        <v>40700</v>
      </c>
      <c r="G1206" s="5">
        <v>41888</v>
      </c>
      <c r="H1206" s="16">
        <v>1188</v>
      </c>
      <c r="I1206" s="5">
        <v>41888</v>
      </c>
      <c r="J1206" s="5">
        <v>41276</v>
      </c>
      <c r="K1206" s="16">
        <v>576</v>
      </c>
      <c r="L1206" s="13">
        <v>1604.22</v>
      </c>
      <c r="M1206" s="15">
        <v>47.402786523347764</v>
      </c>
      <c r="N1206" s="13">
        <v>1604.22</v>
      </c>
      <c r="O1206" s="13">
        <v>0</v>
      </c>
      <c r="P1206" s="11">
        <v>0</v>
      </c>
    </row>
    <row r="1207" spans="1:16" ht="15" thickBot="1" x14ac:dyDescent="0.3">
      <c r="A1207" s="3" t="s">
        <v>11</v>
      </c>
      <c r="B1207" s="4">
        <v>621894</v>
      </c>
      <c r="C1207" s="3" t="s">
        <v>9</v>
      </c>
      <c r="D1207" s="18">
        <v>0.1</v>
      </c>
      <c r="E1207" s="21">
        <v>7.9741404289037643E-3</v>
      </c>
      <c r="F1207" s="5">
        <v>40701</v>
      </c>
      <c r="G1207" s="5">
        <v>42170</v>
      </c>
      <c r="H1207" s="16">
        <v>1469</v>
      </c>
      <c r="I1207" s="5">
        <v>42170</v>
      </c>
      <c r="J1207" s="5">
        <v>41124</v>
      </c>
      <c r="K1207" s="16">
        <v>423</v>
      </c>
      <c r="L1207" s="13">
        <v>6632.4</v>
      </c>
      <c r="M1207" s="15">
        <v>164.14018799097045</v>
      </c>
      <c r="N1207" s="13">
        <v>6632.4</v>
      </c>
      <c r="O1207" s="13">
        <v>0</v>
      </c>
      <c r="P1207" s="11">
        <v>1</v>
      </c>
    </row>
    <row r="1208" spans="1:16" ht="15" thickBot="1" x14ac:dyDescent="0.3">
      <c r="A1208" s="3" t="s">
        <v>11</v>
      </c>
      <c r="B1208" s="4">
        <v>488275</v>
      </c>
      <c r="C1208" s="3" t="s">
        <v>9</v>
      </c>
      <c r="D1208" s="18">
        <v>0.1</v>
      </c>
      <c r="E1208" s="21">
        <v>7.9741404289037643E-3</v>
      </c>
      <c r="F1208" s="5">
        <v>40702</v>
      </c>
      <c r="G1208" s="5">
        <v>42529</v>
      </c>
      <c r="H1208" s="16">
        <v>1827</v>
      </c>
      <c r="I1208" s="5">
        <v>42529</v>
      </c>
      <c r="J1208" s="5">
        <v>41680</v>
      </c>
      <c r="K1208" s="16">
        <v>978</v>
      </c>
      <c r="L1208" s="13">
        <v>8439.7999999999993</v>
      </c>
      <c r="M1208" s="15">
        <v>175.48868764982078</v>
      </c>
      <c r="N1208" s="13">
        <v>8439.7999999999993</v>
      </c>
      <c r="O1208" s="13">
        <v>0</v>
      </c>
      <c r="P1208" s="11">
        <v>1</v>
      </c>
    </row>
    <row r="1209" spans="1:16" ht="15" thickBot="1" x14ac:dyDescent="0.3">
      <c r="A1209" s="3" t="s">
        <v>11</v>
      </c>
      <c r="B1209" s="4">
        <v>880581</v>
      </c>
      <c r="C1209" s="3" t="s">
        <v>9</v>
      </c>
      <c r="D1209" s="18">
        <v>0.11</v>
      </c>
      <c r="E1209" s="21">
        <v>8.7345938235519061E-3</v>
      </c>
      <c r="F1209" s="5">
        <v>40714</v>
      </c>
      <c r="G1209" s="5">
        <v>41445</v>
      </c>
      <c r="H1209" s="16">
        <v>731</v>
      </c>
      <c r="I1209" s="5">
        <v>41445</v>
      </c>
      <c r="J1209" s="5">
        <v>43595</v>
      </c>
      <c r="K1209" s="16">
        <v>2881</v>
      </c>
      <c r="L1209" s="13">
        <v>1897.12</v>
      </c>
      <c r="M1209" s="15">
        <v>86.774402931677287</v>
      </c>
      <c r="N1209" s="13">
        <v>1768.62</v>
      </c>
      <c r="O1209" s="13">
        <v>0</v>
      </c>
      <c r="P1209" s="11">
        <v>0</v>
      </c>
    </row>
    <row r="1210" spans="1:16" ht="15" thickBot="1" x14ac:dyDescent="0.3">
      <c r="A1210" s="3" t="s">
        <v>11</v>
      </c>
      <c r="B1210" s="4">
        <v>905914</v>
      </c>
      <c r="C1210" s="3" t="s">
        <v>9</v>
      </c>
      <c r="D1210" s="18">
        <v>0.1</v>
      </c>
      <c r="E1210" s="21">
        <v>7.9741404289037643E-3</v>
      </c>
      <c r="F1210" s="5">
        <v>40746</v>
      </c>
      <c r="G1210" s="5">
        <v>43091</v>
      </c>
      <c r="H1210" s="16">
        <v>2345</v>
      </c>
      <c r="I1210" s="5">
        <v>43091</v>
      </c>
      <c r="J1210" s="5">
        <v>41764</v>
      </c>
      <c r="K1210" s="16">
        <v>1018</v>
      </c>
      <c r="L1210" s="13">
        <v>862.27</v>
      </c>
      <c r="M1210" s="15">
        <v>14.866497242080609</v>
      </c>
      <c r="N1210" s="13">
        <v>862.27</v>
      </c>
      <c r="O1210" s="13">
        <v>0</v>
      </c>
      <c r="P1210" s="11">
        <v>1</v>
      </c>
    </row>
    <row r="1211" spans="1:16" ht="15" thickBot="1" x14ac:dyDescent="0.3">
      <c r="A1211" s="3" t="s">
        <v>11</v>
      </c>
      <c r="B1211" s="4">
        <v>816468</v>
      </c>
      <c r="C1211" s="3" t="s">
        <v>9</v>
      </c>
      <c r="D1211" s="18">
        <v>0.1</v>
      </c>
      <c r="E1211" s="21">
        <v>7.9741404289037643E-3</v>
      </c>
      <c r="F1211" s="5">
        <v>40780</v>
      </c>
      <c r="G1211" s="5">
        <v>42699</v>
      </c>
      <c r="H1211" s="16">
        <v>1919</v>
      </c>
      <c r="I1211" s="5">
        <v>42699</v>
      </c>
      <c r="J1211" s="5">
        <v>42516</v>
      </c>
      <c r="K1211" s="16">
        <v>1736</v>
      </c>
      <c r="L1211" s="13">
        <v>2259.2399999999998</v>
      </c>
      <c r="M1211" s="15">
        <v>45.226880977797457</v>
      </c>
      <c r="N1211" s="13">
        <v>2259.2399999999998</v>
      </c>
      <c r="O1211" s="13">
        <v>0</v>
      </c>
      <c r="P1211" s="11">
        <v>1</v>
      </c>
    </row>
    <row r="1212" spans="1:16" ht="15" thickBot="1" x14ac:dyDescent="0.3">
      <c r="A1212" s="3" t="s">
        <v>11</v>
      </c>
      <c r="B1212" s="4">
        <v>966984</v>
      </c>
      <c r="C1212" s="3" t="s">
        <v>9</v>
      </c>
      <c r="D1212" s="18">
        <v>0.1</v>
      </c>
      <c r="E1212" s="21">
        <v>7.9741404289037643E-3</v>
      </c>
      <c r="F1212" s="5">
        <v>40786</v>
      </c>
      <c r="G1212" s="5">
        <v>41729</v>
      </c>
      <c r="H1212" s="16">
        <v>943</v>
      </c>
      <c r="I1212" s="5">
        <v>41729</v>
      </c>
      <c r="J1212" s="5">
        <v>41638</v>
      </c>
      <c r="K1212" s="16">
        <v>852</v>
      </c>
      <c r="L1212" s="13">
        <v>10000</v>
      </c>
      <c r="M1212" s="15">
        <v>360.92835742778982</v>
      </c>
      <c r="N1212" s="13">
        <v>10000</v>
      </c>
      <c r="O1212" s="13">
        <v>0</v>
      </c>
      <c r="P1212" s="11">
        <v>0</v>
      </c>
    </row>
    <row r="1213" spans="1:16" ht="15" thickBot="1" x14ac:dyDescent="0.3">
      <c r="A1213" s="3" t="s">
        <v>11</v>
      </c>
      <c r="B1213" s="4">
        <v>409770</v>
      </c>
      <c r="C1213" s="3" t="s">
        <v>9</v>
      </c>
      <c r="D1213" s="18">
        <v>0.1</v>
      </c>
      <c r="E1213" s="21">
        <v>7.9741404289037643E-3</v>
      </c>
      <c r="F1213" s="5">
        <v>40787</v>
      </c>
      <c r="G1213" s="5">
        <v>41913</v>
      </c>
      <c r="H1213" s="16">
        <v>1126</v>
      </c>
      <c r="I1213" s="5">
        <v>41913</v>
      </c>
      <c r="J1213" s="5">
        <v>42949</v>
      </c>
      <c r="K1213" s="16">
        <v>2162</v>
      </c>
      <c r="L1213" s="13">
        <v>7579.94</v>
      </c>
      <c r="M1213" s="15">
        <v>234.47744878093593</v>
      </c>
      <c r="N1213" s="13">
        <v>7579.94</v>
      </c>
      <c r="O1213" s="13">
        <v>0</v>
      </c>
      <c r="P1213" s="11">
        <v>0</v>
      </c>
    </row>
    <row r="1214" spans="1:16" ht="15" thickBot="1" x14ac:dyDescent="0.3">
      <c r="A1214" s="3" t="s">
        <v>11</v>
      </c>
      <c r="B1214" s="4">
        <v>548212</v>
      </c>
      <c r="C1214" s="3" t="s">
        <v>9</v>
      </c>
      <c r="D1214" s="18">
        <v>9.5000000000000001E-2</v>
      </c>
      <c r="E1214" s="21">
        <v>7.5915342905825689E-3</v>
      </c>
      <c r="F1214" s="5">
        <v>40793</v>
      </c>
      <c r="G1214" s="5">
        <v>43197</v>
      </c>
      <c r="H1214" s="16">
        <v>2404</v>
      </c>
      <c r="I1214" s="5">
        <v>43197</v>
      </c>
      <c r="J1214" s="5">
        <v>43496</v>
      </c>
      <c r="K1214" s="16">
        <v>2703</v>
      </c>
      <c r="L1214" s="13">
        <v>15718.07</v>
      </c>
      <c r="M1214" s="15">
        <v>262.54436999924866</v>
      </c>
      <c r="N1214" s="13">
        <v>15718.07</v>
      </c>
      <c r="O1214" s="13">
        <v>0</v>
      </c>
      <c r="P1214" s="11">
        <v>1</v>
      </c>
    </row>
    <row r="1215" spans="1:16" ht="15" thickBot="1" x14ac:dyDescent="0.3">
      <c r="A1215" s="3" t="s">
        <v>11</v>
      </c>
      <c r="B1215" s="4">
        <v>813670</v>
      </c>
      <c r="C1215" s="3" t="s">
        <v>9</v>
      </c>
      <c r="D1215" s="18">
        <v>0.1</v>
      </c>
      <c r="E1215" s="21">
        <v>7.9741404289037643E-3</v>
      </c>
      <c r="F1215" s="5">
        <v>40806</v>
      </c>
      <c r="G1215" s="5">
        <v>42449</v>
      </c>
      <c r="H1215" s="16">
        <v>1643</v>
      </c>
      <c r="I1215" s="5">
        <v>42449</v>
      </c>
      <c r="J1215" s="5">
        <v>41638</v>
      </c>
      <c r="K1215" s="16">
        <v>832</v>
      </c>
      <c r="L1215" s="13">
        <v>19201.82</v>
      </c>
      <c r="M1215" s="15">
        <v>434.09942166195714</v>
      </c>
      <c r="N1215" s="13">
        <v>19201.82</v>
      </c>
      <c r="O1215" s="13">
        <v>0</v>
      </c>
      <c r="P1215" s="11">
        <v>1</v>
      </c>
    </row>
    <row r="1216" spans="1:16" ht="15" thickBot="1" x14ac:dyDescent="0.3">
      <c r="A1216" s="3" t="s">
        <v>11</v>
      </c>
      <c r="B1216" s="4">
        <v>418192</v>
      </c>
      <c r="C1216" s="3" t="s">
        <v>9</v>
      </c>
      <c r="D1216" s="18">
        <v>0.1</v>
      </c>
      <c r="E1216" s="21">
        <v>7.9741404289037643E-3</v>
      </c>
      <c r="F1216" s="5">
        <v>40816</v>
      </c>
      <c r="G1216" s="5">
        <v>43189</v>
      </c>
      <c r="H1216" s="16">
        <v>2373</v>
      </c>
      <c r="I1216" s="5">
        <v>43189</v>
      </c>
      <c r="J1216" s="5">
        <v>42908</v>
      </c>
      <c r="K1216" s="16">
        <v>2092</v>
      </c>
      <c r="L1216" s="13">
        <v>5922.47</v>
      </c>
      <c r="M1216" s="15">
        <v>101.24103919299185</v>
      </c>
      <c r="N1216" s="13">
        <v>5922.47</v>
      </c>
      <c r="O1216" s="13">
        <v>0</v>
      </c>
      <c r="P1216" s="11">
        <v>1</v>
      </c>
    </row>
    <row r="1217" spans="1:16" ht="15" thickBot="1" x14ac:dyDescent="0.3">
      <c r="A1217" s="3" t="s">
        <v>11</v>
      </c>
      <c r="B1217" s="4">
        <v>372547</v>
      </c>
      <c r="C1217" s="3" t="s">
        <v>9</v>
      </c>
      <c r="D1217" s="18">
        <v>0.1</v>
      </c>
      <c r="E1217" s="21">
        <v>7.9741404289037643E-3</v>
      </c>
      <c r="F1217" s="5">
        <v>40848</v>
      </c>
      <c r="G1217" s="5">
        <v>41244</v>
      </c>
      <c r="H1217" s="16">
        <v>396</v>
      </c>
      <c r="I1217" s="5">
        <v>41244</v>
      </c>
      <c r="J1217" s="5">
        <v>41344</v>
      </c>
      <c r="K1217" s="16">
        <v>496</v>
      </c>
      <c r="L1217" s="13">
        <v>678.97</v>
      </c>
      <c r="M1217" s="15">
        <v>54.396328166486271</v>
      </c>
      <c r="N1217" s="13">
        <v>678.97</v>
      </c>
      <c r="O1217" s="13">
        <v>0</v>
      </c>
      <c r="P1217" s="11">
        <v>0</v>
      </c>
    </row>
    <row r="1218" spans="1:16" ht="15" thickBot="1" x14ac:dyDescent="0.3">
      <c r="A1218" s="3" t="s">
        <v>11</v>
      </c>
      <c r="B1218" s="4">
        <v>760712</v>
      </c>
      <c r="C1218" s="3" t="s">
        <v>9</v>
      </c>
      <c r="D1218" s="18">
        <v>0.11</v>
      </c>
      <c r="E1218" s="21">
        <v>8.7345938235519061E-3</v>
      </c>
      <c r="F1218" s="5">
        <v>40850</v>
      </c>
      <c r="G1218" s="5">
        <v>41155</v>
      </c>
      <c r="H1218" s="16">
        <v>305</v>
      </c>
      <c r="I1218" s="5">
        <v>41155</v>
      </c>
      <c r="J1218" s="5">
        <v>40977</v>
      </c>
      <c r="K1218" s="16">
        <v>127</v>
      </c>
      <c r="L1218" s="13">
        <v>507.13</v>
      </c>
      <c r="M1218" s="15">
        <v>52.346591698172595</v>
      </c>
      <c r="N1218" s="13">
        <v>507.13</v>
      </c>
      <c r="O1218" s="13">
        <v>0</v>
      </c>
      <c r="P1218" s="11">
        <v>0</v>
      </c>
    </row>
    <row r="1219" spans="1:16" ht="15" thickBot="1" x14ac:dyDescent="0.3">
      <c r="A1219" s="3" t="s">
        <v>11</v>
      </c>
      <c r="B1219" s="4">
        <v>906567</v>
      </c>
      <c r="C1219" s="3" t="s">
        <v>9</v>
      </c>
      <c r="D1219" s="18">
        <v>0.1</v>
      </c>
      <c r="E1219" s="21">
        <v>7.9741404289037643E-3</v>
      </c>
      <c r="F1219" s="5">
        <v>40869</v>
      </c>
      <c r="G1219" s="5">
        <v>41600</v>
      </c>
      <c r="H1219" s="16">
        <v>731</v>
      </c>
      <c r="I1219" s="5">
        <v>41600</v>
      </c>
      <c r="J1219" s="5">
        <v>41031</v>
      </c>
      <c r="K1219" s="16">
        <v>162</v>
      </c>
      <c r="L1219" s="13">
        <v>2429.27</v>
      </c>
      <c r="M1219" s="15">
        <v>110.09130447919752</v>
      </c>
      <c r="N1219" s="13">
        <v>2429.27</v>
      </c>
      <c r="O1219" s="13">
        <v>0</v>
      </c>
      <c r="P1219" s="11">
        <v>0</v>
      </c>
    </row>
    <row r="1220" spans="1:16" ht="15" thickBot="1" x14ac:dyDescent="0.3">
      <c r="A1220" s="3" t="s">
        <v>11</v>
      </c>
      <c r="B1220" s="4">
        <v>229587</v>
      </c>
      <c r="C1220" s="3" t="s">
        <v>9</v>
      </c>
      <c r="D1220" s="18">
        <v>0.1</v>
      </c>
      <c r="E1220" s="21">
        <v>7.9741404289037643E-3</v>
      </c>
      <c r="F1220" s="5">
        <v>40869</v>
      </c>
      <c r="G1220" s="5">
        <v>41965</v>
      </c>
      <c r="H1220" s="16">
        <v>1096</v>
      </c>
      <c r="I1220" s="5">
        <v>41965</v>
      </c>
      <c r="J1220" s="5">
        <v>42241</v>
      </c>
      <c r="K1220" s="16">
        <v>1372</v>
      </c>
      <c r="L1220" s="13">
        <v>2377.4899999999998</v>
      </c>
      <c r="M1220" s="15">
        <v>75.273408195420359</v>
      </c>
      <c r="N1220" s="13">
        <v>2377.4899999999998</v>
      </c>
      <c r="O1220" s="13">
        <v>0</v>
      </c>
      <c r="P1220" s="11">
        <v>0</v>
      </c>
    </row>
    <row r="1221" spans="1:16" ht="15" thickBot="1" x14ac:dyDescent="0.3">
      <c r="A1221" s="3" t="s">
        <v>11</v>
      </c>
      <c r="B1221" s="4">
        <v>166176</v>
      </c>
      <c r="C1221" s="3" t="s">
        <v>9</v>
      </c>
      <c r="D1221" s="18">
        <v>0.12</v>
      </c>
      <c r="E1221" s="21">
        <v>9.4887929345830457E-3</v>
      </c>
      <c r="F1221" s="5">
        <v>40875</v>
      </c>
      <c r="G1221" s="5">
        <v>42336</v>
      </c>
      <c r="H1221" s="16">
        <v>1461</v>
      </c>
      <c r="I1221" s="5">
        <v>42336</v>
      </c>
      <c r="J1221" s="5">
        <v>42226</v>
      </c>
      <c r="K1221" s="16">
        <v>1351</v>
      </c>
      <c r="L1221" s="13">
        <v>3601.23</v>
      </c>
      <c r="M1221" s="15">
        <v>92.688268262878353</v>
      </c>
      <c r="N1221" s="13">
        <v>3601.23</v>
      </c>
      <c r="O1221" s="13">
        <v>0</v>
      </c>
      <c r="P1221" s="11">
        <v>1</v>
      </c>
    </row>
    <row r="1222" spans="1:16" ht="15" thickBot="1" x14ac:dyDescent="0.3">
      <c r="A1222" s="3" t="s">
        <v>11</v>
      </c>
      <c r="B1222" s="4">
        <v>742933</v>
      </c>
      <c r="C1222" s="3" t="s">
        <v>9</v>
      </c>
      <c r="D1222" s="18">
        <v>0.1</v>
      </c>
      <c r="E1222" s="21">
        <v>7.9741404289037643E-3</v>
      </c>
      <c r="F1222" s="5">
        <v>40878</v>
      </c>
      <c r="G1222" s="5">
        <v>41548</v>
      </c>
      <c r="H1222" s="16">
        <v>670</v>
      </c>
      <c r="I1222" s="5">
        <v>41548</v>
      </c>
      <c r="J1222" s="5">
        <v>41015</v>
      </c>
      <c r="K1222" s="16">
        <v>137</v>
      </c>
      <c r="L1222" s="13">
        <v>2544.71</v>
      </c>
      <c r="M1222" s="15">
        <v>124.84166592676891</v>
      </c>
      <c r="N1222" s="13">
        <v>2544.71</v>
      </c>
      <c r="O1222" s="13">
        <v>0</v>
      </c>
      <c r="P1222" s="11">
        <v>0</v>
      </c>
    </row>
    <row r="1223" spans="1:16" ht="15" thickBot="1" x14ac:dyDescent="0.3">
      <c r="A1223" s="3" t="s">
        <v>11</v>
      </c>
      <c r="B1223" s="4">
        <v>811451</v>
      </c>
      <c r="C1223" s="3" t="s">
        <v>9</v>
      </c>
      <c r="D1223" s="18">
        <v>0.11</v>
      </c>
      <c r="E1223" s="21">
        <v>8.7345938235519061E-3</v>
      </c>
      <c r="F1223" s="5">
        <v>40882</v>
      </c>
      <c r="G1223" s="5">
        <v>41167</v>
      </c>
      <c r="H1223" s="16">
        <v>285</v>
      </c>
      <c r="I1223" s="5">
        <v>41167</v>
      </c>
      <c r="J1223" s="5">
        <v>41099</v>
      </c>
      <c r="K1223" s="16">
        <v>217</v>
      </c>
      <c r="L1223" s="13">
        <v>845.51</v>
      </c>
      <c r="M1223" s="15">
        <v>93.132616682805164</v>
      </c>
      <c r="N1223" s="13">
        <v>845.51</v>
      </c>
      <c r="O1223" s="13">
        <v>0</v>
      </c>
      <c r="P1223" s="11">
        <v>0</v>
      </c>
    </row>
    <row r="1224" spans="1:16" ht="15" thickBot="1" x14ac:dyDescent="0.3">
      <c r="A1224" s="3" t="s">
        <v>11</v>
      </c>
      <c r="B1224" s="4">
        <v>247575</v>
      </c>
      <c r="C1224" s="3" t="s">
        <v>9</v>
      </c>
      <c r="D1224" s="18">
        <v>0.11</v>
      </c>
      <c r="E1224" s="21">
        <v>8.7345938235519061E-3</v>
      </c>
      <c r="F1224" s="5">
        <v>40883</v>
      </c>
      <c r="G1224" s="5">
        <v>42344</v>
      </c>
      <c r="H1224" s="16">
        <v>1461</v>
      </c>
      <c r="I1224" s="5">
        <v>42344</v>
      </c>
      <c r="J1224" s="5">
        <v>40998</v>
      </c>
      <c r="K1224" s="16">
        <v>115</v>
      </c>
      <c r="L1224" s="13">
        <v>126.04</v>
      </c>
      <c r="M1224" s="15">
        <v>3.188570789037326</v>
      </c>
      <c r="N1224" s="13">
        <v>126.04</v>
      </c>
      <c r="O1224" s="13">
        <v>0</v>
      </c>
      <c r="P1224" s="11">
        <v>1</v>
      </c>
    </row>
    <row r="1225" spans="1:16" ht="15" thickBot="1" x14ac:dyDescent="0.3">
      <c r="A1225" s="3" t="s">
        <v>11</v>
      </c>
      <c r="B1225" s="4">
        <v>848179</v>
      </c>
      <c r="C1225" s="3" t="s">
        <v>9</v>
      </c>
      <c r="D1225" s="18">
        <v>9.7500000000000003E-2</v>
      </c>
      <c r="E1225" s="21">
        <v>7.7830370878799737E-3</v>
      </c>
      <c r="F1225" s="5">
        <v>35760</v>
      </c>
      <c r="G1225" s="5">
        <v>36652</v>
      </c>
      <c r="H1225" s="16">
        <v>892</v>
      </c>
      <c r="I1225" s="5">
        <v>36713</v>
      </c>
      <c r="J1225" s="5">
        <v>36523</v>
      </c>
      <c r="K1225" s="16">
        <v>763</v>
      </c>
      <c r="L1225" s="13">
        <v>5786.5</v>
      </c>
      <c r="M1225" s="15">
        <v>218.75224886126136</v>
      </c>
      <c r="N1225" s="13">
        <v>4703.03</v>
      </c>
      <c r="O1225" s="13">
        <v>394</v>
      </c>
      <c r="P1225" s="11">
        <v>0</v>
      </c>
    </row>
    <row r="1226" spans="1:16" ht="15" thickBot="1" x14ac:dyDescent="0.3">
      <c r="A1226" s="3" t="s">
        <v>11</v>
      </c>
      <c r="B1226" s="4">
        <v>110321</v>
      </c>
      <c r="C1226" s="3" t="s">
        <v>9</v>
      </c>
      <c r="D1226" s="18">
        <v>0.11</v>
      </c>
      <c r="E1226" s="21">
        <v>8.7345938235519061E-3</v>
      </c>
      <c r="F1226" s="5">
        <v>35850</v>
      </c>
      <c r="G1226" s="5">
        <v>36590</v>
      </c>
      <c r="H1226" s="16">
        <v>740</v>
      </c>
      <c r="I1226" s="5">
        <v>36621</v>
      </c>
      <c r="J1226" s="5">
        <v>36523</v>
      </c>
      <c r="K1226" s="16">
        <v>673</v>
      </c>
      <c r="L1226" s="13">
        <v>4550</v>
      </c>
      <c r="M1226" s="15">
        <v>205.8449920987982</v>
      </c>
      <c r="N1226" s="13">
        <v>2425.46</v>
      </c>
      <c r="O1226" s="13">
        <v>490.4</v>
      </c>
      <c r="P1226" s="11">
        <v>0</v>
      </c>
    </row>
    <row r="1227" spans="1:16" ht="15" thickBot="1" x14ac:dyDescent="0.3">
      <c r="A1227" s="3" t="s">
        <v>11</v>
      </c>
      <c r="B1227" s="4">
        <v>100500</v>
      </c>
      <c r="C1227" s="3" t="s">
        <v>9</v>
      </c>
      <c r="D1227" s="18">
        <v>0.1</v>
      </c>
      <c r="E1227" s="21">
        <v>7.9741404289037643E-3</v>
      </c>
      <c r="F1227" s="5">
        <v>40912</v>
      </c>
      <c r="G1227" s="5">
        <v>43104</v>
      </c>
      <c r="H1227" s="16">
        <v>2192</v>
      </c>
      <c r="I1227" s="5">
        <v>43104</v>
      </c>
      <c r="J1227" s="5">
        <v>42262</v>
      </c>
      <c r="K1227" s="16">
        <v>1350</v>
      </c>
      <c r="L1227" s="13">
        <v>11026</v>
      </c>
      <c r="M1227" s="15">
        <v>199.69395504063493</v>
      </c>
      <c r="N1227" s="13">
        <v>11026</v>
      </c>
      <c r="O1227" s="13">
        <v>0</v>
      </c>
      <c r="P1227" s="11">
        <v>1</v>
      </c>
    </row>
    <row r="1228" spans="1:16" ht="15" thickBot="1" x14ac:dyDescent="0.3">
      <c r="A1228" s="3" t="s">
        <v>11</v>
      </c>
      <c r="B1228" s="4">
        <v>678257</v>
      </c>
      <c r="C1228" s="3" t="s">
        <v>9</v>
      </c>
      <c r="D1228" s="18">
        <v>0.12</v>
      </c>
      <c r="E1228" s="21">
        <v>9.4887929345830457E-3</v>
      </c>
      <c r="F1228" s="5">
        <v>40914</v>
      </c>
      <c r="G1228" s="5">
        <v>42205</v>
      </c>
      <c r="H1228" s="16">
        <v>1291</v>
      </c>
      <c r="I1228" s="5">
        <v>42205</v>
      </c>
      <c r="J1228" s="5">
        <v>42317</v>
      </c>
      <c r="K1228" s="16">
        <v>1403</v>
      </c>
      <c r="L1228" s="13">
        <v>555.44000000000005</v>
      </c>
      <c r="M1228" s="15">
        <v>15.781579166822478</v>
      </c>
      <c r="N1228" s="13">
        <v>555.44000000000005</v>
      </c>
      <c r="O1228" s="13">
        <v>0</v>
      </c>
      <c r="P1228" s="11">
        <v>1</v>
      </c>
    </row>
    <row r="1229" spans="1:16" ht="15" thickBot="1" x14ac:dyDescent="0.3">
      <c r="A1229" s="3" t="s">
        <v>11</v>
      </c>
      <c r="B1229" s="4">
        <v>393695</v>
      </c>
      <c r="C1229" s="3" t="s">
        <v>9</v>
      </c>
      <c r="D1229" s="18">
        <v>0.09</v>
      </c>
      <c r="E1229" s="21">
        <v>7.2073233161367156E-3</v>
      </c>
      <c r="F1229" s="5">
        <v>40941</v>
      </c>
      <c r="G1229" s="5">
        <v>43133</v>
      </c>
      <c r="H1229" s="16">
        <v>2192</v>
      </c>
      <c r="I1229" s="5">
        <v>43133</v>
      </c>
      <c r="J1229" s="5">
        <v>41256</v>
      </c>
      <c r="K1229" s="16">
        <v>315</v>
      </c>
      <c r="L1229" s="13">
        <v>9479.33</v>
      </c>
      <c r="M1229" s="15">
        <v>167.33646499367109</v>
      </c>
      <c r="N1229" s="13">
        <v>9479.33</v>
      </c>
      <c r="O1229" s="13">
        <v>0</v>
      </c>
      <c r="P1229" s="11">
        <v>1</v>
      </c>
    </row>
    <row r="1230" spans="1:16" ht="15" thickBot="1" x14ac:dyDescent="0.3">
      <c r="A1230" s="3" t="s">
        <v>11</v>
      </c>
      <c r="B1230" s="4">
        <v>688313</v>
      </c>
      <c r="C1230" s="3" t="s">
        <v>9</v>
      </c>
      <c r="D1230" s="18">
        <v>0.12</v>
      </c>
      <c r="E1230" s="21">
        <v>9.4887929345830457E-3</v>
      </c>
      <c r="F1230" s="5">
        <v>40947</v>
      </c>
      <c r="G1230" s="5">
        <v>42175</v>
      </c>
      <c r="H1230" s="16">
        <v>1228</v>
      </c>
      <c r="I1230" s="5">
        <v>42175</v>
      </c>
      <c r="J1230" s="5">
        <v>41655</v>
      </c>
      <c r="K1230" s="16">
        <v>708</v>
      </c>
      <c r="L1230" s="13">
        <v>3346.18</v>
      </c>
      <c r="M1230" s="15">
        <v>99.030220993642658</v>
      </c>
      <c r="N1230" s="13">
        <v>3346.18</v>
      </c>
      <c r="O1230" s="13">
        <v>0</v>
      </c>
      <c r="P1230" s="11">
        <v>1</v>
      </c>
    </row>
    <row r="1231" spans="1:16" ht="15" thickBot="1" x14ac:dyDescent="0.3">
      <c r="A1231" s="3" t="s">
        <v>11</v>
      </c>
      <c r="B1231" s="4">
        <v>677163</v>
      </c>
      <c r="C1231" s="3" t="s">
        <v>9</v>
      </c>
      <c r="D1231" s="18">
        <v>0.1</v>
      </c>
      <c r="E1231" s="21">
        <v>7.9741404289037643E-3</v>
      </c>
      <c r="F1231" s="5">
        <v>40953</v>
      </c>
      <c r="G1231" s="5">
        <v>41926</v>
      </c>
      <c r="H1231" s="16">
        <v>973</v>
      </c>
      <c r="I1231" s="5">
        <v>41926</v>
      </c>
      <c r="J1231" s="5">
        <v>41228</v>
      </c>
      <c r="K1231" s="16">
        <v>275</v>
      </c>
      <c r="L1231" s="13">
        <v>1115.67</v>
      </c>
      <c r="M1231" s="15">
        <v>39.174862425504465</v>
      </c>
      <c r="N1231" s="13">
        <v>1115.67</v>
      </c>
      <c r="O1231" s="13">
        <v>0</v>
      </c>
      <c r="P1231" s="11">
        <v>0</v>
      </c>
    </row>
    <row r="1232" spans="1:16" ht="15" thickBot="1" x14ac:dyDescent="0.3">
      <c r="A1232" s="3" t="s">
        <v>11</v>
      </c>
      <c r="B1232" s="4">
        <v>197750</v>
      </c>
      <c r="C1232" s="3" t="s">
        <v>9</v>
      </c>
      <c r="D1232" s="18">
        <v>0.1</v>
      </c>
      <c r="E1232" s="21">
        <v>7.9741404289037643E-3</v>
      </c>
      <c r="F1232" s="5">
        <v>40960</v>
      </c>
      <c r="G1232" s="5">
        <v>42572</v>
      </c>
      <c r="H1232" s="16">
        <v>1612</v>
      </c>
      <c r="I1232" s="5">
        <v>42572</v>
      </c>
      <c r="J1232" s="5">
        <v>42447</v>
      </c>
      <c r="K1232" s="16">
        <v>1487</v>
      </c>
      <c r="L1232" s="13">
        <v>3830.9</v>
      </c>
      <c r="M1232" s="15">
        <v>87.935767849807306</v>
      </c>
      <c r="N1232" s="13">
        <v>3830.9</v>
      </c>
      <c r="O1232" s="13">
        <v>0</v>
      </c>
      <c r="P1232" s="11">
        <v>1</v>
      </c>
    </row>
    <row r="1233" spans="1:16" ht="15" thickBot="1" x14ac:dyDescent="0.3">
      <c r="A1233" s="3" t="s">
        <v>11</v>
      </c>
      <c r="B1233" s="4">
        <v>231075</v>
      </c>
      <c r="C1233" s="3" t="s">
        <v>9</v>
      </c>
      <c r="D1233" s="18">
        <v>0.105</v>
      </c>
      <c r="E1233" s="21">
        <v>8.355155683635207E-3</v>
      </c>
      <c r="F1233" s="5">
        <v>40968</v>
      </c>
      <c r="G1233" s="5">
        <v>41333</v>
      </c>
      <c r="H1233" s="16">
        <v>365</v>
      </c>
      <c r="I1233" s="5">
        <v>41333</v>
      </c>
      <c r="J1233" s="5">
        <v>41239</v>
      </c>
      <c r="K1233" s="16">
        <v>271</v>
      </c>
      <c r="L1233" s="13">
        <v>4300</v>
      </c>
      <c r="M1233" s="15">
        <v>373.16568388330751</v>
      </c>
      <c r="N1233" s="13">
        <v>4300</v>
      </c>
      <c r="O1233" s="13">
        <v>0</v>
      </c>
      <c r="P1233" s="11">
        <v>0</v>
      </c>
    </row>
    <row r="1234" spans="1:16" ht="15" thickBot="1" x14ac:dyDescent="0.3">
      <c r="A1234" s="3" t="s">
        <v>11</v>
      </c>
      <c r="B1234" s="4">
        <v>102008</v>
      </c>
      <c r="C1234" s="3" t="s">
        <v>9</v>
      </c>
      <c r="D1234" s="18">
        <v>0.1</v>
      </c>
      <c r="E1234" s="21">
        <v>7.9741404289037643E-3</v>
      </c>
      <c r="F1234" s="5">
        <v>40969</v>
      </c>
      <c r="G1234" s="5">
        <v>41616</v>
      </c>
      <c r="H1234" s="16">
        <v>647</v>
      </c>
      <c r="I1234" s="5">
        <v>41616</v>
      </c>
      <c r="J1234" s="5">
        <v>42731</v>
      </c>
      <c r="K1234" s="16">
        <v>1762</v>
      </c>
      <c r="L1234" s="13">
        <v>2869.43</v>
      </c>
      <c r="M1234" s="15">
        <v>145.3461558693655</v>
      </c>
      <c r="N1234" s="13">
        <v>2869.43</v>
      </c>
      <c r="O1234" s="13">
        <v>0</v>
      </c>
      <c r="P1234" s="11">
        <v>0</v>
      </c>
    </row>
    <row r="1235" spans="1:16" ht="15" thickBot="1" x14ac:dyDescent="0.3">
      <c r="A1235" s="3" t="s">
        <v>11</v>
      </c>
      <c r="B1235" s="4">
        <v>958509</v>
      </c>
      <c r="C1235" s="3" t="s">
        <v>9</v>
      </c>
      <c r="D1235" s="18">
        <v>8.5000000000000006E-2</v>
      </c>
      <c r="E1235" s="21">
        <v>6.8214933659622723E-3</v>
      </c>
      <c r="F1235" s="5">
        <v>40976</v>
      </c>
      <c r="G1235" s="5">
        <v>42437</v>
      </c>
      <c r="H1235" s="16">
        <v>1461</v>
      </c>
      <c r="I1235" s="5">
        <v>42437</v>
      </c>
      <c r="J1235" s="5">
        <v>42075</v>
      </c>
      <c r="K1235" s="16">
        <v>1099</v>
      </c>
      <c r="L1235" s="13">
        <v>7874.87</v>
      </c>
      <c r="M1235" s="15">
        <v>190.59111179003881</v>
      </c>
      <c r="N1235" s="13">
        <v>7874.87</v>
      </c>
      <c r="O1235" s="13">
        <v>7874.87</v>
      </c>
      <c r="P1235" s="11">
        <v>1</v>
      </c>
    </row>
    <row r="1236" spans="1:16" ht="15" thickBot="1" x14ac:dyDescent="0.3">
      <c r="A1236" s="3" t="s">
        <v>11</v>
      </c>
      <c r="B1236" s="4">
        <v>230034</v>
      </c>
      <c r="C1236" s="3" t="s">
        <v>9</v>
      </c>
      <c r="D1236" s="18">
        <v>0.1</v>
      </c>
      <c r="E1236" s="21">
        <v>7.9741404289037643E-3</v>
      </c>
      <c r="F1236" s="5">
        <v>40980</v>
      </c>
      <c r="G1236" s="5">
        <v>42259</v>
      </c>
      <c r="H1236" s="16">
        <v>1279</v>
      </c>
      <c r="I1236" s="5">
        <v>42259</v>
      </c>
      <c r="J1236" s="5">
        <v>41906</v>
      </c>
      <c r="K1236" s="16">
        <v>926</v>
      </c>
      <c r="L1236" s="13">
        <v>5034.13</v>
      </c>
      <c r="M1236" s="15">
        <v>139.75186215876352</v>
      </c>
      <c r="N1236" s="13">
        <v>5034.13</v>
      </c>
      <c r="O1236" s="13">
        <v>0</v>
      </c>
      <c r="P1236" s="11">
        <v>1</v>
      </c>
    </row>
    <row r="1237" spans="1:16" ht="15" thickBot="1" x14ac:dyDescent="0.3">
      <c r="A1237" s="3" t="s">
        <v>11</v>
      </c>
      <c r="B1237" s="4">
        <v>86004</v>
      </c>
      <c r="C1237" s="3" t="s">
        <v>16</v>
      </c>
      <c r="D1237" s="18">
        <v>0.16500000000000001</v>
      </c>
      <c r="E1237" s="21">
        <v>1.2808087081983555E-2</v>
      </c>
      <c r="F1237" s="5">
        <v>36390</v>
      </c>
      <c r="G1237" s="5">
        <v>36641</v>
      </c>
      <c r="H1237" s="16">
        <v>251</v>
      </c>
      <c r="I1237" s="5">
        <v>37189</v>
      </c>
      <c r="J1237" s="5">
        <v>36795</v>
      </c>
      <c r="K1237" s="16">
        <v>405</v>
      </c>
      <c r="L1237" s="13">
        <v>1020.99</v>
      </c>
      <c r="M1237" s="15">
        <v>129.46498845340773</v>
      </c>
      <c r="N1237" s="13">
        <v>515.28</v>
      </c>
      <c r="O1237" s="13">
        <v>550.08000000000004</v>
      </c>
      <c r="P1237" s="11">
        <v>0</v>
      </c>
    </row>
    <row r="1238" spans="1:16" ht="15" thickBot="1" x14ac:dyDescent="0.3">
      <c r="A1238" s="3" t="s">
        <v>11</v>
      </c>
      <c r="B1238" s="4">
        <v>294566</v>
      </c>
      <c r="C1238" s="3" t="s">
        <v>9</v>
      </c>
      <c r="D1238" s="18">
        <v>0.1</v>
      </c>
      <c r="E1238" s="21">
        <v>7.9741404289037643E-3</v>
      </c>
      <c r="F1238" s="5">
        <v>40987</v>
      </c>
      <c r="G1238" s="5">
        <v>43058</v>
      </c>
      <c r="H1238" s="16">
        <v>2071</v>
      </c>
      <c r="I1238" s="5">
        <v>43058</v>
      </c>
      <c r="J1238" s="5">
        <v>42156</v>
      </c>
      <c r="K1238" s="16">
        <v>1169</v>
      </c>
      <c r="L1238" s="13">
        <v>3161.3</v>
      </c>
      <c r="M1238" s="15">
        <v>59.726577373645057</v>
      </c>
      <c r="N1238" s="13">
        <v>3161.3</v>
      </c>
      <c r="O1238" s="13">
        <v>0</v>
      </c>
      <c r="P1238" s="11">
        <v>1</v>
      </c>
    </row>
    <row r="1239" spans="1:16" ht="15" thickBot="1" x14ac:dyDescent="0.3">
      <c r="A1239" s="3" t="s">
        <v>11</v>
      </c>
      <c r="B1239" s="4">
        <v>301769</v>
      </c>
      <c r="C1239" s="3" t="s">
        <v>9</v>
      </c>
      <c r="D1239" s="18">
        <v>0.12</v>
      </c>
      <c r="E1239" s="21">
        <v>9.4887929345830457E-3</v>
      </c>
      <c r="F1239" s="5">
        <v>40991</v>
      </c>
      <c r="G1239" s="5">
        <v>43274</v>
      </c>
      <c r="H1239" s="16">
        <v>2283</v>
      </c>
      <c r="I1239" s="5">
        <v>43274</v>
      </c>
      <c r="J1239" s="5">
        <v>41793</v>
      </c>
      <c r="K1239" s="16">
        <v>802</v>
      </c>
      <c r="L1239" s="13">
        <v>10000</v>
      </c>
      <c r="M1239" s="15">
        <v>185.1070808239831</v>
      </c>
      <c r="N1239" s="13">
        <v>10000</v>
      </c>
      <c r="O1239" s="13">
        <v>0</v>
      </c>
      <c r="P1239" s="11">
        <v>1</v>
      </c>
    </row>
    <row r="1240" spans="1:16" ht="15" thickBot="1" x14ac:dyDescent="0.3">
      <c r="A1240" s="3" t="s">
        <v>11</v>
      </c>
      <c r="B1240" s="4">
        <v>695771</v>
      </c>
      <c r="C1240" s="3" t="s">
        <v>9</v>
      </c>
      <c r="D1240" s="18">
        <v>0.11</v>
      </c>
      <c r="E1240" s="21">
        <v>8.7345938235519061E-3</v>
      </c>
      <c r="F1240" s="5">
        <v>40996</v>
      </c>
      <c r="G1240" s="5">
        <v>43187</v>
      </c>
      <c r="H1240" s="16">
        <v>2191</v>
      </c>
      <c r="I1240" s="5">
        <v>43187</v>
      </c>
      <c r="J1240" s="5">
        <v>41316</v>
      </c>
      <c r="K1240" s="16">
        <v>320</v>
      </c>
      <c r="L1240" s="13">
        <v>1312.48</v>
      </c>
      <c r="M1240" s="15">
        <v>24.384067637689338</v>
      </c>
      <c r="N1240" s="13">
        <v>1312.48</v>
      </c>
      <c r="O1240" s="13">
        <v>0</v>
      </c>
      <c r="P1240" s="11">
        <v>1</v>
      </c>
    </row>
    <row r="1241" spans="1:16" ht="15" thickBot="1" x14ac:dyDescent="0.3">
      <c r="A1241" s="3" t="s">
        <v>11</v>
      </c>
      <c r="B1241" s="4">
        <v>628214</v>
      </c>
      <c r="C1241" s="3" t="s">
        <v>9</v>
      </c>
      <c r="D1241" s="18">
        <v>0.13</v>
      </c>
      <c r="E1241" s="21">
        <v>1.02368443581764E-2</v>
      </c>
      <c r="F1241" s="5">
        <v>40996</v>
      </c>
      <c r="G1241" s="5">
        <v>41726</v>
      </c>
      <c r="H1241" s="16">
        <v>730</v>
      </c>
      <c r="I1241" s="5">
        <v>41726</v>
      </c>
      <c r="J1241" s="5">
        <v>42342</v>
      </c>
      <c r="K1241" s="16">
        <v>1346</v>
      </c>
      <c r="L1241" s="13">
        <v>989.4</v>
      </c>
      <c r="M1241" s="15">
        <v>46.141165824248745</v>
      </c>
      <c r="N1241" s="13">
        <v>989.4</v>
      </c>
      <c r="O1241" s="13">
        <v>0</v>
      </c>
      <c r="P1241" s="11">
        <v>0</v>
      </c>
    </row>
    <row r="1242" spans="1:16" ht="15" thickBot="1" x14ac:dyDescent="0.3">
      <c r="A1242" s="3" t="s">
        <v>11</v>
      </c>
      <c r="B1242" s="4">
        <v>232367</v>
      </c>
      <c r="C1242" s="3" t="s">
        <v>9</v>
      </c>
      <c r="D1242" s="18">
        <v>0.13500000000000001</v>
      </c>
      <c r="E1242" s="21">
        <v>1.0608597246586804E-2</v>
      </c>
      <c r="F1242" s="5">
        <v>36796</v>
      </c>
      <c r="G1242" s="5">
        <v>37889</v>
      </c>
      <c r="H1242" s="16">
        <v>1093</v>
      </c>
      <c r="I1242" s="5">
        <v>37889</v>
      </c>
      <c r="J1242" s="5">
        <v>37256</v>
      </c>
      <c r="K1242" s="16">
        <v>460</v>
      </c>
      <c r="L1242" s="13">
        <v>7544.62</v>
      </c>
      <c r="M1242" s="15">
        <v>250.75360232784266</v>
      </c>
      <c r="N1242" s="13">
        <v>6166.42</v>
      </c>
      <c r="O1242" s="13">
        <v>2320</v>
      </c>
      <c r="P1242" s="11">
        <v>0</v>
      </c>
    </row>
    <row r="1243" spans="1:16" ht="15" thickBot="1" x14ac:dyDescent="0.3">
      <c r="A1243" s="3" t="s">
        <v>11</v>
      </c>
      <c r="B1243" s="4">
        <v>249384</v>
      </c>
      <c r="C1243" s="3" t="s">
        <v>20</v>
      </c>
      <c r="D1243" s="18">
        <v>0.08</v>
      </c>
      <c r="E1243" s="21">
        <v>6.4340301100034303E-3</v>
      </c>
      <c r="F1243" s="5">
        <v>36917</v>
      </c>
      <c r="G1243" s="5">
        <v>38021</v>
      </c>
      <c r="H1243" s="16">
        <v>1104</v>
      </c>
      <c r="I1243" s="5">
        <v>39436</v>
      </c>
      <c r="J1243" s="5">
        <v>37256</v>
      </c>
      <c r="K1243" s="16">
        <v>339</v>
      </c>
      <c r="L1243" s="13">
        <v>10089.299999999999</v>
      </c>
      <c r="M1243" s="15">
        <v>308.77979364518575</v>
      </c>
      <c r="N1243" s="13">
        <v>9417.99</v>
      </c>
      <c r="O1243" s="13">
        <v>8268.09</v>
      </c>
      <c r="P1243" s="11">
        <v>0</v>
      </c>
    </row>
    <row r="1244" spans="1:16" ht="15" thickBot="1" x14ac:dyDescent="0.3">
      <c r="A1244" s="3" t="s">
        <v>11</v>
      </c>
      <c r="B1244" s="4">
        <v>431163</v>
      </c>
      <c r="C1244" s="3" t="s">
        <v>8</v>
      </c>
      <c r="D1244" s="18">
        <v>7.0000000000000007E-2</v>
      </c>
      <c r="E1244" s="21">
        <v>5.6541453874052738E-3</v>
      </c>
      <c r="F1244" s="5">
        <v>41043</v>
      </c>
      <c r="G1244" s="5">
        <v>45128</v>
      </c>
      <c r="H1244" s="16">
        <v>4085</v>
      </c>
      <c r="I1244" s="5">
        <v>45128</v>
      </c>
      <c r="J1244" s="5">
        <v>43717</v>
      </c>
      <c r="K1244" s="16">
        <v>2674</v>
      </c>
      <c r="L1244" s="13">
        <v>44284.86</v>
      </c>
      <c r="M1244" s="15">
        <v>467.20498609751047</v>
      </c>
      <c r="N1244" s="13">
        <v>26243.73</v>
      </c>
      <c r="O1244" s="13">
        <v>0</v>
      </c>
      <c r="P1244" s="11">
        <v>1</v>
      </c>
    </row>
    <row r="1245" spans="1:16" ht="15" thickBot="1" x14ac:dyDescent="0.3">
      <c r="A1245" s="3" t="s">
        <v>11</v>
      </c>
      <c r="B1245" s="4">
        <v>444015</v>
      </c>
      <c r="C1245" s="3" t="s">
        <v>9</v>
      </c>
      <c r="D1245" s="18">
        <v>0.09</v>
      </c>
      <c r="E1245" s="21">
        <v>7.2073233161367156E-3</v>
      </c>
      <c r="F1245" s="5">
        <v>41043</v>
      </c>
      <c r="G1245" s="5">
        <v>42869</v>
      </c>
      <c r="H1245" s="16">
        <v>1826</v>
      </c>
      <c r="I1245" s="5">
        <v>42869</v>
      </c>
      <c r="J1245" s="5">
        <v>42885</v>
      </c>
      <c r="K1245" s="16">
        <v>1842</v>
      </c>
      <c r="L1245" s="13">
        <v>17998.259999999998</v>
      </c>
      <c r="M1245" s="15">
        <v>366.33392707960019</v>
      </c>
      <c r="N1245" s="13">
        <v>17998.259999999998</v>
      </c>
      <c r="O1245" s="13">
        <v>0</v>
      </c>
      <c r="P1245" s="11">
        <v>1</v>
      </c>
    </row>
    <row r="1246" spans="1:16" ht="15" thickBot="1" x14ac:dyDescent="0.3">
      <c r="A1246" s="3" t="s">
        <v>11</v>
      </c>
      <c r="B1246" s="4">
        <v>156798</v>
      </c>
      <c r="C1246" s="3" t="s">
        <v>9</v>
      </c>
      <c r="D1246" s="18">
        <v>0.09</v>
      </c>
      <c r="E1246" s="21">
        <v>7.2073233161367156E-3</v>
      </c>
      <c r="F1246" s="5">
        <v>41047</v>
      </c>
      <c r="G1246" s="5">
        <v>42142</v>
      </c>
      <c r="H1246" s="16">
        <v>1095</v>
      </c>
      <c r="I1246" s="5">
        <v>42142</v>
      </c>
      <c r="J1246" s="5">
        <v>42375</v>
      </c>
      <c r="K1246" s="16">
        <v>1328</v>
      </c>
      <c r="L1246" s="13">
        <v>4036.74</v>
      </c>
      <c r="M1246" s="15">
        <v>126.17552836617253</v>
      </c>
      <c r="N1246" s="13">
        <v>4036.74</v>
      </c>
      <c r="O1246" s="13">
        <v>0</v>
      </c>
      <c r="P1246" s="11">
        <v>1</v>
      </c>
    </row>
    <row r="1247" spans="1:16" ht="15" thickBot="1" x14ac:dyDescent="0.3">
      <c r="A1247" s="3" t="s">
        <v>11</v>
      </c>
      <c r="B1247" s="4">
        <v>699434</v>
      </c>
      <c r="C1247" s="3" t="s">
        <v>9</v>
      </c>
      <c r="D1247" s="18">
        <v>0.14000000000000001</v>
      </c>
      <c r="E1247" s="21">
        <v>1.0978851950173452E-2</v>
      </c>
      <c r="F1247" s="5">
        <v>41044</v>
      </c>
      <c r="G1247" s="5">
        <v>42597</v>
      </c>
      <c r="H1247" s="16">
        <v>1553</v>
      </c>
      <c r="I1247" s="5">
        <v>42597</v>
      </c>
      <c r="J1247" s="5">
        <v>42227</v>
      </c>
      <c r="K1247" s="16">
        <v>1183</v>
      </c>
      <c r="L1247" s="13">
        <v>639.9</v>
      </c>
      <c r="M1247" s="15">
        <v>16.270822790045756</v>
      </c>
      <c r="N1247" s="13">
        <v>639.9</v>
      </c>
      <c r="O1247" s="13">
        <v>0</v>
      </c>
      <c r="P1247" s="11">
        <v>1</v>
      </c>
    </row>
    <row r="1248" spans="1:16" ht="15" thickBot="1" x14ac:dyDescent="0.3">
      <c r="A1248" s="3" t="s">
        <v>11</v>
      </c>
      <c r="B1248" s="4">
        <v>111540</v>
      </c>
      <c r="C1248" s="3" t="s">
        <v>9</v>
      </c>
      <c r="D1248" s="18">
        <v>0.1</v>
      </c>
      <c r="E1248" s="21">
        <v>7.9741404289037643E-3</v>
      </c>
      <c r="F1248" s="5">
        <v>41061</v>
      </c>
      <c r="G1248" s="5">
        <v>42522</v>
      </c>
      <c r="H1248" s="16">
        <v>1461</v>
      </c>
      <c r="I1248" s="5">
        <v>42522</v>
      </c>
      <c r="J1248" s="5">
        <v>41452</v>
      </c>
      <c r="K1248" s="16">
        <v>391</v>
      </c>
      <c r="L1248" s="13">
        <v>53.94</v>
      </c>
      <c r="M1248" s="15">
        <v>1.340900261495823</v>
      </c>
      <c r="N1248" s="13">
        <v>53.94</v>
      </c>
      <c r="O1248" s="13">
        <v>0</v>
      </c>
      <c r="P1248" s="11">
        <v>1</v>
      </c>
    </row>
    <row r="1249" spans="1:16" ht="15" thickBot="1" x14ac:dyDescent="0.3">
      <c r="A1249" s="3" t="s">
        <v>11</v>
      </c>
      <c r="B1249" s="4">
        <v>641330</v>
      </c>
      <c r="C1249" s="3" t="s">
        <v>9</v>
      </c>
      <c r="D1249" s="18">
        <v>0.1</v>
      </c>
      <c r="E1249" s="21">
        <v>7.9741404289037643E-3</v>
      </c>
      <c r="F1249" s="5">
        <v>41065</v>
      </c>
      <c r="G1249" s="5">
        <v>42891</v>
      </c>
      <c r="H1249" s="16">
        <v>1826</v>
      </c>
      <c r="I1249" s="5">
        <v>42891</v>
      </c>
      <c r="J1249" s="5">
        <v>42355</v>
      </c>
      <c r="K1249" s="16">
        <v>1290</v>
      </c>
      <c r="L1249" s="13">
        <v>4303.16</v>
      </c>
      <c r="M1249" s="15">
        <v>89.513670372623025</v>
      </c>
      <c r="N1249" s="13">
        <v>4303.16</v>
      </c>
      <c r="O1249" s="13">
        <v>0</v>
      </c>
      <c r="P1249" s="11">
        <v>1</v>
      </c>
    </row>
    <row r="1250" spans="1:16" ht="15" thickBot="1" x14ac:dyDescent="0.3">
      <c r="A1250" s="3" t="s">
        <v>11</v>
      </c>
      <c r="B1250" s="4">
        <v>576986</v>
      </c>
      <c r="C1250" s="3" t="s">
        <v>2</v>
      </c>
      <c r="D1250" s="18">
        <v>0.08</v>
      </c>
      <c r="E1250" s="21">
        <v>6.4340301100034303E-3</v>
      </c>
      <c r="F1250" s="5">
        <v>41095</v>
      </c>
      <c r="G1250" s="5">
        <v>42921</v>
      </c>
      <c r="H1250" s="16">
        <v>1826</v>
      </c>
      <c r="I1250" s="5">
        <v>43348</v>
      </c>
      <c r="J1250" s="5">
        <v>43734</v>
      </c>
      <c r="K1250" s="16">
        <v>2639</v>
      </c>
      <c r="L1250" s="13">
        <v>230000</v>
      </c>
      <c r="M1250" s="15">
        <v>4578.8255212172307</v>
      </c>
      <c r="N1250" s="13">
        <v>9104.84</v>
      </c>
      <c r="O1250" s="13">
        <v>0</v>
      </c>
      <c r="P1250" s="11">
        <v>1</v>
      </c>
    </row>
    <row r="1251" spans="1:16" ht="15" thickBot="1" x14ac:dyDescent="0.3">
      <c r="A1251" s="3" t="s">
        <v>11</v>
      </c>
      <c r="B1251" s="4">
        <v>656023</v>
      </c>
      <c r="C1251" s="3" t="s">
        <v>9</v>
      </c>
      <c r="D1251" s="18">
        <v>0.12</v>
      </c>
      <c r="E1251" s="21">
        <v>9.4887929345830457E-3</v>
      </c>
      <c r="F1251" s="5">
        <v>41099</v>
      </c>
      <c r="G1251" s="5">
        <v>41464</v>
      </c>
      <c r="H1251" s="16">
        <v>365</v>
      </c>
      <c r="I1251" s="5">
        <v>41464</v>
      </c>
      <c r="J1251" s="5">
        <v>41136</v>
      </c>
      <c r="K1251" s="16">
        <v>37</v>
      </c>
      <c r="L1251" s="13">
        <v>597.91</v>
      </c>
      <c r="M1251" s="15">
        <v>52.267110567508425</v>
      </c>
      <c r="N1251" s="13">
        <v>597.91</v>
      </c>
      <c r="O1251" s="13">
        <v>0</v>
      </c>
      <c r="P1251" s="11">
        <v>0</v>
      </c>
    </row>
    <row r="1252" spans="1:16" ht="15" thickBot="1" x14ac:dyDescent="0.3">
      <c r="A1252" s="3" t="s">
        <v>11</v>
      </c>
      <c r="B1252" s="4">
        <v>384262</v>
      </c>
      <c r="C1252" s="3" t="s">
        <v>9</v>
      </c>
      <c r="D1252" s="18">
        <v>0.1</v>
      </c>
      <c r="E1252" s="21">
        <v>7.9741404289037643E-3</v>
      </c>
      <c r="F1252" s="5">
        <v>41099</v>
      </c>
      <c r="G1252" s="5">
        <v>43413</v>
      </c>
      <c r="H1252" s="16">
        <v>2314</v>
      </c>
      <c r="I1252" s="5">
        <v>43413</v>
      </c>
      <c r="J1252" s="5">
        <v>42720</v>
      </c>
      <c r="K1252" s="16">
        <v>1621</v>
      </c>
      <c r="L1252" s="13">
        <v>13574.77</v>
      </c>
      <c r="M1252" s="15">
        <v>236.3073360498002</v>
      </c>
      <c r="N1252" s="13">
        <v>13574.77</v>
      </c>
      <c r="O1252" s="13">
        <v>0</v>
      </c>
      <c r="P1252" s="11">
        <v>1</v>
      </c>
    </row>
    <row r="1253" spans="1:16" ht="15" thickBot="1" x14ac:dyDescent="0.3">
      <c r="A1253" s="3" t="s">
        <v>11</v>
      </c>
      <c r="B1253" s="4">
        <v>661596</v>
      </c>
      <c r="C1253" s="3" t="s">
        <v>9</v>
      </c>
      <c r="D1253" s="18">
        <v>0.1</v>
      </c>
      <c r="E1253" s="21">
        <v>7.9741404289037643E-3</v>
      </c>
      <c r="F1253" s="5">
        <v>41102</v>
      </c>
      <c r="G1253" s="5">
        <v>42197</v>
      </c>
      <c r="H1253" s="16">
        <v>1095</v>
      </c>
      <c r="I1253" s="5">
        <v>42197</v>
      </c>
      <c r="J1253" s="5">
        <v>41143</v>
      </c>
      <c r="K1253" s="16">
        <v>41</v>
      </c>
      <c r="L1253" s="13">
        <v>3000</v>
      </c>
      <c r="M1253" s="15">
        <v>95.057383577784989</v>
      </c>
      <c r="N1253" s="13">
        <v>3000</v>
      </c>
      <c r="O1253" s="13">
        <v>0</v>
      </c>
      <c r="P1253" s="11">
        <v>1</v>
      </c>
    </row>
    <row r="1254" spans="1:16" ht="15" thickBot="1" x14ac:dyDescent="0.3">
      <c r="A1254" s="3" t="s">
        <v>11</v>
      </c>
      <c r="B1254" s="4">
        <v>653293</v>
      </c>
      <c r="C1254" s="3" t="s">
        <v>9</v>
      </c>
      <c r="D1254" s="18">
        <v>0.11</v>
      </c>
      <c r="E1254" s="21">
        <v>8.7345938235519061E-3</v>
      </c>
      <c r="F1254" s="5">
        <v>41110</v>
      </c>
      <c r="G1254" s="5">
        <v>43271</v>
      </c>
      <c r="H1254" s="16">
        <v>2161</v>
      </c>
      <c r="I1254" s="5">
        <v>43271</v>
      </c>
      <c r="J1254" s="5">
        <v>42195</v>
      </c>
      <c r="K1254" s="16">
        <v>1085</v>
      </c>
      <c r="L1254" s="13">
        <v>4716.91</v>
      </c>
      <c r="M1254" s="15">
        <v>88.504924946655734</v>
      </c>
      <c r="N1254" s="13">
        <v>4716.91</v>
      </c>
      <c r="O1254" s="13">
        <v>0</v>
      </c>
      <c r="P1254" s="11">
        <v>1</v>
      </c>
    </row>
    <row r="1255" spans="1:16" ht="15" thickBot="1" x14ac:dyDescent="0.3">
      <c r="A1255" s="3" t="s">
        <v>11</v>
      </c>
      <c r="B1255" s="4">
        <v>963324</v>
      </c>
      <c r="C1255" s="3" t="s">
        <v>9</v>
      </c>
      <c r="D1255" s="18">
        <v>0.1</v>
      </c>
      <c r="E1255" s="21">
        <v>7.9741404289037643E-3</v>
      </c>
      <c r="F1255" s="5">
        <v>41137</v>
      </c>
      <c r="G1255" s="5">
        <v>43328</v>
      </c>
      <c r="H1255" s="16">
        <v>2191</v>
      </c>
      <c r="I1255" s="5">
        <v>43328</v>
      </c>
      <c r="J1255" s="5">
        <v>42405</v>
      </c>
      <c r="K1255" s="16">
        <v>1268</v>
      </c>
      <c r="L1255" s="13">
        <v>7873.78</v>
      </c>
      <c r="M1255" s="15">
        <v>142.65152446403636</v>
      </c>
      <c r="N1255" s="13">
        <v>7873.78</v>
      </c>
      <c r="O1255" s="13">
        <v>0</v>
      </c>
      <c r="P1255" s="11">
        <v>1</v>
      </c>
    </row>
    <row r="1256" spans="1:16" ht="15" thickBot="1" x14ac:dyDescent="0.3">
      <c r="A1256" s="3" t="s">
        <v>11</v>
      </c>
      <c r="B1256" s="4">
        <v>146663</v>
      </c>
      <c r="C1256" s="3" t="s">
        <v>9</v>
      </c>
      <c r="D1256" s="18">
        <v>0.1</v>
      </c>
      <c r="E1256" s="21">
        <v>7.9741404289037643E-3</v>
      </c>
      <c r="F1256" s="5">
        <v>41137</v>
      </c>
      <c r="G1256" s="5">
        <v>41686</v>
      </c>
      <c r="H1256" s="16">
        <v>549</v>
      </c>
      <c r="I1256" s="5">
        <v>41686</v>
      </c>
      <c r="J1256" s="5">
        <v>41841</v>
      </c>
      <c r="K1256" s="16">
        <v>704</v>
      </c>
      <c r="L1256" s="13">
        <v>739.72</v>
      </c>
      <c r="M1256" s="15">
        <v>43.603546001284244</v>
      </c>
      <c r="N1256" s="13">
        <v>739.72</v>
      </c>
      <c r="O1256" s="13">
        <v>0</v>
      </c>
      <c r="P1256" s="11">
        <v>0</v>
      </c>
    </row>
    <row r="1257" spans="1:16" ht="15" thickBot="1" x14ac:dyDescent="0.3">
      <c r="A1257" s="3" t="s">
        <v>11</v>
      </c>
      <c r="B1257" s="4">
        <v>578444</v>
      </c>
      <c r="C1257" s="3" t="s">
        <v>9</v>
      </c>
      <c r="D1257" s="18">
        <v>0.1</v>
      </c>
      <c r="E1257" s="21">
        <v>7.9741404289037643E-3</v>
      </c>
      <c r="F1257" s="5">
        <v>41142</v>
      </c>
      <c r="G1257" s="5">
        <v>42815</v>
      </c>
      <c r="H1257" s="16">
        <v>1673</v>
      </c>
      <c r="I1257" s="5">
        <v>42815</v>
      </c>
      <c r="J1257" s="5">
        <v>42090</v>
      </c>
      <c r="K1257" s="16">
        <v>948</v>
      </c>
      <c r="L1257" s="13">
        <v>5020.76</v>
      </c>
      <c r="M1257" s="15">
        <v>111.88112336670588</v>
      </c>
      <c r="N1257" s="13">
        <v>5020.76</v>
      </c>
      <c r="O1257" s="13">
        <v>0</v>
      </c>
      <c r="P1257" s="11">
        <v>1</v>
      </c>
    </row>
    <row r="1258" spans="1:16" ht="15" thickBot="1" x14ac:dyDescent="0.3">
      <c r="A1258" s="3" t="s">
        <v>11</v>
      </c>
      <c r="B1258" s="4">
        <v>867790</v>
      </c>
      <c r="C1258" s="3" t="s">
        <v>9</v>
      </c>
      <c r="D1258" s="18">
        <v>0.1</v>
      </c>
      <c r="E1258" s="21">
        <v>7.9741404289037643E-3</v>
      </c>
      <c r="F1258" s="5">
        <v>41144</v>
      </c>
      <c r="G1258" s="5">
        <v>43182</v>
      </c>
      <c r="H1258" s="16">
        <v>2038</v>
      </c>
      <c r="I1258" s="5">
        <v>43182</v>
      </c>
      <c r="J1258" s="5">
        <v>43196</v>
      </c>
      <c r="K1258" s="16">
        <v>2052</v>
      </c>
      <c r="L1258" s="13">
        <v>4777.45</v>
      </c>
      <c r="M1258" s="15">
        <v>91.35829107007612</v>
      </c>
      <c r="N1258" s="13">
        <v>4777.45</v>
      </c>
      <c r="O1258" s="13">
        <v>350</v>
      </c>
      <c r="P1258" s="11">
        <v>1</v>
      </c>
    </row>
    <row r="1259" spans="1:16" ht="15" thickBot="1" x14ac:dyDescent="0.3">
      <c r="A1259" s="3" t="s">
        <v>11</v>
      </c>
      <c r="B1259" s="4">
        <v>776300</v>
      </c>
      <c r="C1259" s="3" t="s">
        <v>9</v>
      </c>
      <c r="D1259" s="18">
        <v>0.12</v>
      </c>
      <c r="E1259" s="21">
        <v>9.4887929345830457E-3</v>
      </c>
      <c r="F1259" s="5">
        <v>41152</v>
      </c>
      <c r="G1259" s="5">
        <v>43464</v>
      </c>
      <c r="H1259" s="16">
        <v>2312</v>
      </c>
      <c r="I1259" s="5">
        <v>43464</v>
      </c>
      <c r="J1259" s="5">
        <v>42136</v>
      </c>
      <c r="K1259" s="16">
        <v>984</v>
      </c>
      <c r="L1259" s="13">
        <v>16990.150000000001</v>
      </c>
      <c r="M1259" s="15">
        <v>311.80553041218127</v>
      </c>
      <c r="N1259" s="13">
        <v>16990.150000000001</v>
      </c>
      <c r="O1259" s="13">
        <v>0</v>
      </c>
      <c r="P1259" s="11">
        <v>1</v>
      </c>
    </row>
    <row r="1260" spans="1:16" ht="15" thickBot="1" x14ac:dyDescent="0.3">
      <c r="A1260" s="3" t="s">
        <v>11</v>
      </c>
      <c r="B1260" s="4">
        <v>337304</v>
      </c>
      <c r="C1260" s="3" t="s">
        <v>9</v>
      </c>
      <c r="D1260" s="18">
        <v>0.1</v>
      </c>
      <c r="E1260" s="21">
        <v>7.9741404289037643E-3</v>
      </c>
      <c r="F1260" s="5">
        <v>41157</v>
      </c>
      <c r="G1260" s="5">
        <v>41703</v>
      </c>
      <c r="H1260" s="16">
        <v>546</v>
      </c>
      <c r="I1260" s="5">
        <v>41703</v>
      </c>
      <c r="J1260" s="5">
        <v>42731</v>
      </c>
      <c r="K1260" s="16">
        <v>1574</v>
      </c>
      <c r="L1260" s="13">
        <v>1425.5</v>
      </c>
      <c r="M1260" s="15">
        <v>84.456497566758642</v>
      </c>
      <c r="N1260" s="13">
        <v>1425.5</v>
      </c>
      <c r="O1260" s="13">
        <v>0</v>
      </c>
      <c r="P1260" s="11">
        <v>0</v>
      </c>
    </row>
    <row r="1261" spans="1:16" ht="15" thickBot="1" x14ac:dyDescent="0.3">
      <c r="A1261" s="3" t="s">
        <v>11</v>
      </c>
      <c r="B1261" s="4">
        <v>131301</v>
      </c>
      <c r="C1261" s="3" t="s">
        <v>9</v>
      </c>
      <c r="D1261" s="18">
        <v>0.1</v>
      </c>
      <c r="E1261" s="21">
        <v>7.9741404289037643E-3</v>
      </c>
      <c r="F1261" s="5">
        <v>41170</v>
      </c>
      <c r="G1261" s="5">
        <v>43118</v>
      </c>
      <c r="H1261" s="16">
        <v>1948</v>
      </c>
      <c r="I1261" s="5">
        <v>43118</v>
      </c>
      <c r="J1261" s="5">
        <v>42419</v>
      </c>
      <c r="K1261" s="16">
        <v>1249</v>
      </c>
      <c r="L1261" s="13">
        <v>5089.28</v>
      </c>
      <c r="M1261" s="15">
        <v>100.71687002724939</v>
      </c>
      <c r="N1261" s="13">
        <v>5089.28</v>
      </c>
      <c r="O1261" s="13">
        <v>0</v>
      </c>
      <c r="P1261" s="11">
        <v>1</v>
      </c>
    </row>
    <row r="1262" spans="1:16" ht="15" thickBot="1" x14ac:dyDescent="0.3">
      <c r="A1262" s="3" t="s">
        <v>11</v>
      </c>
      <c r="B1262" s="4">
        <v>376025</v>
      </c>
      <c r="C1262" s="3" t="s">
        <v>9</v>
      </c>
      <c r="D1262" s="18">
        <v>0.1</v>
      </c>
      <c r="E1262" s="21">
        <v>7.9741404289037643E-3</v>
      </c>
      <c r="F1262" s="5">
        <v>41171</v>
      </c>
      <c r="G1262" s="5">
        <v>43362</v>
      </c>
      <c r="H1262" s="16">
        <v>2191</v>
      </c>
      <c r="I1262" s="5">
        <v>43362</v>
      </c>
      <c r="J1262" s="5">
        <v>42997</v>
      </c>
      <c r="K1262" s="16">
        <v>1826</v>
      </c>
      <c r="L1262" s="13">
        <v>14427.66</v>
      </c>
      <c r="M1262" s="15">
        <v>261.39004308588744</v>
      </c>
      <c r="N1262" s="13">
        <v>14427.66</v>
      </c>
      <c r="O1262" s="13">
        <v>0</v>
      </c>
      <c r="P1262" s="11">
        <v>1</v>
      </c>
    </row>
    <row r="1263" spans="1:16" ht="15" thickBot="1" x14ac:dyDescent="0.3">
      <c r="A1263" s="3" t="s">
        <v>11</v>
      </c>
      <c r="B1263" s="4">
        <v>394090</v>
      </c>
      <c r="C1263" s="3" t="s">
        <v>9</v>
      </c>
      <c r="D1263" s="18">
        <v>0.1</v>
      </c>
      <c r="E1263" s="21">
        <v>7.9741404289037643E-3</v>
      </c>
      <c r="F1263" s="5">
        <v>41172</v>
      </c>
      <c r="G1263" s="5">
        <v>42269</v>
      </c>
      <c r="H1263" s="16">
        <v>1097</v>
      </c>
      <c r="I1263" s="5">
        <v>42269</v>
      </c>
      <c r="J1263" s="5">
        <v>41296</v>
      </c>
      <c r="K1263" s="16">
        <v>124</v>
      </c>
      <c r="L1263" s="13">
        <v>4104.09</v>
      </c>
      <c r="M1263" s="15">
        <v>129.83697726456896</v>
      </c>
      <c r="N1263" s="13">
        <v>4104.09</v>
      </c>
      <c r="O1263" s="13">
        <v>0</v>
      </c>
      <c r="P1263" s="11">
        <v>1</v>
      </c>
    </row>
    <row r="1264" spans="1:16" ht="15" thickBot="1" x14ac:dyDescent="0.3">
      <c r="A1264" s="3" t="s">
        <v>11</v>
      </c>
      <c r="B1264" s="4">
        <v>366621</v>
      </c>
      <c r="C1264" s="3" t="s">
        <v>9</v>
      </c>
      <c r="D1264" s="18">
        <v>0.1</v>
      </c>
      <c r="E1264" s="21">
        <v>7.9741404289037643E-3</v>
      </c>
      <c r="F1264" s="5">
        <v>41178</v>
      </c>
      <c r="G1264" s="5">
        <v>41969</v>
      </c>
      <c r="H1264" s="16">
        <v>791</v>
      </c>
      <c r="I1264" s="5">
        <v>41969</v>
      </c>
      <c r="J1264" s="5">
        <v>41935</v>
      </c>
      <c r="K1264" s="16">
        <v>757</v>
      </c>
      <c r="L1264" s="13">
        <v>742.75</v>
      </c>
      <c r="M1264" s="15">
        <v>31.346887541632412</v>
      </c>
      <c r="N1264" s="13">
        <v>742.75</v>
      </c>
      <c r="O1264" s="13">
        <v>0</v>
      </c>
      <c r="P1264" s="11">
        <v>0</v>
      </c>
    </row>
    <row r="1265" spans="1:16" ht="15" thickBot="1" x14ac:dyDescent="0.3">
      <c r="A1265" s="3" t="s">
        <v>11</v>
      </c>
      <c r="B1265" s="4">
        <v>493340</v>
      </c>
      <c r="C1265" s="3" t="s">
        <v>9</v>
      </c>
      <c r="D1265" s="18">
        <v>0.14000000000000001</v>
      </c>
      <c r="E1265" s="21">
        <v>1.0978851950173452E-2</v>
      </c>
      <c r="F1265" s="5">
        <v>41183</v>
      </c>
      <c r="G1265" s="5">
        <v>41913</v>
      </c>
      <c r="H1265" s="16">
        <v>730</v>
      </c>
      <c r="I1265" s="5">
        <v>41913</v>
      </c>
      <c r="J1265" s="5">
        <v>42114</v>
      </c>
      <c r="K1265" s="16">
        <v>931</v>
      </c>
      <c r="L1265" s="13">
        <v>1495.2</v>
      </c>
      <c r="M1265" s="15">
        <v>70.354093809871273</v>
      </c>
      <c r="N1265" s="13">
        <v>1495.2</v>
      </c>
      <c r="O1265" s="13">
        <v>1495.2</v>
      </c>
      <c r="P1265" s="11">
        <v>0</v>
      </c>
    </row>
    <row r="1266" spans="1:16" ht="15" thickBot="1" x14ac:dyDescent="0.3">
      <c r="A1266" s="3" t="s">
        <v>11</v>
      </c>
      <c r="B1266" s="4">
        <v>587140</v>
      </c>
      <c r="C1266" s="3" t="s">
        <v>9</v>
      </c>
      <c r="D1266" s="18">
        <v>0.1</v>
      </c>
      <c r="E1266" s="21">
        <v>7.9741404289037643E-3</v>
      </c>
      <c r="F1266" s="5">
        <v>41191</v>
      </c>
      <c r="G1266" s="5">
        <v>43048</v>
      </c>
      <c r="H1266" s="16">
        <v>1857</v>
      </c>
      <c r="I1266" s="5">
        <v>43048</v>
      </c>
      <c r="J1266" s="5">
        <v>42341</v>
      </c>
      <c r="K1266" s="16">
        <v>1150</v>
      </c>
      <c r="L1266" s="13">
        <v>2437.98</v>
      </c>
      <c r="M1266" s="15">
        <v>50.05630872423076</v>
      </c>
      <c r="N1266" s="13">
        <v>2437.98</v>
      </c>
      <c r="O1266" s="13">
        <v>0</v>
      </c>
      <c r="P1266" s="11">
        <v>1</v>
      </c>
    </row>
    <row r="1267" spans="1:16" ht="15" thickBot="1" x14ac:dyDescent="0.3">
      <c r="A1267" s="3" t="s">
        <v>11</v>
      </c>
      <c r="B1267" s="4">
        <v>473715</v>
      </c>
      <c r="C1267" s="3" t="s">
        <v>9</v>
      </c>
      <c r="D1267" s="18">
        <v>9.5000000000000001E-2</v>
      </c>
      <c r="E1267" s="21">
        <v>7.5915342905825689E-3</v>
      </c>
      <c r="F1267" s="5">
        <v>41194</v>
      </c>
      <c r="G1267" s="5">
        <v>43811</v>
      </c>
      <c r="H1267" s="16">
        <v>2617</v>
      </c>
      <c r="I1267" s="5">
        <v>43811</v>
      </c>
      <c r="J1267" s="5">
        <v>43563</v>
      </c>
      <c r="K1267" s="16">
        <v>2369</v>
      </c>
      <c r="L1267" s="13">
        <v>22690.25</v>
      </c>
      <c r="M1267" s="15">
        <v>356.6249810176069</v>
      </c>
      <c r="N1267" s="13">
        <v>22540.51</v>
      </c>
      <c r="O1267" s="13">
        <v>0</v>
      </c>
      <c r="P1267" s="11">
        <v>1</v>
      </c>
    </row>
    <row r="1268" spans="1:16" ht="15" thickBot="1" x14ac:dyDescent="0.3">
      <c r="A1268" s="3" t="s">
        <v>11</v>
      </c>
      <c r="B1268" s="4">
        <v>987203</v>
      </c>
      <c r="C1268" s="3" t="s">
        <v>16</v>
      </c>
      <c r="D1268" s="18">
        <v>0.1</v>
      </c>
      <c r="E1268" s="21">
        <v>7.9741404289037643E-3</v>
      </c>
      <c r="F1268" s="5">
        <v>39402</v>
      </c>
      <c r="G1268" s="5">
        <v>40167</v>
      </c>
      <c r="H1268" s="16">
        <v>765</v>
      </c>
      <c r="I1268" s="5">
        <v>40167</v>
      </c>
      <c r="J1268" s="5">
        <v>40049</v>
      </c>
      <c r="K1268" s="16">
        <v>647</v>
      </c>
      <c r="L1268" s="13">
        <v>3060</v>
      </c>
      <c r="M1268" s="15">
        <v>133.08980273306148</v>
      </c>
      <c r="N1268" s="13">
        <v>1096.55</v>
      </c>
      <c r="O1268" s="13">
        <v>0</v>
      </c>
      <c r="P1268" s="11">
        <v>0</v>
      </c>
    </row>
    <row r="1269" spans="1:16" ht="15" thickBot="1" x14ac:dyDescent="0.3">
      <c r="A1269" s="3" t="s">
        <v>11</v>
      </c>
      <c r="B1269" s="4">
        <v>845374</v>
      </c>
      <c r="C1269" s="3" t="s">
        <v>9</v>
      </c>
      <c r="D1269" s="18">
        <v>0.1</v>
      </c>
      <c r="E1269" s="21">
        <v>7.9741404289037643E-3</v>
      </c>
      <c r="F1269" s="5">
        <v>41211</v>
      </c>
      <c r="G1269" s="5">
        <v>43068</v>
      </c>
      <c r="H1269" s="16">
        <v>1857</v>
      </c>
      <c r="I1269" s="5">
        <v>43068</v>
      </c>
      <c r="J1269" s="5">
        <v>41848</v>
      </c>
      <c r="K1269" s="16">
        <v>637</v>
      </c>
      <c r="L1269" s="13">
        <v>7130.26</v>
      </c>
      <c r="M1269" s="15">
        <v>146.39763076154588</v>
      </c>
      <c r="N1269" s="13">
        <v>7130.26</v>
      </c>
      <c r="O1269" s="13">
        <v>0</v>
      </c>
      <c r="P1269" s="11">
        <v>1</v>
      </c>
    </row>
    <row r="1270" spans="1:16" ht="15" thickBot="1" x14ac:dyDescent="0.3">
      <c r="A1270" s="3" t="s">
        <v>11</v>
      </c>
      <c r="B1270" s="4">
        <v>845562</v>
      </c>
      <c r="C1270" s="3" t="s">
        <v>9</v>
      </c>
      <c r="D1270" s="18">
        <v>0.11</v>
      </c>
      <c r="E1270" s="21">
        <v>8.7345938235519061E-3</v>
      </c>
      <c r="F1270" s="5">
        <v>41212</v>
      </c>
      <c r="G1270" s="5">
        <v>43159</v>
      </c>
      <c r="H1270" s="16">
        <v>1947</v>
      </c>
      <c r="I1270" s="5">
        <v>43159</v>
      </c>
      <c r="J1270" s="5">
        <v>42009</v>
      </c>
      <c r="K1270" s="16">
        <v>797</v>
      </c>
      <c r="L1270" s="13">
        <v>1975.38</v>
      </c>
      <c r="M1270" s="15">
        <v>40.00435834045102</v>
      </c>
      <c r="N1270" s="13">
        <v>1975.38</v>
      </c>
      <c r="O1270" s="13">
        <v>0</v>
      </c>
      <c r="P1270" s="11">
        <v>1</v>
      </c>
    </row>
    <row r="1271" spans="1:16" ht="15" thickBot="1" x14ac:dyDescent="0.3">
      <c r="A1271" s="3" t="s">
        <v>11</v>
      </c>
      <c r="B1271" s="4">
        <v>404888</v>
      </c>
      <c r="C1271" s="3" t="s">
        <v>9</v>
      </c>
      <c r="D1271" s="18">
        <v>0.1</v>
      </c>
      <c r="E1271" s="21">
        <v>7.9741404289037643E-3</v>
      </c>
      <c r="F1271" s="5">
        <v>41212</v>
      </c>
      <c r="G1271" s="5">
        <v>43039</v>
      </c>
      <c r="H1271" s="16">
        <v>1827</v>
      </c>
      <c r="I1271" s="5">
        <v>43039</v>
      </c>
      <c r="J1271" s="5">
        <v>41681</v>
      </c>
      <c r="K1271" s="16">
        <v>469</v>
      </c>
      <c r="L1271" s="13">
        <v>13000</v>
      </c>
      <c r="M1271" s="15">
        <v>270.30888640106048</v>
      </c>
      <c r="N1271" s="13">
        <v>13000</v>
      </c>
      <c r="O1271" s="13">
        <v>0</v>
      </c>
      <c r="P1271" s="11">
        <v>1</v>
      </c>
    </row>
    <row r="1272" spans="1:16" ht="15" thickBot="1" x14ac:dyDescent="0.3">
      <c r="A1272" s="3" t="s">
        <v>11</v>
      </c>
      <c r="B1272" s="4">
        <v>594116</v>
      </c>
      <c r="C1272" s="3" t="s">
        <v>9</v>
      </c>
      <c r="D1272" s="18">
        <v>0.09</v>
      </c>
      <c r="E1272" s="21">
        <v>7.2073233161367156E-3</v>
      </c>
      <c r="F1272" s="5">
        <v>41220</v>
      </c>
      <c r="G1272" s="5">
        <v>43697</v>
      </c>
      <c r="H1272" s="16">
        <v>2477</v>
      </c>
      <c r="I1272" s="5">
        <v>43697</v>
      </c>
      <c r="J1272" s="5">
        <v>42124</v>
      </c>
      <c r="K1272" s="16">
        <v>904</v>
      </c>
      <c r="L1272" s="13">
        <v>18326.009999999998</v>
      </c>
      <c r="M1272" s="15">
        <v>295.28228143883189</v>
      </c>
      <c r="N1272" s="13">
        <v>18326.009999999998</v>
      </c>
      <c r="O1272" s="13">
        <v>0</v>
      </c>
      <c r="P1272" s="11">
        <v>1</v>
      </c>
    </row>
    <row r="1273" spans="1:16" ht="15" thickBot="1" x14ac:dyDescent="0.3">
      <c r="A1273" s="3" t="s">
        <v>11</v>
      </c>
      <c r="B1273" s="4">
        <v>573997</v>
      </c>
      <c r="C1273" s="3" t="s">
        <v>9</v>
      </c>
      <c r="D1273" s="18">
        <v>0.12</v>
      </c>
      <c r="E1273" s="21">
        <v>9.4887929345830457E-3</v>
      </c>
      <c r="F1273" s="5">
        <v>41226</v>
      </c>
      <c r="G1273" s="5">
        <v>42687</v>
      </c>
      <c r="H1273" s="16">
        <v>1461</v>
      </c>
      <c r="I1273" s="5">
        <v>42687</v>
      </c>
      <c r="J1273" s="5">
        <v>42156</v>
      </c>
      <c r="K1273" s="16">
        <v>930</v>
      </c>
      <c r="L1273" s="13">
        <v>2507.64</v>
      </c>
      <c r="M1273" s="15">
        <v>64.541506381631905</v>
      </c>
      <c r="N1273" s="13">
        <v>2507.64</v>
      </c>
      <c r="O1273" s="13">
        <v>0</v>
      </c>
      <c r="P1273" s="11">
        <v>1</v>
      </c>
    </row>
    <row r="1274" spans="1:16" ht="15" thickBot="1" x14ac:dyDescent="0.3">
      <c r="A1274" s="3" t="s">
        <v>11</v>
      </c>
      <c r="B1274" s="4">
        <v>448957</v>
      </c>
      <c r="C1274" s="3" t="s">
        <v>9</v>
      </c>
      <c r="D1274" s="18">
        <v>0.1</v>
      </c>
      <c r="E1274" s="21">
        <v>7.9741404289037643E-3</v>
      </c>
      <c r="F1274" s="5">
        <v>41243</v>
      </c>
      <c r="G1274" s="5">
        <v>42093</v>
      </c>
      <c r="H1274" s="16">
        <v>850</v>
      </c>
      <c r="I1274" s="5">
        <v>42093</v>
      </c>
      <c r="J1274" s="5">
        <v>41458</v>
      </c>
      <c r="K1274" s="16">
        <v>215</v>
      </c>
      <c r="L1274" s="13">
        <v>3960.34</v>
      </c>
      <c r="M1274" s="15">
        <v>156.71515265692321</v>
      </c>
      <c r="N1274" s="13">
        <v>3960.34</v>
      </c>
      <c r="O1274" s="13">
        <v>0</v>
      </c>
      <c r="P1274" s="11">
        <v>1</v>
      </c>
    </row>
    <row r="1275" spans="1:16" ht="15" thickBot="1" x14ac:dyDescent="0.3">
      <c r="A1275" s="3" t="s">
        <v>11</v>
      </c>
      <c r="B1275" s="4">
        <v>148868</v>
      </c>
      <c r="C1275" s="3" t="s">
        <v>9</v>
      </c>
      <c r="D1275" s="18">
        <v>0.12</v>
      </c>
      <c r="E1275" s="21">
        <v>9.4887929345830457E-3</v>
      </c>
      <c r="F1275" s="5">
        <v>41248</v>
      </c>
      <c r="G1275" s="5">
        <v>41978</v>
      </c>
      <c r="H1275" s="16">
        <v>730</v>
      </c>
      <c r="I1275" s="5">
        <v>41978</v>
      </c>
      <c r="J1275" s="5">
        <v>41437</v>
      </c>
      <c r="K1275" s="16">
        <v>189</v>
      </c>
      <c r="L1275" s="13">
        <v>2263.34</v>
      </c>
      <c r="M1275" s="15">
        <v>104.60367594653242</v>
      </c>
      <c r="N1275" s="13">
        <v>2263.34</v>
      </c>
      <c r="O1275" s="13">
        <v>0</v>
      </c>
      <c r="P1275" s="11">
        <v>0</v>
      </c>
    </row>
    <row r="1276" spans="1:16" ht="15" thickBot="1" x14ac:dyDescent="0.3">
      <c r="A1276" s="3" t="s">
        <v>11</v>
      </c>
      <c r="B1276" s="4">
        <v>874853</v>
      </c>
      <c r="C1276" s="3" t="s">
        <v>16</v>
      </c>
      <c r="D1276" s="18">
        <v>9.5000000000000001E-2</v>
      </c>
      <c r="E1276" s="21">
        <v>7.5915342905825689E-3</v>
      </c>
      <c r="F1276" s="5">
        <v>42528</v>
      </c>
      <c r="G1276" s="5">
        <v>43258</v>
      </c>
      <c r="H1276" s="16">
        <v>730</v>
      </c>
      <c r="I1276" s="5">
        <v>43288</v>
      </c>
      <c r="J1276" s="5">
        <v>43182</v>
      </c>
      <c r="K1276" s="16">
        <v>654</v>
      </c>
      <c r="L1276" s="13">
        <v>5075</v>
      </c>
      <c r="M1276" s="15">
        <v>229.20632563075546</v>
      </c>
      <c r="N1276" s="13">
        <v>1956.8</v>
      </c>
      <c r="O1276" s="13">
        <v>0</v>
      </c>
      <c r="P1276" s="11">
        <v>1</v>
      </c>
    </row>
    <row r="1277" spans="1:16" ht="15" thickBot="1" x14ac:dyDescent="0.3">
      <c r="A1277" s="3" t="s">
        <v>11</v>
      </c>
      <c r="B1277" s="4">
        <v>396634</v>
      </c>
      <c r="C1277" s="3" t="s">
        <v>16</v>
      </c>
      <c r="D1277" s="18">
        <v>8.5000000000000006E-2</v>
      </c>
      <c r="E1277" s="21">
        <v>6.8214933659622723E-3</v>
      </c>
      <c r="F1277" s="5">
        <v>42895</v>
      </c>
      <c r="G1277" s="5">
        <v>43991</v>
      </c>
      <c r="H1277" s="16">
        <v>1096</v>
      </c>
      <c r="I1277" s="5">
        <v>43991</v>
      </c>
      <c r="J1277" s="5">
        <v>43182</v>
      </c>
      <c r="K1277" s="16">
        <v>287</v>
      </c>
      <c r="L1277" s="13">
        <v>3075</v>
      </c>
      <c r="M1277" s="15">
        <v>95.378209882499618</v>
      </c>
      <c r="N1277" s="13">
        <v>2678.32</v>
      </c>
      <c r="O1277" s="13">
        <v>0</v>
      </c>
      <c r="P1277" s="11">
        <v>1</v>
      </c>
    </row>
    <row r="1278" spans="1:16" ht="15" thickBot="1" x14ac:dyDescent="0.3">
      <c r="A1278" s="3" t="s">
        <v>11</v>
      </c>
      <c r="B1278" s="4">
        <v>235374</v>
      </c>
      <c r="C1278" s="3" t="s">
        <v>9</v>
      </c>
      <c r="D1278" s="18">
        <v>7.6770000000000005E-2</v>
      </c>
      <c r="E1278" s="21">
        <v>6.1828536841077586E-3</v>
      </c>
      <c r="F1278" s="5">
        <v>42928</v>
      </c>
      <c r="G1278" s="5">
        <v>44753</v>
      </c>
      <c r="H1278" s="16">
        <v>1825</v>
      </c>
      <c r="I1278" s="5">
        <v>44815</v>
      </c>
      <c r="J1278" s="5">
        <v>43873</v>
      </c>
      <c r="K1278" s="16">
        <v>945</v>
      </c>
      <c r="L1278" s="13">
        <v>27581</v>
      </c>
      <c r="M1278" s="15">
        <v>545.36722249722243</v>
      </c>
      <c r="N1278" s="13">
        <v>12605.25</v>
      </c>
      <c r="O1278" s="13">
        <v>150</v>
      </c>
      <c r="P1278" s="11">
        <v>1</v>
      </c>
    </row>
    <row r="1279" spans="1:16" ht="15" thickBot="1" x14ac:dyDescent="0.3">
      <c r="A1279" s="3" t="s">
        <v>11</v>
      </c>
      <c r="B1279" s="4">
        <v>460044</v>
      </c>
      <c r="C1279" s="3" t="s">
        <v>9</v>
      </c>
      <c r="D1279" s="18">
        <v>0.13</v>
      </c>
      <c r="E1279" s="21">
        <v>1.02368443581764E-2</v>
      </c>
      <c r="F1279" s="5">
        <v>41354</v>
      </c>
      <c r="G1279" s="5">
        <v>42846</v>
      </c>
      <c r="H1279" s="16">
        <v>1492</v>
      </c>
      <c r="I1279" s="5">
        <v>42846</v>
      </c>
      <c r="J1279" s="5">
        <v>42375</v>
      </c>
      <c r="K1279" s="16">
        <v>1021</v>
      </c>
      <c r="L1279" s="13">
        <v>4885.2700000000004</v>
      </c>
      <c r="M1279" s="15">
        <v>125.83804655508655</v>
      </c>
      <c r="N1279" s="13">
        <v>4885.2700000000004</v>
      </c>
      <c r="O1279" s="13">
        <v>0</v>
      </c>
      <c r="P1279" s="11">
        <v>1</v>
      </c>
    </row>
    <row r="1280" spans="1:16" ht="15" thickBot="1" x14ac:dyDescent="0.3">
      <c r="A1280" s="3" t="s">
        <v>11</v>
      </c>
      <c r="B1280" s="4">
        <v>757648</v>
      </c>
      <c r="C1280" s="3" t="s">
        <v>9</v>
      </c>
      <c r="D1280" s="18">
        <v>0.1</v>
      </c>
      <c r="E1280" s="21">
        <v>7.9741404289037643E-3</v>
      </c>
      <c r="F1280" s="5">
        <v>41367</v>
      </c>
      <c r="G1280" s="5">
        <v>43915</v>
      </c>
      <c r="H1280" s="16">
        <v>2548</v>
      </c>
      <c r="I1280" s="5">
        <v>43915</v>
      </c>
      <c r="J1280" s="5">
        <v>43563</v>
      </c>
      <c r="K1280" s="16">
        <v>2196</v>
      </c>
      <c r="L1280" s="13">
        <v>10885.58</v>
      </c>
      <c r="M1280" s="15">
        <v>176.92112914179162</v>
      </c>
      <c r="N1280" s="13">
        <v>10206.68</v>
      </c>
      <c r="O1280" s="13">
        <v>0</v>
      </c>
      <c r="P1280" s="11">
        <v>1</v>
      </c>
    </row>
    <row r="1281" spans="1:16" ht="15" thickBot="1" x14ac:dyDescent="0.3">
      <c r="A1281" s="3" t="s">
        <v>11</v>
      </c>
      <c r="B1281" s="4">
        <v>695409</v>
      </c>
      <c r="C1281" s="3" t="s">
        <v>9</v>
      </c>
      <c r="D1281" s="18">
        <v>0.14000000000000001</v>
      </c>
      <c r="E1281" s="21">
        <v>1.0978851950173452E-2</v>
      </c>
      <c r="F1281" s="5">
        <v>41372</v>
      </c>
      <c r="G1281" s="5">
        <v>42468</v>
      </c>
      <c r="H1281" s="16">
        <v>1096</v>
      </c>
      <c r="I1281" s="5">
        <v>42468</v>
      </c>
      <c r="J1281" s="5">
        <v>41758</v>
      </c>
      <c r="K1281" s="16">
        <v>386</v>
      </c>
      <c r="L1281" s="13">
        <v>7584.41</v>
      </c>
      <c r="M1281" s="15">
        <v>253.13477999775392</v>
      </c>
      <c r="N1281" s="13">
        <v>7584.41</v>
      </c>
      <c r="O1281" s="13">
        <v>0</v>
      </c>
      <c r="P1281" s="11">
        <v>1</v>
      </c>
    </row>
    <row r="1282" spans="1:16" ht="15" thickBot="1" x14ac:dyDescent="0.3">
      <c r="A1282" s="3" t="s">
        <v>11</v>
      </c>
      <c r="B1282" s="4">
        <v>516380</v>
      </c>
      <c r="C1282" s="3" t="s">
        <v>9</v>
      </c>
      <c r="D1282" s="18">
        <v>0.14000000000000001</v>
      </c>
      <c r="E1282" s="21">
        <v>1.0978851950173452E-2</v>
      </c>
      <c r="F1282" s="5">
        <v>41375</v>
      </c>
      <c r="G1282" s="5">
        <v>43231</v>
      </c>
      <c r="H1282" s="16">
        <v>1856</v>
      </c>
      <c r="I1282" s="5">
        <v>43231</v>
      </c>
      <c r="J1282" s="5">
        <v>42201</v>
      </c>
      <c r="K1282" s="16">
        <v>826</v>
      </c>
      <c r="L1282" s="13">
        <v>7446.41</v>
      </c>
      <c r="M1282" s="15">
        <v>166.46581273878007</v>
      </c>
      <c r="N1282" s="13">
        <v>7446.41</v>
      </c>
      <c r="O1282" s="13">
        <v>0</v>
      </c>
      <c r="P1282" s="11">
        <v>1</v>
      </c>
    </row>
    <row r="1283" spans="1:16" ht="15" thickBot="1" x14ac:dyDescent="0.3">
      <c r="A1283" s="3" t="s">
        <v>11</v>
      </c>
      <c r="B1283" s="4">
        <v>35393</v>
      </c>
      <c r="C1283" s="3" t="s">
        <v>9</v>
      </c>
      <c r="D1283" s="18">
        <v>0.14000000000000001</v>
      </c>
      <c r="E1283" s="21">
        <v>1.0978851950173452E-2</v>
      </c>
      <c r="F1283" s="5">
        <v>41380</v>
      </c>
      <c r="G1283" s="5">
        <v>42476</v>
      </c>
      <c r="H1283" s="16">
        <v>1096</v>
      </c>
      <c r="I1283" s="5">
        <v>42476</v>
      </c>
      <c r="J1283" s="5">
        <v>41486</v>
      </c>
      <c r="K1283" s="16">
        <v>106</v>
      </c>
      <c r="L1283" s="13">
        <v>8184.26</v>
      </c>
      <c r="M1283" s="15">
        <v>273.15517680932567</v>
      </c>
      <c r="N1283" s="13">
        <v>8184.26</v>
      </c>
      <c r="O1283" s="13">
        <v>0</v>
      </c>
      <c r="P1283" s="11">
        <v>1</v>
      </c>
    </row>
    <row r="1284" spans="1:16" ht="15" thickBot="1" x14ac:dyDescent="0.3">
      <c r="A1284" s="3" t="s">
        <v>11</v>
      </c>
      <c r="B1284" s="4">
        <v>55410</v>
      </c>
      <c r="C1284" s="3" t="s">
        <v>9</v>
      </c>
      <c r="D1284" s="18">
        <v>0.1</v>
      </c>
      <c r="E1284" s="21">
        <v>7.9741404289037643E-3</v>
      </c>
      <c r="F1284" s="5">
        <v>41381</v>
      </c>
      <c r="G1284" s="5">
        <v>43638</v>
      </c>
      <c r="H1284" s="16">
        <v>2257</v>
      </c>
      <c r="I1284" s="5">
        <v>43638</v>
      </c>
      <c r="J1284" s="5">
        <v>41967</v>
      </c>
      <c r="K1284" s="16">
        <v>586</v>
      </c>
      <c r="L1284" s="13">
        <v>40010.82</v>
      </c>
      <c r="M1284" s="15">
        <v>709.26008880984898</v>
      </c>
      <c r="N1284" s="13">
        <v>40010.82</v>
      </c>
      <c r="O1284" s="13">
        <v>0</v>
      </c>
      <c r="P1284" s="11">
        <v>1</v>
      </c>
    </row>
    <row r="1285" spans="1:16" ht="15" thickBot="1" x14ac:dyDescent="0.3">
      <c r="A1285" s="3" t="s">
        <v>11</v>
      </c>
      <c r="B1285" s="4">
        <v>798287</v>
      </c>
      <c r="C1285" s="3" t="s">
        <v>9</v>
      </c>
      <c r="D1285" s="18">
        <v>0.1</v>
      </c>
      <c r="E1285" s="21">
        <v>7.9741404289037643E-3</v>
      </c>
      <c r="F1285" s="5">
        <v>41397</v>
      </c>
      <c r="G1285" s="5">
        <v>42694</v>
      </c>
      <c r="H1285" s="16">
        <v>1297</v>
      </c>
      <c r="I1285" s="5">
        <v>42694</v>
      </c>
      <c r="J1285" s="5">
        <v>42325</v>
      </c>
      <c r="K1285" s="16">
        <v>928</v>
      </c>
      <c r="L1285" s="13">
        <v>7066.51</v>
      </c>
      <c r="M1285" s="15">
        <v>193.88528179426649</v>
      </c>
      <c r="N1285" s="13">
        <v>7066.51</v>
      </c>
      <c r="O1285" s="13">
        <v>0</v>
      </c>
      <c r="P1285" s="11">
        <v>1</v>
      </c>
    </row>
    <row r="1286" spans="1:16" ht="15" thickBot="1" x14ac:dyDescent="0.3">
      <c r="A1286" s="3" t="s">
        <v>11</v>
      </c>
      <c r="B1286" s="4">
        <v>616718</v>
      </c>
      <c r="C1286" s="3" t="s">
        <v>9</v>
      </c>
      <c r="D1286" s="18">
        <v>0.1</v>
      </c>
      <c r="E1286" s="21">
        <v>7.9741404289037643E-3</v>
      </c>
      <c r="F1286" s="5">
        <v>41401</v>
      </c>
      <c r="G1286" s="5">
        <v>42862</v>
      </c>
      <c r="H1286" s="16">
        <v>1461</v>
      </c>
      <c r="I1286" s="5">
        <v>42862</v>
      </c>
      <c r="J1286" s="5">
        <v>41667</v>
      </c>
      <c r="K1286" s="16">
        <v>266</v>
      </c>
      <c r="L1286" s="13">
        <v>3177.32</v>
      </c>
      <c r="M1286" s="15">
        <v>78.985339615422859</v>
      </c>
      <c r="N1286" s="13">
        <v>3177.32</v>
      </c>
      <c r="O1286" s="13">
        <v>0</v>
      </c>
      <c r="P1286" s="11">
        <v>1</v>
      </c>
    </row>
    <row r="1287" spans="1:16" ht="15" thickBot="1" x14ac:dyDescent="0.3">
      <c r="A1287" s="3" t="s">
        <v>11</v>
      </c>
      <c r="B1287" s="4">
        <v>821597</v>
      </c>
      <c r="C1287" s="3" t="s">
        <v>9</v>
      </c>
      <c r="D1287" s="18">
        <v>0.12</v>
      </c>
      <c r="E1287" s="21">
        <v>9.4887929345830457E-3</v>
      </c>
      <c r="F1287" s="5">
        <v>41422</v>
      </c>
      <c r="G1287" s="5">
        <v>43613</v>
      </c>
      <c r="H1287" s="16">
        <v>2191</v>
      </c>
      <c r="I1287" s="5">
        <v>43613</v>
      </c>
      <c r="J1287" s="5">
        <v>41767</v>
      </c>
      <c r="K1287" s="16">
        <v>345</v>
      </c>
      <c r="L1287" s="13">
        <v>4146.49</v>
      </c>
      <c r="M1287" s="15">
        <v>78.960577200201882</v>
      </c>
      <c r="N1287" s="13">
        <v>4146.49</v>
      </c>
      <c r="O1287" s="13">
        <v>0</v>
      </c>
      <c r="P1287" s="11">
        <v>1</v>
      </c>
    </row>
    <row r="1288" spans="1:16" ht="15" thickBot="1" x14ac:dyDescent="0.3">
      <c r="A1288" s="3" t="s">
        <v>11</v>
      </c>
      <c r="B1288" s="4">
        <v>518820</v>
      </c>
      <c r="C1288" s="3" t="s">
        <v>9</v>
      </c>
      <c r="D1288" s="18">
        <v>0.1</v>
      </c>
      <c r="E1288" s="21">
        <v>7.9741404289037643E-3</v>
      </c>
      <c r="F1288" s="5">
        <v>41424</v>
      </c>
      <c r="G1288" s="5">
        <v>43799</v>
      </c>
      <c r="H1288" s="16">
        <v>2375</v>
      </c>
      <c r="I1288" s="5">
        <v>43799</v>
      </c>
      <c r="J1288" s="5">
        <v>43644</v>
      </c>
      <c r="K1288" s="16">
        <v>2220</v>
      </c>
      <c r="L1288" s="13">
        <v>3182.12</v>
      </c>
      <c r="M1288" s="15">
        <v>54.363500824974494</v>
      </c>
      <c r="N1288" s="13">
        <v>3182.12</v>
      </c>
      <c r="O1288" s="13">
        <v>0</v>
      </c>
      <c r="P1288" s="11">
        <v>1</v>
      </c>
    </row>
    <row r="1289" spans="1:16" ht="15" thickBot="1" x14ac:dyDescent="0.3">
      <c r="A1289" s="3" t="s">
        <v>11</v>
      </c>
      <c r="B1289" s="4">
        <v>842289</v>
      </c>
      <c r="C1289" s="3" t="s">
        <v>9</v>
      </c>
      <c r="D1289" s="18">
        <v>0.11</v>
      </c>
      <c r="E1289" s="21">
        <v>8.7345938235519061E-3</v>
      </c>
      <c r="F1289" s="5">
        <v>41428</v>
      </c>
      <c r="G1289" s="5">
        <v>42524</v>
      </c>
      <c r="H1289" s="16">
        <v>1096</v>
      </c>
      <c r="I1289" s="5">
        <v>42524</v>
      </c>
      <c r="J1289" s="5">
        <v>41764</v>
      </c>
      <c r="K1289" s="16">
        <v>336</v>
      </c>
      <c r="L1289" s="13">
        <v>2365.09</v>
      </c>
      <c r="M1289" s="15">
        <v>75.895271556402491</v>
      </c>
      <c r="N1289" s="13">
        <v>2365.09</v>
      </c>
      <c r="O1289" s="13">
        <v>0</v>
      </c>
      <c r="P1289" s="11">
        <v>1</v>
      </c>
    </row>
    <row r="1290" spans="1:16" ht="15" thickBot="1" x14ac:dyDescent="0.3">
      <c r="A1290" s="3" t="s">
        <v>11</v>
      </c>
      <c r="B1290" s="4">
        <v>900605</v>
      </c>
      <c r="C1290" s="3" t="s">
        <v>9</v>
      </c>
      <c r="D1290" s="18">
        <v>0.11</v>
      </c>
      <c r="E1290" s="21">
        <v>8.7345938235519061E-3</v>
      </c>
      <c r="F1290" s="5">
        <v>41435</v>
      </c>
      <c r="G1290" s="5">
        <v>42165</v>
      </c>
      <c r="H1290" s="16">
        <v>730</v>
      </c>
      <c r="I1290" s="5">
        <v>42165</v>
      </c>
      <c r="J1290" s="5">
        <v>42072</v>
      </c>
      <c r="K1290" s="16">
        <v>637</v>
      </c>
      <c r="L1290" s="13">
        <v>1082.69</v>
      </c>
      <c r="M1290" s="15">
        <v>49.583222103266998</v>
      </c>
      <c r="N1290" s="13">
        <v>1082.69</v>
      </c>
      <c r="O1290" s="13">
        <v>0</v>
      </c>
      <c r="P1290" s="11">
        <v>1</v>
      </c>
    </row>
    <row r="1291" spans="1:16" ht="15" thickBot="1" x14ac:dyDescent="0.3">
      <c r="A1291" s="3" t="s">
        <v>11</v>
      </c>
      <c r="B1291" s="4">
        <v>981052</v>
      </c>
      <c r="C1291" s="3" t="s">
        <v>9</v>
      </c>
      <c r="D1291" s="18">
        <v>0.09</v>
      </c>
      <c r="E1291" s="21">
        <v>7.2073233161367156E-3</v>
      </c>
      <c r="F1291" s="5">
        <v>41445</v>
      </c>
      <c r="G1291" s="5">
        <v>43089</v>
      </c>
      <c r="H1291" s="16">
        <v>1644</v>
      </c>
      <c r="I1291" s="5">
        <v>43089</v>
      </c>
      <c r="J1291" s="5">
        <v>42807</v>
      </c>
      <c r="K1291" s="16">
        <v>1362</v>
      </c>
      <c r="L1291" s="13">
        <v>7936.73</v>
      </c>
      <c r="M1291" s="15">
        <v>175.82458251518545</v>
      </c>
      <c r="N1291" s="13">
        <v>7936.73</v>
      </c>
      <c r="O1291" s="13">
        <v>0</v>
      </c>
      <c r="P1291" s="11">
        <v>1</v>
      </c>
    </row>
    <row r="1292" spans="1:16" ht="15" thickBot="1" x14ac:dyDescent="0.3">
      <c r="A1292" s="3" t="s">
        <v>11</v>
      </c>
      <c r="B1292" s="4">
        <v>437936</v>
      </c>
      <c r="C1292" s="3" t="s">
        <v>9</v>
      </c>
      <c r="D1292" s="18">
        <v>0.12</v>
      </c>
      <c r="E1292" s="21">
        <v>9.4887929345830457E-3</v>
      </c>
      <c r="F1292" s="5">
        <v>41446</v>
      </c>
      <c r="G1292" s="5">
        <v>43394</v>
      </c>
      <c r="H1292" s="16">
        <v>1948</v>
      </c>
      <c r="I1292" s="5">
        <v>43394</v>
      </c>
      <c r="J1292" s="5">
        <v>42983</v>
      </c>
      <c r="K1292" s="16">
        <v>1537</v>
      </c>
      <c r="L1292" s="13">
        <v>3965.56</v>
      </c>
      <c r="M1292" s="15">
        <v>82.085703476739155</v>
      </c>
      <c r="N1292" s="13">
        <v>3965.56</v>
      </c>
      <c r="O1292" s="13">
        <v>0</v>
      </c>
      <c r="P1292" s="11">
        <v>1</v>
      </c>
    </row>
    <row r="1293" spans="1:16" ht="15" thickBot="1" x14ac:dyDescent="0.3">
      <c r="A1293" s="3" t="s">
        <v>11</v>
      </c>
      <c r="B1293" s="4">
        <v>502160</v>
      </c>
      <c r="C1293" s="3" t="s">
        <v>9</v>
      </c>
      <c r="D1293" s="18">
        <v>0.11</v>
      </c>
      <c r="E1293" s="21">
        <v>8.7345938235519061E-3</v>
      </c>
      <c r="F1293" s="5">
        <v>41452</v>
      </c>
      <c r="G1293" s="5">
        <v>43643</v>
      </c>
      <c r="H1293" s="16">
        <v>2191</v>
      </c>
      <c r="I1293" s="5">
        <v>43643</v>
      </c>
      <c r="J1293" s="5">
        <v>42221</v>
      </c>
      <c r="K1293" s="16">
        <v>769</v>
      </c>
      <c r="L1293" s="13">
        <v>11805.51</v>
      </c>
      <c r="M1293" s="15">
        <v>219.33008833461682</v>
      </c>
      <c r="N1293" s="13">
        <v>11805.51</v>
      </c>
      <c r="O1293" s="13">
        <v>0</v>
      </c>
      <c r="P1293" s="11">
        <v>1</v>
      </c>
    </row>
    <row r="1294" spans="1:16" ht="15" thickBot="1" x14ac:dyDescent="0.3">
      <c r="A1294" s="3" t="s">
        <v>11</v>
      </c>
      <c r="B1294" s="4">
        <v>846149</v>
      </c>
      <c r="C1294" s="3" t="s">
        <v>9</v>
      </c>
      <c r="D1294" s="18">
        <v>0.1</v>
      </c>
      <c r="E1294" s="21">
        <v>7.9741404289037643E-3</v>
      </c>
      <c r="F1294" s="5">
        <v>41458</v>
      </c>
      <c r="G1294" s="5">
        <v>43649</v>
      </c>
      <c r="H1294" s="16">
        <v>2191</v>
      </c>
      <c r="I1294" s="5">
        <v>43649</v>
      </c>
      <c r="J1294" s="5">
        <v>42355</v>
      </c>
      <c r="K1294" s="16">
        <v>897</v>
      </c>
      <c r="L1294" s="13">
        <v>7965.32</v>
      </c>
      <c r="M1294" s="15">
        <v>144.30998082799849</v>
      </c>
      <c r="N1294" s="13">
        <v>7965.32</v>
      </c>
      <c r="O1294" s="13">
        <v>0</v>
      </c>
      <c r="P1294" s="11">
        <v>1</v>
      </c>
    </row>
    <row r="1295" spans="1:16" ht="15" thickBot="1" x14ac:dyDescent="0.3">
      <c r="A1295" s="3" t="s">
        <v>11</v>
      </c>
      <c r="B1295" s="4">
        <v>248680</v>
      </c>
      <c r="C1295" s="3" t="s">
        <v>9</v>
      </c>
      <c r="D1295" s="18">
        <v>0.1</v>
      </c>
      <c r="E1295" s="21">
        <v>7.9741404289037643E-3</v>
      </c>
      <c r="F1295" s="5">
        <v>41463</v>
      </c>
      <c r="G1295" s="5">
        <v>42802</v>
      </c>
      <c r="H1295" s="16">
        <v>1339</v>
      </c>
      <c r="I1295" s="5">
        <v>42802</v>
      </c>
      <c r="J1295" s="5">
        <v>42454</v>
      </c>
      <c r="K1295" s="16">
        <v>991</v>
      </c>
      <c r="L1295" s="13">
        <v>3224.87</v>
      </c>
      <c r="M1295" s="15">
        <v>86.156075681438239</v>
      </c>
      <c r="N1295" s="13">
        <v>3224.87</v>
      </c>
      <c r="O1295" s="13">
        <v>0</v>
      </c>
      <c r="P1295" s="11">
        <v>1</v>
      </c>
    </row>
    <row r="1296" spans="1:16" ht="15" thickBot="1" x14ac:dyDescent="0.3">
      <c r="A1296" s="3" t="s">
        <v>11</v>
      </c>
      <c r="B1296" s="4">
        <v>71894</v>
      </c>
      <c r="C1296" s="3" t="s">
        <v>9</v>
      </c>
      <c r="D1296" s="18">
        <v>0.09</v>
      </c>
      <c r="E1296" s="21">
        <v>7.2073233161367156E-3</v>
      </c>
      <c r="F1296" s="5">
        <v>41464</v>
      </c>
      <c r="G1296" s="5">
        <v>43655</v>
      </c>
      <c r="H1296" s="16">
        <v>2191</v>
      </c>
      <c r="I1296" s="5">
        <v>43655</v>
      </c>
      <c r="J1296" s="5">
        <v>41775</v>
      </c>
      <c r="K1296" s="16">
        <v>311</v>
      </c>
      <c r="L1296" s="13">
        <v>62050.85</v>
      </c>
      <c r="M1296" s="15">
        <v>1095.7497949312526</v>
      </c>
      <c r="N1296" s="13">
        <v>62050.85</v>
      </c>
      <c r="O1296" s="13">
        <v>0</v>
      </c>
      <c r="P1296" s="11">
        <v>1</v>
      </c>
    </row>
    <row r="1297" spans="1:16" ht="15" thickBot="1" x14ac:dyDescent="0.3">
      <c r="A1297" s="3" t="s">
        <v>11</v>
      </c>
      <c r="B1297" s="4">
        <v>276178</v>
      </c>
      <c r="C1297" s="3" t="s">
        <v>9</v>
      </c>
      <c r="D1297" s="18">
        <v>9.5000000000000001E-2</v>
      </c>
      <c r="E1297" s="21">
        <v>7.5915342905825689E-3</v>
      </c>
      <c r="F1297" s="5">
        <v>41465</v>
      </c>
      <c r="G1297" s="5">
        <v>43383</v>
      </c>
      <c r="H1297" s="16">
        <v>1918</v>
      </c>
      <c r="I1297" s="5">
        <v>43383</v>
      </c>
      <c r="J1297" s="5">
        <v>42433</v>
      </c>
      <c r="K1297" s="16">
        <v>968</v>
      </c>
      <c r="L1297" s="13">
        <v>1789.69</v>
      </c>
      <c r="M1297" s="15">
        <v>35.437756155110186</v>
      </c>
      <c r="N1297" s="13">
        <v>1789.69</v>
      </c>
      <c r="O1297" s="13">
        <v>0</v>
      </c>
      <c r="P1297" s="11">
        <v>1</v>
      </c>
    </row>
    <row r="1298" spans="1:16" ht="15" thickBot="1" x14ac:dyDescent="0.3">
      <c r="A1298" s="3" t="s">
        <v>11</v>
      </c>
      <c r="B1298" s="4">
        <v>713822</v>
      </c>
      <c r="C1298" s="3" t="s">
        <v>9</v>
      </c>
      <c r="D1298" s="18">
        <v>0.1</v>
      </c>
      <c r="E1298" s="21">
        <v>7.9741404289037643E-3</v>
      </c>
      <c r="F1298" s="5">
        <v>41465</v>
      </c>
      <c r="G1298" s="5">
        <v>43656</v>
      </c>
      <c r="H1298" s="16">
        <v>2191</v>
      </c>
      <c r="I1298" s="5">
        <v>43656</v>
      </c>
      <c r="J1298" s="5">
        <v>42055</v>
      </c>
      <c r="K1298" s="16">
        <v>590</v>
      </c>
      <c r="L1298" s="13">
        <v>28177.1</v>
      </c>
      <c r="M1298" s="15">
        <v>510.49258043475919</v>
      </c>
      <c r="N1298" s="13">
        <v>28177.1</v>
      </c>
      <c r="O1298" s="13">
        <v>0</v>
      </c>
      <c r="P1298" s="11">
        <v>1</v>
      </c>
    </row>
    <row r="1299" spans="1:16" ht="15" thickBot="1" x14ac:dyDescent="0.3">
      <c r="A1299" s="3" t="s">
        <v>11</v>
      </c>
      <c r="B1299" s="4">
        <v>164391</v>
      </c>
      <c r="C1299" s="3" t="s">
        <v>9</v>
      </c>
      <c r="D1299" s="18">
        <v>0.1</v>
      </c>
      <c r="E1299" s="21">
        <v>7.9741404289037643E-3</v>
      </c>
      <c r="F1299" s="5">
        <v>41467</v>
      </c>
      <c r="G1299" s="5">
        <v>43720</v>
      </c>
      <c r="H1299" s="16">
        <v>2253</v>
      </c>
      <c r="I1299" s="5">
        <v>43720</v>
      </c>
      <c r="J1299" s="5">
        <v>43635</v>
      </c>
      <c r="K1299" s="16">
        <v>2168</v>
      </c>
      <c r="L1299" s="13">
        <v>15640</v>
      </c>
      <c r="M1299" s="15">
        <v>277.60544063472452</v>
      </c>
      <c r="N1299" s="13">
        <v>15010</v>
      </c>
      <c r="O1299" s="13">
        <v>0</v>
      </c>
      <c r="P1299" s="11">
        <v>1</v>
      </c>
    </row>
    <row r="1300" spans="1:16" ht="15" thickBot="1" x14ac:dyDescent="0.3">
      <c r="A1300" s="3" t="s">
        <v>11</v>
      </c>
      <c r="B1300" s="4">
        <v>372935</v>
      </c>
      <c r="C1300" s="3" t="s">
        <v>9</v>
      </c>
      <c r="D1300" s="18">
        <v>0.11</v>
      </c>
      <c r="E1300" s="21">
        <v>8.7345938235519061E-3</v>
      </c>
      <c r="F1300" s="5">
        <v>41471</v>
      </c>
      <c r="G1300" s="5">
        <v>43693</v>
      </c>
      <c r="H1300" s="16">
        <v>2222</v>
      </c>
      <c r="I1300" s="5">
        <v>43693</v>
      </c>
      <c r="J1300" s="5">
        <v>43640</v>
      </c>
      <c r="K1300" s="16">
        <v>2169</v>
      </c>
      <c r="L1300" s="13">
        <v>11944.65</v>
      </c>
      <c r="M1300" s="15">
        <v>219.69996607284858</v>
      </c>
      <c r="N1300" s="13">
        <v>10831.9</v>
      </c>
      <c r="O1300" s="13">
        <v>10831.9</v>
      </c>
      <c r="P1300" s="11">
        <v>1</v>
      </c>
    </row>
    <row r="1301" spans="1:16" ht="15" thickBot="1" x14ac:dyDescent="0.3">
      <c r="A1301" s="3" t="s">
        <v>11</v>
      </c>
      <c r="B1301" s="4">
        <v>708245</v>
      </c>
      <c r="C1301" s="3" t="s">
        <v>9</v>
      </c>
      <c r="D1301" s="18">
        <v>0.12</v>
      </c>
      <c r="E1301" s="21">
        <v>9.4887929345830457E-3</v>
      </c>
      <c r="F1301" s="5">
        <v>41477</v>
      </c>
      <c r="G1301" s="5">
        <v>43556</v>
      </c>
      <c r="H1301" s="16">
        <v>2079</v>
      </c>
      <c r="I1301" s="5">
        <v>43556</v>
      </c>
      <c r="J1301" s="5">
        <v>42459</v>
      </c>
      <c r="K1301" s="16">
        <v>982</v>
      </c>
      <c r="L1301" s="13">
        <v>5932.08</v>
      </c>
      <c r="M1301" s="15">
        <v>117.1978562834946</v>
      </c>
      <c r="N1301" s="13">
        <v>5932.08</v>
      </c>
      <c r="O1301" s="13">
        <v>0</v>
      </c>
      <c r="P1301" s="11">
        <v>1</v>
      </c>
    </row>
    <row r="1302" spans="1:16" ht="15" thickBot="1" x14ac:dyDescent="0.3">
      <c r="A1302" s="3" t="s">
        <v>11</v>
      </c>
      <c r="B1302" s="4">
        <v>527589</v>
      </c>
      <c r="C1302" s="3" t="s">
        <v>9</v>
      </c>
      <c r="D1302" s="18">
        <v>0.1</v>
      </c>
      <c r="E1302" s="21">
        <v>7.9741404289037643E-3</v>
      </c>
      <c r="F1302" s="5">
        <v>41481</v>
      </c>
      <c r="G1302" s="5">
        <v>42942</v>
      </c>
      <c r="H1302" s="16">
        <v>1461</v>
      </c>
      <c r="I1302" s="5">
        <v>42942</v>
      </c>
      <c r="J1302" s="5">
        <v>42354</v>
      </c>
      <c r="K1302" s="16">
        <v>873</v>
      </c>
      <c r="L1302" s="13">
        <v>13050.62</v>
      </c>
      <c r="M1302" s="15">
        <v>324.42676623438297</v>
      </c>
      <c r="N1302" s="13">
        <v>13050.62</v>
      </c>
      <c r="O1302" s="13">
        <v>0</v>
      </c>
      <c r="P1302" s="11">
        <v>1</v>
      </c>
    </row>
    <row r="1303" spans="1:16" ht="15" thickBot="1" x14ac:dyDescent="0.3">
      <c r="A1303" s="3" t="s">
        <v>11</v>
      </c>
      <c r="B1303" s="4">
        <v>694333</v>
      </c>
      <c r="C1303" s="3" t="s">
        <v>9</v>
      </c>
      <c r="D1303" s="18">
        <v>0.14000000000000001</v>
      </c>
      <c r="E1303" s="21">
        <v>1.0978851950173452E-2</v>
      </c>
      <c r="F1303" s="5">
        <v>41481</v>
      </c>
      <c r="G1303" s="5">
        <v>42973</v>
      </c>
      <c r="H1303" s="16">
        <v>1492</v>
      </c>
      <c r="I1303" s="5">
        <v>42973</v>
      </c>
      <c r="J1303" s="5">
        <v>42282</v>
      </c>
      <c r="K1303" s="16">
        <v>801</v>
      </c>
      <c r="L1303" s="13">
        <v>1783.38</v>
      </c>
      <c r="M1303" s="15">
        <v>46.726776557291409</v>
      </c>
      <c r="N1303" s="13">
        <v>1783.38</v>
      </c>
      <c r="O1303" s="13">
        <v>0</v>
      </c>
      <c r="P1303" s="11">
        <v>1</v>
      </c>
    </row>
    <row r="1304" spans="1:16" ht="15" thickBot="1" x14ac:dyDescent="0.3">
      <c r="A1304" s="3" t="s">
        <v>11</v>
      </c>
      <c r="B1304" s="4">
        <v>668364</v>
      </c>
      <c r="C1304" s="3" t="s">
        <v>9</v>
      </c>
      <c r="D1304" s="18">
        <v>0.09</v>
      </c>
      <c r="E1304" s="21">
        <v>7.2073233161367156E-3</v>
      </c>
      <c r="F1304" s="5">
        <v>41486</v>
      </c>
      <c r="G1304" s="5">
        <v>42673</v>
      </c>
      <c r="H1304" s="16">
        <v>1187</v>
      </c>
      <c r="I1304" s="5">
        <v>42673</v>
      </c>
      <c r="J1304" s="5">
        <v>42321</v>
      </c>
      <c r="K1304" s="16">
        <v>835</v>
      </c>
      <c r="L1304" s="13">
        <v>1745.14</v>
      </c>
      <c r="M1304" s="15">
        <v>50.851394970547858</v>
      </c>
      <c r="N1304" s="13">
        <v>1745.14</v>
      </c>
      <c r="O1304" s="13">
        <v>0</v>
      </c>
      <c r="P1304" s="11">
        <v>1</v>
      </c>
    </row>
    <row r="1305" spans="1:16" ht="15" thickBot="1" x14ac:dyDescent="0.3">
      <c r="A1305" s="3" t="s">
        <v>11</v>
      </c>
      <c r="B1305" s="4">
        <v>445877</v>
      </c>
      <c r="C1305" s="3" t="s">
        <v>9</v>
      </c>
      <c r="D1305" s="18">
        <v>0.12</v>
      </c>
      <c r="E1305" s="21">
        <v>9.4887929345830457E-3</v>
      </c>
      <c r="F1305" s="5">
        <v>41487</v>
      </c>
      <c r="G1305" s="5">
        <v>42401</v>
      </c>
      <c r="H1305" s="16">
        <v>914</v>
      </c>
      <c r="I1305" s="5">
        <v>42401</v>
      </c>
      <c r="J1305" s="5">
        <v>41849</v>
      </c>
      <c r="K1305" s="16">
        <v>362</v>
      </c>
      <c r="L1305" s="13">
        <v>9417.75</v>
      </c>
      <c r="M1305" s="15">
        <v>357.40206822780158</v>
      </c>
      <c r="N1305" s="13">
        <v>9417.75</v>
      </c>
      <c r="O1305" s="13">
        <v>0</v>
      </c>
      <c r="P1305" s="11">
        <v>1</v>
      </c>
    </row>
    <row r="1306" spans="1:16" ht="15" thickBot="1" x14ac:dyDescent="0.3">
      <c r="A1306" s="3" t="s">
        <v>11</v>
      </c>
      <c r="B1306" s="4">
        <v>745802</v>
      </c>
      <c r="C1306" s="3" t="s">
        <v>9</v>
      </c>
      <c r="D1306" s="18">
        <v>0.14000000000000001</v>
      </c>
      <c r="E1306" s="21">
        <v>1.0978851950173452E-2</v>
      </c>
      <c r="F1306" s="5">
        <v>41488</v>
      </c>
      <c r="G1306" s="5">
        <v>43041</v>
      </c>
      <c r="H1306" s="16">
        <v>1553</v>
      </c>
      <c r="I1306" s="5">
        <v>43041</v>
      </c>
      <c r="J1306" s="5">
        <v>42447</v>
      </c>
      <c r="K1306" s="16">
        <v>959</v>
      </c>
      <c r="L1306" s="13">
        <v>5147.82</v>
      </c>
      <c r="M1306" s="15">
        <v>130.8943068839715</v>
      </c>
      <c r="N1306" s="13">
        <v>5147.82</v>
      </c>
      <c r="O1306" s="13">
        <v>0</v>
      </c>
      <c r="P1306" s="11">
        <v>1</v>
      </c>
    </row>
    <row r="1307" spans="1:16" ht="15" thickBot="1" x14ac:dyDescent="0.3">
      <c r="A1307" s="3" t="s">
        <v>11</v>
      </c>
      <c r="B1307" s="4">
        <v>730593</v>
      </c>
      <c r="C1307" s="3" t="s">
        <v>9</v>
      </c>
      <c r="D1307" s="18">
        <v>0.14000000000000001</v>
      </c>
      <c r="E1307" s="21">
        <v>1.0978851950173452E-2</v>
      </c>
      <c r="F1307" s="5">
        <v>41491</v>
      </c>
      <c r="G1307" s="5">
        <v>43317</v>
      </c>
      <c r="H1307" s="16">
        <v>1826</v>
      </c>
      <c r="I1307" s="5">
        <v>43317</v>
      </c>
      <c r="J1307" s="5">
        <v>42341</v>
      </c>
      <c r="K1307" s="16">
        <v>850</v>
      </c>
      <c r="L1307" s="13">
        <v>3884.19</v>
      </c>
      <c r="M1307" s="15">
        <v>87.830947924161563</v>
      </c>
      <c r="N1307" s="13">
        <v>3884.19</v>
      </c>
      <c r="O1307" s="13">
        <v>0</v>
      </c>
      <c r="P1307" s="11">
        <v>1</v>
      </c>
    </row>
    <row r="1308" spans="1:16" ht="15" thickBot="1" x14ac:dyDescent="0.3">
      <c r="A1308" s="3" t="s">
        <v>11</v>
      </c>
      <c r="B1308" s="4">
        <v>555669</v>
      </c>
      <c r="C1308" s="3" t="s">
        <v>19</v>
      </c>
      <c r="D1308" s="18">
        <v>0.1</v>
      </c>
      <c r="E1308" s="21">
        <v>7.9741404289037643E-3</v>
      </c>
      <c r="F1308" s="5">
        <v>41493</v>
      </c>
      <c r="G1308" s="5">
        <v>43684</v>
      </c>
      <c r="H1308" s="16">
        <v>2191</v>
      </c>
      <c r="I1308" s="5">
        <v>43684</v>
      </c>
      <c r="J1308" s="5">
        <v>43371</v>
      </c>
      <c r="K1308" s="16">
        <v>1878</v>
      </c>
      <c r="L1308" s="13">
        <v>3739.51</v>
      </c>
      <c r="M1308" s="15">
        <v>67.749772313743662</v>
      </c>
      <c r="N1308" s="13">
        <v>3739.51</v>
      </c>
      <c r="O1308" s="13">
        <v>0</v>
      </c>
      <c r="P1308" s="11">
        <v>1</v>
      </c>
    </row>
    <row r="1309" spans="1:16" ht="15" thickBot="1" x14ac:dyDescent="0.3">
      <c r="A1309" s="3" t="s">
        <v>11</v>
      </c>
      <c r="B1309" s="4">
        <v>43241</v>
      </c>
      <c r="C1309" s="3" t="s">
        <v>9</v>
      </c>
      <c r="D1309" s="18">
        <v>0.1</v>
      </c>
      <c r="E1309" s="21">
        <v>7.9741404289037643E-3</v>
      </c>
      <c r="F1309" s="5">
        <v>41495</v>
      </c>
      <c r="G1309" s="5">
        <v>43321</v>
      </c>
      <c r="H1309" s="16">
        <v>1826</v>
      </c>
      <c r="I1309" s="5">
        <v>43321</v>
      </c>
      <c r="J1309" s="5">
        <v>41834</v>
      </c>
      <c r="K1309" s="16">
        <v>339</v>
      </c>
      <c r="L1309" s="13">
        <v>3305.68</v>
      </c>
      <c r="M1309" s="15">
        <v>68.76424531678407</v>
      </c>
      <c r="N1309" s="13">
        <v>3305.68</v>
      </c>
      <c r="O1309" s="13">
        <v>0</v>
      </c>
      <c r="P1309" s="11">
        <v>1</v>
      </c>
    </row>
    <row r="1310" spans="1:16" ht="15" thickBot="1" x14ac:dyDescent="0.3">
      <c r="A1310" s="3" t="s">
        <v>11</v>
      </c>
      <c r="B1310" s="4">
        <v>440394</v>
      </c>
      <c r="C1310" s="3" t="s">
        <v>9</v>
      </c>
      <c r="D1310" s="18">
        <v>0.1</v>
      </c>
      <c r="E1310" s="21">
        <v>7.9741404289037643E-3</v>
      </c>
      <c r="F1310" s="5">
        <v>41498</v>
      </c>
      <c r="G1310" s="5">
        <v>43994</v>
      </c>
      <c r="H1310" s="16">
        <v>2496</v>
      </c>
      <c r="I1310" s="5">
        <v>43994</v>
      </c>
      <c r="J1310" s="5">
        <v>42807</v>
      </c>
      <c r="K1310" s="16">
        <v>1309</v>
      </c>
      <c r="L1310" s="13">
        <v>10825.18</v>
      </c>
      <c r="M1310" s="15">
        <v>178.5084826962717</v>
      </c>
      <c r="N1310" s="13">
        <v>10825.18</v>
      </c>
      <c r="O1310" s="13">
        <v>0</v>
      </c>
      <c r="P1310" s="11">
        <v>1</v>
      </c>
    </row>
    <row r="1311" spans="1:16" ht="15" thickBot="1" x14ac:dyDescent="0.3">
      <c r="A1311" s="3" t="s">
        <v>11</v>
      </c>
      <c r="B1311" s="4">
        <v>691865</v>
      </c>
      <c r="C1311" s="3" t="s">
        <v>9</v>
      </c>
      <c r="D1311" s="18">
        <v>0.12</v>
      </c>
      <c r="E1311" s="21">
        <v>9.4887929345830457E-3</v>
      </c>
      <c r="F1311" s="5">
        <v>41499</v>
      </c>
      <c r="G1311" s="5">
        <v>42473</v>
      </c>
      <c r="H1311" s="16">
        <v>974</v>
      </c>
      <c r="I1311" s="5">
        <v>42473</v>
      </c>
      <c r="J1311" s="5">
        <v>42341</v>
      </c>
      <c r="K1311" s="16">
        <v>842</v>
      </c>
      <c r="L1311" s="13">
        <v>8095.17</v>
      </c>
      <c r="M1311" s="15">
        <v>290.88529961187709</v>
      </c>
      <c r="N1311" s="13">
        <v>8095.17</v>
      </c>
      <c r="O1311" s="13">
        <v>300</v>
      </c>
      <c r="P1311" s="11">
        <v>1</v>
      </c>
    </row>
    <row r="1312" spans="1:16" ht="15" thickBot="1" x14ac:dyDescent="0.3">
      <c r="A1312" s="3" t="s">
        <v>11</v>
      </c>
      <c r="B1312" s="4">
        <v>866691</v>
      </c>
      <c r="C1312" s="3" t="s">
        <v>9</v>
      </c>
      <c r="D1312" s="18">
        <v>0.12</v>
      </c>
      <c r="E1312" s="21">
        <v>9.4887929345830457E-3</v>
      </c>
      <c r="F1312" s="5">
        <v>41500</v>
      </c>
      <c r="G1312" s="5">
        <v>43424</v>
      </c>
      <c r="H1312" s="16">
        <v>1924</v>
      </c>
      <c r="I1312" s="5">
        <v>43424</v>
      </c>
      <c r="J1312" s="5">
        <v>42142</v>
      </c>
      <c r="K1312" s="16">
        <v>642</v>
      </c>
      <c r="L1312" s="13">
        <v>5337.82</v>
      </c>
      <c r="M1312" s="15">
        <v>111.48997832245806</v>
      </c>
      <c r="N1312" s="13">
        <v>5337.82</v>
      </c>
      <c r="O1312" s="13">
        <v>500</v>
      </c>
      <c r="P1312" s="11">
        <v>1</v>
      </c>
    </row>
    <row r="1313" spans="1:16" ht="15" thickBot="1" x14ac:dyDescent="0.3">
      <c r="A1313" s="3" t="s">
        <v>11</v>
      </c>
      <c r="B1313" s="4">
        <v>595492</v>
      </c>
      <c r="C1313" s="3" t="s">
        <v>9</v>
      </c>
      <c r="D1313" s="18">
        <v>0.1</v>
      </c>
      <c r="E1313" s="21">
        <v>7.9741404289037643E-3</v>
      </c>
      <c r="F1313" s="5">
        <v>41501</v>
      </c>
      <c r="G1313" s="5">
        <v>41685</v>
      </c>
      <c r="H1313" s="16">
        <v>184</v>
      </c>
      <c r="I1313" s="5">
        <v>41685</v>
      </c>
      <c r="J1313" s="5">
        <v>41906</v>
      </c>
      <c r="K1313" s="16">
        <v>405</v>
      </c>
      <c r="L1313" s="13">
        <v>1734</v>
      </c>
      <c r="M1313" s="15">
        <v>290.81282223525255</v>
      </c>
      <c r="N1313" s="13">
        <v>1734</v>
      </c>
      <c r="O1313" s="13">
        <v>0</v>
      </c>
      <c r="P1313" s="11">
        <v>0</v>
      </c>
    </row>
    <row r="1314" spans="1:16" ht="15" thickBot="1" x14ac:dyDescent="0.3">
      <c r="A1314" s="3" t="s">
        <v>11</v>
      </c>
      <c r="B1314" s="4">
        <v>658613</v>
      </c>
      <c r="C1314" s="3" t="s">
        <v>9</v>
      </c>
      <c r="D1314" s="18">
        <v>0.1</v>
      </c>
      <c r="E1314" s="21">
        <v>7.9741404289037643E-3</v>
      </c>
      <c r="F1314" s="5">
        <v>41505</v>
      </c>
      <c r="G1314" s="5">
        <v>44761</v>
      </c>
      <c r="H1314" s="16">
        <v>3256</v>
      </c>
      <c r="I1314" s="5">
        <v>44761</v>
      </c>
      <c r="J1314" s="5">
        <v>43144</v>
      </c>
      <c r="K1314" s="16">
        <v>1639</v>
      </c>
      <c r="L1314" s="13">
        <v>1854.43</v>
      </c>
      <c r="M1314" s="15">
        <v>25.597388975914416</v>
      </c>
      <c r="N1314" s="13">
        <v>1854.43</v>
      </c>
      <c r="O1314" s="13">
        <v>0</v>
      </c>
      <c r="P1314" s="11">
        <v>1</v>
      </c>
    </row>
    <row r="1315" spans="1:16" ht="15" thickBot="1" x14ac:dyDescent="0.3">
      <c r="A1315" s="3" t="s">
        <v>11</v>
      </c>
      <c r="B1315" s="4">
        <v>429491</v>
      </c>
      <c r="C1315" s="3" t="s">
        <v>9</v>
      </c>
      <c r="D1315" s="18">
        <v>0.12</v>
      </c>
      <c r="E1315" s="21">
        <v>9.4887929345830457E-3</v>
      </c>
      <c r="F1315" s="5">
        <v>41508</v>
      </c>
      <c r="G1315" s="5">
        <v>41539</v>
      </c>
      <c r="H1315" s="16">
        <v>31</v>
      </c>
      <c r="I1315" s="5">
        <v>41539</v>
      </c>
      <c r="J1315" s="5">
        <v>41939</v>
      </c>
      <c r="K1315" s="16">
        <v>431</v>
      </c>
      <c r="L1315" s="13">
        <v>3000</v>
      </c>
      <c r="M1315" s="15">
        <v>2931.2345195644521</v>
      </c>
      <c r="N1315" s="13">
        <v>3000</v>
      </c>
      <c r="O1315" s="13">
        <v>0</v>
      </c>
      <c r="P1315" s="11">
        <v>0</v>
      </c>
    </row>
    <row r="1316" spans="1:16" ht="15" thickBot="1" x14ac:dyDescent="0.3">
      <c r="A1316" s="3" t="s">
        <v>11</v>
      </c>
      <c r="B1316" s="4">
        <v>444348</v>
      </c>
      <c r="C1316" s="3" t="s">
        <v>9</v>
      </c>
      <c r="D1316" s="18">
        <v>0.1</v>
      </c>
      <c r="E1316" s="21">
        <v>7.9741404289037643E-3</v>
      </c>
      <c r="F1316" s="5">
        <v>41509</v>
      </c>
      <c r="G1316" s="5">
        <v>43182</v>
      </c>
      <c r="H1316" s="16">
        <v>1673</v>
      </c>
      <c r="I1316" s="5">
        <v>43182</v>
      </c>
      <c r="J1316" s="5">
        <v>42655</v>
      </c>
      <c r="K1316" s="16">
        <v>1146</v>
      </c>
      <c r="L1316" s="13">
        <v>5733.64</v>
      </c>
      <c r="M1316" s="15">
        <v>127.76672937568804</v>
      </c>
      <c r="N1316" s="13">
        <v>5733.64</v>
      </c>
      <c r="O1316" s="13">
        <v>0</v>
      </c>
      <c r="P1316" s="11">
        <v>1</v>
      </c>
    </row>
    <row r="1317" spans="1:16" ht="15" thickBot="1" x14ac:dyDescent="0.3">
      <c r="A1317" s="3" t="s">
        <v>11</v>
      </c>
      <c r="B1317" s="4">
        <v>442828</v>
      </c>
      <c r="C1317" s="3" t="s">
        <v>9</v>
      </c>
      <c r="D1317" s="18">
        <v>0.08</v>
      </c>
      <c r="E1317" s="21">
        <v>6.4340301100034303E-3</v>
      </c>
      <c r="F1317" s="5">
        <v>41512</v>
      </c>
      <c r="G1317" s="5">
        <v>43338</v>
      </c>
      <c r="H1317" s="16">
        <v>1826</v>
      </c>
      <c r="I1317" s="5">
        <v>43338</v>
      </c>
      <c r="J1317" s="5">
        <v>43371</v>
      </c>
      <c r="K1317" s="16">
        <v>1859</v>
      </c>
      <c r="L1317" s="13">
        <v>1406.43</v>
      </c>
      <c r="M1317" s="15">
        <v>27.999119903502393</v>
      </c>
      <c r="N1317" s="13">
        <v>1406.43</v>
      </c>
      <c r="O1317" s="13">
        <v>0</v>
      </c>
      <c r="P1317" s="11">
        <v>1</v>
      </c>
    </row>
    <row r="1318" spans="1:16" ht="15" thickBot="1" x14ac:dyDescent="0.3">
      <c r="A1318" s="3" t="s">
        <v>11</v>
      </c>
      <c r="B1318" s="4">
        <v>496465</v>
      </c>
      <c r="C1318" s="3" t="s">
        <v>9</v>
      </c>
      <c r="D1318" s="18">
        <v>0.1</v>
      </c>
      <c r="E1318" s="21">
        <v>7.9741404289037643E-3</v>
      </c>
      <c r="F1318" s="5">
        <v>41513</v>
      </c>
      <c r="G1318" s="5">
        <v>42243</v>
      </c>
      <c r="H1318" s="16">
        <v>730</v>
      </c>
      <c r="I1318" s="5">
        <v>42243</v>
      </c>
      <c r="J1318" s="5">
        <v>41835</v>
      </c>
      <c r="K1318" s="16">
        <v>322</v>
      </c>
      <c r="L1318" s="13">
        <v>3901.91</v>
      </c>
      <c r="M1318" s="15">
        <v>177.04895087649533</v>
      </c>
      <c r="N1318" s="13">
        <v>3901.91</v>
      </c>
      <c r="O1318" s="13">
        <v>3901.91</v>
      </c>
      <c r="P1318" s="11">
        <v>1</v>
      </c>
    </row>
    <row r="1319" spans="1:16" ht="15" thickBot="1" x14ac:dyDescent="0.3">
      <c r="A1319" s="3" t="s">
        <v>11</v>
      </c>
      <c r="B1319" s="4">
        <v>996104</v>
      </c>
      <c r="C1319" s="3" t="s">
        <v>9</v>
      </c>
      <c r="D1319" s="18">
        <v>0.1</v>
      </c>
      <c r="E1319" s="21">
        <v>7.9741404289037643E-3</v>
      </c>
      <c r="F1319" s="5">
        <v>41520</v>
      </c>
      <c r="G1319" s="5">
        <v>43758</v>
      </c>
      <c r="H1319" s="16">
        <v>2238</v>
      </c>
      <c r="I1319" s="5">
        <v>43758</v>
      </c>
      <c r="J1319" s="5">
        <v>43256</v>
      </c>
      <c r="K1319" s="16">
        <v>1736</v>
      </c>
      <c r="L1319" s="13">
        <v>2439.1799999999998</v>
      </c>
      <c r="M1319" s="15">
        <v>43.506964328022597</v>
      </c>
      <c r="N1319" s="13">
        <v>2439.1799999999998</v>
      </c>
      <c r="O1319" s="13">
        <v>0</v>
      </c>
      <c r="P1319" s="11">
        <v>1</v>
      </c>
    </row>
    <row r="1320" spans="1:16" ht="15" thickBot="1" x14ac:dyDescent="0.3">
      <c r="A1320" s="3" t="s">
        <v>11</v>
      </c>
      <c r="B1320" s="4">
        <v>58201</v>
      </c>
      <c r="C1320" s="3" t="s">
        <v>9</v>
      </c>
      <c r="D1320" s="18">
        <v>0.1</v>
      </c>
      <c r="E1320" s="21">
        <v>7.9741404289037643E-3</v>
      </c>
      <c r="F1320" s="5">
        <v>41526</v>
      </c>
      <c r="G1320" s="5">
        <v>41993</v>
      </c>
      <c r="H1320" s="16">
        <v>467</v>
      </c>
      <c r="I1320" s="5">
        <v>41993</v>
      </c>
      <c r="J1320" s="5">
        <v>41871</v>
      </c>
      <c r="K1320" s="16">
        <v>345</v>
      </c>
      <c r="L1320" s="13">
        <v>1113.68</v>
      </c>
      <c r="M1320" s="15">
        <v>76.35927637707654</v>
      </c>
      <c r="N1320" s="13">
        <v>1113.68</v>
      </c>
      <c r="O1320" s="13">
        <v>0</v>
      </c>
      <c r="P1320" s="11">
        <v>0</v>
      </c>
    </row>
    <row r="1321" spans="1:16" ht="15" thickBot="1" x14ac:dyDescent="0.3">
      <c r="A1321" s="3" t="s">
        <v>11</v>
      </c>
      <c r="B1321" s="4">
        <v>642535</v>
      </c>
      <c r="C1321" s="3" t="s">
        <v>9</v>
      </c>
      <c r="D1321" s="18">
        <v>0.12</v>
      </c>
      <c r="E1321" s="21">
        <v>9.4887929345830457E-3</v>
      </c>
      <c r="F1321" s="5">
        <v>41541</v>
      </c>
      <c r="G1321" s="5">
        <v>43914</v>
      </c>
      <c r="H1321" s="16">
        <v>2373</v>
      </c>
      <c r="I1321" s="5">
        <v>43914</v>
      </c>
      <c r="J1321" s="5">
        <v>42772</v>
      </c>
      <c r="K1321" s="16">
        <v>1231</v>
      </c>
      <c r="L1321" s="13">
        <v>3836.89</v>
      </c>
      <c r="M1321" s="15">
        <v>69.185963793081342</v>
      </c>
      <c r="N1321" s="13">
        <v>3836.89</v>
      </c>
      <c r="O1321" s="13">
        <v>0</v>
      </c>
      <c r="P1321" s="11">
        <v>1</v>
      </c>
    </row>
    <row r="1322" spans="1:16" ht="15" thickBot="1" x14ac:dyDescent="0.3">
      <c r="A1322" s="3" t="s">
        <v>11</v>
      </c>
      <c r="B1322" s="4">
        <v>590467</v>
      </c>
      <c r="C1322" s="3" t="s">
        <v>9</v>
      </c>
      <c r="D1322" s="18">
        <v>0.1</v>
      </c>
      <c r="E1322" s="21">
        <v>7.9741404289037643E-3</v>
      </c>
      <c r="F1322" s="5">
        <v>41542</v>
      </c>
      <c r="G1322" s="5">
        <v>43368</v>
      </c>
      <c r="H1322" s="16">
        <v>1826</v>
      </c>
      <c r="I1322" s="5">
        <v>43368</v>
      </c>
      <c r="J1322" s="5">
        <v>41999</v>
      </c>
      <c r="K1322" s="16">
        <v>457</v>
      </c>
      <c r="L1322" s="13">
        <v>5535</v>
      </c>
      <c r="M1322" s="15">
        <v>115.13821598835936</v>
      </c>
      <c r="N1322" s="13">
        <v>5535</v>
      </c>
      <c r="O1322" s="13">
        <v>0</v>
      </c>
      <c r="P1322" s="11">
        <v>1</v>
      </c>
    </row>
    <row r="1323" spans="1:16" ht="15" thickBot="1" x14ac:dyDescent="0.3">
      <c r="A1323" s="3" t="s">
        <v>11</v>
      </c>
      <c r="B1323" s="4">
        <v>784232</v>
      </c>
      <c r="C1323" s="3" t="s">
        <v>9</v>
      </c>
      <c r="D1323" s="18">
        <v>8.5000000000000006E-2</v>
      </c>
      <c r="E1323" s="21">
        <v>6.8214933659622723E-3</v>
      </c>
      <c r="F1323" s="5">
        <v>41547</v>
      </c>
      <c r="G1323" s="5">
        <v>41912</v>
      </c>
      <c r="H1323" s="16">
        <v>365</v>
      </c>
      <c r="I1323" s="5">
        <v>41912</v>
      </c>
      <c r="J1323" s="5">
        <v>41628</v>
      </c>
      <c r="K1323" s="16">
        <v>81</v>
      </c>
      <c r="L1323" s="13">
        <v>47349.64</v>
      </c>
      <c r="M1323" s="15">
        <v>4068.7336710137433</v>
      </c>
      <c r="N1323" s="13">
        <v>47349.64</v>
      </c>
      <c r="O1323" s="13">
        <v>0</v>
      </c>
      <c r="P1323" s="11">
        <v>0</v>
      </c>
    </row>
    <row r="1324" spans="1:16" ht="15" thickBot="1" x14ac:dyDescent="0.3">
      <c r="A1324" s="3" t="s">
        <v>11</v>
      </c>
      <c r="B1324" s="4">
        <v>559416</v>
      </c>
      <c r="C1324" s="3" t="s">
        <v>9</v>
      </c>
      <c r="D1324" s="18">
        <v>0.14000000000000001</v>
      </c>
      <c r="E1324" s="21">
        <v>1.0978851950173452E-2</v>
      </c>
      <c r="F1324" s="5">
        <v>41551</v>
      </c>
      <c r="G1324" s="5">
        <v>42220</v>
      </c>
      <c r="H1324" s="16">
        <v>669</v>
      </c>
      <c r="I1324" s="5">
        <v>42220</v>
      </c>
      <c r="J1324" s="5">
        <v>41834</v>
      </c>
      <c r="K1324" s="16">
        <v>283</v>
      </c>
      <c r="L1324" s="13">
        <v>2190.02</v>
      </c>
      <c r="M1324" s="15">
        <v>111.25464534954614</v>
      </c>
      <c r="N1324" s="13">
        <v>2190.02</v>
      </c>
      <c r="O1324" s="13">
        <v>0</v>
      </c>
      <c r="P1324" s="11">
        <v>1</v>
      </c>
    </row>
    <row r="1325" spans="1:16" ht="15" thickBot="1" x14ac:dyDescent="0.3">
      <c r="A1325" s="3" t="s">
        <v>11</v>
      </c>
      <c r="B1325" s="4">
        <v>714956</v>
      </c>
      <c r="C1325" s="3" t="s">
        <v>9</v>
      </c>
      <c r="D1325" s="18">
        <v>0.14000000000000001</v>
      </c>
      <c r="E1325" s="21">
        <v>1.0978851950173452E-2</v>
      </c>
      <c r="F1325" s="5">
        <v>41550</v>
      </c>
      <c r="G1325" s="5">
        <v>43011</v>
      </c>
      <c r="H1325" s="16">
        <v>1461</v>
      </c>
      <c r="I1325" s="5">
        <v>43011</v>
      </c>
      <c r="J1325" s="5">
        <v>42020</v>
      </c>
      <c r="K1325" s="16">
        <v>470</v>
      </c>
      <c r="L1325" s="13">
        <v>8744.94</v>
      </c>
      <c r="M1325" s="15">
        <v>232.79073755460053</v>
      </c>
      <c r="N1325" s="13">
        <v>8744.94</v>
      </c>
      <c r="O1325" s="13">
        <v>0</v>
      </c>
      <c r="P1325" s="11">
        <v>1</v>
      </c>
    </row>
    <row r="1326" spans="1:16" ht="15" thickBot="1" x14ac:dyDescent="0.3">
      <c r="A1326" s="3" t="s">
        <v>11</v>
      </c>
      <c r="B1326" s="4">
        <v>739697</v>
      </c>
      <c r="C1326" s="3" t="s">
        <v>9</v>
      </c>
      <c r="D1326" s="18">
        <v>0.08</v>
      </c>
      <c r="E1326" s="21">
        <v>6.4340301100034303E-3</v>
      </c>
      <c r="F1326" s="5">
        <v>41551</v>
      </c>
      <c r="G1326" s="5">
        <v>43377</v>
      </c>
      <c r="H1326" s="16">
        <v>1826</v>
      </c>
      <c r="I1326" s="5">
        <v>43377</v>
      </c>
      <c r="J1326" s="5">
        <v>42732</v>
      </c>
      <c r="K1326" s="16">
        <v>1181</v>
      </c>
      <c r="L1326" s="13">
        <v>10434.84</v>
      </c>
      <c r="M1326" s="15">
        <v>207.7361378339931</v>
      </c>
      <c r="N1326" s="13">
        <v>10434.84</v>
      </c>
      <c r="O1326" s="13">
        <v>0</v>
      </c>
      <c r="P1326" s="11">
        <v>1</v>
      </c>
    </row>
    <row r="1327" spans="1:16" ht="15" thickBot="1" x14ac:dyDescent="0.3">
      <c r="A1327" s="3" t="s">
        <v>11</v>
      </c>
      <c r="B1327" s="4">
        <v>321930</v>
      </c>
      <c r="C1327" s="3" t="s">
        <v>9</v>
      </c>
      <c r="D1327" s="18">
        <v>0.1</v>
      </c>
      <c r="E1327" s="21">
        <v>7.9741404289037643E-3</v>
      </c>
      <c r="F1327" s="5">
        <v>41554</v>
      </c>
      <c r="G1327" s="5">
        <v>42558</v>
      </c>
      <c r="H1327" s="16">
        <v>1004</v>
      </c>
      <c r="I1327" s="5">
        <v>42558</v>
      </c>
      <c r="J1327" s="5">
        <v>42290</v>
      </c>
      <c r="K1327" s="16">
        <v>736</v>
      </c>
      <c r="L1327" s="13">
        <v>1521.32</v>
      </c>
      <c r="M1327" s="15">
        <v>51.972782188787605</v>
      </c>
      <c r="N1327" s="13">
        <v>1521.32</v>
      </c>
      <c r="O1327" s="13">
        <v>0</v>
      </c>
      <c r="P1327" s="11">
        <v>1</v>
      </c>
    </row>
    <row r="1328" spans="1:16" ht="15" thickBot="1" x14ac:dyDescent="0.3">
      <c r="A1328" s="3" t="s">
        <v>11</v>
      </c>
      <c r="B1328" s="4">
        <v>23167</v>
      </c>
      <c r="C1328" s="3" t="s">
        <v>9</v>
      </c>
      <c r="D1328" s="18">
        <v>0.08</v>
      </c>
      <c r="E1328" s="21">
        <v>6.4340301100034303E-3</v>
      </c>
      <c r="F1328" s="5">
        <v>41555</v>
      </c>
      <c r="G1328" s="5">
        <v>44160</v>
      </c>
      <c r="H1328" s="16">
        <v>2605</v>
      </c>
      <c r="I1328" s="5">
        <v>44160</v>
      </c>
      <c r="J1328" s="5">
        <v>42277</v>
      </c>
      <c r="K1328" s="16">
        <v>722</v>
      </c>
      <c r="L1328" s="13">
        <v>13186.56</v>
      </c>
      <c r="M1328" s="15">
        <v>198.6871502224582</v>
      </c>
      <c r="N1328" s="13">
        <v>13186.56</v>
      </c>
      <c r="O1328" s="13">
        <v>0</v>
      </c>
      <c r="P1328" s="11">
        <v>1</v>
      </c>
    </row>
    <row r="1329" spans="1:16" ht="15" thickBot="1" x14ac:dyDescent="0.3">
      <c r="A1329" s="3" t="s">
        <v>11</v>
      </c>
      <c r="B1329" s="4">
        <v>987061</v>
      </c>
      <c r="C1329" s="3" t="s">
        <v>9</v>
      </c>
      <c r="D1329" s="18">
        <v>0.08</v>
      </c>
      <c r="E1329" s="21">
        <v>6.4340301100034303E-3</v>
      </c>
      <c r="F1329" s="5">
        <v>41570</v>
      </c>
      <c r="G1329" s="5">
        <v>43822</v>
      </c>
      <c r="H1329" s="16">
        <v>2252</v>
      </c>
      <c r="I1329" s="5">
        <v>43822</v>
      </c>
      <c r="J1329" s="5">
        <v>42537</v>
      </c>
      <c r="K1329" s="16">
        <v>967</v>
      </c>
      <c r="L1329" s="13">
        <v>2500</v>
      </c>
      <c r="M1329" s="15">
        <v>42.096137804224618</v>
      </c>
      <c r="N1329" s="13">
        <v>2500</v>
      </c>
      <c r="O1329" s="13">
        <v>0</v>
      </c>
      <c r="P1329" s="11">
        <v>1</v>
      </c>
    </row>
    <row r="1330" spans="1:16" ht="15" thickBot="1" x14ac:dyDescent="0.3">
      <c r="A1330" s="3" t="s">
        <v>11</v>
      </c>
      <c r="B1330" s="4">
        <v>695263</v>
      </c>
      <c r="C1330" s="3" t="s">
        <v>9</v>
      </c>
      <c r="D1330" s="18">
        <v>0.14000000000000001</v>
      </c>
      <c r="E1330" s="21">
        <v>1.0978851950173452E-2</v>
      </c>
      <c r="F1330" s="5">
        <v>41578</v>
      </c>
      <c r="G1330" s="5">
        <v>42124</v>
      </c>
      <c r="H1330" s="16">
        <v>546</v>
      </c>
      <c r="I1330" s="5">
        <v>42124</v>
      </c>
      <c r="J1330" s="5">
        <v>42949</v>
      </c>
      <c r="K1330" s="16">
        <v>1371</v>
      </c>
      <c r="L1330" s="13">
        <v>2986.12</v>
      </c>
      <c r="M1330" s="15">
        <v>181.90620286196514</v>
      </c>
      <c r="N1330" s="13">
        <v>2986.12</v>
      </c>
      <c r="O1330" s="13">
        <v>0</v>
      </c>
      <c r="P1330" s="11">
        <v>1</v>
      </c>
    </row>
    <row r="1331" spans="1:16" ht="15" thickBot="1" x14ac:dyDescent="0.3">
      <c r="A1331" s="3" t="s">
        <v>11</v>
      </c>
      <c r="B1331" s="4">
        <v>35615</v>
      </c>
      <c r="C1331" s="3" t="s">
        <v>9</v>
      </c>
      <c r="D1331" s="18">
        <v>0.14000000000000001</v>
      </c>
      <c r="E1331" s="21">
        <v>1.0978851950173452E-2</v>
      </c>
      <c r="F1331" s="5">
        <v>41591</v>
      </c>
      <c r="G1331" s="5">
        <v>43179</v>
      </c>
      <c r="H1331" s="16">
        <v>1588</v>
      </c>
      <c r="I1331" s="5">
        <v>43179</v>
      </c>
      <c r="J1331" s="5">
        <v>42278</v>
      </c>
      <c r="K1331" s="16">
        <v>687</v>
      </c>
      <c r="L1331" s="13">
        <v>9145.27</v>
      </c>
      <c r="M1331" s="15">
        <v>228.72782186636169</v>
      </c>
      <c r="N1331" s="13">
        <v>9145.27</v>
      </c>
      <c r="O1331" s="13">
        <v>0</v>
      </c>
      <c r="P1331" s="11">
        <v>1</v>
      </c>
    </row>
    <row r="1332" spans="1:16" ht="15" thickBot="1" x14ac:dyDescent="0.3">
      <c r="A1332" s="3" t="s">
        <v>11</v>
      </c>
      <c r="B1332" s="4">
        <v>30748</v>
      </c>
      <c r="C1332" s="3" t="s">
        <v>9</v>
      </c>
      <c r="D1332" s="18">
        <v>0.1</v>
      </c>
      <c r="E1332" s="21">
        <v>7.9741404289037643E-3</v>
      </c>
      <c r="F1332" s="5">
        <v>41596</v>
      </c>
      <c r="G1332" s="5">
        <v>43787</v>
      </c>
      <c r="H1332" s="16">
        <v>2191</v>
      </c>
      <c r="I1332" s="5">
        <v>43787</v>
      </c>
      <c r="J1332" s="5">
        <v>42346</v>
      </c>
      <c r="K1332" s="16">
        <v>750</v>
      </c>
      <c r="L1332" s="13">
        <v>9657.0300000000007</v>
      </c>
      <c r="M1332" s="15">
        <v>174.95917479214975</v>
      </c>
      <c r="N1332" s="13">
        <v>9657.0300000000007</v>
      </c>
      <c r="O1332" s="13">
        <v>0</v>
      </c>
      <c r="P1332" s="11">
        <v>1</v>
      </c>
    </row>
    <row r="1333" spans="1:16" ht="15" thickBot="1" x14ac:dyDescent="0.3">
      <c r="A1333" s="3" t="s">
        <v>11</v>
      </c>
      <c r="B1333" s="4">
        <v>160471</v>
      </c>
      <c r="C1333" s="3" t="s">
        <v>9</v>
      </c>
      <c r="D1333" s="18">
        <v>0.11</v>
      </c>
      <c r="E1333" s="21">
        <v>8.7345938235519061E-3</v>
      </c>
      <c r="F1333" s="5">
        <v>41596</v>
      </c>
      <c r="G1333" s="5">
        <v>43422</v>
      </c>
      <c r="H1333" s="16">
        <v>1826</v>
      </c>
      <c r="I1333" s="5">
        <v>43422</v>
      </c>
      <c r="J1333" s="5">
        <v>42017</v>
      </c>
      <c r="K1333" s="16">
        <v>421</v>
      </c>
      <c r="L1333" s="13">
        <v>3600</v>
      </c>
      <c r="M1333" s="15">
        <v>76.506503780790325</v>
      </c>
      <c r="N1333" s="13">
        <v>3600</v>
      </c>
      <c r="O1333" s="13">
        <v>3600</v>
      </c>
      <c r="P1333" s="11">
        <v>1</v>
      </c>
    </row>
    <row r="1334" spans="1:16" ht="15" thickBot="1" x14ac:dyDescent="0.3">
      <c r="A1334" s="3" t="s">
        <v>11</v>
      </c>
      <c r="B1334" s="4">
        <v>117241</v>
      </c>
      <c r="C1334" s="3" t="s">
        <v>9</v>
      </c>
      <c r="D1334" s="18">
        <v>0.1</v>
      </c>
      <c r="E1334" s="21">
        <v>7.9741404289037643E-3</v>
      </c>
      <c r="F1334" s="5">
        <v>41600</v>
      </c>
      <c r="G1334" s="5">
        <v>42330</v>
      </c>
      <c r="H1334" s="16">
        <v>730</v>
      </c>
      <c r="I1334" s="5">
        <v>42330</v>
      </c>
      <c r="J1334" s="5">
        <v>41848</v>
      </c>
      <c r="K1334" s="16">
        <v>248</v>
      </c>
      <c r="L1334" s="13">
        <v>2135.61</v>
      </c>
      <c r="M1334" s="15">
        <v>96.90318587085612</v>
      </c>
      <c r="N1334" s="13">
        <v>2135.61</v>
      </c>
      <c r="O1334" s="13">
        <v>0</v>
      </c>
      <c r="P1334" s="11">
        <v>1</v>
      </c>
    </row>
    <row r="1335" spans="1:16" ht="15" thickBot="1" x14ac:dyDescent="0.3">
      <c r="A1335" s="3" t="s">
        <v>11</v>
      </c>
      <c r="B1335" s="4">
        <v>700017</v>
      </c>
      <c r="C1335" s="3" t="s">
        <v>9</v>
      </c>
      <c r="D1335" s="18">
        <v>0.12</v>
      </c>
      <c r="E1335" s="21">
        <v>9.4887929345830457E-3</v>
      </c>
      <c r="F1335" s="5">
        <v>41607</v>
      </c>
      <c r="G1335" s="5">
        <v>44194</v>
      </c>
      <c r="H1335" s="16">
        <v>2587</v>
      </c>
      <c r="I1335" s="5">
        <v>44194</v>
      </c>
      <c r="J1335" s="5">
        <v>42240</v>
      </c>
      <c r="K1335" s="16">
        <v>633</v>
      </c>
      <c r="L1335" s="13">
        <v>7998.3</v>
      </c>
      <c r="M1335" s="15">
        <v>136.23289080540002</v>
      </c>
      <c r="N1335" s="13">
        <v>7998.3</v>
      </c>
      <c r="O1335" s="13">
        <v>0</v>
      </c>
      <c r="P1335" s="11">
        <v>1</v>
      </c>
    </row>
    <row r="1336" spans="1:16" ht="15" thickBot="1" x14ac:dyDescent="0.3">
      <c r="A1336" s="3" t="s">
        <v>11</v>
      </c>
      <c r="B1336" s="4">
        <v>529838</v>
      </c>
      <c r="C1336" s="3" t="s">
        <v>9</v>
      </c>
      <c r="D1336" s="18">
        <v>0.11</v>
      </c>
      <c r="E1336" s="21">
        <v>8.7345938235519061E-3</v>
      </c>
      <c r="F1336" s="5">
        <v>41610</v>
      </c>
      <c r="G1336" s="5">
        <v>43801</v>
      </c>
      <c r="H1336" s="16">
        <v>2191</v>
      </c>
      <c r="I1336" s="5">
        <v>43801</v>
      </c>
      <c r="J1336" s="5">
        <v>42240</v>
      </c>
      <c r="K1336" s="16">
        <v>630</v>
      </c>
      <c r="L1336" s="13">
        <v>3293.17</v>
      </c>
      <c r="M1336" s="15">
        <v>61.182555179819424</v>
      </c>
      <c r="N1336" s="13">
        <v>3293.17</v>
      </c>
      <c r="O1336" s="13">
        <v>0</v>
      </c>
      <c r="P1336" s="11">
        <v>1</v>
      </c>
    </row>
    <row r="1337" spans="1:16" ht="15" thickBot="1" x14ac:dyDescent="0.3">
      <c r="A1337" s="3" t="s">
        <v>11</v>
      </c>
      <c r="B1337" s="4">
        <v>348028</v>
      </c>
      <c r="C1337" s="3" t="s">
        <v>9</v>
      </c>
      <c r="D1337" s="18">
        <v>0.1</v>
      </c>
      <c r="E1337" s="21">
        <v>7.9741404289037643E-3</v>
      </c>
      <c r="F1337" s="5">
        <v>41610</v>
      </c>
      <c r="G1337" s="5">
        <v>43071</v>
      </c>
      <c r="H1337" s="16">
        <v>1461</v>
      </c>
      <c r="I1337" s="5">
        <v>43071</v>
      </c>
      <c r="J1337" s="5">
        <v>42747</v>
      </c>
      <c r="K1337" s="16">
        <v>1137</v>
      </c>
      <c r="L1337" s="13">
        <v>3583.81</v>
      </c>
      <c r="M1337" s="15">
        <v>89.090318245297453</v>
      </c>
      <c r="N1337" s="13">
        <v>3583.81</v>
      </c>
      <c r="O1337" s="13">
        <v>3583.81</v>
      </c>
      <c r="P1337" s="11">
        <v>1</v>
      </c>
    </row>
    <row r="1338" spans="1:16" ht="15" thickBot="1" x14ac:dyDescent="0.3">
      <c r="A1338" s="3" t="s">
        <v>11</v>
      </c>
      <c r="B1338" s="4">
        <v>332187</v>
      </c>
      <c r="C1338" s="3" t="s">
        <v>9</v>
      </c>
      <c r="D1338" s="18">
        <v>0.14000000000000001</v>
      </c>
      <c r="E1338" s="21">
        <v>1.0978851950173452E-2</v>
      </c>
      <c r="F1338" s="5">
        <v>41661</v>
      </c>
      <c r="G1338" s="5">
        <v>42391</v>
      </c>
      <c r="H1338" s="16">
        <v>730</v>
      </c>
      <c r="I1338" s="5">
        <v>42391</v>
      </c>
      <c r="J1338" s="5">
        <v>42020</v>
      </c>
      <c r="K1338" s="16">
        <v>359</v>
      </c>
      <c r="L1338" s="13">
        <v>2625.77</v>
      </c>
      <c r="M1338" s="15">
        <v>123.55114292612741</v>
      </c>
      <c r="N1338" s="13">
        <v>2625.77</v>
      </c>
      <c r="O1338" s="13">
        <v>0</v>
      </c>
      <c r="P1338" s="11">
        <v>1</v>
      </c>
    </row>
    <row r="1339" spans="1:16" ht="15" thickBot="1" x14ac:dyDescent="0.3">
      <c r="A1339" s="3" t="s">
        <v>11</v>
      </c>
      <c r="B1339" s="4">
        <v>440097</v>
      </c>
      <c r="C1339" s="3" t="s">
        <v>9</v>
      </c>
      <c r="D1339" s="18">
        <v>0.11</v>
      </c>
      <c r="E1339" s="21">
        <v>8.7345938235519061E-3</v>
      </c>
      <c r="F1339" s="5">
        <v>41619</v>
      </c>
      <c r="G1339" s="5">
        <v>42166</v>
      </c>
      <c r="H1339" s="16">
        <v>547</v>
      </c>
      <c r="I1339" s="5">
        <v>42166</v>
      </c>
      <c r="J1339" s="5">
        <v>41620</v>
      </c>
      <c r="K1339" s="16">
        <v>1</v>
      </c>
      <c r="L1339" s="13">
        <v>2900</v>
      </c>
      <c r="M1339" s="15">
        <v>172.74270748291968</v>
      </c>
      <c r="N1339" s="13">
        <v>2900</v>
      </c>
      <c r="O1339" s="13">
        <v>0</v>
      </c>
      <c r="P1339" s="11">
        <v>1</v>
      </c>
    </row>
    <row r="1340" spans="1:16" ht="15" thickBot="1" x14ac:dyDescent="0.3">
      <c r="A1340" s="3" t="s">
        <v>11</v>
      </c>
      <c r="B1340" s="4">
        <v>303393</v>
      </c>
      <c r="C1340" s="3" t="s">
        <v>9</v>
      </c>
      <c r="D1340" s="18">
        <v>9.5000000000000001E-2</v>
      </c>
      <c r="E1340" s="21">
        <v>7.5915342905825689E-3</v>
      </c>
      <c r="F1340" s="5">
        <v>41621</v>
      </c>
      <c r="G1340" s="5">
        <v>44240</v>
      </c>
      <c r="H1340" s="16">
        <v>2619</v>
      </c>
      <c r="I1340" s="5">
        <v>44240</v>
      </c>
      <c r="J1340" s="5">
        <v>43188</v>
      </c>
      <c r="K1340" s="16">
        <v>1567</v>
      </c>
      <c r="L1340" s="13">
        <v>22458.57</v>
      </c>
      <c r="M1340" s="15">
        <v>352.79330276423246</v>
      </c>
      <c r="N1340" s="13">
        <v>22458.57</v>
      </c>
      <c r="O1340" s="13">
        <v>0</v>
      </c>
      <c r="P1340" s="11">
        <v>1</v>
      </c>
    </row>
    <row r="1341" spans="1:16" ht="15" thickBot="1" x14ac:dyDescent="0.3">
      <c r="A1341" s="3" t="s">
        <v>11</v>
      </c>
      <c r="B1341" s="4">
        <v>158184</v>
      </c>
      <c r="C1341" s="3" t="s">
        <v>9</v>
      </c>
      <c r="D1341" s="18">
        <v>0.14000000000000001</v>
      </c>
      <c r="E1341" s="21">
        <v>1.0978851950173452E-2</v>
      </c>
      <c r="F1341" s="5">
        <v>41624</v>
      </c>
      <c r="G1341" s="5">
        <v>43450</v>
      </c>
      <c r="H1341" s="16">
        <v>1826</v>
      </c>
      <c r="I1341" s="5">
        <v>43450</v>
      </c>
      <c r="J1341" s="5">
        <v>42311</v>
      </c>
      <c r="K1341" s="16">
        <v>687</v>
      </c>
      <c r="L1341" s="13">
        <v>15173.28</v>
      </c>
      <c r="M1341" s="15">
        <v>343.1046281254836</v>
      </c>
      <c r="N1341" s="13">
        <v>15173.28</v>
      </c>
      <c r="O1341" s="13">
        <v>0</v>
      </c>
      <c r="P1341" s="11">
        <v>1</v>
      </c>
    </row>
    <row r="1342" spans="1:16" ht="15" thickBot="1" x14ac:dyDescent="0.3">
      <c r="A1342" s="3" t="s">
        <v>11</v>
      </c>
      <c r="B1342" s="4">
        <v>232424</v>
      </c>
      <c r="C1342" s="3" t="s">
        <v>9</v>
      </c>
      <c r="D1342" s="18">
        <v>0.08</v>
      </c>
      <c r="E1342" s="21">
        <v>6.4340301100034303E-3</v>
      </c>
      <c r="F1342" s="5">
        <v>41624</v>
      </c>
      <c r="G1342" s="5">
        <v>43815</v>
      </c>
      <c r="H1342" s="16">
        <v>2191</v>
      </c>
      <c r="I1342" s="5">
        <v>43815</v>
      </c>
      <c r="J1342" s="5">
        <v>42732</v>
      </c>
      <c r="K1342" s="16">
        <v>1108</v>
      </c>
      <c r="L1342" s="13">
        <v>7524.33</v>
      </c>
      <c r="M1342" s="15">
        <v>129.44570707385176</v>
      </c>
      <c r="N1342" s="13">
        <v>7524.33</v>
      </c>
      <c r="O1342" s="13">
        <v>0</v>
      </c>
      <c r="P1342" s="11">
        <v>1</v>
      </c>
    </row>
    <row r="1343" spans="1:16" ht="15" thickBot="1" x14ac:dyDescent="0.3">
      <c r="A1343" s="3" t="s">
        <v>11</v>
      </c>
      <c r="B1343" s="4">
        <v>965702</v>
      </c>
      <c r="C1343" s="3" t="s">
        <v>9</v>
      </c>
      <c r="D1343" s="18">
        <v>9.5000000000000001E-2</v>
      </c>
      <c r="E1343" s="21">
        <v>7.5915342905825689E-3</v>
      </c>
      <c r="F1343" s="5">
        <v>41631</v>
      </c>
      <c r="G1343" s="5">
        <v>43457</v>
      </c>
      <c r="H1343" s="16">
        <v>1826</v>
      </c>
      <c r="I1343" s="5">
        <v>43457</v>
      </c>
      <c r="J1343" s="5">
        <v>43559</v>
      </c>
      <c r="K1343" s="16">
        <v>1928</v>
      </c>
      <c r="L1343" s="13">
        <v>2082.86</v>
      </c>
      <c r="M1343" s="15">
        <v>42.860252113290201</v>
      </c>
      <c r="N1343" s="13">
        <v>1783.31</v>
      </c>
      <c r="O1343" s="13">
        <v>0</v>
      </c>
      <c r="P1343" s="11">
        <v>1</v>
      </c>
    </row>
    <row r="1344" spans="1:16" ht="15" thickBot="1" x14ac:dyDescent="0.3">
      <c r="A1344" s="3" t="s">
        <v>11</v>
      </c>
      <c r="B1344" s="4">
        <v>547570</v>
      </c>
      <c r="C1344" s="3" t="s">
        <v>9</v>
      </c>
      <c r="D1344" s="18">
        <v>0.14000000000000001</v>
      </c>
      <c r="E1344" s="21">
        <v>1.0978851950173452E-2</v>
      </c>
      <c r="F1344" s="5">
        <v>41635</v>
      </c>
      <c r="G1344" s="5">
        <v>42793</v>
      </c>
      <c r="H1344" s="16">
        <v>1158</v>
      </c>
      <c r="I1344" s="5">
        <v>42793</v>
      </c>
      <c r="J1344" s="5">
        <v>42024</v>
      </c>
      <c r="K1344" s="16">
        <v>389</v>
      </c>
      <c r="L1344" s="13">
        <v>8687.58</v>
      </c>
      <c r="M1344" s="15">
        <v>277.33003520016229</v>
      </c>
      <c r="N1344" s="13">
        <v>8687.58</v>
      </c>
      <c r="O1344" s="13">
        <v>0</v>
      </c>
      <c r="P1344" s="11">
        <v>1</v>
      </c>
    </row>
    <row r="1345" spans="1:16" ht="15" thickBot="1" x14ac:dyDescent="0.3">
      <c r="A1345" s="3" t="s">
        <v>11</v>
      </c>
      <c r="B1345" s="4">
        <v>154275</v>
      </c>
      <c r="C1345" s="3" t="s">
        <v>9</v>
      </c>
      <c r="D1345" s="18">
        <v>0.1</v>
      </c>
      <c r="E1345" s="21">
        <v>7.9741404289037643E-3</v>
      </c>
      <c r="F1345" s="5">
        <v>41635</v>
      </c>
      <c r="G1345" s="5">
        <v>43826</v>
      </c>
      <c r="H1345" s="16">
        <v>2191</v>
      </c>
      <c r="I1345" s="5">
        <v>43826</v>
      </c>
      <c r="J1345" s="5">
        <v>43112</v>
      </c>
      <c r="K1345" s="16">
        <v>1477</v>
      </c>
      <c r="L1345" s="13">
        <v>19855.55</v>
      </c>
      <c r="M1345" s="15">
        <v>359.72867880127421</v>
      </c>
      <c r="N1345" s="13">
        <v>19855.55</v>
      </c>
      <c r="O1345" s="13">
        <v>0</v>
      </c>
      <c r="P1345" s="11">
        <v>1</v>
      </c>
    </row>
    <row r="1346" spans="1:16" ht="15" thickBot="1" x14ac:dyDescent="0.3">
      <c r="A1346" s="3" t="s">
        <v>11</v>
      </c>
      <c r="B1346" s="4">
        <v>491023</v>
      </c>
      <c r="C1346" s="3" t="s">
        <v>9</v>
      </c>
      <c r="D1346" s="18">
        <v>9.5000000000000001E-2</v>
      </c>
      <c r="E1346" s="21">
        <v>7.5915342905825689E-3</v>
      </c>
      <c r="F1346" s="5">
        <v>41638</v>
      </c>
      <c r="G1346" s="5">
        <v>43281</v>
      </c>
      <c r="H1346" s="16">
        <v>1643</v>
      </c>
      <c r="I1346" s="5">
        <v>43281</v>
      </c>
      <c r="J1346" s="5">
        <v>42977</v>
      </c>
      <c r="K1346" s="16">
        <v>1339</v>
      </c>
      <c r="L1346" s="13">
        <v>9280.14</v>
      </c>
      <c r="M1346" s="15">
        <v>207.74106883917386</v>
      </c>
      <c r="N1346" s="13">
        <v>9280.14</v>
      </c>
      <c r="O1346" s="13">
        <v>0</v>
      </c>
      <c r="P1346" s="11">
        <v>1</v>
      </c>
    </row>
    <row r="1347" spans="1:16" ht="15" thickBot="1" x14ac:dyDescent="0.3">
      <c r="A1347" s="3" t="s">
        <v>11</v>
      </c>
      <c r="B1347" s="4">
        <v>28687</v>
      </c>
      <c r="C1347" s="3" t="s">
        <v>2</v>
      </c>
      <c r="D1347" s="18">
        <v>0.09</v>
      </c>
      <c r="E1347" s="21">
        <v>7.2073233161367156E-3</v>
      </c>
      <c r="F1347" s="5">
        <v>41642</v>
      </c>
      <c r="G1347" s="5">
        <v>41823</v>
      </c>
      <c r="H1347" s="16">
        <v>181</v>
      </c>
      <c r="I1347" s="5">
        <v>43921</v>
      </c>
      <c r="J1347" s="5">
        <v>44011</v>
      </c>
      <c r="K1347" s="16">
        <v>2369</v>
      </c>
      <c r="L1347" s="13">
        <v>50000</v>
      </c>
      <c r="M1347" s="15">
        <v>8498.6058829968679</v>
      </c>
      <c r="N1347" s="13">
        <v>44500</v>
      </c>
      <c r="O1347" s="13">
        <v>1000</v>
      </c>
      <c r="P1347" s="11">
        <v>0</v>
      </c>
    </row>
    <row r="1348" spans="1:16" ht="15" thickBot="1" x14ac:dyDescent="0.3">
      <c r="A1348" s="3" t="s">
        <v>11</v>
      </c>
      <c r="B1348" s="4">
        <v>253501</v>
      </c>
      <c r="C1348" s="3" t="s">
        <v>9</v>
      </c>
      <c r="D1348" s="18">
        <v>0.1</v>
      </c>
      <c r="E1348" s="21">
        <v>7.9741404289037643E-3</v>
      </c>
      <c r="F1348" s="5">
        <v>41653</v>
      </c>
      <c r="G1348" s="5">
        <v>44038</v>
      </c>
      <c r="H1348" s="16">
        <v>2385</v>
      </c>
      <c r="I1348" s="5">
        <v>44038</v>
      </c>
      <c r="J1348" s="5">
        <v>42445</v>
      </c>
      <c r="K1348" s="16">
        <v>792</v>
      </c>
      <c r="L1348" s="13">
        <v>9667.5400000000009</v>
      </c>
      <c r="M1348" s="15">
        <v>164.66336672708138</v>
      </c>
      <c r="N1348" s="13">
        <v>9667.5400000000009</v>
      </c>
      <c r="O1348" s="13">
        <v>0</v>
      </c>
      <c r="P1348" s="11">
        <v>1</v>
      </c>
    </row>
    <row r="1349" spans="1:16" ht="15" thickBot="1" x14ac:dyDescent="0.3">
      <c r="A1349" s="3" t="s">
        <v>11</v>
      </c>
      <c r="B1349" s="4">
        <v>97193</v>
      </c>
      <c r="C1349" s="3" t="s">
        <v>9</v>
      </c>
      <c r="D1349" s="18">
        <v>0.13</v>
      </c>
      <c r="E1349" s="21">
        <v>1.02368443581764E-2</v>
      </c>
      <c r="F1349" s="5">
        <v>41647</v>
      </c>
      <c r="G1349" s="5">
        <v>42924</v>
      </c>
      <c r="H1349" s="16">
        <v>1277</v>
      </c>
      <c r="I1349" s="5">
        <v>42924</v>
      </c>
      <c r="J1349" s="5">
        <v>42678</v>
      </c>
      <c r="K1349" s="16">
        <v>1031</v>
      </c>
      <c r="L1349" s="13">
        <v>4255.29</v>
      </c>
      <c r="M1349" s="15">
        <v>123.82768152125284</v>
      </c>
      <c r="N1349" s="13">
        <v>4255.29</v>
      </c>
      <c r="O1349" s="13">
        <v>0</v>
      </c>
      <c r="P1349" s="11">
        <v>1</v>
      </c>
    </row>
    <row r="1350" spans="1:16" ht="15" thickBot="1" x14ac:dyDescent="0.3">
      <c r="A1350" s="3" t="s">
        <v>11</v>
      </c>
      <c r="B1350" s="4">
        <v>45629</v>
      </c>
      <c r="C1350" s="3" t="s">
        <v>9</v>
      </c>
      <c r="D1350" s="18">
        <v>0.1</v>
      </c>
      <c r="E1350" s="21">
        <v>7.9741404289037643E-3</v>
      </c>
      <c r="F1350" s="5">
        <v>41652</v>
      </c>
      <c r="G1350" s="5">
        <v>44221</v>
      </c>
      <c r="H1350" s="16">
        <v>2569</v>
      </c>
      <c r="I1350" s="5">
        <v>44221</v>
      </c>
      <c r="J1350" s="5">
        <v>42275</v>
      </c>
      <c r="K1350" s="16">
        <v>623</v>
      </c>
      <c r="L1350" s="13">
        <v>16431.810000000001</v>
      </c>
      <c r="M1350" s="15">
        <v>265.53445064345618</v>
      </c>
      <c r="N1350" s="13">
        <v>16431.810000000001</v>
      </c>
      <c r="O1350" s="13">
        <v>0</v>
      </c>
      <c r="P1350" s="11">
        <v>1</v>
      </c>
    </row>
    <row r="1351" spans="1:16" ht="15" thickBot="1" x14ac:dyDescent="0.3">
      <c r="A1351" s="3" t="s">
        <v>11</v>
      </c>
      <c r="B1351" s="4">
        <v>63940</v>
      </c>
      <c r="C1351" s="3" t="s">
        <v>9</v>
      </c>
      <c r="D1351" s="18">
        <v>0.1</v>
      </c>
      <c r="E1351" s="21">
        <v>7.9741404289037643E-3</v>
      </c>
      <c r="F1351" s="5">
        <v>41653</v>
      </c>
      <c r="G1351" s="5">
        <v>43373</v>
      </c>
      <c r="H1351" s="16">
        <v>1720</v>
      </c>
      <c r="I1351" s="5">
        <v>43373</v>
      </c>
      <c r="J1351" s="5">
        <v>43644</v>
      </c>
      <c r="K1351" s="16">
        <v>1991</v>
      </c>
      <c r="L1351" s="13">
        <v>12000</v>
      </c>
      <c r="M1351" s="15">
        <v>261.59926981098732</v>
      </c>
      <c r="N1351" s="13">
        <v>12000</v>
      </c>
      <c r="O1351" s="13">
        <v>0</v>
      </c>
      <c r="P1351" s="11">
        <v>1</v>
      </c>
    </row>
    <row r="1352" spans="1:16" ht="15" thickBot="1" x14ac:dyDescent="0.3">
      <c r="A1352" s="3" t="s">
        <v>11</v>
      </c>
      <c r="B1352" s="4">
        <v>759355</v>
      </c>
      <c r="C1352" s="3" t="s">
        <v>9</v>
      </c>
      <c r="D1352" s="18">
        <v>0.11</v>
      </c>
      <c r="E1352" s="21">
        <v>8.7345938235519061E-3</v>
      </c>
      <c r="F1352" s="5">
        <v>41662</v>
      </c>
      <c r="G1352" s="5">
        <v>42392</v>
      </c>
      <c r="H1352" s="16">
        <v>730</v>
      </c>
      <c r="I1352" s="5">
        <v>42392</v>
      </c>
      <c r="J1352" s="5">
        <v>42221</v>
      </c>
      <c r="K1352" s="16">
        <v>559</v>
      </c>
      <c r="L1352" s="13">
        <v>2141.4699999999998</v>
      </c>
      <c r="M1352" s="15">
        <v>98.071454098110408</v>
      </c>
      <c r="N1352" s="13">
        <v>2141.4699999999998</v>
      </c>
      <c r="O1352" s="13">
        <v>0</v>
      </c>
      <c r="P1352" s="11">
        <v>1</v>
      </c>
    </row>
    <row r="1353" spans="1:16" ht="15" thickBot="1" x14ac:dyDescent="0.3">
      <c r="A1353" s="3" t="s">
        <v>11</v>
      </c>
      <c r="B1353" s="4">
        <v>887341</v>
      </c>
      <c r="C1353" s="3" t="s">
        <v>9</v>
      </c>
      <c r="D1353" s="18">
        <v>0.11</v>
      </c>
      <c r="E1353" s="21">
        <v>8.7345938235519061E-3</v>
      </c>
      <c r="F1353" s="5">
        <v>41663</v>
      </c>
      <c r="G1353" s="5">
        <v>42362</v>
      </c>
      <c r="H1353" s="16">
        <v>699</v>
      </c>
      <c r="I1353" s="5">
        <v>42362</v>
      </c>
      <c r="J1353" s="5">
        <v>41968</v>
      </c>
      <c r="K1353" s="16">
        <v>305</v>
      </c>
      <c r="L1353" s="13">
        <v>2841.57</v>
      </c>
      <c r="M1353" s="15">
        <v>135.31644310266884</v>
      </c>
      <c r="N1353" s="13">
        <v>2841.57</v>
      </c>
      <c r="O1353" s="13">
        <v>0</v>
      </c>
      <c r="P1353" s="11">
        <v>1</v>
      </c>
    </row>
    <row r="1354" spans="1:16" ht="15" thickBot="1" x14ac:dyDescent="0.3">
      <c r="A1354" s="3" t="s">
        <v>11</v>
      </c>
      <c r="B1354" s="4">
        <v>749128</v>
      </c>
      <c r="C1354" s="3" t="s">
        <v>9</v>
      </c>
      <c r="D1354" s="18">
        <v>0.08</v>
      </c>
      <c r="E1354" s="21">
        <v>6.4340301100034303E-3</v>
      </c>
      <c r="F1354" s="5">
        <v>41668</v>
      </c>
      <c r="G1354" s="5">
        <v>42033</v>
      </c>
      <c r="H1354" s="16">
        <v>365</v>
      </c>
      <c r="I1354" s="5">
        <v>42033</v>
      </c>
      <c r="J1354" s="5">
        <v>41946</v>
      </c>
      <c r="K1354" s="16">
        <v>278</v>
      </c>
      <c r="L1354" s="13">
        <v>3243.56</v>
      </c>
      <c r="M1354" s="15">
        <v>278.02096191295016</v>
      </c>
      <c r="N1354" s="13">
        <v>3243.56</v>
      </c>
      <c r="O1354" s="13">
        <v>0</v>
      </c>
      <c r="P1354" s="11">
        <v>1</v>
      </c>
    </row>
    <row r="1355" spans="1:16" ht="15" thickBot="1" x14ac:dyDescent="0.3">
      <c r="A1355" s="3" t="s">
        <v>11</v>
      </c>
      <c r="B1355" s="4">
        <v>320562</v>
      </c>
      <c r="C1355" s="3" t="s">
        <v>9</v>
      </c>
      <c r="D1355" s="18">
        <v>0.1</v>
      </c>
      <c r="E1355" s="21">
        <v>7.9741404289037643E-3</v>
      </c>
      <c r="F1355" s="5">
        <v>41670</v>
      </c>
      <c r="G1355" s="5">
        <v>43406</v>
      </c>
      <c r="H1355" s="16">
        <v>1736</v>
      </c>
      <c r="I1355" s="5">
        <v>43406</v>
      </c>
      <c r="J1355" s="5">
        <v>42394</v>
      </c>
      <c r="K1355" s="16">
        <v>724</v>
      </c>
      <c r="L1355" s="13">
        <v>19268.259999999998</v>
      </c>
      <c r="M1355" s="15">
        <v>416.99077796573908</v>
      </c>
      <c r="N1355" s="13">
        <v>19268.259999999998</v>
      </c>
      <c r="O1355" s="13">
        <v>0</v>
      </c>
      <c r="P1355" s="11">
        <v>1</v>
      </c>
    </row>
    <row r="1356" spans="1:16" ht="15" thickBot="1" x14ac:dyDescent="0.3">
      <c r="A1356" s="3" t="s">
        <v>11</v>
      </c>
      <c r="B1356" s="4">
        <v>385272</v>
      </c>
      <c r="C1356" s="3" t="s">
        <v>9</v>
      </c>
      <c r="D1356" s="18">
        <v>8.5000000000000006E-2</v>
      </c>
      <c r="E1356" s="21">
        <v>6.8214933659622723E-3</v>
      </c>
      <c r="F1356" s="5">
        <v>41680</v>
      </c>
      <c r="G1356" s="5">
        <v>41942</v>
      </c>
      <c r="H1356" s="16">
        <v>262</v>
      </c>
      <c r="I1356" s="5">
        <v>41942</v>
      </c>
      <c r="J1356" s="5">
        <v>42508</v>
      </c>
      <c r="K1356" s="16">
        <v>828</v>
      </c>
      <c r="L1356" s="13">
        <v>34932.480000000003</v>
      </c>
      <c r="M1356" s="15">
        <v>4133.8542465254359</v>
      </c>
      <c r="N1356" s="13">
        <v>34932.480000000003</v>
      </c>
      <c r="O1356" s="13">
        <v>1000</v>
      </c>
      <c r="P1356" s="11">
        <v>0</v>
      </c>
    </row>
    <row r="1357" spans="1:16" ht="15" thickBot="1" x14ac:dyDescent="0.3">
      <c r="A1357" s="3" t="s">
        <v>11</v>
      </c>
      <c r="B1357" s="4">
        <v>12200</v>
      </c>
      <c r="C1357" s="3" t="s">
        <v>9</v>
      </c>
      <c r="D1357" s="18">
        <v>0.08</v>
      </c>
      <c r="E1357" s="21">
        <v>6.4340301100034303E-3</v>
      </c>
      <c r="F1357" s="5">
        <v>41681</v>
      </c>
      <c r="G1357" s="5">
        <v>43941</v>
      </c>
      <c r="H1357" s="16">
        <v>2260</v>
      </c>
      <c r="I1357" s="5">
        <v>43941</v>
      </c>
      <c r="J1357" s="5">
        <v>43306</v>
      </c>
      <c r="K1357" s="16">
        <v>1625</v>
      </c>
      <c r="L1357" s="13">
        <v>59000</v>
      </c>
      <c r="M1357" s="15">
        <v>990.7312021133489</v>
      </c>
      <c r="N1357" s="13">
        <v>59000</v>
      </c>
      <c r="O1357" s="13">
        <v>0</v>
      </c>
      <c r="P1357" s="11">
        <v>1</v>
      </c>
    </row>
    <row r="1358" spans="1:16" ht="15" thickBot="1" x14ac:dyDescent="0.3">
      <c r="A1358" s="3" t="s">
        <v>11</v>
      </c>
      <c r="B1358" s="4">
        <v>641505</v>
      </c>
      <c r="C1358" s="3" t="s">
        <v>9</v>
      </c>
      <c r="D1358" s="18">
        <v>0.1</v>
      </c>
      <c r="E1358" s="21">
        <v>7.9741404289037643E-3</v>
      </c>
      <c r="F1358" s="5">
        <v>41682</v>
      </c>
      <c r="G1358" s="5">
        <v>42472</v>
      </c>
      <c r="H1358" s="16">
        <v>790</v>
      </c>
      <c r="I1358" s="5">
        <v>42472</v>
      </c>
      <c r="J1358" s="5">
        <v>42193</v>
      </c>
      <c r="K1358" s="16">
        <v>511</v>
      </c>
      <c r="L1358" s="13">
        <v>4503.5</v>
      </c>
      <c r="M1358" s="15">
        <v>190.28118117689434</v>
      </c>
      <c r="N1358" s="13">
        <v>4503.5</v>
      </c>
      <c r="O1358" s="13">
        <v>0</v>
      </c>
      <c r="P1358" s="11">
        <v>1</v>
      </c>
    </row>
    <row r="1359" spans="1:16" ht="15" thickBot="1" x14ac:dyDescent="0.3">
      <c r="A1359" s="3" t="s">
        <v>11</v>
      </c>
      <c r="B1359" s="4">
        <v>879541</v>
      </c>
      <c r="C1359" s="3" t="s">
        <v>9</v>
      </c>
      <c r="D1359" s="18">
        <v>0.1</v>
      </c>
      <c r="E1359" s="21">
        <v>7.9741404289037643E-3</v>
      </c>
      <c r="F1359" s="5">
        <v>41696</v>
      </c>
      <c r="G1359" s="5">
        <v>42792</v>
      </c>
      <c r="H1359" s="16">
        <v>1096</v>
      </c>
      <c r="I1359" s="5">
        <v>42792</v>
      </c>
      <c r="J1359" s="5">
        <v>42650</v>
      </c>
      <c r="K1359" s="16">
        <v>954</v>
      </c>
      <c r="L1359" s="13">
        <v>193.42</v>
      </c>
      <c r="M1359" s="15">
        <v>6.1238459943714618</v>
      </c>
      <c r="N1359" s="13">
        <v>193.42</v>
      </c>
      <c r="O1359" s="13">
        <v>0</v>
      </c>
      <c r="P1359" s="11">
        <v>1</v>
      </c>
    </row>
    <row r="1360" spans="1:16" ht="15" thickBot="1" x14ac:dyDescent="0.3">
      <c r="A1360" s="3" t="s">
        <v>11</v>
      </c>
      <c r="B1360" s="4">
        <v>153746</v>
      </c>
      <c r="C1360" s="3" t="s">
        <v>9</v>
      </c>
      <c r="D1360" s="18">
        <v>0.14000000000000001</v>
      </c>
      <c r="E1360" s="21">
        <v>1.0978851950173452E-2</v>
      </c>
      <c r="F1360" s="5">
        <v>41694</v>
      </c>
      <c r="G1360" s="5">
        <v>43155</v>
      </c>
      <c r="H1360" s="16">
        <v>1461</v>
      </c>
      <c r="I1360" s="5">
        <v>43155</v>
      </c>
      <c r="J1360" s="5">
        <v>42438</v>
      </c>
      <c r="K1360" s="16">
        <v>744</v>
      </c>
      <c r="L1360" s="13">
        <v>8144.59</v>
      </c>
      <c r="M1360" s="15">
        <v>216.80939070820656</v>
      </c>
      <c r="N1360" s="13">
        <v>8144.59</v>
      </c>
      <c r="O1360" s="13">
        <v>0</v>
      </c>
      <c r="P1360" s="11">
        <v>1</v>
      </c>
    </row>
    <row r="1361" spans="1:16" ht="15" thickBot="1" x14ac:dyDescent="0.3">
      <c r="A1361" s="3" t="s">
        <v>11</v>
      </c>
      <c r="B1361" s="4">
        <v>973856</v>
      </c>
      <c r="C1361" s="3" t="s">
        <v>9</v>
      </c>
      <c r="D1361" s="18">
        <v>0.12</v>
      </c>
      <c r="E1361" s="21">
        <v>9.4887929345830457E-3</v>
      </c>
      <c r="F1361" s="5">
        <v>41694</v>
      </c>
      <c r="G1361" s="5">
        <v>42099</v>
      </c>
      <c r="H1361" s="16">
        <v>405</v>
      </c>
      <c r="I1361" s="5">
        <v>42099</v>
      </c>
      <c r="J1361" s="5">
        <v>42163</v>
      </c>
      <c r="K1361" s="16">
        <v>469</v>
      </c>
      <c r="L1361" s="13">
        <v>973.14</v>
      </c>
      <c r="M1361" s="15">
        <v>77.140945150257437</v>
      </c>
      <c r="N1361" s="13">
        <v>973.14</v>
      </c>
      <c r="O1361" s="13">
        <v>0</v>
      </c>
      <c r="P1361" s="11">
        <v>1</v>
      </c>
    </row>
    <row r="1362" spans="1:16" ht="15" thickBot="1" x14ac:dyDescent="0.3">
      <c r="A1362" s="3" t="s">
        <v>11</v>
      </c>
      <c r="B1362" s="4">
        <v>790182</v>
      </c>
      <c r="C1362" s="3" t="s">
        <v>9</v>
      </c>
      <c r="D1362" s="18">
        <v>0.08</v>
      </c>
      <c r="E1362" s="21">
        <v>6.4340301100034303E-3</v>
      </c>
      <c r="F1362" s="5">
        <v>41694</v>
      </c>
      <c r="G1362" s="5">
        <v>43914</v>
      </c>
      <c r="H1362" s="16">
        <v>2220</v>
      </c>
      <c r="I1362" s="5">
        <v>43914</v>
      </c>
      <c r="J1362" s="5">
        <v>42681</v>
      </c>
      <c r="K1362" s="16">
        <v>987</v>
      </c>
      <c r="L1362" s="13">
        <v>9000.98</v>
      </c>
      <c r="M1362" s="15">
        <v>153.26389270518655</v>
      </c>
      <c r="N1362" s="13">
        <v>9000.98</v>
      </c>
      <c r="O1362" s="13">
        <v>0</v>
      </c>
      <c r="P1362" s="11">
        <v>1</v>
      </c>
    </row>
    <row r="1363" spans="1:16" ht="15" thickBot="1" x14ac:dyDescent="0.3">
      <c r="A1363" s="3" t="s">
        <v>11</v>
      </c>
      <c r="B1363" s="4">
        <v>194945</v>
      </c>
      <c r="C1363" s="3" t="s">
        <v>9</v>
      </c>
      <c r="D1363" s="18">
        <v>0.1</v>
      </c>
      <c r="E1363" s="21">
        <v>7.9741404289037643E-3</v>
      </c>
      <c r="F1363" s="5">
        <v>41696</v>
      </c>
      <c r="G1363" s="5">
        <v>43887</v>
      </c>
      <c r="H1363" s="16">
        <v>2191</v>
      </c>
      <c r="I1363" s="5">
        <v>43887</v>
      </c>
      <c r="J1363" s="5">
        <v>42221</v>
      </c>
      <c r="K1363" s="16">
        <v>525</v>
      </c>
      <c r="L1363" s="13">
        <v>12757.06</v>
      </c>
      <c r="M1363" s="15">
        <v>231.12330503000837</v>
      </c>
      <c r="N1363" s="13">
        <v>12757.06</v>
      </c>
      <c r="O1363" s="13">
        <v>0</v>
      </c>
      <c r="P1363" s="11">
        <v>1</v>
      </c>
    </row>
    <row r="1364" spans="1:16" ht="15" thickBot="1" x14ac:dyDescent="0.3">
      <c r="A1364" s="3" t="s">
        <v>11</v>
      </c>
      <c r="B1364" s="4">
        <v>860124</v>
      </c>
      <c r="C1364" s="3" t="s">
        <v>9</v>
      </c>
      <c r="D1364" s="18">
        <v>0.1</v>
      </c>
      <c r="E1364" s="21">
        <v>7.9741404289037643E-3</v>
      </c>
      <c r="F1364" s="5">
        <v>41697</v>
      </c>
      <c r="G1364" s="5">
        <v>43247</v>
      </c>
      <c r="H1364" s="16">
        <v>1550</v>
      </c>
      <c r="I1364" s="5">
        <v>43247</v>
      </c>
      <c r="J1364" s="5">
        <v>42389</v>
      </c>
      <c r="K1364" s="16">
        <v>692</v>
      </c>
      <c r="L1364" s="13">
        <v>4135.8500000000004</v>
      </c>
      <c r="M1364" s="15">
        <v>97.982028541690866</v>
      </c>
      <c r="N1364" s="13">
        <v>4135.8500000000004</v>
      </c>
      <c r="O1364" s="13">
        <v>0</v>
      </c>
      <c r="P1364" s="11">
        <v>1</v>
      </c>
    </row>
    <row r="1365" spans="1:16" ht="15" thickBot="1" x14ac:dyDescent="0.3">
      <c r="A1365" s="3" t="s">
        <v>11</v>
      </c>
      <c r="B1365" s="4">
        <v>745513</v>
      </c>
      <c r="C1365" s="3" t="s">
        <v>9</v>
      </c>
      <c r="D1365" s="18">
        <v>0.14000000000000001</v>
      </c>
      <c r="E1365" s="21">
        <v>1.0978851950173452E-2</v>
      </c>
      <c r="F1365" s="5">
        <v>41701</v>
      </c>
      <c r="G1365" s="5">
        <v>43162</v>
      </c>
      <c r="H1365" s="16">
        <v>1461</v>
      </c>
      <c r="I1365" s="5">
        <v>43162</v>
      </c>
      <c r="J1365" s="5">
        <v>42136</v>
      </c>
      <c r="K1365" s="16">
        <v>435</v>
      </c>
      <c r="L1365" s="13">
        <v>1294.4100000000001</v>
      </c>
      <c r="M1365" s="15">
        <v>34.457258551579599</v>
      </c>
      <c r="N1365" s="13">
        <v>1294.4100000000001</v>
      </c>
      <c r="O1365" s="13">
        <v>0</v>
      </c>
      <c r="P1365" s="11">
        <v>1</v>
      </c>
    </row>
    <row r="1366" spans="1:16" ht="15" thickBot="1" x14ac:dyDescent="0.3">
      <c r="A1366" s="3" t="s">
        <v>11</v>
      </c>
      <c r="B1366" s="4">
        <v>260414</v>
      </c>
      <c r="C1366" s="3" t="s">
        <v>9</v>
      </c>
      <c r="D1366" s="18">
        <v>0.09</v>
      </c>
      <c r="E1366" s="21">
        <v>7.2073233161367156E-3</v>
      </c>
      <c r="F1366" s="5">
        <v>41711</v>
      </c>
      <c r="G1366" s="5">
        <v>43268</v>
      </c>
      <c r="H1366" s="16">
        <v>1557</v>
      </c>
      <c r="I1366" s="5">
        <v>43268</v>
      </c>
      <c r="J1366" s="5">
        <v>43006</v>
      </c>
      <c r="K1366" s="16">
        <v>1295</v>
      </c>
      <c r="L1366" s="13">
        <v>30000</v>
      </c>
      <c r="M1366" s="15">
        <v>694.92533965428424</v>
      </c>
      <c r="N1366" s="13">
        <v>30000</v>
      </c>
      <c r="O1366" s="13">
        <v>0</v>
      </c>
      <c r="P1366" s="11">
        <v>1</v>
      </c>
    </row>
    <row r="1367" spans="1:16" ht="15" thickBot="1" x14ac:dyDescent="0.3">
      <c r="A1367" s="3" t="s">
        <v>11</v>
      </c>
      <c r="B1367" s="4">
        <v>770281</v>
      </c>
      <c r="C1367" s="3" t="s">
        <v>9</v>
      </c>
      <c r="D1367" s="18">
        <v>0.1</v>
      </c>
      <c r="E1367" s="21">
        <v>7.9741404289037643E-3</v>
      </c>
      <c r="F1367" s="5">
        <v>41715</v>
      </c>
      <c r="G1367" s="5">
        <v>43541</v>
      </c>
      <c r="H1367" s="16">
        <v>1826</v>
      </c>
      <c r="I1367" s="5">
        <v>43541</v>
      </c>
      <c r="J1367" s="5">
        <v>41886</v>
      </c>
      <c r="K1367" s="16">
        <v>171</v>
      </c>
      <c r="L1367" s="13">
        <v>13304.19</v>
      </c>
      <c r="M1367" s="15">
        <v>276.75170763688726</v>
      </c>
      <c r="N1367" s="13">
        <v>13304.19</v>
      </c>
      <c r="O1367" s="13">
        <v>0</v>
      </c>
      <c r="P1367" s="11">
        <v>1</v>
      </c>
    </row>
    <row r="1368" spans="1:16" ht="15" thickBot="1" x14ac:dyDescent="0.3">
      <c r="A1368" s="3" t="s">
        <v>11</v>
      </c>
      <c r="B1368" s="4">
        <v>383001</v>
      </c>
      <c r="C1368" s="3" t="s">
        <v>9</v>
      </c>
      <c r="D1368" s="18">
        <v>0.1</v>
      </c>
      <c r="E1368" s="21">
        <v>7.9741404289037643E-3</v>
      </c>
      <c r="F1368" s="5">
        <v>41717</v>
      </c>
      <c r="G1368" s="5">
        <v>42822</v>
      </c>
      <c r="H1368" s="16">
        <v>1105</v>
      </c>
      <c r="I1368" s="5">
        <v>42822</v>
      </c>
      <c r="J1368" s="5">
        <v>42416</v>
      </c>
      <c r="K1368" s="16">
        <v>699</v>
      </c>
      <c r="L1368" s="13">
        <v>2823.88</v>
      </c>
      <c r="M1368" s="15">
        <v>88.778890640424748</v>
      </c>
      <c r="N1368" s="13">
        <v>2823.88</v>
      </c>
      <c r="O1368" s="13">
        <v>0</v>
      </c>
      <c r="P1368" s="11">
        <v>1</v>
      </c>
    </row>
    <row r="1369" spans="1:16" ht="15" thickBot="1" x14ac:dyDescent="0.3">
      <c r="A1369" s="3" t="s">
        <v>11</v>
      </c>
      <c r="B1369" s="4">
        <v>980066</v>
      </c>
      <c r="C1369" s="3" t="s">
        <v>9</v>
      </c>
      <c r="D1369" s="18">
        <v>0.1</v>
      </c>
      <c r="E1369" s="21">
        <v>7.9741404289037643E-3</v>
      </c>
      <c r="F1369" s="5">
        <v>41718</v>
      </c>
      <c r="G1369" s="5">
        <v>42967</v>
      </c>
      <c r="H1369" s="16">
        <v>1249</v>
      </c>
      <c r="I1369" s="5">
        <v>42967</v>
      </c>
      <c r="J1369" s="5">
        <v>42402</v>
      </c>
      <c r="K1369" s="16">
        <v>684</v>
      </c>
      <c r="L1369" s="13">
        <v>580</v>
      </c>
      <c r="M1369" s="15">
        <v>16.426331977270824</v>
      </c>
      <c r="N1369" s="13">
        <v>580</v>
      </c>
      <c r="O1369" s="13">
        <v>0</v>
      </c>
      <c r="P1369" s="11">
        <v>1</v>
      </c>
    </row>
    <row r="1370" spans="1:16" ht="15" thickBot="1" x14ac:dyDescent="0.3">
      <c r="A1370" s="3" t="s">
        <v>11</v>
      </c>
      <c r="B1370" s="4">
        <v>543678</v>
      </c>
      <c r="C1370" s="3" t="s">
        <v>9</v>
      </c>
      <c r="D1370" s="18">
        <v>0.1</v>
      </c>
      <c r="E1370" s="21">
        <v>7.9741404289037643E-3</v>
      </c>
      <c r="F1370" s="5">
        <v>41719</v>
      </c>
      <c r="G1370" s="5">
        <v>44276</v>
      </c>
      <c r="H1370" s="16">
        <v>2557</v>
      </c>
      <c r="I1370" s="5">
        <v>44276</v>
      </c>
      <c r="J1370" s="5">
        <v>43644</v>
      </c>
      <c r="K1370" s="16">
        <v>1925</v>
      </c>
      <c r="L1370" s="13">
        <v>1738.19</v>
      </c>
      <c r="M1370" s="15">
        <v>28.180821122734724</v>
      </c>
      <c r="N1370" s="13">
        <v>1738.19</v>
      </c>
      <c r="O1370" s="13">
        <v>0</v>
      </c>
      <c r="P1370" s="11">
        <v>1</v>
      </c>
    </row>
    <row r="1371" spans="1:16" ht="15" thickBot="1" x14ac:dyDescent="0.3">
      <c r="A1371" s="3" t="s">
        <v>11</v>
      </c>
      <c r="B1371" s="4">
        <v>631907</v>
      </c>
      <c r="C1371" s="3" t="s">
        <v>9</v>
      </c>
      <c r="D1371" s="18">
        <v>0.14000000000000001</v>
      </c>
      <c r="E1371" s="21">
        <v>1.0978851950173452E-2</v>
      </c>
      <c r="F1371" s="5">
        <v>41722</v>
      </c>
      <c r="G1371" s="5">
        <v>43244</v>
      </c>
      <c r="H1371" s="16">
        <v>1522</v>
      </c>
      <c r="I1371" s="5">
        <v>43244</v>
      </c>
      <c r="J1371" s="5">
        <v>42375</v>
      </c>
      <c r="K1371" s="16">
        <v>653</v>
      </c>
      <c r="L1371" s="13">
        <v>6563.12</v>
      </c>
      <c r="M1371" s="15">
        <v>169.4110792027349</v>
      </c>
      <c r="N1371" s="13">
        <v>6563.12</v>
      </c>
      <c r="O1371" s="13">
        <v>0</v>
      </c>
      <c r="P1371" s="11">
        <v>1</v>
      </c>
    </row>
    <row r="1372" spans="1:16" ht="15" thickBot="1" x14ac:dyDescent="0.3">
      <c r="A1372" s="3" t="s">
        <v>11</v>
      </c>
      <c r="B1372" s="4">
        <v>911314</v>
      </c>
      <c r="C1372" s="3" t="s">
        <v>9</v>
      </c>
      <c r="D1372" s="18">
        <v>0.1</v>
      </c>
      <c r="E1372" s="21">
        <v>7.9741404289037643E-3</v>
      </c>
      <c r="F1372" s="5">
        <v>41723</v>
      </c>
      <c r="G1372" s="5">
        <v>44737</v>
      </c>
      <c r="H1372" s="16">
        <v>3014</v>
      </c>
      <c r="I1372" s="5">
        <v>44737</v>
      </c>
      <c r="J1372" s="5">
        <v>42258</v>
      </c>
      <c r="K1372" s="16">
        <v>535</v>
      </c>
      <c r="L1372" s="13">
        <v>13500</v>
      </c>
      <c r="M1372" s="15">
        <v>195.81699376431175</v>
      </c>
      <c r="N1372" s="13">
        <v>13500</v>
      </c>
      <c r="O1372" s="13">
        <v>0</v>
      </c>
      <c r="P1372" s="11">
        <v>1</v>
      </c>
    </row>
    <row r="1373" spans="1:16" ht="15" thickBot="1" x14ac:dyDescent="0.3">
      <c r="A1373" s="3" t="s">
        <v>11</v>
      </c>
      <c r="B1373" s="4">
        <v>81223</v>
      </c>
      <c r="C1373" s="3" t="s">
        <v>9</v>
      </c>
      <c r="D1373" s="18">
        <v>9.5000000000000001E-2</v>
      </c>
      <c r="E1373" s="21">
        <v>7.5915342905825689E-3</v>
      </c>
      <c r="F1373" s="5">
        <v>41726</v>
      </c>
      <c r="G1373" s="5">
        <v>41910</v>
      </c>
      <c r="H1373" s="16">
        <v>184</v>
      </c>
      <c r="I1373" s="5">
        <v>44959</v>
      </c>
      <c r="J1373" s="5">
        <v>43829</v>
      </c>
      <c r="K1373" s="16">
        <v>2103</v>
      </c>
      <c r="L1373" s="13">
        <v>30000</v>
      </c>
      <c r="M1373" s="15">
        <v>5024.6005246301584</v>
      </c>
      <c r="N1373" s="13">
        <v>27295.51</v>
      </c>
      <c r="O1373" s="13">
        <v>3044.44</v>
      </c>
      <c r="P1373" s="11">
        <v>0</v>
      </c>
    </row>
    <row r="1374" spans="1:16" ht="15" thickBot="1" x14ac:dyDescent="0.3">
      <c r="A1374" s="3" t="s">
        <v>11</v>
      </c>
      <c r="B1374" s="4">
        <v>85734</v>
      </c>
      <c r="C1374" s="3" t="s">
        <v>9</v>
      </c>
      <c r="D1374" s="18">
        <v>9.5000000000000001E-2</v>
      </c>
      <c r="E1374" s="21">
        <v>7.5915342905825689E-3</v>
      </c>
      <c r="F1374" s="5">
        <v>41730</v>
      </c>
      <c r="G1374" s="5">
        <v>43800</v>
      </c>
      <c r="H1374" s="16">
        <v>2070</v>
      </c>
      <c r="I1374" s="5">
        <v>43800</v>
      </c>
      <c r="J1374" s="5">
        <v>42830</v>
      </c>
      <c r="K1374" s="16">
        <v>1100</v>
      </c>
      <c r="L1374" s="13">
        <v>25733.61</v>
      </c>
      <c r="M1374" s="15">
        <v>480.50061329054631</v>
      </c>
      <c r="N1374" s="13">
        <v>25733.61</v>
      </c>
      <c r="O1374" s="13">
        <v>0</v>
      </c>
      <c r="P1374" s="11">
        <v>1</v>
      </c>
    </row>
    <row r="1375" spans="1:16" ht="15" thickBot="1" x14ac:dyDescent="0.3">
      <c r="A1375" s="3" t="s">
        <v>11</v>
      </c>
      <c r="B1375" s="4">
        <v>33809</v>
      </c>
      <c r="C1375" s="3" t="s">
        <v>9</v>
      </c>
      <c r="D1375" s="18">
        <v>0.1</v>
      </c>
      <c r="E1375" s="21">
        <v>7.9741404289037643E-3</v>
      </c>
      <c r="F1375" s="5">
        <v>41730</v>
      </c>
      <c r="G1375" s="5">
        <v>43191</v>
      </c>
      <c r="H1375" s="16">
        <v>1461</v>
      </c>
      <c r="I1375" s="5">
        <v>43191</v>
      </c>
      <c r="J1375" s="5">
        <v>42255</v>
      </c>
      <c r="K1375" s="16">
        <v>525</v>
      </c>
      <c r="L1375" s="13">
        <v>258.04000000000002</v>
      </c>
      <c r="M1375" s="15">
        <v>6.4146441133923284</v>
      </c>
      <c r="N1375" s="13">
        <v>258.04000000000002</v>
      </c>
      <c r="O1375" s="13">
        <v>0</v>
      </c>
      <c r="P1375" s="11">
        <v>1</v>
      </c>
    </row>
    <row r="1376" spans="1:16" ht="15" thickBot="1" x14ac:dyDescent="0.3">
      <c r="A1376" s="3" t="s">
        <v>11</v>
      </c>
      <c r="B1376" s="4">
        <v>392810</v>
      </c>
      <c r="C1376" s="3" t="s">
        <v>9</v>
      </c>
      <c r="D1376" s="18">
        <v>0.1</v>
      </c>
      <c r="E1376" s="21">
        <v>7.9741404289037643E-3</v>
      </c>
      <c r="F1376" s="5">
        <v>41737</v>
      </c>
      <c r="G1376" s="5">
        <v>44520</v>
      </c>
      <c r="H1376" s="16">
        <v>2783</v>
      </c>
      <c r="I1376" s="5">
        <v>44520</v>
      </c>
      <c r="J1376" s="5">
        <v>43182</v>
      </c>
      <c r="K1376" s="16">
        <v>1445</v>
      </c>
      <c r="L1376" s="13">
        <v>20575.11</v>
      </c>
      <c r="M1376" s="15">
        <v>314.69561081833859</v>
      </c>
      <c r="N1376" s="13">
        <v>20575.11</v>
      </c>
      <c r="O1376" s="13">
        <v>0</v>
      </c>
      <c r="P1376" s="11">
        <v>1</v>
      </c>
    </row>
    <row r="1377" spans="1:16" ht="15" thickBot="1" x14ac:dyDescent="0.3">
      <c r="A1377" s="3" t="s">
        <v>11</v>
      </c>
      <c r="B1377" s="4">
        <v>493133</v>
      </c>
      <c r="C1377" s="3" t="s">
        <v>9</v>
      </c>
      <c r="D1377" s="18">
        <v>0.14000000000000001</v>
      </c>
      <c r="E1377" s="21">
        <v>1.0978851950173452E-2</v>
      </c>
      <c r="F1377" s="5">
        <v>41739</v>
      </c>
      <c r="G1377" s="5">
        <v>43565</v>
      </c>
      <c r="H1377" s="16">
        <v>1826</v>
      </c>
      <c r="I1377" s="5">
        <v>43565</v>
      </c>
      <c r="J1377" s="5">
        <v>43111</v>
      </c>
      <c r="K1377" s="16">
        <v>1372</v>
      </c>
      <c r="L1377" s="13">
        <v>8171.33</v>
      </c>
      <c r="M1377" s="15">
        <v>184.77357176171583</v>
      </c>
      <c r="N1377" s="13">
        <v>8171.33</v>
      </c>
      <c r="O1377" s="13">
        <v>5300</v>
      </c>
      <c r="P1377" s="11">
        <v>1</v>
      </c>
    </row>
    <row r="1378" spans="1:16" ht="15" thickBot="1" x14ac:dyDescent="0.3">
      <c r="A1378" s="3" t="s">
        <v>11</v>
      </c>
      <c r="B1378" s="4">
        <v>542095</v>
      </c>
      <c r="C1378" s="3" t="s">
        <v>9</v>
      </c>
      <c r="D1378" s="18">
        <v>0.14000000000000001</v>
      </c>
      <c r="E1378" s="21">
        <v>1.0978851950173452E-2</v>
      </c>
      <c r="F1378" s="5">
        <v>41744</v>
      </c>
      <c r="G1378" s="5">
        <v>43205</v>
      </c>
      <c r="H1378" s="16">
        <v>1461</v>
      </c>
      <c r="I1378" s="5">
        <v>43205</v>
      </c>
      <c r="J1378" s="5">
        <v>42300</v>
      </c>
      <c r="K1378" s="16">
        <v>556</v>
      </c>
      <c r="L1378" s="13">
        <v>8981.68</v>
      </c>
      <c r="M1378" s="15">
        <v>239.09276812412719</v>
      </c>
      <c r="N1378" s="13">
        <v>8981.68</v>
      </c>
      <c r="O1378" s="13">
        <v>0</v>
      </c>
      <c r="P1378" s="11">
        <v>1</v>
      </c>
    </row>
    <row r="1379" spans="1:16" ht="15" thickBot="1" x14ac:dyDescent="0.3">
      <c r="A1379" s="3" t="s">
        <v>11</v>
      </c>
      <c r="B1379" s="4">
        <v>376085</v>
      </c>
      <c r="C1379" s="3" t="s">
        <v>9</v>
      </c>
      <c r="D1379" s="18">
        <v>0.1</v>
      </c>
      <c r="E1379" s="21">
        <v>7.9741404289037643E-3</v>
      </c>
      <c r="F1379" s="5">
        <v>41746</v>
      </c>
      <c r="G1379" s="5">
        <v>43572</v>
      </c>
      <c r="H1379" s="16">
        <v>1826</v>
      </c>
      <c r="I1379" s="5">
        <v>43572</v>
      </c>
      <c r="J1379" s="5">
        <v>42265</v>
      </c>
      <c r="K1379" s="16">
        <v>519</v>
      </c>
      <c r="L1379" s="13">
        <v>303.5</v>
      </c>
      <c r="M1379" s="15">
        <v>6.3133601720807713</v>
      </c>
      <c r="N1379" s="13">
        <v>303.5</v>
      </c>
      <c r="O1379" s="13">
        <v>0</v>
      </c>
      <c r="P1379" s="11">
        <v>1</v>
      </c>
    </row>
    <row r="1380" spans="1:16" ht="15" thickBot="1" x14ac:dyDescent="0.3">
      <c r="A1380" s="3" t="s">
        <v>11</v>
      </c>
      <c r="B1380" s="4">
        <v>416254</v>
      </c>
      <c r="C1380" s="3" t="s">
        <v>9</v>
      </c>
      <c r="D1380" s="18">
        <v>0.09</v>
      </c>
      <c r="E1380" s="21">
        <v>7.2073233161367156E-3</v>
      </c>
      <c r="F1380" s="5">
        <v>41746</v>
      </c>
      <c r="G1380" s="5">
        <v>43451</v>
      </c>
      <c r="H1380" s="16">
        <v>1705</v>
      </c>
      <c r="I1380" s="5">
        <v>43451</v>
      </c>
      <c r="J1380" s="5">
        <v>43592</v>
      </c>
      <c r="K1380" s="16">
        <v>1846</v>
      </c>
      <c r="L1380" s="13">
        <v>45000</v>
      </c>
      <c r="M1380" s="15">
        <v>967.80423047023942</v>
      </c>
      <c r="N1380" s="13">
        <v>44900</v>
      </c>
      <c r="O1380" s="13">
        <v>0</v>
      </c>
      <c r="P1380" s="11">
        <v>1</v>
      </c>
    </row>
    <row r="1381" spans="1:16" ht="15" thickBot="1" x14ac:dyDescent="0.3">
      <c r="A1381" s="3" t="s">
        <v>11</v>
      </c>
      <c r="B1381" s="4">
        <v>506046</v>
      </c>
      <c r="C1381" s="3" t="s">
        <v>9</v>
      </c>
      <c r="D1381" s="18">
        <v>9.5000000000000001E-2</v>
      </c>
      <c r="E1381" s="21">
        <v>7.5915342905825689E-3</v>
      </c>
      <c r="F1381" s="5">
        <v>41803</v>
      </c>
      <c r="G1381" s="5">
        <v>43264</v>
      </c>
      <c r="H1381" s="16">
        <v>1461</v>
      </c>
      <c r="I1381" s="5">
        <v>43264</v>
      </c>
      <c r="J1381" s="5">
        <v>42908</v>
      </c>
      <c r="K1381" s="16">
        <v>1105</v>
      </c>
      <c r="L1381" s="13">
        <v>9598.11</v>
      </c>
      <c r="M1381" s="15">
        <v>236.49714843802127</v>
      </c>
      <c r="N1381" s="13">
        <v>9598.11</v>
      </c>
      <c r="O1381" s="13">
        <v>0</v>
      </c>
      <c r="P1381" s="11">
        <v>1</v>
      </c>
    </row>
    <row r="1382" spans="1:16" ht="15" thickBot="1" x14ac:dyDescent="0.3">
      <c r="A1382" s="3" t="s">
        <v>11</v>
      </c>
      <c r="B1382" s="4">
        <v>262730</v>
      </c>
      <c r="C1382" s="3" t="s">
        <v>9</v>
      </c>
      <c r="D1382" s="18">
        <v>0.1</v>
      </c>
      <c r="E1382" s="21">
        <v>7.9741404289037643E-3</v>
      </c>
      <c r="F1382" s="5">
        <v>41747</v>
      </c>
      <c r="G1382" s="5">
        <v>42127</v>
      </c>
      <c r="H1382" s="16">
        <v>380</v>
      </c>
      <c r="I1382" s="5">
        <v>42127</v>
      </c>
      <c r="J1382" s="5">
        <v>41915</v>
      </c>
      <c r="K1382" s="16">
        <v>168</v>
      </c>
      <c r="L1382" s="13">
        <v>770.89</v>
      </c>
      <c r="M1382" s="15">
        <v>64.227188101658115</v>
      </c>
      <c r="N1382" s="13">
        <v>770.89</v>
      </c>
      <c r="O1382" s="13">
        <v>0</v>
      </c>
      <c r="P1382" s="11">
        <v>1</v>
      </c>
    </row>
    <row r="1383" spans="1:16" ht="15" thickBot="1" x14ac:dyDescent="0.3">
      <c r="A1383" s="3" t="s">
        <v>11</v>
      </c>
      <c r="B1383" s="4">
        <v>277676</v>
      </c>
      <c r="C1383" s="3" t="s">
        <v>9</v>
      </c>
      <c r="D1383" s="18">
        <v>9.5000000000000001E-2</v>
      </c>
      <c r="E1383" s="21">
        <v>7.5915342905825689E-3</v>
      </c>
      <c r="F1383" s="5">
        <v>41754</v>
      </c>
      <c r="G1383" s="5">
        <v>44302</v>
      </c>
      <c r="H1383" s="16">
        <v>2548</v>
      </c>
      <c r="I1383" s="5">
        <v>44302</v>
      </c>
      <c r="J1383" s="5">
        <v>42549</v>
      </c>
      <c r="K1383" s="16">
        <v>795</v>
      </c>
      <c r="L1383" s="13">
        <v>90037.92</v>
      </c>
      <c r="M1383" s="15">
        <v>1442.2217064167994</v>
      </c>
      <c r="N1383" s="13">
        <v>90037.92</v>
      </c>
      <c r="O1383" s="13">
        <v>0</v>
      </c>
      <c r="P1383" s="11">
        <v>1</v>
      </c>
    </row>
    <row r="1384" spans="1:16" ht="15" thickBot="1" x14ac:dyDescent="0.3">
      <c r="A1384" s="3" t="s">
        <v>11</v>
      </c>
      <c r="B1384" s="4">
        <v>739894</v>
      </c>
      <c r="C1384" s="3" t="s">
        <v>9</v>
      </c>
      <c r="D1384" s="18">
        <v>0.1</v>
      </c>
      <c r="E1384" s="21">
        <v>7.9741404289037643E-3</v>
      </c>
      <c r="F1384" s="5">
        <v>41757</v>
      </c>
      <c r="G1384" s="5">
        <v>44040</v>
      </c>
      <c r="H1384" s="16">
        <v>2283</v>
      </c>
      <c r="I1384" s="5">
        <v>44040</v>
      </c>
      <c r="J1384" s="5">
        <v>42268</v>
      </c>
      <c r="K1384" s="16">
        <v>511</v>
      </c>
      <c r="L1384" s="13">
        <v>4837.53</v>
      </c>
      <c r="M1384" s="15">
        <v>85.04000944140752</v>
      </c>
      <c r="N1384" s="13">
        <v>4837.53</v>
      </c>
      <c r="O1384" s="13">
        <v>0</v>
      </c>
      <c r="P1384" s="11">
        <v>1</v>
      </c>
    </row>
    <row r="1385" spans="1:16" ht="15" thickBot="1" x14ac:dyDescent="0.3">
      <c r="A1385" s="3" t="s">
        <v>11</v>
      </c>
      <c r="B1385" s="4">
        <v>744571</v>
      </c>
      <c r="C1385" s="3" t="s">
        <v>9</v>
      </c>
      <c r="D1385" s="18">
        <v>0.1</v>
      </c>
      <c r="E1385" s="21">
        <v>7.9741404289037643E-3</v>
      </c>
      <c r="F1385" s="5">
        <v>41757</v>
      </c>
      <c r="G1385" s="5">
        <v>42244</v>
      </c>
      <c r="H1385" s="16">
        <v>487</v>
      </c>
      <c r="I1385" s="5">
        <v>42244</v>
      </c>
      <c r="J1385" s="5">
        <v>42283</v>
      </c>
      <c r="K1385" s="16">
        <v>526</v>
      </c>
      <c r="L1385" s="13">
        <v>842.38</v>
      </c>
      <c r="M1385" s="15">
        <v>55.529396417526662</v>
      </c>
      <c r="N1385" s="13">
        <v>842.38</v>
      </c>
      <c r="O1385" s="13">
        <v>0</v>
      </c>
      <c r="P1385" s="11">
        <v>1</v>
      </c>
    </row>
    <row r="1386" spans="1:16" ht="15" thickBot="1" x14ac:dyDescent="0.3">
      <c r="A1386" s="3" t="s">
        <v>11</v>
      </c>
      <c r="B1386" s="4">
        <v>94307</v>
      </c>
      <c r="C1386" s="3" t="s">
        <v>9</v>
      </c>
      <c r="D1386" s="18">
        <v>0.1</v>
      </c>
      <c r="E1386" s="21">
        <v>7.9741404289037643E-3</v>
      </c>
      <c r="F1386" s="5">
        <v>41759</v>
      </c>
      <c r="G1386" s="5">
        <v>43585</v>
      </c>
      <c r="H1386" s="16">
        <v>1826</v>
      </c>
      <c r="I1386" s="5">
        <v>43676</v>
      </c>
      <c r="J1386" s="5">
        <v>43810</v>
      </c>
      <c r="K1386" s="16">
        <v>2051</v>
      </c>
      <c r="L1386" s="13">
        <v>12000</v>
      </c>
      <c r="M1386" s="15">
        <v>249.62214848424796</v>
      </c>
      <c r="N1386" s="13">
        <v>1305.8900000000001</v>
      </c>
      <c r="O1386" s="13">
        <v>400</v>
      </c>
      <c r="P1386" s="11">
        <v>1</v>
      </c>
    </row>
    <row r="1387" spans="1:16" ht="15" thickBot="1" x14ac:dyDescent="0.3">
      <c r="A1387" s="3" t="s">
        <v>11</v>
      </c>
      <c r="B1387" s="4">
        <v>666459</v>
      </c>
      <c r="C1387" s="3" t="s">
        <v>9</v>
      </c>
      <c r="D1387" s="18">
        <v>0.1</v>
      </c>
      <c r="E1387" s="21">
        <v>7.9741404289037643E-3</v>
      </c>
      <c r="F1387" s="5">
        <v>41764</v>
      </c>
      <c r="G1387" s="5">
        <v>43225</v>
      </c>
      <c r="H1387" s="16">
        <v>1461</v>
      </c>
      <c r="I1387" s="5">
        <v>43225</v>
      </c>
      <c r="J1387" s="5">
        <v>42846</v>
      </c>
      <c r="K1387" s="16">
        <v>1082</v>
      </c>
      <c r="L1387" s="13">
        <v>4183.62</v>
      </c>
      <c r="M1387" s="15">
        <v>104.00105954762986</v>
      </c>
      <c r="N1387" s="13">
        <v>4183.62</v>
      </c>
      <c r="O1387" s="13">
        <v>0</v>
      </c>
      <c r="P1387" s="11">
        <v>1</v>
      </c>
    </row>
    <row r="1388" spans="1:16" ht="15" thickBot="1" x14ac:dyDescent="0.3">
      <c r="A1388" s="3" t="s">
        <v>11</v>
      </c>
      <c r="B1388" s="4">
        <v>895476</v>
      </c>
      <c r="C1388" s="3" t="s">
        <v>9</v>
      </c>
      <c r="D1388" s="18">
        <v>0.1</v>
      </c>
      <c r="E1388" s="21">
        <v>7.9741404289037643E-3</v>
      </c>
      <c r="F1388" s="5">
        <v>41765</v>
      </c>
      <c r="G1388" s="5">
        <v>43957</v>
      </c>
      <c r="H1388" s="16">
        <v>2192</v>
      </c>
      <c r="I1388" s="5">
        <v>44171</v>
      </c>
      <c r="J1388" s="5">
        <v>43816</v>
      </c>
      <c r="K1388" s="16">
        <v>2051</v>
      </c>
      <c r="L1388" s="13">
        <v>25841.439999999999</v>
      </c>
      <c r="M1388" s="15">
        <v>468.01916901371891</v>
      </c>
      <c r="N1388" s="13">
        <v>11432.29</v>
      </c>
      <c r="O1388" s="13">
        <v>11432.29</v>
      </c>
      <c r="P1388" s="11">
        <v>1</v>
      </c>
    </row>
    <row r="1389" spans="1:16" ht="15" thickBot="1" x14ac:dyDescent="0.3">
      <c r="A1389" s="3" t="s">
        <v>11</v>
      </c>
      <c r="B1389" s="4">
        <v>601764</v>
      </c>
      <c r="C1389" s="3" t="s">
        <v>9</v>
      </c>
      <c r="D1389" s="18">
        <v>0.1</v>
      </c>
      <c r="E1389" s="21">
        <v>7.9741404289037643E-3</v>
      </c>
      <c r="F1389" s="5">
        <v>41766</v>
      </c>
      <c r="G1389" s="5">
        <v>43976</v>
      </c>
      <c r="H1389" s="16">
        <v>2210</v>
      </c>
      <c r="I1389" s="5">
        <v>43976</v>
      </c>
      <c r="J1389" s="5">
        <v>42375</v>
      </c>
      <c r="K1389" s="16">
        <v>609</v>
      </c>
      <c r="L1389" s="13">
        <v>10365.450000000001</v>
      </c>
      <c r="M1389" s="15">
        <v>186.60283955068721</v>
      </c>
      <c r="N1389" s="13">
        <v>10365.450000000001</v>
      </c>
      <c r="O1389" s="13">
        <v>0</v>
      </c>
      <c r="P1389" s="11">
        <v>1</v>
      </c>
    </row>
    <row r="1390" spans="1:16" ht="15" thickBot="1" x14ac:dyDescent="0.3">
      <c r="A1390" s="3" t="s">
        <v>11</v>
      </c>
      <c r="B1390" s="4">
        <v>745851</v>
      </c>
      <c r="C1390" s="3" t="s">
        <v>2</v>
      </c>
      <c r="D1390" s="18">
        <v>0.09</v>
      </c>
      <c r="E1390" s="21">
        <v>7.2073233161367156E-3</v>
      </c>
      <c r="F1390" s="5">
        <v>41772</v>
      </c>
      <c r="G1390" s="5">
        <v>43964</v>
      </c>
      <c r="H1390" s="16">
        <v>2192</v>
      </c>
      <c r="I1390" s="5">
        <v>43921</v>
      </c>
      <c r="J1390" s="5">
        <v>44011</v>
      </c>
      <c r="K1390" s="16">
        <v>2239</v>
      </c>
      <c r="L1390" s="13">
        <v>75000</v>
      </c>
      <c r="M1390" s="15">
        <v>1323.9580091130208</v>
      </c>
      <c r="N1390" s="13">
        <v>8180</v>
      </c>
      <c r="O1390" s="13">
        <v>0</v>
      </c>
      <c r="P1390" s="11">
        <v>1</v>
      </c>
    </row>
    <row r="1391" spans="1:16" ht="15" thickBot="1" x14ac:dyDescent="0.3">
      <c r="A1391" s="3" t="s">
        <v>11</v>
      </c>
      <c r="B1391" s="4">
        <v>112714</v>
      </c>
      <c r="C1391" s="3" t="s">
        <v>9</v>
      </c>
      <c r="D1391" s="18">
        <v>0.1</v>
      </c>
      <c r="E1391" s="21">
        <v>7.9741404289037643E-3</v>
      </c>
      <c r="F1391" s="5">
        <v>41774</v>
      </c>
      <c r="G1391" s="5">
        <v>42505</v>
      </c>
      <c r="H1391" s="16">
        <v>731</v>
      </c>
      <c r="I1391" s="5">
        <v>42505</v>
      </c>
      <c r="J1391" s="5">
        <v>42846</v>
      </c>
      <c r="K1391" s="16">
        <v>1072</v>
      </c>
      <c r="L1391" s="13">
        <v>756.26</v>
      </c>
      <c r="M1391" s="15">
        <v>34.272703291704062</v>
      </c>
      <c r="N1391" s="13">
        <v>756.26</v>
      </c>
      <c r="O1391" s="13">
        <v>0</v>
      </c>
      <c r="P1391" s="11">
        <v>1</v>
      </c>
    </row>
    <row r="1392" spans="1:16" ht="15" thickBot="1" x14ac:dyDescent="0.3">
      <c r="A1392" s="3" t="s">
        <v>11</v>
      </c>
      <c r="B1392" s="4">
        <v>572745</v>
      </c>
      <c r="C1392" s="3" t="s">
        <v>9</v>
      </c>
      <c r="D1392" s="18">
        <v>0.1</v>
      </c>
      <c r="E1392" s="21">
        <v>7.9741404289037643E-3</v>
      </c>
      <c r="F1392" s="5">
        <v>41774</v>
      </c>
      <c r="G1392" s="5">
        <v>43845</v>
      </c>
      <c r="H1392" s="16">
        <v>2071</v>
      </c>
      <c r="I1392" s="5">
        <v>43845</v>
      </c>
      <c r="J1392" s="5">
        <v>43371</v>
      </c>
      <c r="K1392" s="16">
        <v>1597</v>
      </c>
      <c r="L1392" s="13">
        <v>19475</v>
      </c>
      <c r="M1392" s="15">
        <v>367.94201573774632</v>
      </c>
      <c r="N1392" s="13">
        <v>19475</v>
      </c>
      <c r="O1392" s="13">
        <v>0</v>
      </c>
      <c r="P1392" s="11">
        <v>1</v>
      </c>
    </row>
    <row r="1393" spans="1:16" ht="15" thickBot="1" x14ac:dyDescent="0.3">
      <c r="A1393" s="3" t="s">
        <v>11</v>
      </c>
      <c r="B1393" s="4">
        <v>287979</v>
      </c>
      <c r="C1393" s="3" t="s">
        <v>9</v>
      </c>
      <c r="D1393" s="18">
        <v>9.5000000000000001E-2</v>
      </c>
      <c r="E1393" s="21">
        <v>7.5915342905825689E-3</v>
      </c>
      <c r="F1393" s="5">
        <v>41778</v>
      </c>
      <c r="G1393" s="5">
        <v>43239</v>
      </c>
      <c r="H1393" s="16">
        <v>1461</v>
      </c>
      <c r="I1393" s="5">
        <v>43239</v>
      </c>
      <c r="J1393" s="5">
        <v>43234</v>
      </c>
      <c r="K1393" s="16">
        <v>1456</v>
      </c>
      <c r="L1393" s="13">
        <v>925</v>
      </c>
      <c r="M1393" s="15">
        <v>22.791972826438712</v>
      </c>
      <c r="N1393" s="13">
        <v>925</v>
      </c>
      <c r="O1393" s="13">
        <v>0</v>
      </c>
      <c r="P1393" s="11">
        <v>1</v>
      </c>
    </row>
    <row r="1394" spans="1:16" ht="15" thickBot="1" x14ac:dyDescent="0.3">
      <c r="A1394" s="3" t="s">
        <v>11</v>
      </c>
      <c r="B1394" s="4">
        <v>825111</v>
      </c>
      <c r="C1394" s="3" t="s">
        <v>9</v>
      </c>
      <c r="D1394" s="18">
        <v>0.1</v>
      </c>
      <c r="E1394" s="21">
        <v>7.9741404289037643E-3</v>
      </c>
      <c r="F1394" s="5">
        <v>41792</v>
      </c>
      <c r="G1394" s="5">
        <v>43999</v>
      </c>
      <c r="H1394" s="16">
        <v>2207</v>
      </c>
      <c r="I1394" s="5">
        <v>43999</v>
      </c>
      <c r="J1394" s="5">
        <v>42240</v>
      </c>
      <c r="K1394" s="16">
        <v>448</v>
      </c>
      <c r="L1394" s="13">
        <v>25848.63</v>
      </c>
      <c r="M1394" s="15">
        <v>465.80248418190496</v>
      </c>
      <c r="N1394" s="13">
        <v>25848.63</v>
      </c>
      <c r="O1394" s="13">
        <v>0</v>
      </c>
      <c r="P1394" s="11">
        <v>1</v>
      </c>
    </row>
    <row r="1395" spans="1:16" ht="15" thickBot="1" x14ac:dyDescent="0.3">
      <c r="A1395" s="3" t="s">
        <v>11</v>
      </c>
      <c r="B1395" s="4">
        <v>982982</v>
      </c>
      <c r="C1395" s="3" t="s">
        <v>9</v>
      </c>
      <c r="D1395" s="18">
        <v>0.14000000000000001</v>
      </c>
      <c r="E1395" s="21">
        <v>1.0978851950173452E-2</v>
      </c>
      <c r="F1395" s="5">
        <v>41787</v>
      </c>
      <c r="G1395" s="5">
        <v>43613</v>
      </c>
      <c r="H1395" s="16">
        <v>1826</v>
      </c>
      <c r="I1395" s="5">
        <v>43613</v>
      </c>
      <c r="J1395" s="5">
        <v>42990</v>
      </c>
      <c r="K1395" s="16">
        <v>1203</v>
      </c>
      <c r="L1395" s="13">
        <v>7312.9</v>
      </c>
      <c r="M1395" s="15">
        <v>165.36238934619601</v>
      </c>
      <c r="N1395" s="13">
        <v>7312.9</v>
      </c>
      <c r="O1395" s="13">
        <v>0</v>
      </c>
      <c r="P1395" s="11">
        <v>1</v>
      </c>
    </row>
    <row r="1396" spans="1:16" ht="15" thickBot="1" x14ac:dyDescent="0.3">
      <c r="A1396" s="3" t="s">
        <v>11</v>
      </c>
      <c r="B1396" s="4">
        <v>838947</v>
      </c>
      <c r="C1396" s="3" t="s">
        <v>9</v>
      </c>
      <c r="D1396" s="18">
        <v>0.09</v>
      </c>
      <c r="E1396" s="21">
        <v>7.2073233161367156E-3</v>
      </c>
      <c r="F1396" s="5">
        <v>41792</v>
      </c>
      <c r="G1396" s="5">
        <v>43984</v>
      </c>
      <c r="H1396" s="16">
        <v>2192</v>
      </c>
      <c r="I1396" s="5">
        <v>43984</v>
      </c>
      <c r="J1396" s="5">
        <v>42137</v>
      </c>
      <c r="K1396" s="16">
        <v>345</v>
      </c>
      <c r="L1396" s="13">
        <v>5100</v>
      </c>
      <c r="M1396" s="15">
        <v>90.029144619685411</v>
      </c>
      <c r="N1396" s="13">
        <v>5100</v>
      </c>
      <c r="O1396" s="13">
        <v>0</v>
      </c>
      <c r="P1396" s="11">
        <v>1</v>
      </c>
    </row>
    <row r="1397" spans="1:16" ht="15" thickBot="1" x14ac:dyDescent="0.3">
      <c r="A1397" s="3" t="s">
        <v>11</v>
      </c>
      <c r="B1397" s="4">
        <v>707567</v>
      </c>
      <c r="C1397" s="3" t="s">
        <v>9</v>
      </c>
      <c r="D1397" s="18">
        <v>0.14000000000000001</v>
      </c>
      <c r="E1397" s="21">
        <v>1.0978851950173452E-2</v>
      </c>
      <c r="F1397" s="5">
        <v>41795</v>
      </c>
      <c r="G1397" s="5">
        <v>42903</v>
      </c>
      <c r="H1397" s="16">
        <v>1108</v>
      </c>
      <c r="I1397" s="5">
        <v>42903</v>
      </c>
      <c r="J1397" s="5">
        <v>42769</v>
      </c>
      <c r="K1397" s="16">
        <v>974</v>
      </c>
      <c r="L1397" s="13">
        <v>5532.22</v>
      </c>
      <c r="M1397" s="15">
        <v>183.01447373776654</v>
      </c>
      <c r="N1397" s="13">
        <v>5532.22</v>
      </c>
      <c r="O1397" s="13">
        <v>120</v>
      </c>
      <c r="P1397" s="11">
        <v>1</v>
      </c>
    </row>
    <row r="1398" spans="1:16" ht="15" thickBot="1" x14ac:dyDescent="0.3">
      <c r="A1398" s="3" t="s">
        <v>11</v>
      </c>
      <c r="B1398" s="4">
        <v>573072</v>
      </c>
      <c r="C1398" s="3" t="s">
        <v>9</v>
      </c>
      <c r="D1398" s="18">
        <v>0.1</v>
      </c>
      <c r="E1398" s="21">
        <v>7.9741404289037643E-3</v>
      </c>
      <c r="F1398" s="5">
        <v>41795</v>
      </c>
      <c r="G1398" s="5">
        <v>42526</v>
      </c>
      <c r="H1398" s="16">
        <v>731</v>
      </c>
      <c r="I1398" s="5">
        <v>42526</v>
      </c>
      <c r="J1398" s="5">
        <v>42380</v>
      </c>
      <c r="K1398" s="16">
        <v>585</v>
      </c>
      <c r="L1398" s="13">
        <v>881.77</v>
      </c>
      <c r="M1398" s="15">
        <v>39.960650545481563</v>
      </c>
      <c r="N1398" s="13">
        <v>881.77</v>
      </c>
      <c r="O1398" s="13">
        <v>0</v>
      </c>
      <c r="P1398" s="11">
        <v>1</v>
      </c>
    </row>
    <row r="1399" spans="1:16" ht="15" thickBot="1" x14ac:dyDescent="0.3">
      <c r="A1399" s="3" t="s">
        <v>11</v>
      </c>
      <c r="B1399" s="4">
        <v>772422</v>
      </c>
      <c r="C1399" s="3" t="s">
        <v>9</v>
      </c>
      <c r="D1399" s="18">
        <v>0.1</v>
      </c>
      <c r="E1399" s="21">
        <v>7.9741404289037643E-3</v>
      </c>
      <c r="F1399" s="5">
        <v>41802</v>
      </c>
      <c r="G1399" s="5">
        <v>42350</v>
      </c>
      <c r="H1399" s="16">
        <v>548</v>
      </c>
      <c r="I1399" s="5">
        <v>42350</v>
      </c>
      <c r="J1399" s="5">
        <v>42090</v>
      </c>
      <c r="K1399" s="16">
        <v>288</v>
      </c>
      <c r="L1399" s="13">
        <v>1693.5</v>
      </c>
      <c r="M1399" s="15">
        <v>99.99432110307913</v>
      </c>
      <c r="N1399" s="13">
        <v>1693.5</v>
      </c>
      <c r="O1399" s="13">
        <v>0</v>
      </c>
      <c r="P1399" s="11">
        <v>1</v>
      </c>
    </row>
    <row r="1400" spans="1:16" ht="15" thickBot="1" x14ac:dyDescent="0.3">
      <c r="A1400" s="3" t="s">
        <v>11</v>
      </c>
      <c r="B1400" s="4">
        <v>970751</v>
      </c>
      <c r="C1400" s="3" t="s">
        <v>9</v>
      </c>
      <c r="D1400" s="18">
        <v>0.12</v>
      </c>
      <c r="E1400" s="21">
        <v>9.4887929345830457E-3</v>
      </c>
      <c r="F1400" s="5">
        <v>41807</v>
      </c>
      <c r="G1400" s="5">
        <v>43633</v>
      </c>
      <c r="H1400" s="16">
        <v>1826</v>
      </c>
      <c r="I1400" s="5">
        <v>43633</v>
      </c>
      <c r="J1400" s="5">
        <v>42311</v>
      </c>
      <c r="K1400" s="16">
        <v>504</v>
      </c>
      <c r="L1400" s="13">
        <v>4517.28</v>
      </c>
      <c r="M1400" s="15">
        <v>98.041359326820583</v>
      </c>
      <c r="N1400" s="13">
        <v>4517.28</v>
      </c>
      <c r="O1400" s="13">
        <v>0</v>
      </c>
      <c r="P1400" s="11">
        <v>1</v>
      </c>
    </row>
    <row r="1401" spans="1:16" ht="15" thickBot="1" x14ac:dyDescent="0.3">
      <c r="A1401" s="3" t="s">
        <v>11</v>
      </c>
      <c r="B1401" s="4">
        <v>849306</v>
      </c>
      <c r="C1401" s="3" t="s">
        <v>9</v>
      </c>
      <c r="D1401" s="18">
        <v>0.1</v>
      </c>
      <c r="E1401" s="21">
        <v>7.9741404289037643E-3</v>
      </c>
      <c r="F1401" s="5">
        <v>41809</v>
      </c>
      <c r="G1401" s="5">
        <v>43270</v>
      </c>
      <c r="H1401" s="16">
        <v>1461</v>
      </c>
      <c r="I1401" s="5">
        <v>43270</v>
      </c>
      <c r="J1401" s="5">
        <v>43410</v>
      </c>
      <c r="K1401" s="16">
        <v>1601</v>
      </c>
      <c r="L1401" s="13">
        <v>4670.68</v>
      </c>
      <c r="M1401" s="15">
        <v>116.10893647317967</v>
      </c>
      <c r="N1401" s="13">
        <v>4540</v>
      </c>
      <c r="O1401" s="13">
        <v>0</v>
      </c>
      <c r="P1401" s="11">
        <v>1</v>
      </c>
    </row>
    <row r="1402" spans="1:16" ht="15" thickBot="1" x14ac:dyDescent="0.3">
      <c r="A1402" s="3" t="s">
        <v>11</v>
      </c>
      <c r="B1402" s="4">
        <v>68496</v>
      </c>
      <c r="C1402" s="3" t="s">
        <v>9</v>
      </c>
      <c r="D1402" s="18">
        <v>0.12</v>
      </c>
      <c r="E1402" s="21">
        <v>9.4887929345830457E-3</v>
      </c>
      <c r="F1402" s="5">
        <v>41813</v>
      </c>
      <c r="G1402" s="5">
        <v>43274</v>
      </c>
      <c r="H1402" s="16">
        <v>1461</v>
      </c>
      <c r="I1402" s="5">
        <v>43274</v>
      </c>
      <c r="J1402" s="5">
        <v>41918</v>
      </c>
      <c r="K1402" s="16">
        <v>105</v>
      </c>
      <c r="L1402" s="13">
        <v>9688.19</v>
      </c>
      <c r="M1402" s="15">
        <v>249.35412448017357</v>
      </c>
      <c r="N1402" s="13">
        <v>9688.19</v>
      </c>
      <c r="O1402" s="13">
        <v>45.13</v>
      </c>
      <c r="P1402" s="11">
        <v>1</v>
      </c>
    </row>
    <row r="1403" spans="1:16" ht="15" thickBot="1" x14ac:dyDescent="0.3">
      <c r="A1403" s="3" t="s">
        <v>11</v>
      </c>
      <c r="B1403" s="4">
        <v>272262</v>
      </c>
      <c r="C1403" s="3" t="s">
        <v>9</v>
      </c>
      <c r="D1403" s="18">
        <v>0.1</v>
      </c>
      <c r="E1403" s="21">
        <v>7.9741404289037643E-3</v>
      </c>
      <c r="F1403" s="5">
        <v>41813</v>
      </c>
      <c r="G1403" s="5">
        <v>42178</v>
      </c>
      <c r="H1403" s="16">
        <v>365</v>
      </c>
      <c r="I1403" s="5">
        <v>42178</v>
      </c>
      <c r="J1403" s="5">
        <v>41988</v>
      </c>
      <c r="K1403" s="16">
        <v>175</v>
      </c>
      <c r="L1403" s="13">
        <v>2144.66</v>
      </c>
      <c r="M1403" s="15">
        <v>185.66391541397095</v>
      </c>
      <c r="N1403" s="13">
        <v>2144.66</v>
      </c>
      <c r="O1403" s="13">
        <v>0</v>
      </c>
      <c r="P1403" s="11">
        <v>1</v>
      </c>
    </row>
    <row r="1404" spans="1:16" ht="15" thickBot="1" x14ac:dyDescent="0.3">
      <c r="A1404" s="3" t="s">
        <v>11</v>
      </c>
      <c r="B1404" s="4">
        <v>992167</v>
      </c>
      <c r="C1404" s="3" t="s">
        <v>9</v>
      </c>
      <c r="D1404" s="18">
        <v>0.09</v>
      </c>
      <c r="E1404" s="21">
        <v>7.2073233161367156E-3</v>
      </c>
      <c r="F1404" s="5">
        <v>41815</v>
      </c>
      <c r="G1404" s="5">
        <v>42576</v>
      </c>
      <c r="H1404" s="16">
        <v>761</v>
      </c>
      <c r="I1404" s="5">
        <v>42576</v>
      </c>
      <c r="J1404" s="5">
        <v>42321</v>
      </c>
      <c r="K1404" s="16">
        <v>506</v>
      </c>
      <c r="L1404" s="13">
        <v>1188.72</v>
      </c>
      <c r="M1404" s="15">
        <v>51.443903374063339</v>
      </c>
      <c r="N1404" s="13">
        <v>1188.72</v>
      </c>
      <c r="O1404" s="13">
        <v>1045.6199999999999</v>
      </c>
      <c r="P1404" s="11">
        <v>1</v>
      </c>
    </row>
    <row r="1405" spans="1:16" ht="15" thickBot="1" x14ac:dyDescent="0.3">
      <c r="A1405" s="3" t="s">
        <v>11</v>
      </c>
      <c r="B1405" s="4">
        <v>241252</v>
      </c>
      <c r="C1405" s="3" t="s">
        <v>9</v>
      </c>
      <c r="D1405" s="18">
        <v>0.1</v>
      </c>
      <c r="E1405" s="21">
        <v>7.9741404289037643E-3</v>
      </c>
      <c r="F1405" s="5">
        <v>41813</v>
      </c>
      <c r="G1405" s="5">
        <v>44370</v>
      </c>
      <c r="H1405" s="16">
        <v>2557</v>
      </c>
      <c r="I1405" s="5">
        <v>44370</v>
      </c>
      <c r="J1405" s="5">
        <v>42040</v>
      </c>
      <c r="K1405" s="16">
        <v>227</v>
      </c>
      <c r="L1405" s="13">
        <v>8335.23</v>
      </c>
      <c r="M1405" s="15">
        <v>135.13691003103926</v>
      </c>
      <c r="N1405" s="13">
        <v>8335.23</v>
      </c>
      <c r="O1405" s="13">
        <v>0</v>
      </c>
      <c r="P1405" s="11">
        <v>1</v>
      </c>
    </row>
    <row r="1406" spans="1:16" ht="15" thickBot="1" x14ac:dyDescent="0.3">
      <c r="A1406" s="3" t="s">
        <v>11</v>
      </c>
      <c r="B1406" s="4">
        <v>769559</v>
      </c>
      <c r="C1406" s="3" t="s">
        <v>9</v>
      </c>
      <c r="D1406" s="18">
        <v>0.14000000000000001</v>
      </c>
      <c r="E1406" s="21">
        <v>1.0978851950173452E-2</v>
      </c>
      <c r="F1406" s="5">
        <v>41816</v>
      </c>
      <c r="G1406" s="5">
        <v>41999</v>
      </c>
      <c r="H1406" s="16">
        <v>183</v>
      </c>
      <c r="I1406" s="5">
        <v>41999</v>
      </c>
      <c r="J1406" s="5">
        <v>41922</v>
      </c>
      <c r="K1406" s="16">
        <v>106</v>
      </c>
      <c r="L1406" s="13">
        <v>986.07</v>
      </c>
      <c r="M1406" s="15">
        <v>168.00961812327424</v>
      </c>
      <c r="N1406" s="13">
        <v>986.07</v>
      </c>
      <c r="O1406" s="13">
        <v>0</v>
      </c>
      <c r="P1406" s="11">
        <v>0</v>
      </c>
    </row>
    <row r="1407" spans="1:16" ht="15" thickBot="1" x14ac:dyDescent="0.3">
      <c r="A1407" s="3" t="s">
        <v>11</v>
      </c>
      <c r="B1407" s="4">
        <v>64016</v>
      </c>
      <c r="C1407" s="3" t="s">
        <v>9</v>
      </c>
      <c r="D1407" s="18">
        <v>0.1</v>
      </c>
      <c r="E1407" s="21">
        <v>7.9741404289037643E-3</v>
      </c>
      <c r="F1407" s="5">
        <v>41816</v>
      </c>
      <c r="G1407" s="5">
        <v>43910</v>
      </c>
      <c r="H1407" s="16">
        <v>2094</v>
      </c>
      <c r="I1407" s="5">
        <v>43910</v>
      </c>
      <c r="J1407" s="5">
        <v>42795</v>
      </c>
      <c r="K1407" s="16">
        <v>979</v>
      </c>
      <c r="L1407" s="13">
        <v>4951.24</v>
      </c>
      <c r="M1407" s="15">
        <v>92.772805597411519</v>
      </c>
      <c r="N1407" s="13">
        <v>4951.24</v>
      </c>
      <c r="O1407" s="13">
        <v>0</v>
      </c>
      <c r="P1407" s="11">
        <v>1</v>
      </c>
    </row>
    <row r="1408" spans="1:16" ht="15" thickBot="1" x14ac:dyDescent="0.3">
      <c r="A1408" s="3" t="s">
        <v>11</v>
      </c>
      <c r="B1408" s="4">
        <v>161489</v>
      </c>
      <c r="C1408" s="3" t="s">
        <v>9</v>
      </c>
      <c r="D1408" s="18">
        <v>0.1</v>
      </c>
      <c r="E1408" s="21">
        <v>7.9741404289037643E-3</v>
      </c>
      <c r="F1408" s="5">
        <v>41821</v>
      </c>
      <c r="G1408" s="5">
        <v>43647</v>
      </c>
      <c r="H1408" s="16">
        <v>1826</v>
      </c>
      <c r="I1408" s="5">
        <v>43647</v>
      </c>
      <c r="J1408" s="5">
        <v>42403</v>
      </c>
      <c r="K1408" s="16">
        <v>582</v>
      </c>
      <c r="L1408" s="13">
        <v>7699.43</v>
      </c>
      <c r="M1408" s="15">
        <v>160.16235489200611</v>
      </c>
      <c r="N1408" s="13">
        <v>7699.43</v>
      </c>
      <c r="O1408" s="13">
        <v>0</v>
      </c>
      <c r="P1408" s="11">
        <v>1</v>
      </c>
    </row>
    <row r="1409" spans="1:16" ht="15" thickBot="1" x14ac:dyDescent="0.3">
      <c r="A1409" s="3" t="s">
        <v>11</v>
      </c>
      <c r="B1409" s="4">
        <v>772241</v>
      </c>
      <c r="C1409" s="3" t="s">
        <v>9</v>
      </c>
      <c r="D1409" s="18">
        <v>0.09</v>
      </c>
      <c r="E1409" s="21">
        <v>7.2073233161367156E-3</v>
      </c>
      <c r="F1409" s="5">
        <v>41823</v>
      </c>
      <c r="G1409" s="5">
        <v>44745</v>
      </c>
      <c r="H1409" s="16">
        <v>2922</v>
      </c>
      <c r="I1409" s="5">
        <v>46724</v>
      </c>
      <c r="J1409" s="5">
        <v>45467</v>
      </c>
      <c r="K1409" s="16">
        <v>3644</v>
      </c>
      <c r="L1409" s="13">
        <v>69664.289999999994</v>
      </c>
      <c r="M1409" s="15">
        <v>997.89095663770127</v>
      </c>
      <c r="N1409" s="13">
        <v>37845</v>
      </c>
      <c r="O1409" s="13">
        <v>0</v>
      </c>
      <c r="P1409" s="11">
        <v>1</v>
      </c>
    </row>
    <row r="1410" spans="1:16" ht="15" thickBot="1" x14ac:dyDescent="0.3">
      <c r="A1410" s="3" t="s">
        <v>11</v>
      </c>
      <c r="B1410" s="4">
        <v>764285</v>
      </c>
      <c r="C1410" s="3" t="s">
        <v>9</v>
      </c>
      <c r="D1410" s="18">
        <v>0.14000000000000001</v>
      </c>
      <c r="E1410" s="21">
        <v>1.0978851950173452E-2</v>
      </c>
      <c r="F1410" s="5">
        <v>41827</v>
      </c>
      <c r="G1410" s="5">
        <v>43653</v>
      </c>
      <c r="H1410" s="16">
        <v>1826</v>
      </c>
      <c r="I1410" s="5">
        <v>43653</v>
      </c>
      <c r="J1410" s="5">
        <v>42279</v>
      </c>
      <c r="K1410" s="16">
        <v>452</v>
      </c>
      <c r="L1410" s="13">
        <v>3737.61</v>
      </c>
      <c r="M1410" s="15">
        <v>84.516418936979264</v>
      </c>
      <c r="N1410" s="13">
        <v>3737.61</v>
      </c>
      <c r="O1410" s="13">
        <v>0</v>
      </c>
      <c r="P1410" s="11">
        <v>1</v>
      </c>
    </row>
    <row r="1411" spans="1:16" ht="15" thickBot="1" x14ac:dyDescent="0.3">
      <c r="A1411" s="3" t="s">
        <v>11</v>
      </c>
      <c r="B1411" s="4">
        <v>352076</v>
      </c>
      <c r="C1411" s="3" t="s">
        <v>9</v>
      </c>
      <c r="D1411" s="18">
        <v>0.1</v>
      </c>
      <c r="E1411" s="21">
        <v>7.9741404289037643E-3</v>
      </c>
      <c r="F1411" s="5">
        <v>41831</v>
      </c>
      <c r="G1411" s="5">
        <v>43323</v>
      </c>
      <c r="H1411" s="16">
        <v>1492</v>
      </c>
      <c r="I1411" s="5">
        <v>43323</v>
      </c>
      <c r="J1411" s="5">
        <v>43553</v>
      </c>
      <c r="K1411" s="16">
        <v>1722</v>
      </c>
      <c r="L1411" s="13">
        <v>3064.22</v>
      </c>
      <c r="M1411" s="15">
        <v>74.87782798927735</v>
      </c>
      <c r="N1411" s="13">
        <v>2889.57</v>
      </c>
      <c r="O1411" s="13">
        <v>0</v>
      </c>
      <c r="P1411" s="11">
        <v>1</v>
      </c>
    </row>
    <row r="1412" spans="1:16" ht="15" thickBot="1" x14ac:dyDescent="0.3">
      <c r="A1412" s="3" t="s">
        <v>11</v>
      </c>
      <c r="B1412" s="4">
        <v>484805</v>
      </c>
      <c r="C1412" s="3" t="s">
        <v>9</v>
      </c>
      <c r="D1412" s="18">
        <v>0.1</v>
      </c>
      <c r="E1412" s="21">
        <v>7.9741404289037643E-3</v>
      </c>
      <c r="F1412" s="5">
        <v>41828</v>
      </c>
      <c r="G1412" s="5">
        <v>43654</v>
      </c>
      <c r="H1412" s="16">
        <v>1826</v>
      </c>
      <c r="I1412" s="5">
        <v>43654</v>
      </c>
      <c r="J1412" s="5">
        <v>43172</v>
      </c>
      <c r="K1412" s="16">
        <v>1344</v>
      </c>
      <c r="L1412" s="13">
        <v>5435.24</v>
      </c>
      <c r="M1412" s="15">
        <v>113.06302386062698</v>
      </c>
      <c r="N1412" s="13">
        <v>5435.24</v>
      </c>
      <c r="O1412" s="13">
        <v>0</v>
      </c>
      <c r="P1412" s="11">
        <v>1</v>
      </c>
    </row>
    <row r="1413" spans="1:16" ht="15" thickBot="1" x14ac:dyDescent="0.3">
      <c r="A1413" s="3" t="s">
        <v>11</v>
      </c>
      <c r="B1413" s="4">
        <v>957256</v>
      </c>
      <c r="C1413" s="3" t="s">
        <v>9</v>
      </c>
      <c r="D1413" s="18">
        <v>0.1</v>
      </c>
      <c r="E1413" s="21">
        <v>7.9741404289037643E-3</v>
      </c>
      <c r="F1413" s="5">
        <v>41828</v>
      </c>
      <c r="G1413" s="5">
        <v>43654</v>
      </c>
      <c r="H1413" s="16">
        <v>1826</v>
      </c>
      <c r="I1413" s="5">
        <v>43654</v>
      </c>
      <c r="J1413" s="5">
        <v>42516</v>
      </c>
      <c r="K1413" s="16">
        <v>688</v>
      </c>
      <c r="L1413" s="13">
        <v>8821</v>
      </c>
      <c r="M1413" s="15">
        <v>183.49308098162928</v>
      </c>
      <c r="N1413" s="13">
        <v>8821</v>
      </c>
      <c r="O1413" s="13">
        <v>0</v>
      </c>
      <c r="P1413" s="11">
        <v>1</v>
      </c>
    </row>
    <row r="1414" spans="1:16" ht="15" thickBot="1" x14ac:dyDescent="0.3">
      <c r="A1414" s="3" t="s">
        <v>11</v>
      </c>
      <c r="B1414" s="4">
        <v>290713</v>
      </c>
      <c r="C1414" s="3" t="s">
        <v>9</v>
      </c>
      <c r="D1414" s="18">
        <v>0.14000000000000001</v>
      </c>
      <c r="E1414" s="21">
        <v>1.0978851950173452E-2</v>
      </c>
      <c r="F1414" s="5">
        <v>41831</v>
      </c>
      <c r="G1414" s="5">
        <v>43292</v>
      </c>
      <c r="H1414" s="16">
        <v>1461</v>
      </c>
      <c r="I1414" s="5">
        <v>43292</v>
      </c>
      <c r="J1414" s="5">
        <v>44473</v>
      </c>
      <c r="K1414" s="16">
        <v>2642</v>
      </c>
      <c r="L1414" s="13">
        <v>6209.54</v>
      </c>
      <c r="M1414" s="15">
        <v>165.29826350721609</v>
      </c>
      <c r="N1414" s="13">
        <v>6209.54</v>
      </c>
      <c r="O1414" s="13">
        <v>2800</v>
      </c>
      <c r="P1414" s="11">
        <v>1</v>
      </c>
    </row>
    <row r="1415" spans="1:16" ht="15" thickBot="1" x14ac:dyDescent="0.3">
      <c r="A1415" s="3" t="s">
        <v>11</v>
      </c>
      <c r="B1415" s="4">
        <v>500022</v>
      </c>
      <c r="C1415" s="3" t="s">
        <v>9</v>
      </c>
      <c r="D1415" s="18">
        <v>0.14000000000000001</v>
      </c>
      <c r="E1415" s="21">
        <v>1.0978851950173452E-2</v>
      </c>
      <c r="F1415" s="5">
        <v>41838</v>
      </c>
      <c r="G1415" s="5">
        <v>43713</v>
      </c>
      <c r="H1415" s="16">
        <v>1875</v>
      </c>
      <c r="I1415" s="5">
        <v>43713</v>
      </c>
      <c r="J1415" s="5">
        <v>42585</v>
      </c>
      <c r="K1415" s="16">
        <v>747</v>
      </c>
      <c r="L1415" s="13">
        <v>16925.84</v>
      </c>
      <c r="M1415" s="15">
        <v>375.69728474422465</v>
      </c>
      <c r="N1415" s="13">
        <v>16925.84</v>
      </c>
      <c r="O1415" s="13">
        <v>0</v>
      </c>
      <c r="P1415" s="11">
        <v>1</v>
      </c>
    </row>
    <row r="1416" spans="1:16" ht="15" thickBot="1" x14ac:dyDescent="0.3">
      <c r="A1416" s="3" t="s">
        <v>11</v>
      </c>
      <c r="B1416" s="4">
        <v>193730</v>
      </c>
      <c r="C1416" s="3" t="s">
        <v>9</v>
      </c>
      <c r="D1416" s="18">
        <v>0.1</v>
      </c>
      <c r="E1416" s="21">
        <v>7.9741404289037643E-3</v>
      </c>
      <c r="F1416" s="5">
        <v>41841</v>
      </c>
      <c r="G1416" s="5">
        <v>44460</v>
      </c>
      <c r="H1416" s="16">
        <v>2619</v>
      </c>
      <c r="I1416" s="5">
        <v>44460</v>
      </c>
      <c r="J1416" s="5">
        <v>42800</v>
      </c>
      <c r="K1416" s="16">
        <v>959</v>
      </c>
      <c r="L1416" s="13">
        <v>11701.54</v>
      </c>
      <c r="M1416" s="15">
        <v>186.57572235858478</v>
      </c>
      <c r="N1416" s="13">
        <v>11701.54</v>
      </c>
      <c r="O1416" s="13">
        <v>11701.54</v>
      </c>
      <c r="P1416" s="11">
        <v>1</v>
      </c>
    </row>
    <row r="1417" spans="1:16" ht="15" thickBot="1" x14ac:dyDescent="0.3">
      <c r="A1417" s="3" t="s">
        <v>11</v>
      </c>
      <c r="B1417" s="4">
        <v>971024</v>
      </c>
      <c r="C1417" s="3" t="s">
        <v>9</v>
      </c>
      <c r="D1417" s="18">
        <v>0.1</v>
      </c>
      <c r="E1417" s="21">
        <v>7.9741404289037643E-3</v>
      </c>
      <c r="F1417" s="5">
        <v>41849</v>
      </c>
      <c r="G1417" s="5">
        <v>44055</v>
      </c>
      <c r="H1417" s="16">
        <v>2206</v>
      </c>
      <c r="I1417" s="5">
        <v>44055</v>
      </c>
      <c r="J1417" s="5">
        <v>42528</v>
      </c>
      <c r="K1417" s="16">
        <v>679</v>
      </c>
      <c r="L1417" s="13">
        <v>2071.4499999999998</v>
      </c>
      <c r="M1417" s="15">
        <v>37.340800687731168</v>
      </c>
      <c r="N1417" s="13">
        <v>2071.4499999999998</v>
      </c>
      <c r="O1417" s="13">
        <v>0</v>
      </c>
      <c r="P1417" s="11">
        <v>1</v>
      </c>
    </row>
    <row r="1418" spans="1:16" ht="15" thickBot="1" x14ac:dyDescent="0.3">
      <c r="A1418" s="3" t="s">
        <v>11</v>
      </c>
      <c r="B1418" s="4">
        <v>253728</v>
      </c>
      <c r="C1418" s="3" t="s">
        <v>9</v>
      </c>
      <c r="D1418" s="18">
        <v>0.1</v>
      </c>
      <c r="E1418" s="21">
        <v>7.9741404289037643E-3</v>
      </c>
      <c r="F1418" s="5">
        <v>41855</v>
      </c>
      <c r="G1418" s="5">
        <v>42220</v>
      </c>
      <c r="H1418" s="16">
        <v>365</v>
      </c>
      <c r="I1418" s="5">
        <v>42220</v>
      </c>
      <c r="J1418" s="5">
        <v>42207</v>
      </c>
      <c r="K1418" s="16">
        <v>352</v>
      </c>
      <c r="L1418" s="13">
        <v>1091.1300000000001</v>
      </c>
      <c r="M1418" s="15">
        <v>94.45947983626597</v>
      </c>
      <c r="N1418" s="13">
        <v>1091.1300000000001</v>
      </c>
      <c r="O1418" s="13">
        <v>0</v>
      </c>
      <c r="P1418" s="11">
        <v>1</v>
      </c>
    </row>
    <row r="1419" spans="1:16" ht="15" thickBot="1" x14ac:dyDescent="0.3">
      <c r="A1419" s="3" t="s">
        <v>11</v>
      </c>
      <c r="B1419" s="4">
        <v>261210</v>
      </c>
      <c r="C1419" s="3" t="s">
        <v>9</v>
      </c>
      <c r="D1419" s="18">
        <v>0.12</v>
      </c>
      <c r="E1419" s="21">
        <v>9.4887929345830457E-3</v>
      </c>
      <c r="F1419" s="5">
        <v>41858</v>
      </c>
      <c r="G1419" s="5">
        <v>42223</v>
      </c>
      <c r="H1419" s="16">
        <v>365</v>
      </c>
      <c r="I1419" s="5">
        <v>42223</v>
      </c>
      <c r="J1419" s="5">
        <v>41992</v>
      </c>
      <c r="K1419" s="16">
        <v>134</v>
      </c>
      <c r="L1419" s="13">
        <v>1159.3599999999999</v>
      </c>
      <c r="M1419" s="15">
        <v>101.34702096895278</v>
      </c>
      <c r="N1419" s="13">
        <v>1159.3599999999999</v>
      </c>
      <c r="O1419" s="13">
        <v>0</v>
      </c>
      <c r="P1419" s="11">
        <v>1</v>
      </c>
    </row>
    <row r="1420" spans="1:16" ht="15" thickBot="1" x14ac:dyDescent="0.3">
      <c r="A1420" s="3" t="s">
        <v>11</v>
      </c>
      <c r="B1420" s="4">
        <v>883963</v>
      </c>
      <c r="C1420" s="3" t="s">
        <v>9</v>
      </c>
      <c r="D1420" s="18">
        <v>0.1</v>
      </c>
      <c r="E1420" s="21">
        <v>7.9741404289037643E-3</v>
      </c>
      <c r="F1420" s="5">
        <v>41859</v>
      </c>
      <c r="G1420" s="5">
        <v>42285</v>
      </c>
      <c r="H1420" s="16">
        <v>426</v>
      </c>
      <c r="I1420" s="5">
        <v>42285</v>
      </c>
      <c r="J1420" s="5">
        <v>42563</v>
      </c>
      <c r="K1420" s="16">
        <v>704</v>
      </c>
      <c r="L1420" s="13">
        <v>343.98</v>
      </c>
      <c r="M1420" s="15">
        <v>25.717645281983994</v>
      </c>
      <c r="N1420" s="13">
        <v>343.98</v>
      </c>
      <c r="O1420" s="13">
        <v>0</v>
      </c>
      <c r="P1420" s="11">
        <v>1</v>
      </c>
    </row>
    <row r="1421" spans="1:16" ht="15" thickBot="1" x14ac:dyDescent="0.3">
      <c r="A1421" s="3" t="s">
        <v>11</v>
      </c>
      <c r="B1421" s="4">
        <v>836464</v>
      </c>
      <c r="C1421" s="3" t="s">
        <v>9</v>
      </c>
      <c r="D1421" s="18">
        <v>0.1</v>
      </c>
      <c r="E1421" s="21">
        <v>7.9741404289037643E-3</v>
      </c>
      <c r="F1421" s="5">
        <v>41863</v>
      </c>
      <c r="G1421" s="5">
        <v>42228</v>
      </c>
      <c r="H1421" s="16">
        <v>365</v>
      </c>
      <c r="I1421" s="5">
        <v>42228</v>
      </c>
      <c r="J1421" s="5">
        <v>42949</v>
      </c>
      <c r="K1421" s="16">
        <v>1086</v>
      </c>
      <c r="L1421" s="13">
        <v>292.91000000000003</v>
      </c>
      <c r="M1421" s="15">
        <v>25.357314196145889</v>
      </c>
      <c r="N1421" s="13">
        <v>292.91000000000003</v>
      </c>
      <c r="O1421" s="13">
        <v>0</v>
      </c>
      <c r="P1421" s="11">
        <v>1</v>
      </c>
    </row>
    <row r="1422" spans="1:16" ht="15" thickBot="1" x14ac:dyDescent="0.3">
      <c r="A1422" s="3" t="s">
        <v>11</v>
      </c>
      <c r="B1422" s="4">
        <v>406464</v>
      </c>
      <c r="C1422" s="3" t="s">
        <v>9</v>
      </c>
      <c r="D1422" s="18">
        <v>0.1</v>
      </c>
      <c r="E1422" s="21">
        <v>7.9741404289037643E-3</v>
      </c>
      <c r="F1422" s="5">
        <v>41864</v>
      </c>
      <c r="G1422" s="5">
        <v>42595</v>
      </c>
      <c r="H1422" s="16">
        <v>731</v>
      </c>
      <c r="I1422" s="5">
        <v>42595</v>
      </c>
      <c r="J1422" s="5">
        <v>42352</v>
      </c>
      <c r="K1422" s="16">
        <v>488</v>
      </c>
      <c r="L1422" s="13">
        <v>5450.82</v>
      </c>
      <c r="M1422" s="15">
        <v>247.02395546040555</v>
      </c>
      <c r="N1422" s="13">
        <v>5450.82</v>
      </c>
      <c r="O1422" s="13">
        <v>0</v>
      </c>
      <c r="P1422" s="11">
        <v>1</v>
      </c>
    </row>
    <row r="1423" spans="1:16" ht="15" thickBot="1" x14ac:dyDescent="0.3">
      <c r="A1423" s="3" t="s">
        <v>11</v>
      </c>
      <c r="B1423" s="4">
        <v>840260</v>
      </c>
      <c r="C1423" s="3" t="s">
        <v>2</v>
      </c>
      <c r="D1423" s="18">
        <v>0.08</v>
      </c>
      <c r="E1423" s="21">
        <v>6.4340301100034303E-3</v>
      </c>
      <c r="F1423" s="5">
        <v>41865</v>
      </c>
      <c r="G1423" s="5">
        <v>43691</v>
      </c>
      <c r="H1423" s="16">
        <v>1826</v>
      </c>
      <c r="I1423" s="5">
        <v>43691</v>
      </c>
      <c r="J1423" s="5">
        <v>43734</v>
      </c>
      <c r="K1423" s="16">
        <v>1869</v>
      </c>
      <c r="L1423" s="13">
        <v>300000</v>
      </c>
      <c r="M1423" s="15">
        <v>5972.3811146311709</v>
      </c>
      <c r="N1423" s="13">
        <v>72634.3</v>
      </c>
      <c r="O1423" s="13">
        <v>0</v>
      </c>
      <c r="P1423" s="11">
        <v>1</v>
      </c>
    </row>
    <row r="1424" spans="1:16" ht="15" thickBot="1" x14ac:dyDescent="0.3">
      <c r="A1424" s="3" t="s">
        <v>11</v>
      </c>
      <c r="B1424" s="4">
        <v>107406</v>
      </c>
      <c r="C1424" s="3" t="s">
        <v>9</v>
      </c>
      <c r="D1424" s="18">
        <v>0.14000000000000001</v>
      </c>
      <c r="E1424" s="21">
        <v>1.0978851950173452E-2</v>
      </c>
      <c r="F1424" s="5">
        <v>41865</v>
      </c>
      <c r="G1424" s="5">
        <v>42688</v>
      </c>
      <c r="H1424" s="16">
        <v>823</v>
      </c>
      <c r="I1424" s="5">
        <v>42688</v>
      </c>
      <c r="J1424" s="5">
        <v>42410</v>
      </c>
      <c r="K1424" s="16">
        <v>545</v>
      </c>
      <c r="L1424" s="13">
        <v>3747.31</v>
      </c>
      <c r="M1424" s="15">
        <v>158.94145467935951</v>
      </c>
      <c r="N1424" s="13">
        <v>3747.31</v>
      </c>
      <c r="O1424" s="13">
        <v>0</v>
      </c>
      <c r="P1424" s="11">
        <v>1</v>
      </c>
    </row>
    <row r="1425" spans="1:16" ht="15" thickBot="1" x14ac:dyDescent="0.3">
      <c r="A1425" s="3" t="s">
        <v>11</v>
      </c>
      <c r="B1425" s="4">
        <v>40631</v>
      </c>
      <c r="C1425" s="3" t="s">
        <v>9</v>
      </c>
      <c r="D1425" s="18">
        <v>0.1</v>
      </c>
      <c r="E1425" s="21">
        <v>7.9741404289037643E-3</v>
      </c>
      <c r="F1425" s="5">
        <v>41866</v>
      </c>
      <c r="G1425" s="5">
        <v>43692</v>
      </c>
      <c r="H1425" s="16">
        <v>1826</v>
      </c>
      <c r="I1425" s="5">
        <v>43692</v>
      </c>
      <c r="J1425" s="5">
        <v>42299</v>
      </c>
      <c r="K1425" s="16">
        <v>433</v>
      </c>
      <c r="L1425" s="13">
        <v>11083.48</v>
      </c>
      <c r="M1425" s="15">
        <v>230.55684085684936</v>
      </c>
      <c r="N1425" s="13">
        <v>11083.48</v>
      </c>
      <c r="O1425" s="13">
        <v>0</v>
      </c>
      <c r="P1425" s="11">
        <v>1</v>
      </c>
    </row>
    <row r="1426" spans="1:16" ht="15" thickBot="1" x14ac:dyDescent="0.3">
      <c r="A1426" s="3" t="s">
        <v>11</v>
      </c>
      <c r="B1426" s="4">
        <v>372647</v>
      </c>
      <c r="C1426" s="3" t="s">
        <v>9</v>
      </c>
      <c r="D1426" s="18">
        <v>0.1</v>
      </c>
      <c r="E1426" s="21">
        <v>7.9741404289037643E-3</v>
      </c>
      <c r="F1426" s="5">
        <v>41876</v>
      </c>
      <c r="G1426" s="5">
        <v>44068</v>
      </c>
      <c r="H1426" s="16">
        <v>2192</v>
      </c>
      <c r="I1426" s="5">
        <v>44068</v>
      </c>
      <c r="J1426" s="5">
        <v>42535</v>
      </c>
      <c r="K1426" s="16">
        <v>659</v>
      </c>
      <c r="L1426" s="13">
        <v>11762.74</v>
      </c>
      <c r="M1426" s="15">
        <v>213.03719143068002</v>
      </c>
      <c r="N1426" s="13">
        <v>11762.74</v>
      </c>
      <c r="O1426" s="13">
        <v>0</v>
      </c>
      <c r="P1426" s="11">
        <v>1</v>
      </c>
    </row>
    <row r="1427" spans="1:16" ht="15" thickBot="1" x14ac:dyDescent="0.3">
      <c r="A1427" s="3" t="s">
        <v>11</v>
      </c>
      <c r="B1427" s="4">
        <v>249615</v>
      </c>
      <c r="C1427" s="3" t="s">
        <v>9</v>
      </c>
      <c r="D1427" s="18">
        <v>0.1</v>
      </c>
      <c r="E1427" s="21">
        <v>7.9741404289037643E-3</v>
      </c>
      <c r="F1427" s="5">
        <v>41880</v>
      </c>
      <c r="G1427" s="5">
        <v>42976</v>
      </c>
      <c r="H1427" s="16">
        <v>1096</v>
      </c>
      <c r="I1427" s="5">
        <v>42976</v>
      </c>
      <c r="J1427" s="5">
        <v>43066</v>
      </c>
      <c r="K1427" s="16">
        <v>1186</v>
      </c>
      <c r="L1427" s="13">
        <v>4446.5</v>
      </c>
      <c r="M1427" s="15">
        <v>140.78007038554807</v>
      </c>
      <c r="N1427" s="13">
        <v>4446.5</v>
      </c>
      <c r="O1427" s="13">
        <v>0</v>
      </c>
      <c r="P1427" s="11">
        <v>1</v>
      </c>
    </row>
    <row r="1428" spans="1:16" ht="15" thickBot="1" x14ac:dyDescent="0.3">
      <c r="A1428" s="3" t="s">
        <v>11</v>
      </c>
      <c r="B1428" s="4">
        <v>21201</v>
      </c>
      <c r="C1428" s="3" t="s">
        <v>9</v>
      </c>
      <c r="D1428" s="18">
        <v>7.4999999999999997E-2</v>
      </c>
      <c r="E1428" s="21">
        <v>6.0449190242917172E-3</v>
      </c>
      <c r="F1428" s="5">
        <v>41880</v>
      </c>
      <c r="G1428" s="5">
        <v>43463</v>
      </c>
      <c r="H1428" s="16">
        <v>1583</v>
      </c>
      <c r="I1428" s="5">
        <v>43463</v>
      </c>
      <c r="J1428" s="5">
        <v>43098</v>
      </c>
      <c r="K1428" s="16">
        <v>1218</v>
      </c>
      <c r="L1428" s="13">
        <v>36644.660000000003</v>
      </c>
      <c r="M1428" s="15">
        <v>813.18040087151803</v>
      </c>
      <c r="N1428" s="13">
        <v>36644.660000000003</v>
      </c>
      <c r="O1428" s="13">
        <v>0</v>
      </c>
      <c r="P1428" s="11">
        <v>1</v>
      </c>
    </row>
    <row r="1429" spans="1:16" ht="15" thickBot="1" x14ac:dyDescent="0.3">
      <c r="A1429" s="3" t="s">
        <v>11</v>
      </c>
      <c r="B1429" s="4">
        <v>711790</v>
      </c>
      <c r="C1429" s="3" t="s">
        <v>9</v>
      </c>
      <c r="D1429" s="18">
        <v>0.1</v>
      </c>
      <c r="E1429" s="21">
        <v>7.9741404289037643E-3</v>
      </c>
      <c r="F1429" s="5">
        <v>41884</v>
      </c>
      <c r="G1429" s="5">
        <v>44089</v>
      </c>
      <c r="H1429" s="16">
        <v>2205</v>
      </c>
      <c r="I1429" s="5">
        <v>44089</v>
      </c>
      <c r="J1429" s="5">
        <v>41962</v>
      </c>
      <c r="K1429" s="16">
        <v>78</v>
      </c>
      <c r="L1429" s="13">
        <v>19400</v>
      </c>
      <c r="M1429" s="15">
        <v>349.82906466647967</v>
      </c>
      <c r="N1429" s="13">
        <v>19400</v>
      </c>
      <c r="O1429" s="13">
        <v>1000</v>
      </c>
      <c r="P1429" s="11">
        <v>1</v>
      </c>
    </row>
    <row r="1430" spans="1:16" ht="15" thickBot="1" x14ac:dyDescent="0.3">
      <c r="A1430" s="3" t="s">
        <v>11</v>
      </c>
      <c r="B1430" s="4">
        <v>69002</v>
      </c>
      <c r="C1430" s="3" t="s">
        <v>9</v>
      </c>
      <c r="D1430" s="18">
        <v>0.08</v>
      </c>
      <c r="E1430" s="21">
        <v>6.4340301100034303E-3</v>
      </c>
      <c r="F1430" s="5">
        <v>41886</v>
      </c>
      <c r="G1430" s="5">
        <v>42128</v>
      </c>
      <c r="H1430" s="16">
        <v>242</v>
      </c>
      <c r="I1430" s="5">
        <v>42128</v>
      </c>
      <c r="J1430" s="5">
        <v>42163</v>
      </c>
      <c r="K1430" s="16">
        <v>277</v>
      </c>
      <c r="L1430" s="13">
        <v>2500</v>
      </c>
      <c r="M1430" s="15">
        <v>319.02517968524154</v>
      </c>
      <c r="N1430" s="13">
        <v>2500</v>
      </c>
      <c r="O1430" s="13">
        <v>0</v>
      </c>
      <c r="P1430" s="11">
        <v>1</v>
      </c>
    </row>
    <row r="1431" spans="1:16" ht="15" thickBot="1" x14ac:dyDescent="0.3">
      <c r="A1431" s="3" t="s">
        <v>11</v>
      </c>
      <c r="B1431" s="4">
        <v>962189</v>
      </c>
      <c r="C1431" s="3" t="s">
        <v>9</v>
      </c>
      <c r="D1431" s="18">
        <v>0.14000000000000001</v>
      </c>
      <c r="E1431" s="21">
        <v>1.0978851950173452E-2</v>
      </c>
      <c r="F1431" s="5">
        <v>41887</v>
      </c>
      <c r="G1431" s="5">
        <v>43713</v>
      </c>
      <c r="H1431" s="16">
        <v>1826</v>
      </c>
      <c r="I1431" s="5">
        <v>43713</v>
      </c>
      <c r="J1431" s="5">
        <v>42726</v>
      </c>
      <c r="K1431" s="16">
        <v>839</v>
      </c>
      <c r="L1431" s="13">
        <v>3269.59</v>
      </c>
      <c r="M1431" s="15">
        <v>73.933352648392429</v>
      </c>
      <c r="N1431" s="13">
        <v>3269.59</v>
      </c>
      <c r="O1431" s="13">
        <v>0</v>
      </c>
      <c r="P1431" s="11">
        <v>1</v>
      </c>
    </row>
    <row r="1432" spans="1:16" ht="15" thickBot="1" x14ac:dyDescent="0.3">
      <c r="A1432" s="3" t="s">
        <v>11</v>
      </c>
      <c r="B1432" s="4">
        <v>73255</v>
      </c>
      <c r="C1432" s="3" t="s">
        <v>9</v>
      </c>
      <c r="D1432" s="18">
        <v>0.1</v>
      </c>
      <c r="E1432" s="21">
        <v>7.9741404289037643E-3</v>
      </c>
      <c r="F1432" s="5">
        <v>41892</v>
      </c>
      <c r="G1432" s="5">
        <v>42988</v>
      </c>
      <c r="H1432" s="16">
        <v>1096</v>
      </c>
      <c r="I1432" s="5">
        <v>42988</v>
      </c>
      <c r="J1432" s="5">
        <v>43437</v>
      </c>
      <c r="K1432" s="16">
        <v>1545</v>
      </c>
      <c r="L1432" s="13">
        <v>53.9</v>
      </c>
      <c r="M1432" s="15">
        <v>1.7065210376208344</v>
      </c>
      <c r="N1432" s="13">
        <v>49.02</v>
      </c>
      <c r="O1432" s="13">
        <v>0</v>
      </c>
      <c r="P1432" s="11">
        <v>1</v>
      </c>
    </row>
    <row r="1433" spans="1:16" ht="15" thickBot="1" x14ac:dyDescent="0.3">
      <c r="A1433" s="3" t="s">
        <v>11</v>
      </c>
      <c r="B1433" s="4">
        <v>744241</v>
      </c>
      <c r="C1433" s="3" t="s">
        <v>2</v>
      </c>
      <c r="D1433" s="18">
        <v>0.09</v>
      </c>
      <c r="E1433" s="21">
        <v>7.2073233161367156E-3</v>
      </c>
      <c r="F1433" s="5">
        <v>41898</v>
      </c>
      <c r="G1433" s="5">
        <v>45276</v>
      </c>
      <c r="H1433" s="16">
        <v>3378</v>
      </c>
      <c r="I1433" s="5">
        <v>45276</v>
      </c>
      <c r="J1433" s="5">
        <v>43956</v>
      </c>
      <c r="K1433" s="16">
        <v>2058</v>
      </c>
      <c r="L1433" s="13">
        <v>27712.32</v>
      </c>
      <c r="M1433" s="15">
        <v>360.17935574020385</v>
      </c>
      <c r="N1433" s="13">
        <v>26962.32</v>
      </c>
      <c r="O1433" s="13">
        <v>6000</v>
      </c>
      <c r="P1433" s="11">
        <v>1</v>
      </c>
    </row>
    <row r="1434" spans="1:16" ht="15" thickBot="1" x14ac:dyDescent="0.3">
      <c r="A1434" s="3" t="s">
        <v>11</v>
      </c>
      <c r="B1434" s="4">
        <v>215073</v>
      </c>
      <c r="C1434" s="3" t="s">
        <v>9</v>
      </c>
      <c r="D1434" s="18">
        <v>0.1</v>
      </c>
      <c r="E1434" s="21">
        <v>7.9741404289037643E-3</v>
      </c>
      <c r="F1434" s="5">
        <v>41900</v>
      </c>
      <c r="G1434" s="5">
        <v>44030</v>
      </c>
      <c r="H1434" s="16">
        <v>2130</v>
      </c>
      <c r="I1434" s="5">
        <v>44030</v>
      </c>
      <c r="J1434" s="5">
        <v>42556</v>
      </c>
      <c r="K1434" s="16">
        <v>656</v>
      </c>
      <c r="L1434" s="13">
        <v>4840.42</v>
      </c>
      <c r="M1434" s="15">
        <v>89.549793999173502</v>
      </c>
      <c r="N1434" s="13">
        <v>4840.42</v>
      </c>
      <c r="O1434" s="13">
        <v>0</v>
      </c>
      <c r="P1434" s="11">
        <v>1</v>
      </c>
    </row>
    <row r="1435" spans="1:16" ht="15" thickBot="1" x14ac:dyDescent="0.3">
      <c r="A1435" s="3" t="s">
        <v>11</v>
      </c>
      <c r="B1435" s="4">
        <v>672849</v>
      </c>
      <c r="C1435" s="3" t="s">
        <v>9</v>
      </c>
      <c r="D1435" s="18">
        <v>0.1</v>
      </c>
      <c r="E1435" s="21">
        <v>7.9741404289037643E-3</v>
      </c>
      <c r="F1435" s="5">
        <v>41901</v>
      </c>
      <c r="G1435" s="5">
        <v>42997</v>
      </c>
      <c r="H1435" s="16">
        <v>1096</v>
      </c>
      <c r="I1435" s="5">
        <v>42997</v>
      </c>
      <c r="J1435" s="5">
        <v>42676</v>
      </c>
      <c r="K1435" s="16">
        <v>775</v>
      </c>
      <c r="L1435" s="13">
        <v>4145.28</v>
      </c>
      <c r="M1435" s="15">
        <v>131.24318231593492</v>
      </c>
      <c r="N1435" s="13">
        <v>4145.28</v>
      </c>
      <c r="O1435" s="13">
        <v>0</v>
      </c>
      <c r="P1435" s="11">
        <v>1</v>
      </c>
    </row>
    <row r="1436" spans="1:16" ht="15" thickBot="1" x14ac:dyDescent="0.3">
      <c r="A1436" s="3" t="s">
        <v>11</v>
      </c>
      <c r="B1436" s="4">
        <v>126497</v>
      </c>
      <c r="C1436" s="3" t="s">
        <v>9</v>
      </c>
      <c r="D1436" s="18">
        <v>8.5000000000000006E-2</v>
      </c>
      <c r="E1436" s="21">
        <v>6.8214933659622723E-3</v>
      </c>
      <c r="F1436" s="5">
        <v>41913</v>
      </c>
      <c r="G1436" s="5">
        <v>44470</v>
      </c>
      <c r="H1436" s="16">
        <v>2557</v>
      </c>
      <c r="I1436" s="5">
        <v>44861</v>
      </c>
      <c r="J1436" s="5">
        <v>44102</v>
      </c>
      <c r="K1436" s="16">
        <v>2189</v>
      </c>
      <c r="L1436" s="13">
        <v>48005.59</v>
      </c>
      <c r="M1436" s="15">
        <v>744.60405219011261</v>
      </c>
      <c r="N1436" s="13">
        <v>31746.53</v>
      </c>
      <c r="O1436" s="13">
        <v>31746.53</v>
      </c>
      <c r="P1436" s="11">
        <v>1</v>
      </c>
    </row>
    <row r="1437" spans="1:16" ht="15" thickBot="1" x14ac:dyDescent="0.3">
      <c r="A1437" s="3" t="s">
        <v>11</v>
      </c>
      <c r="B1437" s="4">
        <v>673355</v>
      </c>
      <c r="C1437" s="3" t="s">
        <v>9</v>
      </c>
      <c r="D1437" s="18">
        <v>0.12</v>
      </c>
      <c r="E1437" s="21">
        <v>9.4887929345830457E-3</v>
      </c>
      <c r="F1437" s="5">
        <v>41915</v>
      </c>
      <c r="G1437" s="5">
        <v>43454</v>
      </c>
      <c r="H1437" s="16">
        <v>1539</v>
      </c>
      <c r="I1437" s="5">
        <v>43454</v>
      </c>
      <c r="J1437" s="5">
        <v>43336</v>
      </c>
      <c r="K1437" s="16">
        <v>1421</v>
      </c>
      <c r="L1437" s="13">
        <v>3173.38</v>
      </c>
      <c r="M1437" s="15">
        <v>78.419029392594751</v>
      </c>
      <c r="N1437" s="13">
        <v>3173.38</v>
      </c>
      <c r="O1437" s="13">
        <v>0</v>
      </c>
      <c r="P1437" s="11">
        <v>1</v>
      </c>
    </row>
    <row r="1438" spans="1:16" ht="15" thickBot="1" x14ac:dyDescent="0.3">
      <c r="A1438" s="3" t="s">
        <v>11</v>
      </c>
      <c r="B1438" s="4">
        <v>947701</v>
      </c>
      <c r="C1438" s="3" t="s">
        <v>9</v>
      </c>
      <c r="D1438" s="18">
        <v>0.14000000000000001</v>
      </c>
      <c r="E1438" s="21">
        <v>1.0978851950173452E-2</v>
      </c>
      <c r="F1438" s="5">
        <v>41926</v>
      </c>
      <c r="G1438" s="5">
        <v>43204</v>
      </c>
      <c r="H1438" s="16">
        <v>1278</v>
      </c>
      <c r="I1438" s="5">
        <v>43204</v>
      </c>
      <c r="J1438" s="5">
        <v>43542</v>
      </c>
      <c r="K1438" s="16">
        <v>1616</v>
      </c>
      <c r="L1438" s="13">
        <v>10755</v>
      </c>
      <c r="M1438" s="15">
        <v>317.44749377473107</v>
      </c>
      <c r="N1438" s="13">
        <v>10155</v>
      </c>
      <c r="O1438" s="13">
        <v>0</v>
      </c>
      <c r="P1438" s="11">
        <v>1</v>
      </c>
    </row>
    <row r="1439" spans="1:16" ht="15" thickBot="1" x14ac:dyDescent="0.3">
      <c r="A1439" s="3" t="s">
        <v>11</v>
      </c>
      <c r="B1439" s="4">
        <v>18972</v>
      </c>
      <c r="C1439" s="3" t="s">
        <v>19</v>
      </c>
      <c r="D1439" s="18">
        <v>7.4999999999999997E-2</v>
      </c>
      <c r="E1439" s="21">
        <v>6.0449190242917172E-3</v>
      </c>
      <c r="F1439" s="5">
        <v>41927</v>
      </c>
      <c r="G1439" s="5">
        <v>42658</v>
      </c>
      <c r="H1439" s="16">
        <v>731</v>
      </c>
      <c r="I1439" s="5">
        <v>42658</v>
      </c>
      <c r="J1439" s="5">
        <v>43371</v>
      </c>
      <c r="K1439" s="16">
        <v>1444</v>
      </c>
      <c r="L1439" s="13">
        <v>11905</v>
      </c>
      <c r="M1439" s="15">
        <v>526.91525279009295</v>
      </c>
      <c r="N1439" s="13">
        <v>11905</v>
      </c>
      <c r="O1439" s="13">
        <v>6000</v>
      </c>
      <c r="P1439" s="11">
        <v>1</v>
      </c>
    </row>
    <row r="1440" spans="1:16" ht="15" thickBot="1" x14ac:dyDescent="0.3">
      <c r="A1440" s="3" t="s">
        <v>11</v>
      </c>
      <c r="B1440" s="4">
        <v>439007</v>
      </c>
      <c r="C1440" s="3" t="s">
        <v>9</v>
      </c>
      <c r="D1440" s="18">
        <v>0.12</v>
      </c>
      <c r="E1440" s="21">
        <v>9.4887929345830457E-3</v>
      </c>
      <c r="F1440" s="5">
        <v>41928</v>
      </c>
      <c r="G1440" s="5">
        <v>42294</v>
      </c>
      <c r="H1440" s="16">
        <v>366</v>
      </c>
      <c r="I1440" s="5">
        <v>42294</v>
      </c>
      <c r="J1440" s="5">
        <v>42577</v>
      </c>
      <c r="K1440" s="16">
        <v>649</v>
      </c>
      <c r="L1440" s="13">
        <v>910.58</v>
      </c>
      <c r="M1440" s="15">
        <v>79.394352121388266</v>
      </c>
      <c r="N1440" s="13">
        <v>910.58</v>
      </c>
      <c r="O1440" s="13">
        <v>0</v>
      </c>
      <c r="P1440" s="11">
        <v>1</v>
      </c>
    </row>
    <row r="1441" spans="1:16" ht="15" thickBot="1" x14ac:dyDescent="0.3">
      <c r="A1441" s="3" t="s">
        <v>11</v>
      </c>
      <c r="B1441" s="4">
        <v>966268</v>
      </c>
      <c r="C1441" s="3" t="s">
        <v>9</v>
      </c>
      <c r="D1441" s="18">
        <v>0.1</v>
      </c>
      <c r="E1441" s="21">
        <v>7.9741404289037643E-3</v>
      </c>
      <c r="F1441" s="5">
        <v>41932</v>
      </c>
      <c r="G1441" s="5">
        <v>43941</v>
      </c>
      <c r="H1441" s="16">
        <v>2009</v>
      </c>
      <c r="I1441" s="5">
        <v>43941</v>
      </c>
      <c r="J1441" s="5">
        <v>43594</v>
      </c>
      <c r="K1441" s="16">
        <v>1662</v>
      </c>
      <c r="L1441" s="13">
        <v>2897.54</v>
      </c>
      <c r="M1441" s="15">
        <v>56.012692171925991</v>
      </c>
      <c r="N1441" s="13">
        <v>2695.86</v>
      </c>
      <c r="O1441" s="13">
        <v>2695.86</v>
      </c>
      <c r="P1441" s="11">
        <v>1</v>
      </c>
    </row>
    <row r="1442" spans="1:16" ht="15" thickBot="1" x14ac:dyDescent="0.3">
      <c r="A1442" s="3" t="s">
        <v>11</v>
      </c>
      <c r="B1442" s="4">
        <v>665606</v>
      </c>
      <c r="C1442" s="3" t="s">
        <v>9</v>
      </c>
      <c r="D1442" s="18">
        <v>0.1</v>
      </c>
      <c r="E1442" s="21">
        <v>7.9741404289037643E-3</v>
      </c>
      <c r="F1442" s="5">
        <v>41932</v>
      </c>
      <c r="G1442" s="5">
        <v>44124</v>
      </c>
      <c r="H1442" s="16">
        <v>2192</v>
      </c>
      <c r="I1442" s="5">
        <v>44124</v>
      </c>
      <c r="J1442" s="5">
        <v>43250</v>
      </c>
      <c r="K1442" s="16">
        <v>1318</v>
      </c>
      <c r="L1442" s="13">
        <v>36186.6</v>
      </c>
      <c r="M1442" s="15">
        <v>655.38230305400316</v>
      </c>
      <c r="N1442" s="13">
        <v>36186.6</v>
      </c>
      <c r="O1442" s="13">
        <v>0</v>
      </c>
      <c r="P1442" s="11">
        <v>1</v>
      </c>
    </row>
    <row r="1443" spans="1:16" ht="15" thickBot="1" x14ac:dyDescent="0.3">
      <c r="A1443" s="3" t="s">
        <v>11</v>
      </c>
      <c r="B1443" s="4">
        <v>454734</v>
      </c>
      <c r="C1443" s="3" t="s">
        <v>9</v>
      </c>
      <c r="D1443" s="18">
        <v>0.1</v>
      </c>
      <c r="E1443" s="21">
        <v>7.9741404289037643E-3</v>
      </c>
      <c r="F1443" s="5">
        <v>41939</v>
      </c>
      <c r="G1443" s="5">
        <v>44192</v>
      </c>
      <c r="H1443" s="16">
        <v>2253</v>
      </c>
      <c r="I1443" s="5">
        <v>44192</v>
      </c>
      <c r="J1443" s="5">
        <v>43564</v>
      </c>
      <c r="K1443" s="16">
        <v>1625</v>
      </c>
      <c r="L1443" s="13">
        <v>11555.62</v>
      </c>
      <c r="M1443" s="15">
        <v>205.10888631121713</v>
      </c>
      <c r="N1443" s="13">
        <v>11555.62</v>
      </c>
      <c r="O1443" s="13">
        <v>0</v>
      </c>
      <c r="P1443" s="11">
        <v>1</v>
      </c>
    </row>
    <row r="1444" spans="1:16" ht="15" thickBot="1" x14ac:dyDescent="0.3">
      <c r="A1444" s="3" t="s">
        <v>11</v>
      </c>
      <c r="B1444" s="4">
        <v>857624</v>
      </c>
      <c r="C1444" s="3" t="s">
        <v>9</v>
      </c>
      <c r="D1444" s="18">
        <v>0.12</v>
      </c>
      <c r="E1444" s="21">
        <v>9.4887929345830457E-3</v>
      </c>
      <c r="F1444" s="5">
        <v>41941</v>
      </c>
      <c r="G1444" s="5">
        <v>43494</v>
      </c>
      <c r="H1444" s="16">
        <v>1553</v>
      </c>
      <c r="I1444" s="5">
        <v>43494</v>
      </c>
      <c r="J1444" s="5">
        <v>43525</v>
      </c>
      <c r="K1444" s="16">
        <v>1584</v>
      </c>
      <c r="L1444" s="13">
        <v>11523.98</v>
      </c>
      <c r="M1444" s="15">
        <v>282.78003033910807</v>
      </c>
      <c r="N1444" s="13">
        <v>11323.98</v>
      </c>
      <c r="O1444" s="13">
        <v>0</v>
      </c>
      <c r="P1444" s="11">
        <v>1</v>
      </c>
    </row>
    <row r="1445" spans="1:16" ht="15" thickBot="1" x14ac:dyDescent="0.3">
      <c r="A1445" s="3" t="s">
        <v>11</v>
      </c>
      <c r="B1445" s="4">
        <v>99424</v>
      </c>
      <c r="C1445" s="3" t="s">
        <v>3</v>
      </c>
      <c r="D1445" s="18">
        <v>0.08</v>
      </c>
      <c r="E1445" s="21">
        <v>6.4340301100034303E-3</v>
      </c>
      <c r="F1445" s="5">
        <v>41943</v>
      </c>
      <c r="G1445" s="5">
        <v>42951</v>
      </c>
      <c r="H1445" s="16">
        <v>1008</v>
      </c>
      <c r="I1445" s="5">
        <v>43316</v>
      </c>
      <c r="J1445" s="5">
        <v>43718</v>
      </c>
      <c r="K1445" s="16">
        <v>1775</v>
      </c>
      <c r="L1445" s="13">
        <v>6500</v>
      </c>
      <c r="M1445" s="15">
        <v>215.73507953147273</v>
      </c>
      <c r="N1445" s="13">
        <v>4692.55</v>
      </c>
      <c r="O1445" s="13">
        <v>0</v>
      </c>
      <c r="P1445" s="11">
        <v>1</v>
      </c>
    </row>
    <row r="1446" spans="1:16" ht="15" thickBot="1" x14ac:dyDescent="0.3">
      <c r="A1446" s="3" t="s">
        <v>11</v>
      </c>
      <c r="B1446" s="4">
        <v>688197</v>
      </c>
      <c r="C1446" s="3" t="s">
        <v>9</v>
      </c>
      <c r="D1446" s="18">
        <v>0.12</v>
      </c>
      <c r="E1446" s="21">
        <v>9.4887929345830457E-3</v>
      </c>
      <c r="F1446" s="5">
        <v>41946</v>
      </c>
      <c r="G1446" s="5">
        <v>43971</v>
      </c>
      <c r="H1446" s="16">
        <v>2025</v>
      </c>
      <c r="I1446" s="5">
        <v>43971</v>
      </c>
      <c r="J1446" s="5">
        <v>42159</v>
      </c>
      <c r="K1446" s="16">
        <v>213</v>
      </c>
      <c r="L1446" s="13">
        <v>12440.23</v>
      </c>
      <c r="M1446" s="15">
        <v>250.42280196805808</v>
      </c>
      <c r="N1446" s="13">
        <v>12440.23</v>
      </c>
      <c r="O1446" s="13">
        <v>0</v>
      </c>
      <c r="P1446" s="11">
        <v>1</v>
      </c>
    </row>
    <row r="1447" spans="1:16" ht="15" thickBot="1" x14ac:dyDescent="0.3">
      <c r="A1447" s="3" t="s">
        <v>11</v>
      </c>
      <c r="B1447" s="4">
        <v>823839</v>
      </c>
      <c r="C1447" s="3" t="s">
        <v>9</v>
      </c>
      <c r="D1447" s="18">
        <v>0.1</v>
      </c>
      <c r="E1447" s="21">
        <v>7.9741404289037643E-3</v>
      </c>
      <c r="F1447" s="5">
        <v>41949</v>
      </c>
      <c r="G1447" s="5">
        <v>44141</v>
      </c>
      <c r="H1447" s="16">
        <v>2192</v>
      </c>
      <c r="I1447" s="5">
        <v>44141</v>
      </c>
      <c r="J1447" s="5">
        <v>42898</v>
      </c>
      <c r="K1447" s="16">
        <v>949</v>
      </c>
      <c r="L1447" s="13">
        <v>20901.97</v>
      </c>
      <c r="M1447" s="15">
        <v>378.55950094691639</v>
      </c>
      <c r="N1447" s="13">
        <v>20901.97</v>
      </c>
      <c r="O1447" s="13">
        <v>0</v>
      </c>
      <c r="P1447" s="11">
        <v>1</v>
      </c>
    </row>
    <row r="1448" spans="1:16" ht="15" thickBot="1" x14ac:dyDescent="0.3">
      <c r="A1448" s="3" t="s">
        <v>11</v>
      </c>
      <c r="B1448" s="4">
        <v>810012</v>
      </c>
      <c r="C1448" s="3" t="s">
        <v>9</v>
      </c>
      <c r="D1448" s="18">
        <v>0.1</v>
      </c>
      <c r="E1448" s="21">
        <v>7.9741404289037643E-3</v>
      </c>
      <c r="F1448" s="5">
        <v>41955</v>
      </c>
      <c r="G1448" s="5">
        <v>44147</v>
      </c>
      <c r="H1448" s="16">
        <v>2192</v>
      </c>
      <c r="I1448" s="5">
        <v>44147</v>
      </c>
      <c r="J1448" s="5">
        <v>42236</v>
      </c>
      <c r="K1448" s="16">
        <v>281</v>
      </c>
      <c r="L1448" s="13">
        <v>6000</v>
      </c>
      <c r="M1448" s="15">
        <v>108.66712590638576</v>
      </c>
      <c r="N1448" s="13">
        <v>6000</v>
      </c>
      <c r="O1448" s="13">
        <v>0</v>
      </c>
      <c r="P1448" s="11">
        <v>1</v>
      </c>
    </row>
    <row r="1449" spans="1:16" ht="15" thickBot="1" x14ac:dyDescent="0.3">
      <c r="A1449" s="3" t="s">
        <v>11</v>
      </c>
      <c r="B1449" s="4">
        <v>973196</v>
      </c>
      <c r="C1449" s="3" t="s">
        <v>9</v>
      </c>
      <c r="D1449" s="18">
        <v>0.12</v>
      </c>
      <c r="E1449" s="21">
        <v>9.4887929345830457E-3</v>
      </c>
      <c r="F1449" s="5">
        <v>41957</v>
      </c>
      <c r="G1449" s="5">
        <v>42318</v>
      </c>
      <c r="H1449" s="16">
        <v>361</v>
      </c>
      <c r="I1449" s="5">
        <v>42318</v>
      </c>
      <c r="J1449" s="5">
        <v>42243</v>
      </c>
      <c r="K1449" s="16">
        <v>286</v>
      </c>
      <c r="L1449" s="13">
        <v>748.72</v>
      </c>
      <c r="M1449" s="15">
        <v>66.134723926251965</v>
      </c>
      <c r="N1449" s="13">
        <v>748.72</v>
      </c>
      <c r="O1449" s="13">
        <v>0</v>
      </c>
      <c r="P1449" s="11">
        <v>1</v>
      </c>
    </row>
    <row r="1450" spans="1:16" ht="15" thickBot="1" x14ac:dyDescent="0.3">
      <c r="A1450" s="3" t="s">
        <v>11</v>
      </c>
      <c r="B1450" s="4">
        <v>133549</v>
      </c>
      <c r="C1450" s="3" t="s">
        <v>9</v>
      </c>
      <c r="D1450" s="18">
        <v>0.14000000000000001</v>
      </c>
      <c r="E1450" s="21">
        <v>1.0978851950173452E-2</v>
      </c>
      <c r="F1450" s="5">
        <v>41956</v>
      </c>
      <c r="G1450" s="5">
        <v>43782</v>
      </c>
      <c r="H1450" s="16">
        <v>1826</v>
      </c>
      <c r="I1450" s="5">
        <v>43782</v>
      </c>
      <c r="J1450" s="5">
        <v>42311</v>
      </c>
      <c r="K1450" s="16">
        <v>355</v>
      </c>
      <c r="L1450" s="13">
        <v>7161.99</v>
      </c>
      <c r="M1450" s="15">
        <v>161.9499485667194</v>
      </c>
      <c r="N1450" s="13">
        <v>7161.99</v>
      </c>
      <c r="O1450" s="13">
        <v>0</v>
      </c>
      <c r="P1450" s="11">
        <v>1</v>
      </c>
    </row>
    <row r="1451" spans="1:16" ht="15" thickBot="1" x14ac:dyDescent="0.3">
      <c r="A1451" s="3" t="s">
        <v>11</v>
      </c>
      <c r="B1451" s="4">
        <v>395700</v>
      </c>
      <c r="C1451" s="3" t="s">
        <v>9</v>
      </c>
      <c r="D1451" s="18">
        <v>0.1</v>
      </c>
      <c r="E1451" s="21">
        <v>7.9741404289037643E-3</v>
      </c>
      <c r="F1451" s="5">
        <v>41957</v>
      </c>
      <c r="G1451" s="5">
        <v>44149</v>
      </c>
      <c r="H1451" s="16">
        <v>2192</v>
      </c>
      <c r="I1451" s="5">
        <v>44149</v>
      </c>
      <c r="J1451" s="5">
        <v>42044</v>
      </c>
      <c r="K1451" s="16">
        <v>87</v>
      </c>
      <c r="L1451" s="13">
        <v>2424.9899999999998</v>
      </c>
      <c r="M1451" s="15">
        <v>43.9194489419544</v>
      </c>
      <c r="N1451" s="13">
        <v>2424.9899999999998</v>
      </c>
      <c r="O1451" s="13">
        <v>0</v>
      </c>
      <c r="P1451" s="11">
        <v>1</v>
      </c>
    </row>
    <row r="1452" spans="1:16" ht="15" thickBot="1" x14ac:dyDescent="0.3">
      <c r="A1452" s="3" t="s">
        <v>11</v>
      </c>
      <c r="B1452" s="4">
        <v>303935</v>
      </c>
      <c r="C1452" s="3" t="s">
        <v>9</v>
      </c>
      <c r="D1452" s="18">
        <v>0.1</v>
      </c>
      <c r="E1452" s="21">
        <v>7.9741404289037643E-3</v>
      </c>
      <c r="F1452" s="5">
        <v>41957</v>
      </c>
      <c r="G1452" s="5">
        <v>43599</v>
      </c>
      <c r="H1452" s="16">
        <v>1642</v>
      </c>
      <c r="I1452" s="5">
        <v>43599</v>
      </c>
      <c r="J1452" s="5">
        <v>42619</v>
      </c>
      <c r="K1452" s="16">
        <v>662</v>
      </c>
      <c r="L1452" s="13">
        <v>1275.44</v>
      </c>
      <c r="M1452" s="15">
        <v>28.84814686881473</v>
      </c>
      <c r="N1452" s="13">
        <v>1275.44</v>
      </c>
      <c r="O1452" s="13">
        <v>0</v>
      </c>
      <c r="P1452" s="11">
        <v>1</v>
      </c>
    </row>
    <row r="1453" spans="1:16" ht="15" thickBot="1" x14ac:dyDescent="0.3">
      <c r="A1453" s="3" t="s">
        <v>11</v>
      </c>
      <c r="B1453" s="4">
        <v>940572</v>
      </c>
      <c r="C1453" s="3" t="s">
        <v>9</v>
      </c>
      <c r="D1453" s="18">
        <v>0.12</v>
      </c>
      <c r="E1453" s="21">
        <v>9.4887929345830457E-3</v>
      </c>
      <c r="F1453" s="5">
        <v>41960</v>
      </c>
      <c r="G1453" s="5">
        <v>43421</v>
      </c>
      <c r="H1453" s="16">
        <v>1461</v>
      </c>
      <c r="I1453" s="5">
        <v>43421</v>
      </c>
      <c r="J1453" s="5">
        <v>42311</v>
      </c>
      <c r="K1453" s="16">
        <v>351</v>
      </c>
      <c r="L1453" s="13">
        <v>2109.64</v>
      </c>
      <c r="M1453" s="15">
        <v>54.297803322225647</v>
      </c>
      <c r="N1453" s="13">
        <v>2109.64</v>
      </c>
      <c r="O1453" s="13">
        <v>0</v>
      </c>
      <c r="P1453" s="11">
        <v>1</v>
      </c>
    </row>
    <row r="1454" spans="1:16" ht="15" thickBot="1" x14ac:dyDescent="0.3">
      <c r="A1454" s="3" t="s">
        <v>11</v>
      </c>
      <c r="B1454" s="4">
        <v>105713</v>
      </c>
      <c r="C1454" s="3" t="s">
        <v>9</v>
      </c>
      <c r="D1454" s="18">
        <v>0.1</v>
      </c>
      <c r="E1454" s="21">
        <v>7.9741404289037643E-3</v>
      </c>
      <c r="F1454" s="5">
        <v>41961</v>
      </c>
      <c r="G1454" s="5">
        <v>43819</v>
      </c>
      <c r="H1454" s="16">
        <v>1858</v>
      </c>
      <c r="I1454" s="5">
        <v>43819</v>
      </c>
      <c r="J1454" s="5">
        <v>42346</v>
      </c>
      <c r="K1454" s="16">
        <v>385</v>
      </c>
      <c r="L1454" s="13">
        <v>9328.0400000000009</v>
      </c>
      <c r="M1454" s="15">
        <v>191.44237459102015</v>
      </c>
      <c r="N1454" s="13">
        <v>9328.0400000000009</v>
      </c>
      <c r="O1454" s="13">
        <v>0</v>
      </c>
      <c r="P1454" s="11">
        <v>1</v>
      </c>
    </row>
    <row r="1455" spans="1:16" ht="15" thickBot="1" x14ac:dyDescent="0.3">
      <c r="A1455" s="3" t="s">
        <v>11</v>
      </c>
      <c r="B1455" s="4">
        <v>361668</v>
      </c>
      <c r="C1455" s="3" t="s">
        <v>9</v>
      </c>
      <c r="D1455" s="18">
        <v>0.14000000000000001</v>
      </c>
      <c r="E1455" s="21">
        <v>1.0978851950173452E-2</v>
      </c>
      <c r="F1455" s="5">
        <v>41961</v>
      </c>
      <c r="G1455" s="5">
        <v>43422</v>
      </c>
      <c r="H1455" s="16">
        <v>1461</v>
      </c>
      <c r="I1455" s="5">
        <v>43422</v>
      </c>
      <c r="J1455" s="5">
        <v>42600</v>
      </c>
      <c r="K1455" s="16">
        <v>639</v>
      </c>
      <c r="L1455" s="13">
        <v>4225.28</v>
      </c>
      <c r="M1455" s="15">
        <v>112.47716365975096</v>
      </c>
      <c r="N1455" s="13">
        <v>4225.28</v>
      </c>
      <c r="O1455" s="13">
        <v>0</v>
      </c>
      <c r="P1455" s="11">
        <v>1</v>
      </c>
    </row>
    <row r="1456" spans="1:16" ht="15" thickBot="1" x14ac:dyDescent="0.3">
      <c r="A1456" s="3" t="s">
        <v>11</v>
      </c>
      <c r="B1456" s="4">
        <v>86701</v>
      </c>
      <c r="C1456" s="3" t="s">
        <v>9</v>
      </c>
      <c r="D1456" s="18">
        <v>0.1</v>
      </c>
      <c r="E1456" s="21">
        <v>7.9741404289037643E-3</v>
      </c>
      <c r="F1456" s="5">
        <v>41963</v>
      </c>
      <c r="G1456" s="5">
        <v>43605</v>
      </c>
      <c r="H1456" s="16">
        <v>1642</v>
      </c>
      <c r="I1456" s="5">
        <v>43605</v>
      </c>
      <c r="J1456" s="5">
        <v>42282</v>
      </c>
      <c r="K1456" s="16">
        <v>319</v>
      </c>
      <c r="L1456" s="13">
        <v>12331.94</v>
      </c>
      <c r="M1456" s="15">
        <v>278.92618727451787</v>
      </c>
      <c r="N1456" s="13">
        <v>12331.94</v>
      </c>
      <c r="O1456" s="13">
        <v>0</v>
      </c>
      <c r="P1456" s="11">
        <v>1</v>
      </c>
    </row>
    <row r="1457" spans="1:16" ht="15" thickBot="1" x14ac:dyDescent="0.3">
      <c r="A1457" s="3" t="s">
        <v>11</v>
      </c>
      <c r="B1457" s="4">
        <v>75102</v>
      </c>
      <c r="C1457" s="3" t="s">
        <v>9</v>
      </c>
      <c r="D1457" s="18">
        <v>0.1</v>
      </c>
      <c r="E1457" s="21">
        <v>7.9741404289037643E-3</v>
      </c>
      <c r="F1457" s="5">
        <v>41963</v>
      </c>
      <c r="G1457" s="5">
        <v>42328</v>
      </c>
      <c r="H1457" s="16">
        <v>365</v>
      </c>
      <c r="I1457" s="5">
        <v>44301</v>
      </c>
      <c r="J1457" s="5">
        <v>43634</v>
      </c>
      <c r="K1457" s="16">
        <v>1671</v>
      </c>
      <c r="L1457" s="13">
        <v>6135.91</v>
      </c>
      <c r="M1457" s="15">
        <v>531.18772916347507</v>
      </c>
      <c r="N1457" s="13">
        <v>3155.48</v>
      </c>
      <c r="O1457" s="13">
        <v>3036.33</v>
      </c>
      <c r="P1457" s="11">
        <v>1</v>
      </c>
    </row>
    <row r="1458" spans="1:16" ht="15" thickBot="1" x14ac:dyDescent="0.3">
      <c r="A1458" s="3" t="s">
        <v>11</v>
      </c>
      <c r="B1458" s="4">
        <v>574384</v>
      </c>
      <c r="C1458" s="3" t="s">
        <v>9</v>
      </c>
      <c r="D1458" s="18">
        <v>0.08</v>
      </c>
      <c r="E1458" s="21">
        <v>6.4340301100034303E-3</v>
      </c>
      <c r="F1458" s="5">
        <v>41967</v>
      </c>
      <c r="G1458" s="5">
        <v>43428</v>
      </c>
      <c r="H1458" s="16">
        <v>1461</v>
      </c>
      <c r="I1458" s="5">
        <v>43428</v>
      </c>
      <c r="J1458" s="5">
        <v>43371</v>
      </c>
      <c r="K1458" s="16">
        <v>1404</v>
      </c>
      <c r="L1458" s="13">
        <v>2442.81</v>
      </c>
      <c r="M1458" s="15">
        <v>58.588538584136366</v>
      </c>
      <c r="N1458" s="13">
        <v>2442.81</v>
      </c>
      <c r="O1458" s="13">
        <v>0</v>
      </c>
      <c r="P1458" s="11">
        <v>1</v>
      </c>
    </row>
    <row r="1459" spans="1:16" ht="15" thickBot="1" x14ac:dyDescent="0.3">
      <c r="A1459" s="3" t="s">
        <v>11</v>
      </c>
      <c r="B1459" s="4">
        <v>954277</v>
      </c>
      <c r="C1459" s="3" t="s">
        <v>9</v>
      </c>
      <c r="D1459" s="18">
        <v>0.08</v>
      </c>
      <c r="E1459" s="21">
        <v>6.4340301100034303E-3</v>
      </c>
      <c r="F1459" s="5">
        <v>41968</v>
      </c>
      <c r="G1459" s="5">
        <v>42880</v>
      </c>
      <c r="H1459" s="16">
        <v>912</v>
      </c>
      <c r="I1459" s="5">
        <v>42880</v>
      </c>
      <c r="J1459" s="5">
        <v>43000</v>
      </c>
      <c r="K1459" s="16">
        <v>1032</v>
      </c>
      <c r="L1459" s="13">
        <v>9014.39</v>
      </c>
      <c r="M1459" s="15">
        <v>327.42005424411167</v>
      </c>
      <c r="N1459" s="13">
        <v>9014.39</v>
      </c>
      <c r="O1459" s="13">
        <v>0</v>
      </c>
      <c r="P1459" s="11">
        <v>1</v>
      </c>
    </row>
    <row r="1460" spans="1:16" ht="15" thickBot="1" x14ac:dyDescent="0.3">
      <c r="A1460" s="3" t="s">
        <v>11</v>
      </c>
      <c r="B1460" s="4">
        <v>483069</v>
      </c>
      <c r="C1460" s="3" t="s">
        <v>9</v>
      </c>
      <c r="D1460" s="18">
        <v>9.5000000000000001E-2</v>
      </c>
      <c r="E1460" s="21">
        <v>7.5915342905825689E-3</v>
      </c>
      <c r="F1460" s="5">
        <v>41968</v>
      </c>
      <c r="G1460" s="5">
        <v>44099</v>
      </c>
      <c r="H1460" s="16">
        <v>2131</v>
      </c>
      <c r="I1460" s="5">
        <v>44099</v>
      </c>
      <c r="J1460" s="5">
        <v>43371</v>
      </c>
      <c r="K1460" s="16">
        <v>1403</v>
      </c>
      <c r="L1460" s="13">
        <v>13527.82</v>
      </c>
      <c r="M1460" s="15">
        <v>247.08925481762248</v>
      </c>
      <c r="N1460" s="13">
        <v>13527.82</v>
      </c>
      <c r="O1460" s="13">
        <v>0</v>
      </c>
      <c r="P1460" s="11">
        <v>1</v>
      </c>
    </row>
    <row r="1461" spans="1:16" ht="15" thickBot="1" x14ac:dyDescent="0.3">
      <c r="A1461" s="3" t="s">
        <v>11</v>
      </c>
      <c r="B1461" s="4">
        <v>906283</v>
      </c>
      <c r="C1461" s="3" t="s">
        <v>9</v>
      </c>
      <c r="D1461" s="18">
        <v>0.11</v>
      </c>
      <c r="E1461" s="21">
        <v>8.7345938235519061E-3</v>
      </c>
      <c r="F1461" s="5">
        <v>41968</v>
      </c>
      <c r="G1461" s="5">
        <v>42333</v>
      </c>
      <c r="H1461" s="16">
        <v>365</v>
      </c>
      <c r="I1461" s="5">
        <v>42333</v>
      </c>
      <c r="J1461" s="5">
        <v>42739</v>
      </c>
      <c r="K1461" s="16">
        <v>771</v>
      </c>
      <c r="L1461" s="13">
        <v>826.05</v>
      </c>
      <c r="M1461" s="15">
        <v>71.861819841919711</v>
      </c>
      <c r="N1461" s="13">
        <v>826.05</v>
      </c>
      <c r="O1461" s="13">
        <v>0</v>
      </c>
      <c r="P1461" s="11">
        <v>1</v>
      </c>
    </row>
    <row r="1462" spans="1:16" ht="15" thickBot="1" x14ac:dyDescent="0.3">
      <c r="A1462" s="3" t="s">
        <v>11</v>
      </c>
      <c r="B1462" s="4">
        <v>971366</v>
      </c>
      <c r="C1462" s="3" t="s">
        <v>9</v>
      </c>
      <c r="D1462" s="18">
        <v>0.12</v>
      </c>
      <c r="E1462" s="21">
        <v>9.4887929345830457E-3</v>
      </c>
      <c r="F1462" s="5">
        <v>41974</v>
      </c>
      <c r="G1462" s="5">
        <v>42170</v>
      </c>
      <c r="H1462" s="16">
        <v>196</v>
      </c>
      <c r="I1462" s="5">
        <v>42170</v>
      </c>
      <c r="J1462" s="5">
        <v>42061</v>
      </c>
      <c r="K1462" s="16">
        <v>87</v>
      </c>
      <c r="L1462" s="13">
        <v>339.71</v>
      </c>
      <c r="M1462" s="15">
        <v>53.871023979406168</v>
      </c>
      <c r="N1462" s="13">
        <v>339.71</v>
      </c>
      <c r="O1462" s="13">
        <v>0</v>
      </c>
      <c r="P1462" s="11">
        <v>1</v>
      </c>
    </row>
    <row r="1463" spans="1:16" ht="15" thickBot="1" x14ac:dyDescent="0.3">
      <c r="A1463" s="3" t="s">
        <v>11</v>
      </c>
      <c r="B1463" s="4">
        <v>120750</v>
      </c>
      <c r="C1463" s="3" t="s">
        <v>9</v>
      </c>
      <c r="D1463" s="18">
        <v>0.09</v>
      </c>
      <c r="E1463" s="21">
        <v>7.2073233161367156E-3</v>
      </c>
      <c r="F1463" s="5">
        <v>41976</v>
      </c>
      <c r="G1463" s="5">
        <v>44564</v>
      </c>
      <c r="H1463" s="16">
        <v>2588</v>
      </c>
      <c r="I1463" s="5">
        <v>44564</v>
      </c>
      <c r="J1463" s="5">
        <v>43649</v>
      </c>
      <c r="K1463" s="16">
        <v>1673</v>
      </c>
      <c r="L1463" s="13">
        <v>10130.64</v>
      </c>
      <c r="M1463" s="15">
        <v>158.10971542703368</v>
      </c>
      <c r="N1463" s="13">
        <v>9312.2000000000007</v>
      </c>
      <c r="O1463" s="13">
        <v>9312.2000000000007</v>
      </c>
      <c r="P1463" s="11">
        <v>1</v>
      </c>
    </row>
    <row r="1464" spans="1:16" ht="15" thickBot="1" x14ac:dyDescent="0.3">
      <c r="A1464" s="3" t="s">
        <v>11</v>
      </c>
      <c r="B1464" s="4">
        <v>28253</v>
      </c>
      <c r="C1464" s="3" t="s">
        <v>9</v>
      </c>
      <c r="D1464" s="18">
        <v>0.14000000000000001</v>
      </c>
      <c r="E1464" s="21">
        <v>1.0978851950173452E-2</v>
      </c>
      <c r="F1464" s="5">
        <v>41981</v>
      </c>
      <c r="G1464" s="5">
        <v>42529</v>
      </c>
      <c r="H1464" s="16">
        <v>548</v>
      </c>
      <c r="I1464" s="5">
        <v>42529</v>
      </c>
      <c r="J1464" s="5">
        <v>42558</v>
      </c>
      <c r="K1464" s="16">
        <v>577</v>
      </c>
      <c r="L1464" s="13">
        <v>1388.74</v>
      </c>
      <c r="M1464" s="15">
        <v>84.319128391026879</v>
      </c>
      <c r="N1464" s="13">
        <v>1388.74</v>
      </c>
      <c r="O1464" s="13">
        <v>0</v>
      </c>
      <c r="P1464" s="11">
        <v>1</v>
      </c>
    </row>
    <row r="1465" spans="1:16" ht="15" thickBot="1" x14ac:dyDescent="0.3">
      <c r="A1465" s="3" t="s">
        <v>11</v>
      </c>
      <c r="B1465" s="4">
        <v>193093</v>
      </c>
      <c r="C1465" s="3" t="s">
        <v>9</v>
      </c>
      <c r="D1465" s="18">
        <v>0.1</v>
      </c>
      <c r="E1465" s="21">
        <v>7.9741404289037643E-3</v>
      </c>
      <c r="F1465" s="5">
        <v>41982</v>
      </c>
      <c r="G1465" s="5">
        <v>44539</v>
      </c>
      <c r="H1465" s="16">
        <v>2557</v>
      </c>
      <c r="I1465" s="5">
        <v>44539</v>
      </c>
      <c r="J1465" s="5">
        <v>43633</v>
      </c>
      <c r="K1465" s="16">
        <v>1651</v>
      </c>
      <c r="L1465" s="13">
        <v>12709.52</v>
      </c>
      <c r="M1465" s="15">
        <v>206.0561329174713</v>
      </c>
      <c r="N1465" s="13">
        <v>11522.46</v>
      </c>
      <c r="O1465" s="13">
        <v>10889.69</v>
      </c>
      <c r="P1465" s="11">
        <v>1</v>
      </c>
    </row>
    <row r="1466" spans="1:16" ht="15" thickBot="1" x14ac:dyDescent="0.3">
      <c r="A1466" s="3" t="s">
        <v>11</v>
      </c>
      <c r="B1466" s="4">
        <v>155013</v>
      </c>
      <c r="C1466" s="3" t="s">
        <v>9</v>
      </c>
      <c r="D1466" s="18">
        <v>0.14000000000000001</v>
      </c>
      <c r="E1466" s="21">
        <v>1.0978851950173452E-2</v>
      </c>
      <c r="F1466" s="5">
        <v>41985</v>
      </c>
      <c r="G1466" s="5">
        <v>42350</v>
      </c>
      <c r="H1466" s="16">
        <v>365</v>
      </c>
      <c r="I1466" s="5">
        <v>42350</v>
      </c>
      <c r="J1466" s="5">
        <v>42181</v>
      </c>
      <c r="K1466" s="16">
        <v>196</v>
      </c>
      <c r="L1466" s="13">
        <v>569.86</v>
      </c>
      <c r="M1466" s="15">
        <v>50.291899585196788</v>
      </c>
      <c r="N1466" s="13">
        <v>569.86</v>
      </c>
      <c r="O1466" s="13">
        <v>0</v>
      </c>
      <c r="P1466" s="11">
        <v>1</v>
      </c>
    </row>
    <row r="1467" spans="1:16" ht="15" thickBot="1" x14ac:dyDescent="0.3">
      <c r="A1467" s="3" t="s">
        <v>11</v>
      </c>
      <c r="B1467" s="4">
        <v>602511</v>
      </c>
      <c r="C1467" s="3" t="s">
        <v>9</v>
      </c>
      <c r="D1467" s="18">
        <v>0.1</v>
      </c>
      <c r="E1467" s="21">
        <v>7.9741404289037643E-3</v>
      </c>
      <c r="F1467" s="5">
        <v>41985</v>
      </c>
      <c r="G1467" s="5">
        <v>44177</v>
      </c>
      <c r="H1467" s="16">
        <v>2192</v>
      </c>
      <c r="I1467" s="5">
        <v>44177</v>
      </c>
      <c r="J1467" s="5">
        <v>43173</v>
      </c>
      <c r="K1467" s="16">
        <v>1188</v>
      </c>
      <c r="L1467" s="13">
        <v>12323.3</v>
      </c>
      <c r="M1467" s="15">
        <v>223.1895987803606</v>
      </c>
      <c r="N1467" s="13">
        <v>12323.3</v>
      </c>
      <c r="O1467" s="13">
        <v>0</v>
      </c>
      <c r="P1467" s="11">
        <v>1</v>
      </c>
    </row>
    <row r="1468" spans="1:16" ht="15" thickBot="1" x14ac:dyDescent="0.3">
      <c r="A1468" s="3" t="s">
        <v>11</v>
      </c>
      <c r="B1468" s="4">
        <v>506889</v>
      </c>
      <c r="C1468" s="3" t="s">
        <v>9</v>
      </c>
      <c r="D1468" s="18">
        <v>0.14000000000000001</v>
      </c>
      <c r="E1468" s="21">
        <v>1.0978851950173452E-2</v>
      </c>
      <c r="F1468" s="5">
        <v>41989</v>
      </c>
      <c r="G1468" s="5">
        <v>43578</v>
      </c>
      <c r="H1468" s="16">
        <v>1589</v>
      </c>
      <c r="I1468" s="5">
        <v>43578</v>
      </c>
      <c r="J1468" s="5">
        <v>42464</v>
      </c>
      <c r="K1468" s="16">
        <v>475</v>
      </c>
      <c r="L1468" s="13">
        <v>3116.48</v>
      </c>
      <c r="M1468" s="15">
        <v>77.908504567260721</v>
      </c>
      <c r="N1468" s="13">
        <v>3116.48</v>
      </c>
      <c r="O1468" s="13">
        <v>0</v>
      </c>
      <c r="P1468" s="11">
        <v>1</v>
      </c>
    </row>
    <row r="1469" spans="1:16" ht="15" thickBot="1" x14ac:dyDescent="0.3">
      <c r="A1469" s="3" t="s">
        <v>11</v>
      </c>
      <c r="B1469" s="4">
        <v>27674</v>
      </c>
      <c r="C1469" s="3" t="s">
        <v>9</v>
      </c>
      <c r="D1469" s="18">
        <v>0.12</v>
      </c>
      <c r="E1469" s="21">
        <v>9.4887929345830457E-3</v>
      </c>
      <c r="F1469" s="5">
        <v>41990</v>
      </c>
      <c r="G1469" s="5">
        <v>43513</v>
      </c>
      <c r="H1469" s="16">
        <v>1523</v>
      </c>
      <c r="I1469" s="5">
        <v>43513</v>
      </c>
      <c r="J1469" s="5">
        <v>43210</v>
      </c>
      <c r="K1469" s="16">
        <v>1220</v>
      </c>
      <c r="L1469" s="13">
        <v>4660.6499999999996</v>
      </c>
      <c r="M1469" s="15">
        <v>116.11233883053936</v>
      </c>
      <c r="N1469" s="13">
        <v>4660.6499999999996</v>
      </c>
      <c r="O1469" s="13">
        <v>0</v>
      </c>
      <c r="P1469" s="11">
        <v>1</v>
      </c>
    </row>
    <row r="1470" spans="1:16" ht="15" thickBot="1" x14ac:dyDescent="0.3">
      <c r="A1470" s="3" t="s">
        <v>11</v>
      </c>
      <c r="B1470" s="4">
        <v>946925</v>
      </c>
      <c r="C1470" s="3" t="s">
        <v>9</v>
      </c>
      <c r="D1470" s="18">
        <v>0.1</v>
      </c>
      <c r="E1470" s="21">
        <v>7.9741404289037643E-3</v>
      </c>
      <c r="F1470" s="5">
        <v>41991</v>
      </c>
      <c r="G1470" s="5">
        <v>44122</v>
      </c>
      <c r="H1470" s="16">
        <v>2131</v>
      </c>
      <c r="I1470" s="5">
        <v>44122</v>
      </c>
      <c r="J1470" s="5">
        <v>43301</v>
      </c>
      <c r="K1470" s="16">
        <v>1310</v>
      </c>
      <c r="L1470" s="13">
        <v>1675.66</v>
      </c>
      <c r="M1470" s="15">
        <v>30.989581729183762</v>
      </c>
      <c r="N1470" s="13">
        <v>1675.66</v>
      </c>
      <c r="O1470" s="13">
        <v>0</v>
      </c>
      <c r="P1470" s="11">
        <v>1</v>
      </c>
    </row>
    <row r="1471" spans="1:16" ht="15" thickBot="1" x14ac:dyDescent="0.3">
      <c r="A1471" s="3" t="s">
        <v>11</v>
      </c>
      <c r="B1471" s="4">
        <v>962823</v>
      </c>
      <c r="C1471" s="3" t="s">
        <v>9</v>
      </c>
      <c r="D1471" s="18">
        <v>0.09</v>
      </c>
      <c r="E1471" s="21">
        <v>7.2073233161367156E-3</v>
      </c>
      <c r="F1471" s="5">
        <v>42002</v>
      </c>
      <c r="G1471" s="5">
        <v>43463</v>
      </c>
      <c r="H1471" s="16">
        <v>1461</v>
      </c>
      <c r="I1471" s="5">
        <v>43463</v>
      </c>
      <c r="J1471" s="5">
        <v>43210</v>
      </c>
      <c r="K1471" s="16">
        <v>1208</v>
      </c>
      <c r="L1471" s="13">
        <v>17252.54</v>
      </c>
      <c r="M1471" s="15">
        <v>421.32566473408491</v>
      </c>
      <c r="N1471" s="13">
        <v>17252.54</v>
      </c>
      <c r="O1471" s="13">
        <v>0</v>
      </c>
      <c r="P1471" s="11">
        <v>1</v>
      </c>
    </row>
    <row r="1472" spans="1:16" ht="15" thickBot="1" x14ac:dyDescent="0.3">
      <c r="A1472" s="3" t="s">
        <v>11</v>
      </c>
      <c r="B1472" s="4">
        <v>99016</v>
      </c>
      <c r="C1472" s="3" t="s">
        <v>9</v>
      </c>
      <c r="D1472" s="18">
        <v>0.09</v>
      </c>
      <c r="E1472" s="21">
        <v>7.2073233161367156E-3</v>
      </c>
      <c r="F1472" s="5">
        <v>42003</v>
      </c>
      <c r="G1472" s="5">
        <v>43365</v>
      </c>
      <c r="H1472" s="16">
        <v>1362</v>
      </c>
      <c r="I1472" s="5">
        <v>43365</v>
      </c>
      <c r="J1472" s="5">
        <v>43098</v>
      </c>
      <c r="K1472" s="16">
        <v>1095</v>
      </c>
      <c r="L1472" s="13">
        <v>20000</v>
      </c>
      <c r="M1472" s="15">
        <v>518.09700922751176</v>
      </c>
      <c r="N1472" s="13">
        <v>20000</v>
      </c>
      <c r="O1472" s="13">
        <v>0</v>
      </c>
      <c r="P1472" s="11">
        <v>1</v>
      </c>
    </row>
    <row r="1473" spans="1:16" ht="15" thickBot="1" x14ac:dyDescent="0.3">
      <c r="A1473" s="3" t="s">
        <v>11</v>
      </c>
      <c r="B1473" s="4">
        <v>577698</v>
      </c>
      <c r="C1473" s="3" t="s">
        <v>9</v>
      </c>
      <c r="D1473" s="18">
        <v>0.14000000000000001</v>
      </c>
      <c r="E1473" s="21">
        <v>1.0978851950173452E-2</v>
      </c>
      <c r="F1473" s="5">
        <v>42003</v>
      </c>
      <c r="G1473" s="5">
        <v>42916</v>
      </c>
      <c r="H1473" s="16">
        <v>913</v>
      </c>
      <c r="I1473" s="5">
        <v>42916</v>
      </c>
      <c r="J1473" s="5">
        <v>42991</v>
      </c>
      <c r="K1473" s="16">
        <v>988</v>
      </c>
      <c r="L1473" s="13">
        <v>9761.1200000000008</v>
      </c>
      <c r="M1473" s="15">
        <v>379.0403701558659</v>
      </c>
      <c r="N1473" s="13">
        <v>9761.1200000000008</v>
      </c>
      <c r="O1473" s="13">
        <v>0</v>
      </c>
      <c r="P1473" s="11">
        <v>1</v>
      </c>
    </row>
    <row r="1474" spans="1:16" ht="15" thickBot="1" x14ac:dyDescent="0.3">
      <c r="A1474" s="3" t="s">
        <v>11</v>
      </c>
      <c r="B1474" s="4">
        <v>516815</v>
      </c>
      <c r="C1474" s="3" t="s">
        <v>9</v>
      </c>
      <c r="D1474" s="18">
        <v>0.1</v>
      </c>
      <c r="E1474" s="21">
        <v>7.9741404289037643E-3</v>
      </c>
      <c r="F1474" s="5">
        <v>42017</v>
      </c>
      <c r="G1474" s="5">
        <v>43659</v>
      </c>
      <c r="H1474" s="16">
        <v>1642</v>
      </c>
      <c r="I1474" s="5">
        <v>43659</v>
      </c>
      <c r="J1474" s="5">
        <v>42341</v>
      </c>
      <c r="K1474" s="16">
        <v>324</v>
      </c>
      <c r="L1474" s="13">
        <v>5497.78</v>
      </c>
      <c r="M1474" s="15">
        <v>124.34984389107464</v>
      </c>
      <c r="N1474" s="13">
        <v>5497.78</v>
      </c>
      <c r="O1474" s="13">
        <v>0</v>
      </c>
      <c r="P1474" s="11">
        <v>1</v>
      </c>
    </row>
    <row r="1475" spans="1:16" ht="15" thickBot="1" x14ac:dyDescent="0.3">
      <c r="A1475" s="3" t="s">
        <v>11</v>
      </c>
      <c r="B1475" s="4">
        <v>812751</v>
      </c>
      <c r="C1475" s="3" t="s">
        <v>9</v>
      </c>
      <c r="D1475" s="18">
        <v>0.1</v>
      </c>
      <c r="E1475" s="21">
        <v>7.9741404289037643E-3</v>
      </c>
      <c r="F1475" s="5">
        <v>42030</v>
      </c>
      <c r="G1475" s="5">
        <v>44222</v>
      </c>
      <c r="H1475" s="16">
        <v>2192</v>
      </c>
      <c r="I1475" s="5">
        <v>44222</v>
      </c>
      <c r="J1475" s="5">
        <v>42991</v>
      </c>
      <c r="K1475" s="16">
        <v>961</v>
      </c>
      <c r="L1475" s="13">
        <v>3060</v>
      </c>
      <c r="M1475" s="15">
        <v>55.420234212256744</v>
      </c>
      <c r="N1475" s="13">
        <v>3060</v>
      </c>
      <c r="O1475" s="13">
        <v>0</v>
      </c>
      <c r="P1475" s="11">
        <v>1</v>
      </c>
    </row>
    <row r="1476" spans="1:16" ht="15" thickBot="1" x14ac:dyDescent="0.3">
      <c r="A1476" s="3" t="s">
        <v>11</v>
      </c>
      <c r="B1476" s="4">
        <v>809906</v>
      </c>
      <c r="C1476" s="3" t="s">
        <v>9</v>
      </c>
      <c r="D1476" s="18">
        <v>0.1</v>
      </c>
      <c r="E1476" s="21">
        <v>7.9741404289037643E-3</v>
      </c>
      <c r="F1476" s="5">
        <v>42039</v>
      </c>
      <c r="G1476" s="5">
        <v>44381</v>
      </c>
      <c r="H1476" s="16">
        <v>2342</v>
      </c>
      <c r="I1476" s="5">
        <v>44381</v>
      </c>
      <c r="J1476" s="5">
        <v>42558</v>
      </c>
      <c r="K1476" s="16">
        <v>519</v>
      </c>
      <c r="L1476" s="13">
        <v>42185.88</v>
      </c>
      <c r="M1476" s="15">
        <v>728.00388866225171</v>
      </c>
      <c r="N1476" s="13">
        <v>42185.88</v>
      </c>
      <c r="O1476" s="13">
        <v>3000</v>
      </c>
      <c r="P1476" s="11">
        <v>1</v>
      </c>
    </row>
    <row r="1477" spans="1:16" ht="15" thickBot="1" x14ac:dyDescent="0.3">
      <c r="A1477" s="3" t="s">
        <v>11</v>
      </c>
      <c r="B1477" s="4">
        <v>796632</v>
      </c>
      <c r="C1477" s="3" t="s">
        <v>9</v>
      </c>
      <c r="D1477" s="18">
        <v>0.14000000000000001</v>
      </c>
      <c r="E1477" s="21">
        <v>1.0978851950173452E-2</v>
      </c>
      <c r="F1477" s="5">
        <v>42047</v>
      </c>
      <c r="G1477" s="5">
        <v>42594</v>
      </c>
      <c r="H1477" s="16">
        <v>547</v>
      </c>
      <c r="I1477" s="5">
        <v>42594</v>
      </c>
      <c r="J1477" s="5">
        <v>42404</v>
      </c>
      <c r="K1477" s="16">
        <v>357</v>
      </c>
      <c r="L1477" s="13">
        <v>1824.22</v>
      </c>
      <c r="M1477" s="15">
        <v>110.94281916114039</v>
      </c>
      <c r="N1477" s="13">
        <v>1824.22</v>
      </c>
      <c r="O1477" s="13">
        <v>0</v>
      </c>
      <c r="P1477" s="11">
        <v>1</v>
      </c>
    </row>
    <row r="1478" spans="1:16" ht="15" thickBot="1" x14ac:dyDescent="0.3">
      <c r="A1478" s="3" t="s">
        <v>11</v>
      </c>
      <c r="B1478" s="4">
        <v>853172</v>
      </c>
      <c r="C1478" s="3" t="s">
        <v>9</v>
      </c>
      <c r="D1478" s="18">
        <v>0.1</v>
      </c>
      <c r="E1478" s="21">
        <v>7.9741404289037643E-3</v>
      </c>
      <c r="F1478" s="5">
        <v>42058</v>
      </c>
      <c r="G1478" s="5">
        <v>42789</v>
      </c>
      <c r="H1478" s="16">
        <v>731</v>
      </c>
      <c r="I1478" s="5">
        <v>42789</v>
      </c>
      <c r="J1478" s="5">
        <v>42450</v>
      </c>
      <c r="K1478" s="16">
        <v>392</v>
      </c>
      <c r="L1478" s="13">
        <v>1566.33</v>
      </c>
      <c r="M1478" s="15">
        <v>70.984004637154968</v>
      </c>
      <c r="N1478" s="13">
        <v>1566.33</v>
      </c>
      <c r="O1478" s="13">
        <v>0</v>
      </c>
      <c r="P1478" s="11">
        <v>1</v>
      </c>
    </row>
    <row r="1479" spans="1:16" ht="15" thickBot="1" x14ac:dyDescent="0.3">
      <c r="A1479" s="3" t="s">
        <v>11</v>
      </c>
      <c r="B1479" s="4">
        <v>576095</v>
      </c>
      <c r="C1479" s="3" t="s">
        <v>9</v>
      </c>
      <c r="D1479" s="18">
        <v>0.1</v>
      </c>
      <c r="E1479" s="21">
        <v>7.9741404289037643E-3</v>
      </c>
      <c r="F1479" s="5">
        <v>42061</v>
      </c>
      <c r="G1479" s="5">
        <v>44768</v>
      </c>
      <c r="H1479" s="16">
        <v>2707</v>
      </c>
      <c r="I1479" s="5">
        <v>44768</v>
      </c>
      <c r="J1479" s="5">
        <v>43644</v>
      </c>
      <c r="K1479" s="16">
        <v>1583</v>
      </c>
      <c r="L1479" s="13">
        <v>8134.78</v>
      </c>
      <c r="M1479" s="15">
        <v>126.78698338691511</v>
      </c>
      <c r="N1479" s="13">
        <v>8134.78</v>
      </c>
      <c r="O1479" s="13">
        <v>0</v>
      </c>
      <c r="P1479" s="11">
        <v>1</v>
      </c>
    </row>
    <row r="1480" spans="1:16" ht="15" thickBot="1" x14ac:dyDescent="0.3">
      <c r="A1480" s="3" t="s">
        <v>11</v>
      </c>
      <c r="B1480" s="4">
        <v>530851</v>
      </c>
      <c r="C1480" s="3" t="s">
        <v>9</v>
      </c>
      <c r="D1480" s="18">
        <v>0.09</v>
      </c>
      <c r="E1480" s="21">
        <v>7.2073233161367156E-3</v>
      </c>
      <c r="F1480" s="5">
        <v>42062</v>
      </c>
      <c r="G1480" s="5">
        <v>44628</v>
      </c>
      <c r="H1480" s="16">
        <v>2566</v>
      </c>
      <c r="I1480" s="5">
        <v>44628</v>
      </c>
      <c r="J1480" s="5">
        <v>43654</v>
      </c>
      <c r="K1480" s="16">
        <v>1592</v>
      </c>
      <c r="L1480" s="13">
        <v>9185.01</v>
      </c>
      <c r="M1480" s="15">
        <v>144.23882603372022</v>
      </c>
      <c r="N1480" s="13">
        <v>8426.5499999999993</v>
      </c>
      <c r="O1480" s="13">
        <v>8426.5499999999993</v>
      </c>
      <c r="P1480" s="11">
        <v>1</v>
      </c>
    </row>
    <row r="1481" spans="1:16" ht="15" thickBot="1" x14ac:dyDescent="0.3">
      <c r="A1481" s="3" t="s">
        <v>11</v>
      </c>
      <c r="B1481" s="4">
        <v>22899</v>
      </c>
      <c r="C1481" s="3" t="s">
        <v>9</v>
      </c>
      <c r="D1481" s="18">
        <v>0.14000000000000001</v>
      </c>
      <c r="E1481" s="21">
        <v>1.0978851950173452E-2</v>
      </c>
      <c r="F1481" s="5">
        <v>42062</v>
      </c>
      <c r="G1481" s="5">
        <v>44070</v>
      </c>
      <c r="H1481" s="16">
        <v>2008</v>
      </c>
      <c r="I1481" s="5">
        <v>44070</v>
      </c>
      <c r="J1481" s="5">
        <v>42670</v>
      </c>
      <c r="K1481" s="16">
        <v>608</v>
      </c>
      <c r="L1481" s="13">
        <v>7917.88</v>
      </c>
      <c r="M1481" s="15">
        <v>167.65561331188778</v>
      </c>
      <c r="N1481" s="13">
        <v>7917.88</v>
      </c>
      <c r="O1481" s="13">
        <v>0</v>
      </c>
      <c r="P1481" s="11">
        <v>1</v>
      </c>
    </row>
    <row r="1482" spans="1:16" ht="15" thickBot="1" x14ac:dyDescent="0.3">
      <c r="A1482" s="3" t="s">
        <v>11</v>
      </c>
      <c r="B1482" s="4">
        <v>7719</v>
      </c>
      <c r="C1482" s="3" t="s">
        <v>9</v>
      </c>
      <c r="D1482" s="18">
        <v>0.1</v>
      </c>
      <c r="E1482" s="21">
        <v>7.9741404289037643E-3</v>
      </c>
      <c r="F1482" s="5">
        <v>42065</v>
      </c>
      <c r="G1482" s="5">
        <v>42643</v>
      </c>
      <c r="H1482" s="16">
        <v>578</v>
      </c>
      <c r="I1482" s="5">
        <v>42643</v>
      </c>
      <c r="J1482" s="5">
        <v>42529</v>
      </c>
      <c r="K1482" s="16">
        <v>464</v>
      </c>
      <c r="L1482" s="13">
        <v>1281.1600000000001</v>
      </c>
      <c r="M1482" s="15">
        <v>71.999269729344903</v>
      </c>
      <c r="N1482" s="13">
        <v>1281.1600000000001</v>
      </c>
      <c r="O1482" s="13">
        <v>0</v>
      </c>
      <c r="P1482" s="11">
        <v>1</v>
      </c>
    </row>
    <row r="1483" spans="1:16" ht="15" thickBot="1" x14ac:dyDescent="0.3">
      <c r="A1483" s="3" t="s">
        <v>11</v>
      </c>
      <c r="B1483" s="4">
        <v>420428</v>
      </c>
      <c r="C1483" s="3" t="s">
        <v>9</v>
      </c>
      <c r="D1483" s="18">
        <v>0.1</v>
      </c>
      <c r="E1483" s="21">
        <v>7.9741404289037643E-3</v>
      </c>
      <c r="F1483" s="5">
        <v>42065</v>
      </c>
      <c r="G1483" s="5">
        <v>42796</v>
      </c>
      <c r="H1483" s="16">
        <v>731</v>
      </c>
      <c r="I1483" s="5">
        <v>42796</v>
      </c>
      <c r="J1483" s="5">
        <v>42282</v>
      </c>
      <c r="K1483" s="16">
        <v>217</v>
      </c>
      <c r="L1483" s="13">
        <v>2391.5100000000002</v>
      </c>
      <c r="M1483" s="15">
        <v>108.38007120453705</v>
      </c>
      <c r="N1483" s="13">
        <v>2391.5100000000002</v>
      </c>
      <c r="O1483" s="13">
        <v>0</v>
      </c>
      <c r="P1483" s="11">
        <v>1</v>
      </c>
    </row>
    <row r="1484" spans="1:16" ht="15" thickBot="1" x14ac:dyDescent="0.3">
      <c r="A1484" s="3" t="s">
        <v>11</v>
      </c>
      <c r="B1484" s="4">
        <v>791929</v>
      </c>
      <c r="C1484" s="3" t="s">
        <v>9</v>
      </c>
      <c r="D1484" s="18">
        <v>0.11</v>
      </c>
      <c r="E1484" s="21">
        <v>8.7345938235519061E-3</v>
      </c>
      <c r="F1484" s="5">
        <v>42065</v>
      </c>
      <c r="G1484" s="5">
        <v>43892</v>
      </c>
      <c r="H1484" s="16">
        <v>1827</v>
      </c>
      <c r="I1484" s="5">
        <v>43892</v>
      </c>
      <c r="J1484" s="5">
        <v>42857</v>
      </c>
      <c r="K1484" s="16">
        <v>792</v>
      </c>
      <c r="L1484" s="13">
        <v>6372.18</v>
      </c>
      <c r="M1484" s="15">
        <v>135.36411102310348</v>
      </c>
      <c r="N1484" s="13">
        <v>6372.18</v>
      </c>
      <c r="O1484" s="13">
        <v>0</v>
      </c>
      <c r="P1484" s="11">
        <v>1</v>
      </c>
    </row>
    <row r="1485" spans="1:16" ht="15" thickBot="1" x14ac:dyDescent="0.3">
      <c r="A1485" s="3" t="s">
        <v>11</v>
      </c>
      <c r="B1485" s="4">
        <v>251947</v>
      </c>
      <c r="C1485" s="3" t="s">
        <v>9</v>
      </c>
      <c r="D1485" s="18">
        <v>0.14000000000000001</v>
      </c>
      <c r="E1485" s="21">
        <v>1.0978851950173452E-2</v>
      </c>
      <c r="F1485" s="5">
        <v>42067</v>
      </c>
      <c r="G1485" s="5">
        <v>44047</v>
      </c>
      <c r="H1485" s="16">
        <v>1980</v>
      </c>
      <c r="I1485" s="5">
        <v>44047</v>
      </c>
      <c r="J1485" s="5">
        <v>43535</v>
      </c>
      <c r="K1485" s="16">
        <v>1468</v>
      </c>
      <c r="L1485" s="13">
        <v>11219.97</v>
      </c>
      <c r="M1485" s="15">
        <v>239.85666281891176</v>
      </c>
      <c r="N1485" s="13">
        <v>10916.14</v>
      </c>
      <c r="O1485" s="13">
        <v>0</v>
      </c>
      <c r="P1485" s="11">
        <v>1</v>
      </c>
    </row>
    <row r="1486" spans="1:16" ht="15" thickBot="1" x14ac:dyDescent="0.3">
      <c r="A1486" s="3" t="s">
        <v>11</v>
      </c>
      <c r="B1486" s="4">
        <v>138185</v>
      </c>
      <c r="C1486" s="3" t="s">
        <v>9</v>
      </c>
      <c r="D1486" s="18">
        <v>0.11</v>
      </c>
      <c r="E1486" s="21">
        <v>8.7345938235519061E-3</v>
      </c>
      <c r="F1486" s="5">
        <v>42069</v>
      </c>
      <c r="G1486" s="5">
        <v>43896</v>
      </c>
      <c r="H1486" s="16">
        <v>1827</v>
      </c>
      <c r="I1486" s="5">
        <v>43896</v>
      </c>
      <c r="J1486" s="5">
        <v>42662</v>
      </c>
      <c r="K1486" s="16">
        <v>593</v>
      </c>
      <c r="L1486" s="13">
        <v>8000</v>
      </c>
      <c r="M1486" s="15">
        <v>169.94386351057688</v>
      </c>
      <c r="N1486" s="13">
        <v>8000</v>
      </c>
      <c r="O1486" s="13">
        <v>0</v>
      </c>
      <c r="P1486" s="11">
        <v>1</v>
      </c>
    </row>
    <row r="1487" spans="1:16" ht="15" thickBot="1" x14ac:dyDescent="0.3">
      <c r="A1487" s="3" t="s">
        <v>11</v>
      </c>
      <c r="B1487" s="4">
        <v>584535</v>
      </c>
      <c r="C1487" s="3" t="s">
        <v>9</v>
      </c>
      <c r="D1487" s="18">
        <v>0.12</v>
      </c>
      <c r="E1487" s="21">
        <v>9.4887929345830457E-3</v>
      </c>
      <c r="F1487" s="5">
        <v>42072</v>
      </c>
      <c r="G1487" s="5">
        <v>42803</v>
      </c>
      <c r="H1487" s="16">
        <v>731</v>
      </c>
      <c r="I1487" s="5">
        <v>42803</v>
      </c>
      <c r="J1487" s="5">
        <v>42516</v>
      </c>
      <c r="K1487" s="16">
        <v>444</v>
      </c>
      <c r="L1487" s="13">
        <v>4666.8999999999996</v>
      </c>
      <c r="M1487" s="15">
        <v>215.42537957888507</v>
      </c>
      <c r="N1487" s="13">
        <v>4666.8999999999996</v>
      </c>
      <c r="O1487" s="13">
        <v>0</v>
      </c>
      <c r="P1487" s="11">
        <v>1</v>
      </c>
    </row>
    <row r="1488" spans="1:16" ht="15" thickBot="1" x14ac:dyDescent="0.3">
      <c r="A1488" s="3" t="s">
        <v>11</v>
      </c>
      <c r="B1488" s="4">
        <v>46921</v>
      </c>
      <c r="C1488" s="3" t="s">
        <v>9</v>
      </c>
      <c r="D1488" s="18">
        <v>0.14000000000000001</v>
      </c>
      <c r="E1488" s="21">
        <v>1.0978851950173452E-2</v>
      </c>
      <c r="F1488" s="5">
        <v>42073</v>
      </c>
      <c r="G1488" s="5">
        <v>43534</v>
      </c>
      <c r="H1488" s="16">
        <v>1461</v>
      </c>
      <c r="I1488" s="5">
        <v>43534</v>
      </c>
      <c r="J1488" s="5">
        <v>42457</v>
      </c>
      <c r="K1488" s="16">
        <v>384</v>
      </c>
      <c r="L1488" s="13">
        <v>8578.7800000000007</v>
      </c>
      <c r="M1488" s="15">
        <v>228.36755009395787</v>
      </c>
      <c r="N1488" s="13">
        <v>8578.7800000000007</v>
      </c>
      <c r="O1488" s="13">
        <v>0</v>
      </c>
      <c r="P1488" s="11">
        <v>1</v>
      </c>
    </row>
    <row r="1489" spans="1:16" ht="15" thickBot="1" x14ac:dyDescent="0.3">
      <c r="A1489" s="3" t="s">
        <v>11</v>
      </c>
      <c r="B1489" s="4">
        <v>477751</v>
      </c>
      <c r="C1489" s="3" t="s">
        <v>9</v>
      </c>
      <c r="D1489" s="18">
        <v>0.105</v>
      </c>
      <c r="E1489" s="21">
        <v>8.355155683635207E-3</v>
      </c>
      <c r="F1489" s="5">
        <v>42074</v>
      </c>
      <c r="G1489" s="5">
        <v>42715</v>
      </c>
      <c r="H1489" s="16">
        <v>641</v>
      </c>
      <c r="I1489" s="5">
        <v>42715</v>
      </c>
      <c r="J1489" s="5">
        <v>42514</v>
      </c>
      <c r="K1489" s="16">
        <v>440</v>
      </c>
      <c r="L1489" s="13">
        <v>2087.9299999999998</v>
      </c>
      <c r="M1489" s="15">
        <v>107.10749720820129</v>
      </c>
      <c r="N1489" s="13">
        <v>2087.9299999999998</v>
      </c>
      <c r="O1489" s="13">
        <v>0</v>
      </c>
      <c r="P1489" s="11">
        <v>1</v>
      </c>
    </row>
    <row r="1490" spans="1:16" ht="15" thickBot="1" x14ac:dyDescent="0.3">
      <c r="A1490" s="3" t="s">
        <v>11</v>
      </c>
      <c r="B1490" s="4">
        <v>575269</v>
      </c>
      <c r="C1490" s="3" t="s">
        <v>9</v>
      </c>
      <c r="D1490" s="18">
        <v>0.1</v>
      </c>
      <c r="E1490" s="21">
        <v>7.9741404289037643E-3</v>
      </c>
      <c r="F1490" s="5">
        <v>42075</v>
      </c>
      <c r="G1490" s="5">
        <v>43720</v>
      </c>
      <c r="H1490" s="16">
        <v>1645</v>
      </c>
      <c r="I1490" s="5">
        <v>43720</v>
      </c>
      <c r="J1490" s="5">
        <v>42769</v>
      </c>
      <c r="K1490" s="16">
        <v>694</v>
      </c>
      <c r="L1490" s="13">
        <v>3195.04</v>
      </c>
      <c r="M1490" s="15">
        <v>72.160816542307089</v>
      </c>
      <c r="N1490" s="13">
        <v>3195.04</v>
      </c>
      <c r="O1490" s="13">
        <v>0</v>
      </c>
      <c r="P1490" s="11">
        <v>1</v>
      </c>
    </row>
    <row r="1491" spans="1:16" ht="15" thickBot="1" x14ac:dyDescent="0.3">
      <c r="A1491" s="3" t="s">
        <v>11</v>
      </c>
      <c r="B1491" s="4">
        <v>940464</v>
      </c>
      <c r="C1491" s="3" t="s">
        <v>19</v>
      </c>
      <c r="D1491" s="18">
        <v>0.1</v>
      </c>
      <c r="E1491" s="21">
        <v>7.9741404289037643E-3</v>
      </c>
      <c r="F1491" s="5">
        <v>42075</v>
      </c>
      <c r="G1491" s="5">
        <v>43814</v>
      </c>
      <c r="H1491" s="16">
        <v>1739</v>
      </c>
      <c r="I1491" s="5">
        <v>43814</v>
      </c>
      <c r="J1491" s="5">
        <v>43725</v>
      </c>
      <c r="K1491" s="16">
        <v>1650</v>
      </c>
      <c r="L1491" s="13">
        <v>2220.7800000000002</v>
      </c>
      <c r="M1491" s="15">
        <v>47.995323362803958</v>
      </c>
      <c r="N1491" s="13">
        <v>2220.27</v>
      </c>
      <c r="O1491" s="13">
        <v>2220.27</v>
      </c>
      <c r="P1491" s="11">
        <v>1</v>
      </c>
    </row>
    <row r="1492" spans="1:16" ht="15" thickBot="1" x14ac:dyDescent="0.3">
      <c r="A1492" s="3" t="s">
        <v>11</v>
      </c>
      <c r="B1492" s="4">
        <v>607951</v>
      </c>
      <c r="C1492" s="3" t="s">
        <v>9</v>
      </c>
      <c r="D1492" s="18">
        <v>0.08</v>
      </c>
      <c r="E1492" s="21">
        <v>6.4340301100034303E-3</v>
      </c>
      <c r="F1492" s="5">
        <v>42076</v>
      </c>
      <c r="G1492" s="5">
        <v>43903</v>
      </c>
      <c r="H1492" s="16">
        <v>1827</v>
      </c>
      <c r="I1492" s="5">
        <v>43903</v>
      </c>
      <c r="J1492" s="5">
        <v>43012</v>
      </c>
      <c r="K1492" s="16">
        <v>936</v>
      </c>
      <c r="L1492" s="13">
        <v>9352.07</v>
      </c>
      <c r="M1492" s="15">
        <v>186.09711563618305</v>
      </c>
      <c r="N1492" s="13">
        <v>9352.07</v>
      </c>
      <c r="O1492" s="13">
        <v>0</v>
      </c>
      <c r="P1492" s="11">
        <v>1</v>
      </c>
    </row>
    <row r="1493" spans="1:16" ht="15" thickBot="1" x14ac:dyDescent="0.3">
      <c r="A1493" s="3" t="s">
        <v>11</v>
      </c>
      <c r="B1493" s="4">
        <v>586502</v>
      </c>
      <c r="C1493" s="3" t="s">
        <v>9</v>
      </c>
      <c r="D1493" s="18">
        <v>0.1</v>
      </c>
      <c r="E1493" s="21">
        <v>7.9741404289037643E-3</v>
      </c>
      <c r="F1493" s="5">
        <v>42079</v>
      </c>
      <c r="G1493" s="5">
        <v>43906</v>
      </c>
      <c r="H1493" s="16">
        <v>1827</v>
      </c>
      <c r="I1493" s="5">
        <v>43906</v>
      </c>
      <c r="J1493" s="5">
        <v>42681</v>
      </c>
      <c r="K1493" s="16">
        <v>602</v>
      </c>
      <c r="L1493" s="13">
        <v>12513.37</v>
      </c>
      <c r="M1493" s="15">
        <v>260.19039306341836</v>
      </c>
      <c r="N1493" s="13">
        <v>12513.37</v>
      </c>
      <c r="O1493" s="13">
        <v>0</v>
      </c>
      <c r="P1493" s="11">
        <v>1</v>
      </c>
    </row>
    <row r="1494" spans="1:16" ht="15" thickBot="1" x14ac:dyDescent="0.3">
      <c r="A1494" s="3" t="s">
        <v>11</v>
      </c>
      <c r="B1494" s="4">
        <v>815137</v>
      </c>
      <c r="C1494" s="3" t="s">
        <v>9</v>
      </c>
      <c r="D1494" s="18">
        <v>0.12</v>
      </c>
      <c r="E1494" s="21">
        <v>9.4887929345830457E-3</v>
      </c>
      <c r="F1494" s="5">
        <v>42080</v>
      </c>
      <c r="G1494" s="5">
        <v>44272</v>
      </c>
      <c r="H1494" s="16">
        <v>2192</v>
      </c>
      <c r="I1494" s="5">
        <v>44272</v>
      </c>
      <c r="J1494" s="5">
        <v>43543</v>
      </c>
      <c r="K1494" s="16">
        <v>1463</v>
      </c>
      <c r="L1494" s="13">
        <v>9060.9699999999993</v>
      </c>
      <c r="M1494" s="15">
        <v>172.49113200659804</v>
      </c>
      <c r="N1494" s="13">
        <v>8652.01</v>
      </c>
      <c r="O1494" s="13">
        <v>3000</v>
      </c>
      <c r="P1494" s="11">
        <v>1</v>
      </c>
    </row>
    <row r="1495" spans="1:16" ht="15" thickBot="1" x14ac:dyDescent="0.3">
      <c r="A1495" s="3" t="s">
        <v>11</v>
      </c>
      <c r="B1495" s="4">
        <v>224823</v>
      </c>
      <c r="C1495" s="3" t="s">
        <v>9</v>
      </c>
      <c r="D1495" s="18">
        <v>0.1</v>
      </c>
      <c r="E1495" s="21">
        <v>7.9741404289037643E-3</v>
      </c>
      <c r="F1495" s="5">
        <v>42087</v>
      </c>
      <c r="G1495" s="5">
        <v>43914</v>
      </c>
      <c r="H1495" s="16">
        <v>1827</v>
      </c>
      <c r="I1495" s="5">
        <v>43914</v>
      </c>
      <c r="J1495" s="5">
        <v>43637</v>
      </c>
      <c r="K1495" s="16">
        <v>1550</v>
      </c>
      <c r="L1495" s="13">
        <v>4663.67</v>
      </c>
      <c r="M1495" s="15">
        <v>96.971649557079516</v>
      </c>
      <c r="N1495" s="13">
        <v>4275.3900000000003</v>
      </c>
      <c r="O1495" s="13">
        <v>0</v>
      </c>
      <c r="P1495" s="11">
        <v>1</v>
      </c>
    </row>
    <row r="1496" spans="1:16" ht="15" thickBot="1" x14ac:dyDescent="0.3">
      <c r="A1496" s="3" t="s">
        <v>11</v>
      </c>
      <c r="B1496" s="4">
        <v>530054</v>
      </c>
      <c r="C1496" s="3" t="s">
        <v>9</v>
      </c>
      <c r="D1496" s="18">
        <v>0.14000000000000001</v>
      </c>
      <c r="E1496" s="21">
        <v>1.0978851950173452E-2</v>
      </c>
      <c r="F1496" s="5">
        <v>42087</v>
      </c>
      <c r="G1496" s="5">
        <v>43914</v>
      </c>
      <c r="H1496" s="16">
        <v>1827</v>
      </c>
      <c r="I1496" s="5">
        <v>43914</v>
      </c>
      <c r="J1496" s="5">
        <v>42321</v>
      </c>
      <c r="K1496" s="16">
        <v>234</v>
      </c>
      <c r="L1496" s="13">
        <v>16661.86</v>
      </c>
      <c r="M1496" s="15">
        <v>376.61980354878989</v>
      </c>
      <c r="N1496" s="13">
        <v>16661.86</v>
      </c>
      <c r="O1496" s="13">
        <v>0</v>
      </c>
      <c r="P1496" s="11">
        <v>1</v>
      </c>
    </row>
    <row r="1497" spans="1:16" ht="15" thickBot="1" x14ac:dyDescent="0.3">
      <c r="A1497" s="3" t="s">
        <v>11</v>
      </c>
      <c r="B1497" s="4">
        <v>993330</v>
      </c>
      <c r="C1497" s="3" t="s">
        <v>9</v>
      </c>
      <c r="D1497" s="18">
        <v>0.1</v>
      </c>
      <c r="E1497" s="21">
        <v>7.9741404289037643E-3</v>
      </c>
      <c r="F1497" s="5">
        <v>42093</v>
      </c>
      <c r="G1497" s="5">
        <v>44286</v>
      </c>
      <c r="H1497" s="16">
        <v>2193</v>
      </c>
      <c r="I1497" s="5">
        <v>44286</v>
      </c>
      <c r="J1497" s="5">
        <v>42718</v>
      </c>
      <c r="K1497" s="16">
        <v>625</v>
      </c>
      <c r="L1497" s="13">
        <v>16948.43</v>
      </c>
      <c r="M1497" s="15">
        <v>306.85293492012727</v>
      </c>
      <c r="N1497" s="13">
        <v>16948.43</v>
      </c>
      <c r="O1497" s="13">
        <v>0</v>
      </c>
      <c r="P1497" s="11">
        <v>1</v>
      </c>
    </row>
    <row r="1498" spans="1:16" ht="15" thickBot="1" x14ac:dyDescent="0.3">
      <c r="A1498" s="3" t="s">
        <v>11</v>
      </c>
      <c r="B1498" s="4">
        <v>697652</v>
      </c>
      <c r="C1498" s="3" t="s">
        <v>9</v>
      </c>
      <c r="D1498" s="18">
        <v>0.14000000000000001</v>
      </c>
      <c r="E1498" s="21">
        <v>1.0978851950173452E-2</v>
      </c>
      <c r="F1498" s="5">
        <v>42094</v>
      </c>
      <c r="G1498" s="5">
        <v>43555</v>
      </c>
      <c r="H1498" s="16">
        <v>1461</v>
      </c>
      <c r="I1498" s="5">
        <v>43555</v>
      </c>
      <c r="J1498" s="5">
        <v>42635</v>
      </c>
      <c r="K1498" s="16">
        <v>541</v>
      </c>
      <c r="L1498" s="13">
        <v>9363.66</v>
      </c>
      <c r="M1498" s="15">
        <v>249.26109471425886</v>
      </c>
      <c r="N1498" s="13">
        <v>9363.66</v>
      </c>
      <c r="O1498" s="13">
        <v>0</v>
      </c>
      <c r="P1498" s="11">
        <v>1</v>
      </c>
    </row>
    <row r="1499" spans="1:16" ht="15" thickBot="1" x14ac:dyDescent="0.3">
      <c r="A1499" s="3" t="s">
        <v>11</v>
      </c>
      <c r="B1499" s="4">
        <v>919845</v>
      </c>
      <c r="C1499" s="3" t="s">
        <v>9</v>
      </c>
      <c r="D1499" s="18">
        <v>0.14000000000000001</v>
      </c>
      <c r="E1499" s="21">
        <v>1.0978851950173452E-2</v>
      </c>
      <c r="F1499" s="5">
        <v>42095</v>
      </c>
      <c r="G1499" s="5">
        <v>43405</v>
      </c>
      <c r="H1499" s="16">
        <v>1310</v>
      </c>
      <c r="I1499" s="5">
        <v>43405</v>
      </c>
      <c r="J1499" s="5">
        <v>43496</v>
      </c>
      <c r="K1499" s="16">
        <v>1401</v>
      </c>
      <c r="L1499" s="13">
        <v>1472.9</v>
      </c>
      <c r="M1499" s="15">
        <v>42.64082702835767</v>
      </c>
      <c r="N1499" s="13">
        <v>1377.19</v>
      </c>
      <c r="O1499" s="13">
        <v>0</v>
      </c>
      <c r="P1499" s="11">
        <v>1</v>
      </c>
    </row>
    <row r="1500" spans="1:16" ht="15" thickBot="1" x14ac:dyDescent="0.3">
      <c r="A1500" s="3" t="s">
        <v>11</v>
      </c>
      <c r="B1500" s="4">
        <v>176905</v>
      </c>
      <c r="C1500" s="3" t="s">
        <v>9</v>
      </c>
      <c r="D1500" s="18">
        <v>0.1</v>
      </c>
      <c r="E1500" s="21">
        <v>7.9741404289037643E-3</v>
      </c>
      <c r="F1500" s="5">
        <v>42097</v>
      </c>
      <c r="G1500" s="5">
        <v>43924</v>
      </c>
      <c r="H1500" s="16">
        <v>1827</v>
      </c>
      <c r="I1500" s="5">
        <v>43924</v>
      </c>
      <c r="J1500" s="5">
        <v>42341</v>
      </c>
      <c r="K1500" s="16">
        <v>244</v>
      </c>
      <c r="L1500" s="13">
        <v>1542.93</v>
      </c>
      <c r="M1500" s="15">
        <v>32.082130007291404</v>
      </c>
      <c r="N1500" s="13">
        <v>1542.93</v>
      </c>
      <c r="O1500" s="13">
        <v>0</v>
      </c>
      <c r="P1500" s="11">
        <v>1</v>
      </c>
    </row>
    <row r="1501" spans="1:16" ht="15" thickBot="1" x14ac:dyDescent="0.3">
      <c r="A1501" s="3" t="s">
        <v>11</v>
      </c>
      <c r="B1501" s="4">
        <v>978424</v>
      </c>
      <c r="C1501" s="3" t="s">
        <v>9</v>
      </c>
      <c r="D1501" s="18">
        <v>0.1</v>
      </c>
      <c r="E1501" s="21">
        <v>7.9741404289037643E-3</v>
      </c>
      <c r="F1501" s="5">
        <v>42103</v>
      </c>
      <c r="G1501" s="5">
        <v>43941</v>
      </c>
      <c r="H1501" s="16">
        <v>1838</v>
      </c>
      <c r="I1501" s="5">
        <v>43941</v>
      </c>
      <c r="J1501" s="5">
        <v>42830</v>
      </c>
      <c r="K1501" s="16">
        <v>727</v>
      </c>
      <c r="L1501" s="13">
        <v>4344.97</v>
      </c>
      <c r="M1501" s="15">
        <v>89.924544545072322</v>
      </c>
      <c r="N1501" s="13">
        <v>4344.97</v>
      </c>
      <c r="O1501" s="13">
        <v>0</v>
      </c>
      <c r="P1501" s="11">
        <v>1</v>
      </c>
    </row>
    <row r="1502" spans="1:16" ht="15" thickBot="1" x14ac:dyDescent="0.3">
      <c r="A1502" s="3" t="s">
        <v>11</v>
      </c>
      <c r="B1502" s="4">
        <v>751890</v>
      </c>
      <c r="C1502" s="3" t="s">
        <v>9</v>
      </c>
      <c r="D1502" s="18">
        <v>0.09</v>
      </c>
      <c r="E1502" s="21">
        <v>7.2073233161367156E-3</v>
      </c>
      <c r="F1502" s="5">
        <v>42104</v>
      </c>
      <c r="G1502" s="5">
        <v>44296</v>
      </c>
      <c r="H1502" s="16">
        <v>2192</v>
      </c>
      <c r="I1502" s="5">
        <v>44296</v>
      </c>
      <c r="J1502" s="5">
        <v>42577</v>
      </c>
      <c r="K1502" s="16">
        <v>473</v>
      </c>
      <c r="L1502" s="13">
        <v>26877.75</v>
      </c>
      <c r="M1502" s="15">
        <v>474.46683172583329</v>
      </c>
      <c r="N1502" s="13">
        <v>26877.75</v>
      </c>
      <c r="O1502" s="13">
        <v>0</v>
      </c>
      <c r="P1502" s="11">
        <v>1</v>
      </c>
    </row>
    <row r="1503" spans="1:16" ht="15" thickBot="1" x14ac:dyDescent="0.3">
      <c r="A1503" s="3" t="s">
        <v>11</v>
      </c>
      <c r="B1503" s="4">
        <v>227251</v>
      </c>
      <c r="C1503" s="3" t="s">
        <v>9</v>
      </c>
      <c r="D1503" s="18">
        <v>0.1</v>
      </c>
      <c r="E1503" s="21">
        <v>7.9741404289037643E-3</v>
      </c>
      <c r="F1503" s="5">
        <v>42107</v>
      </c>
      <c r="G1503" s="5">
        <v>44664</v>
      </c>
      <c r="H1503" s="16">
        <v>2557</v>
      </c>
      <c r="I1503" s="5">
        <v>44664</v>
      </c>
      <c r="J1503" s="5">
        <v>43738</v>
      </c>
      <c r="K1503" s="16">
        <v>1631</v>
      </c>
      <c r="L1503" s="13">
        <v>36165.71</v>
      </c>
      <c r="M1503" s="15">
        <v>586.34522364453744</v>
      </c>
      <c r="N1503" s="13">
        <v>12000</v>
      </c>
      <c r="O1503" s="13">
        <v>0</v>
      </c>
      <c r="P1503" s="11">
        <v>1</v>
      </c>
    </row>
    <row r="1504" spans="1:16" ht="15" thickBot="1" x14ac:dyDescent="0.3">
      <c r="A1504" s="3" t="s">
        <v>11</v>
      </c>
      <c r="B1504" s="4">
        <v>437944</v>
      </c>
      <c r="C1504" s="3" t="s">
        <v>9</v>
      </c>
      <c r="D1504" s="18">
        <v>0.1</v>
      </c>
      <c r="E1504" s="21">
        <v>7.9741404289037643E-3</v>
      </c>
      <c r="F1504" s="5">
        <v>42114</v>
      </c>
      <c r="G1504" s="5">
        <v>44306</v>
      </c>
      <c r="H1504" s="16">
        <v>2192</v>
      </c>
      <c r="I1504" s="5">
        <v>44306</v>
      </c>
      <c r="J1504" s="5">
        <v>42795</v>
      </c>
      <c r="K1504" s="16">
        <v>681</v>
      </c>
      <c r="L1504" s="13">
        <v>8138.29</v>
      </c>
      <c r="M1504" s="15">
        <v>147.39409734878004</v>
      </c>
      <c r="N1504" s="13">
        <v>8138.29</v>
      </c>
      <c r="O1504" s="13">
        <v>0</v>
      </c>
      <c r="P1504" s="11">
        <v>1</v>
      </c>
    </row>
    <row r="1505" spans="1:16" ht="15" thickBot="1" x14ac:dyDescent="0.3">
      <c r="A1505" s="3" t="s">
        <v>11</v>
      </c>
      <c r="B1505" s="4">
        <v>60567</v>
      </c>
      <c r="C1505" s="3" t="s">
        <v>9</v>
      </c>
      <c r="D1505" s="18">
        <v>0.1</v>
      </c>
      <c r="E1505" s="21">
        <v>7.9741404289037643E-3</v>
      </c>
      <c r="F1505" s="5">
        <v>42114</v>
      </c>
      <c r="G1505" s="5">
        <v>44306</v>
      </c>
      <c r="H1505" s="16">
        <v>2192</v>
      </c>
      <c r="I1505" s="5">
        <v>44306</v>
      </c>
      <c r="J1505" s="5">
        <v>43644</v>
      </c>
      <c r="K1505" s="16">
        <v>1530</v>
      </c>
      <c r="L1505" s="13">
        <v>5095.7299999999996</v>
      </c>
      <c r="M1505" s="15">
        <v>92.289722249157848</v>
      </c>
      <c r="N1505" s="13">
        <v>5095.7299999999996</v>
      </c>
      <c r="O1505" s="13">
        <v>0</v>
      </c>
      <c r="P1505" s="11">
        <v>1</v>
      </c>
    </row>
    <row r="1506" spans="1:16" ht="15" thickBot="1" x14ac:dyDescent="0.3">
      <c r="A1506" s="3" t="s">
        <v>11</v>
      </c>
      <c r="B1506" s="4">
        <v>677687</v>
      </c>
      <c r="C1506" s="3" t="s">
        <v>9</v>
      </c>
      <c r="D1506" s="18">
        <v>9.5000000000000001E-2</v>
      </c>
      <c r="E1506" s="21">
        <v>7.5915342905825689E-3</v>
      </c>
      <c r="F1506" s="5">
        <v>42115</v>
      </c>
      <c r="G1506" s="5">
        <v>43942</v>
      </c>
      <c r="H1506" s="16">
        <v>1827</v>
      </c>
      <c r="I1506" s="5">
        <v>43942</v>
      </c>
      <c r="J1506" s="5">
        <v>42230</v>
      </c>
      <c r="K1506" s="16">
        <v>115</v>
      </c>
      <c r="L1506" s="13">
        <v>8661.52</v>
      </c>
      <c r="M1506" s="15">
        <v>178.156444000774</v>
      </c>
      <c r="N1506" s="13">
        <v>8661.52</v>
      </c>
      <c r="O1506" s="13">
        <v>500</v>
      </c>
      <c r="P1506" s="11">
        <v>1</v>
      </c>
    </row>
    <row r="1507" spans="1:16" ht="15" thickBot="1" x14ac:dyDescent="0.3">
      <c r="A1507" s="3" t="s">
        <v>11</v>
      </c>
      <c r="B1507" s="4">
        <v>355762</v>
      </c>
      <c r="C1507" s="3" t="s">
        <v>9</v>
      </c>
      <c r="D1507" s="18">
        <v>0.1</v>
      </c>
      <c r="E1507" s="21">
        <v>7.9741404289037643E-3</v>
      </c>
      <c r="F1507" s="5">
        <v>42123</v>
      </c>
      <c r="G1507" s="5">
        <v>44133</v>
      </c>
      <c r="H1507" s="16">
        <v>2010</v>
      </c>
      <c r="I1507" s="5">
        <v>44133</v>
      </c>
      <c r="J1507" s="5">
        <v>43565</v>
      </c>
      <c r="K1507" s="16">
        <v>1442</v>
      </c>
      <c r="L1507" s="13">
        <v>6169.53</v>
      </c>
      <c r="M1507" s="15">
        <v>119.21897476109731</v>
      </c>
      <c r="N1507" s="13">
        <v>6169.53</v>
      </c>
      <c r="O1507" s="13">
        <v>0</v>
      </c>
      <c r="P1507" s="11">
        <v>1</v>
      </c>
    </row>
    <row r="1508" spans="1:16" ht="15" thickBot="1" x14ac:dyDescent="0.3">
      <c r="A1508" s="3" t="s">
        <v>11</v>
      </c>
      <c r="B1508" s="4">
        <v>27529</v>
      </c>
      <c r="C1508" s="3" t="s">
        <v>9</v>
      </c>
      <c r="D1508" s="18">
        <v>0.14000000000000001</v>
      </c>
      <c r="E1508" s="21">
        <v>1.0978851950173452E-2</v>
      </c>
      <c r="F1508" s="5">
        <v>42124</v>
      </c>
      <c r="G1508" s="5">
        <v>43585</v>
      </c>
      <c r="H1508" s="16">
        <v>1461</v>
      </c>
      <c r="I1508" s="5">
        <v>43585</v>
      </c>
      <c r="J1508" s="5">
        <v>42166</v>
      </c>
      <c r="K1508" s="16">
        <v>42</v>
      </c>
      <c r="L1508" s="13">
        <v>5106.74</v>
      </c>
      <c r="M1508" s="15">
        <v>135.94167268152563</v>
      </c>
      <c r="N1508" s="13">
        <v>5106.74</v>
      </c>
      <c r="O1508" s="13">
        <v>0</v>
      </c>
      <c r="P1508" s="11">
        <v>1</v>
      </c>
    </row>
    <row r="1509" spans="1:16" ht="15" thickBot="1" x14ac:dyDescent="0.3">
      <c r="A1509" s="3" t="s">
        <v>11</v>
      </c>
      <c r="B1509" s="4">
        <v>2214</v>
      </c>
      <c r="C1509" s="3" t="s">
        <v>19</v>
      </c>
      <c r="D1509" s="18">
        <v>0.1</v>
      </c>
      <c r="E1509" s="21">
        <v>7.9741404289037643E-3</v>
      </c>
      <c r="F1509" s="5">
        <v>42125</v>
      </c>
      <c r="G1509" s="5">
        <v>43952</v>
      </c>
      <c r="H1509" s="16">
        <v>1827</v>
      </c>
      <c r="I1509" s="5">
        <v>43952</v>
      </c>
      <c r="J1509" s="5">
        <v>43371</v>
      </c>
      <c r="K1509" s="16">
        <v>1246</v>
      </c>
      <c r="L1509" s="13">
        <v>12638.71</v>
      </c>
      <c r="M1509" s="15">
        <v>262.79658658814975</v>
      </c>
      <c r="N1509" s="13">
        <v>12638.71</v>
      </c>
      <c r="O1509" s="13">
        <v>0</v>
      </c>
      <c r="P1509" s="11">
        <v>1</v>
      </c>
    </row>
    <row r="1510" spans="1:16" ht="15" thickBot="1" x14ac:dyDescent="0.3">
      <c r="A1510" s="3" t="s">
        <v>11</v>
      </c>
      <c r="B1510" s="4">
        <v>165078</v>
      </c>
      <c r="C1510" s="3" t="s">
        <v>9</v>
      </c>
      <c r="D1510" s="18">
        <v>0.12</v>
      </c>
      <c r="E1510" s="21">
        <v>9.4887929345830457E-3</v>
      </c>
      <c r="F1510" s="5">
        <v>42130</v>
      </c>
      <c r="G1510" s="5">
        <v>44080</v>
      </c>
      <c r="H1510" s="16">
        <v>1950</v>
      </c>
      <c r="I1510" s="5">
        <v>44080</v>
      </c>
      <c r="J1510" s="5">
        <v>43644</v>
      </c>
      <c r="K1510" s="16">
        <v>1514</v>
      </c>
      <c r="L1510" s="13">
        <v>9536.8700000000008</v>
      </c>
      <c r="M1510" s="15">
        <v>197.26317835815564</v>
      </c>
      <c r="N1510" s="13">
        <v>9536.8700000000008</v>
      </c>
      <c r="O1510" s="13">
        <v>0</v>
      </c>
      <c r="P1510" s="11">
        <v>1</v>
      </c>
    </row>
    <row r="1511" spans="1:16" ht="15" thickBot="1" x14ac:dyDescent="0.3">
      <c r="A1511" s="3" t="s">
        <v>11</v>
      </c>
      <c r="B1511" s="4">
        <v>886388</v>
      </c>
      <c r="C1511" s="3" t="s">
        <v>9</v>
      </c>
      <c r="D1511" s="18">
        <v>0.1</v>
      </c>
      <c r="E1511" s="21">
        <v>7.9741404289037643E-3</v>
      </c>
      <c r="F1511" s="5">
        <v>42136</v>
      </c>
      <c r="G1511" s="5">
        <v>44328</v>
      </c>
      <c r="H1511" s="16">
        <v>2192</v>
      </c>
      <c r="I1511" s="5">
        <v>44328</v>
      </c>
      <c r="J1511" s="5">
        <v>42807</v>
      </c>
      <c r="K1511" s="16">
        <v>671</v>
      </c>
      <c r="L1511" s="13">
        <v>12328.99</v>
      </c>
      <c r="M1511" s="15">
        <v>223.29265143809516</v>
      </c>
      <c r="N1511" s="13">
        <v>12328.99</v>
      </c>
      <c r="O1511" s="13">
        <v>0</v>
      </c>
      <c r="P1511" s="11">
        <v>1</v>
      </c>
    </row>
    <row r="1512" spans="1:16" ht="15" thickBot="1" x14ac:dyDescent="0.3">
      <c r="A1512" s="3" t="s">
        <v>11</v>
      </c>
      <c r="B1512" s="4">
        <v>388072</v>
      </c>
      <c r="C1512" s="3" t="s">
        <v>9</v>
      </c>
      <c r="D1512" s="18">
        <v>0.12</v>
      </c>
      <c r="E1512" s="21">
        <v>9.4887929345830457E-3</v>
      </c>
      <c r="F1512" s="5">
        <v>42137</v>
      </c>
      <c r="G1512" s="5">
        <v>44329</v>
      </c>
      <c r="H1512" s="16">
        <v>2192</v>
      </c>
      <c r="I1512" s="5">
        <v>45425</v>
      </c>
      <c r="J1512" s="5">
        <v>44236</v>
      </c>
      <c r="K1512" s="16">
        <v>2099</v>
      </c>
      <c r="L1512" s="13">
        <v>28031.94</v>
      </c>
      <c r="M1512" s="15">
        <v>533.63614082609649</v>
      </c>
      <c r="N1512" s="13">
        <v>8197.07</v>
      </c>
      <c r="O1512" s="13">
        <v>0</v>
      </c>
      <c r="P1512" s="11">
        <v>1</v>
      </c>
    </row>
    <row r="1513" spans="1:16" ht="15" thickBot="1" x14ac:dyDescent="0.3">
      <c r="A1513" s="3" t="s">
        <v>11</v>
      </c>
      <c r="B1513" s="4">
        <v>276136</v>
      </c>
      <c r="C1513" s="3" t="s">
        <v>9</v>
      </c>
      <c r="D1513" s="18">
        <v>0.09</v>
      </c>
      <c r="E1513" s="21">
        <v>7.2073233161367156E-3</v>
      </c>
      <c r="F1513" s="5">
        <v>42117</v>
      </c>
      <c r="G1513" s="5">
        <v>43457</v>
      </c>
      <c r="H1513" s="16">
        <v>1340</v>
      </c>
      <c r="I1513" s="5">
        <v>43457</v>
      </c>
      <c r="J1513" s="5">
        <v>43592</v>
      </c>
      <c r="K1513" s="16">
        <v>1475</v>
      </c>
      <c r="L1513" s="13">
        <v>25000</v>
      </c>
      <c r="M1513" s="15">
        <v>656.6158370117181</v>
      </c>
      <c r="N1513" s="13">
        <v>24900</v>
      </c>
      <c r="O1513" s="13">
        <v>0</v>
      </c>
      <c r="P1513" s="11">
        <v>1</v>
      </c>
    </row>
    <row r="1514" spans="1:16" ht="15" thickBot="1" x14ac:dyDescent="0.3">
      <c r="A1514" s="3" t="s">
        <v>11</v>
      </c>
      <c r="B1514" s="4">
        <v>92068</v>
      </c>
      <c r="C1514" s="3" t="s">
        <v>9</v>
      </c>
      <c r="D1514" s="18">
        <v>0.1</v>
      </c>
      <c r="E1514" s="21">
        <v>7.9741404289037643E-3</v>
      </c>
      <c r="F1514" s="5">
        <v>42142</v>
      </c>
      <c r="G1514" s="5">
        <v>44699</v>
      </c>
      <c r="H1514" s="16">
        <v>2557</v>
      </c>
      <c r="I1514" s="5">
        <v>44699</v>
      </c>
      <c r="J1514" s="5">
        <v>42839</v>
      </c>
      <c r="K1514" s="16">
        <v>697</v>
      </c>
      <c r="L1514" s="13">
        <v>2039.38</v>
      </c>
      <c r="M1514" s="15">
        <v>33.063936037649938</v>
      </c>
      <c r="N1514" s="13">
        <v>2039.38</v>
      </c>
      <c r="O1514" s="13">
        <v>0</v>
      </c>
      <c r="P1514" s="11">
        <v>1</v>
      </c>
    </row>
    <row r="1515" spans="1:16" ht="15" thickBot="1" x14ac:dyDescent="0.3">
      <c r="A1515" s="3" t="s">
        <v>11</v>
      </c>
      <c r="B1515" s="4">
        <v>376165</v>
      </c>
      <c r="C1515" s="3" t="s">
        <v>9</v>
      </c>
      <c r="D1515" s="18">
        <v>0.1</v>
      </c>
      <c r="E1515" s="21">
        <v>7.9741404289037643E-3</v>
      </c>
      <c r="F1515" s="5">
        <v>42145</v>
      </c>
      <c r="G1515" s="5">
        <v>44337</v>
      </c>
      <c r="H1515" s="16">
        <v>2192</v>
      </c>
      <c r="I1515" s="5">
        <v>44337</v>
      </c>
      <c r="J1515" s="5">
        <v>42478</v>
      </c>
      <c r="K1515" s="16">
        <v>333</v>
      </c>
      <c r="L1515" s="13">
        <v>27579.15</v>
      </c>
      <c r="M1515" s="15">
        <v>499.49116090684981</v>
      </c>
      <c r="N1515" s="13">
        <v>27579.15</v>
      </c>
      <c r="O1515" s="13">
        <v>0</v>
      </c>
      <c r="P1515" s="11">
        <v>1</v>
      </c>
    </row>
    <row r="1516" spans="1:16" ht="15" thickBot="1" x14ac:dyDescent="0.3">
      <c r="A1516" s="3" t="s">
        <v>11</v>
      </c>
      <c r="B1516" s="4">
        <v>925751</v>
      </c>
      <c r="C1516" s="3" t="s">
        <v>9</v>
      </c>
      <c r="D1516" s="18">
        <v>0.1</v>
      </c>
      <c r="E1516" s="21">
        <v>7.9741404289037643E-3</v>
      </c>
      <c r="F1516" s="5">
        <v>42146</v>
      </c>
      <c r="G1516" s="5">
        <v>45936</v>
      </c>
      <c r="H1516" s="16">
        <v>3790</v>
      </c>
      <c r="I1516" s="5">
        <v>45936</v>
      </c>
      <c r="J1516" s="5">
        <v>43560</v>
      </c>
      <c r="K1516" s="16">
        <v>1414</v>
      </c>
      <c r="L1516" s="13">
        <v>12532.51</v>
      </c>
      <c r="M1516" s="15">
        <v>157.78433273716723</v>
      </c>
      <c r="N1516" s="13">
        <v>12532.51</v>
      </c>
      <c r="O1516" s="13">
        <v>0</v>
      </c>
      <c r="P1516" s="11">
        <v>1</v>
      </c>
    </row>
    <row r="1517" spans="1:16" ht="15" thickBot="1" x14ac:dyDescent="0.3">
      <c r="A1517" s="3" t="s">
        <v>11</v>
      </c>
      <c r="B1517" s="4">
        <v>756790</v>
      </c>
      <c r="C1517" s="3" t="s">
        <v>9</v>
      </c>
      <c r="D1517" s="18">
        <v>0.1</v>
      </c>
      <c r="E1517" s="21">
        <v>7.9741404289037643E-3</v>
      </c>
      <c r="F1517" s="5">
        <v>42146</v>
      </c>
      <c r="G1517" s="5">
        <v>44004</v>
      </c>
      <c r="H1517" s="16">
        <v>1858</v>
      </c>
      <c r="I1517" s="5">
        <v>44004</v>
      </c>
      <c r="J1517" s="5">
        <v>42508</v>
      </c>
      <c r="K1517" s="16">
        <v>362</v>
      </c>
      <c r="L1517" s="13">
        <v>21400.39</v>
      </c>
      <c r="M1517" s="15">
        <v>439.20710875745834</v>
      </c>
      <c r="N1517" s="13">
        <v>21400.39</v>
      </c>
      <c r="O1517" s="13">
        <v>0</v>
      </c>
      <c r="P1517" s="11">
        <v>1</v>
      </c>
    </row>
    <row r="1518" spans="1:16" ht="15" thickBot="1" x14ac:dyDescent="0.3">
      <c r="A1518" s="3" t="s">
        <v>11</v>
      </c>
      <c r="B1518" s="4">
        <v>507773</v>
      </c>
      <c r="C1518" s="3" t="s">
        <v>9</v>
      </c>
      <c r="D1518" s="18">
        <v>0.14000000000000001</v>
      </c>
      <c r="E1518" s="21">
        <v>1.0978851950173452E-2</v>
      </c>
      <c r="F1518" s="5">
        <v>42146</v>
      </c>
      <c r="G1518" s="5">
        <v>43607</v>
      </c>
      <c r="H1518" s="16">
        <v>1461</v>
      </c>
      <c r="I1518" s="5">
        <v>43607</v>
      </c>
      <c r="J1518" s="5">
        <v>43633</v>
      </c>
      <c r="K1518" s="16">
        <v>1487</v>
      </c>
      <c r="L1518" s="13">
        <v>4665.79</v>
      </c>
      <c r="M1518" s="15">
        <v>124.203561759701</v>
      </c>
      <c r="N1518" s="13">
        <v>4110.34</v>
      </c>
      <c r="O1518" s="13">
        <v>4110.34</v>
      </c>
      <c r="P1518" s="11">
        <v>1</v>
      </c>
    </row>
    <row r="1519" spans="1:16" ht="15" thickBot="1" x14ac:dyDescent="0.3">
      <c r="A1519" s="3" t="s">
        <v>11</v>
      </c>
      <c r="B1519" s="4">
        <v>256788</v>
      </c>
      <c r="C1519" s="3" t="s">
        <v>12</v>
      </c>
      <c r="D1519" s="18">
        <v>0.1</v>
      </c>
      <c r="E1519" s="21">
        <v>7.9741404289037643E-3</v>
      </c>
      <c r="F1519" s="5">
        <v>42146</v>
      </c>
      <c r="G1519" s="5">
        <v>43973</v>
      </c>
      <c r="H1519" s="16">
        <v>1827</v>
      </c>
      <c r="I1519" s="5">
        <v>44126</v>
      </c>
      <c r="J1519" s="5">
        <v>44011</v>
      </c>
      <c r="K1519" s="16">
        <v>1865</v>
      </c>
      <c r="L1519" s="13">
        <v>13924.09</v>
      </c>
      <c r="M1519" s="15">
        <v>289.52348169601095</v>
      </c>
      <c r="N1519" s="13">
        <v>3655.3</v>
      </c>
      <c r="O1519" s="13">
        <v>0</v>
      </c>
      <c r="P1519" s="11">
        <v>1</v>
      </c>
    </row>
    <row r="1520" spans="1:16" ht="15" thickBot="1" x14ac:dyDescent="0.3">
      <c r="A1520" s="3" t="s">
        <v>11</v>
      </c>
      <c r="B1520" s="4">
        <v>342947</v>
      </c>
      <c r="C1520" s="3" t="s">
        <v>9</v>
      </c>
      <c r="D1520" s="18">
        <v>0.1</v>
      </c>
      <c r="E1520" s="21">
        <v>7.9741404289037643E-3</v>
      </c>
      <c r="F1520" s="5">
        <v>42159</v>
      </c>
      <c r="G1520" s="5">
        <v>43255</v>
      </c>
      <c r="H1520" s="16">
        <v>1096</v>
      </c>
      <c r="I1520" s="5">
        <v>43255</v>
      </c>
      <c r="J1520" s="5">
        <v>42949</v>
      </c>
      <c r="K1520" s="16">
        <v>790</v>
      </c>
      <c r="L1520" s="13">
        <v>4484.8100000000004</v>
      </c>
      <c r="M1520" s="15">
        <v>141.99299841803887</v>
      </c>
      <c r="N1520" s="13">
        <v>4484.8100000000004</v>
      </c>
      <c r="O1520" s="13">
        <v>0</v>
      </c>
      <c r="P1520" s="11">
        <v>1</v>
      </c>
    </row>
    <row r="1521" spans="1:16" ht="15" thickBot="1" x14ac:dyDescent="0.3">
      <c r="A1521" s="3" t="s">
        <v>11</v>
      </c>
      <c r="B1521" s="4">
        <v>168844</v>
      </c>
      <c r="C1521" s="3" t="s">
        <v>9</v>
      </c>
      <c r="D1521" s="18">
        <v>0.09</v>
      </c>
      <c r="E1521" s="21">
        <v>7.2073233161367156E-3</v>
      </c>
      <c r="F1521" s="5">
        <v>42153</v>
      </c>
      <c r="G1521" s="5">
        <v>44941</v>
      </c>
      <c r="H1521" s="16">
        <v>2788</v>
      </c>
      <c r="I1521" s="5">
        <v>44941</v>
      </c>
      <c r="J1521" s="5">
        <v>43623</v>
      </c>
      <c r="K1521" s="16">
        <v>1470</v>
      </c>
      <c r="L1521" s="13">
        <v>12613.58</v>
      </c>
      <c r="M1521" s="15">
        <v>186.68975798056826</v>
      </c>
      <c r="N1521" s="13">
        <v>12113.58</v>
      </c>
      <c r="O1521" s="13">
        <v>0</v>
      </c>
      <c r="P1521" s="11">
        <v>1</v>
      </c>
    </row>
    <row r="1522" spans="1:16" ht="15" thickBot="1" x14ac:dyDescent="0.3">
      <c r="A1522" s="3" t="s">
        <v>11</v>
      </c>
      <c r="B1522" s="4">
        <v>299307</v>
      </c>
      <c r="C1522" s="3" t="s">
        <v>9</v>
      </c>
      <c r="D1522" s="18">
        <v>0.12</v>
      </c>
      <c r="E1522" s="21">
        <v>9.4887929345830457E-3</v>
      </c>
      <c r="F1522" s="5">
        <v>42153</v>
      </c>
      <c r="G1522" s="5">
        <v>43980</v>
      </c>
      <c r="H1522" s="16">
        <v>1827</v>
      </c>
      <c r="I1522" s="5">
        <v>43980</v>
      </c>
      <c r="J1522" s="5">
        <v>43496</v>
      </c>
      <c r="K1522" s="16">
        <v>1343</v>
      </c>
      <c r="L1522" s="13">
        <v>2487.06</v>
      </c>
      <c r="M1522" s="15">
        <v>53.956360183250339</v>
      </c>
      <c r="N1522" s="13">
        <v>2487.06</v>
      </c>
      <c r="O1522" s="13">
        <v>0</v>
      </c>
      <c r="P1522" s="11">
        <v>1</v>
      </c>
    </row>
    <row r="1523" spans="1:16" ht="15" thickBot="1" x14ac:dyDescent="0.3">
      <c r="A1523" s="3" t="s">
        <v>11</v>
      </c>
      <c r="B1523" s="4">
        <v>816857</v>
      </c>
      <c r="C1523" s="3" t="s">
        <v>9</v>
      </c>
      <c r="D1523" s="18">
        <v>0.14000000000000001</v>
      </c>
      <c r="E1523" s="21">
        <v>1.0978851950173452E-2</v>
      </c>
      <c r="F1523" s="5">
        <v>42153</v>
      </c>
      <c r="G1523" s="5">
        <v>43310</v>
      </c>
      <c r="H1523" s="16">
        <v>1157</v>
      </c>
      <c r="I1523" s="5">
        <v>43310</v>
      </c>
      <c r="J1523" s="5">
        <v>42689</v>
      </c>
      <c r="K1523" s="16">
        <v>536</v>
      </c>
      <c r="L1523" s="13">
        <v>2927.51</v>
      </c>
      <c r="M1523" s="15">
        <v>93.518638653577867</v>
      </c>
      <c r="N1523" s="13">
        <v>2927.51</v>
      </c>
      <c r="O1523" s="13">
        <v>0</v>
      </c>
      <c r="P1523" s="11">
        <v>1</v>
      </c>
    </row>
    <row r="1524" spans="1:16" ht="15" thickBot="1" x14ac:dyDescent="0.3">
      <c r="A1524" s="3" t="s">
        <v>11</v>
      </c>
      <c r="B1524" s="4">
        <v>705629</v>
      </c>
      <c r="C1524" s="3" t="s">
        <v>9</v>
      </c>
      <c r="D1524" s="18">
        <v>0.1</v>
      </c>
      <c r="E1524" s="21">
        <v>7.9741404289037643E-3</v>
      </c>
      <c r="F1524" s="5">
        <v>42159</v>
      </c>
      <c r="G1524" s="5">
        <v>43255</v>
      </c>
      <c r="H1524" s="16">
        <v>1096</v>
      </c>
      <c r="I1524" s="5">
        <v>43255</v>
      </c>
      <c r="J1524" s="5">
        <v>43180</v>
      </c>
      <c r="K1524" s="16">
        <v>1021</v>
      </c>
      <c r="L1524" s="13">
        <v>2640.64</v>
      </c>
      <c r="M1524" s="15">
        <v>83.604966841986652</v>
      </c>
      <c r="N1524" s="13">
        <v>2640.64</v>
      </c>
      <c r="O1524" s="13">
        <v>0</v>
      </c>
      <c r="P1524" s="11">
        <v>1</v>
      </c>
    </row>
    <row r="1525" spans="1:16" ht="15" thickBot="1" x14ac:dyDescent="0.3">
      <c r="A1525" s="3" t="s">
        <v>11</v>
      </c>
      <c r="B1525" s="4">
        <v>188744</v>
      </c>
      <c r="C1525" s="3" t="s">
        <v>9</v>
      </c>
      <c r="D1525" s="18">
        <v>0.11</v>
      </c>
      <c r="E1525" s="21">
        <v>8.7345938235519061E-3</v>
      </c>
      <c r="F1525" s="5">
        <v>42160</v>
      </c>
      <c r="G1525" s="5">
        <v>42771</v>
      </c>
      <c r="H1525" s="16">
        <v>611</v>
      </c>
      <c r="I1525" s="5">
        <v>42771</v>
      </c>
      <c r="J1525" s="5">
        <v>42328</v>
      </c>
      <c r="K1525" s="16">
        <v>168</v>
      </c>
      <c r="L1525" s="13">
        <v>4099.93</v>
      </c>
      <c r="M1525" s="15">
        <v>220.61769577246787</v>
      </c>
      <c r="N1525" s="13">
        <v>4099.93</v>
      </c>
      <c r="O1525" s="13">
        <v>0</v>
      </c>
      <c r="P1525" s="11">
        <v>1</v>
      </c>
    </row>
    <row r="1526" spans="1:16" ht="15" thickBot="1" x14ac:dyDescent="0.3">
      <c r="A1526" s="3" t="s">
        <v>11</v>
      </c>
      <c r="B1526" s="4">
        <v>357594</v>
      </c>
      <c r="C1526" s="3" t="s">
        <v>9</v>
      </c>
      <c r="D1526" s="18">
        <v>0.14000000000000001</v>
      </c>
      <c r="E1526" s="21">
        <v>1.0978851950173452E-2</v>
      </c>
      <c r="F1526" s="5">
        <v>42160</v>
      </c>
      <c r="G1526" s="5">
        <v>43074</v>
      </c>
      <c r="H1526" s="16">
        <v>914</v>
      </c>
      <c r="I1526" s="5">
        <v>43074</v>
      </c>
      <c r="J1526" s="5">
        <v>42726</v>
      </c>
      <c r="K1526" s="16">
        <v>566</v>
      </c>
      <c r="L1526" s="13">
        <v>3670.06</v>
      </c>
      <c r="M1526" s="15">
        <v>142.38302802500712</v>
      </c>
      <c r="N1526" s="13">
        <v>3670.06</v>
      </c>
      <c r="O1526" s="13">
        <v>0</v>
      </c>
      <c r="P1526" s="11">
        <v>1</v>
      </c>
    </row>
    <row r="1527" spans="1:16" ht="15" thickBot="1" x14ac:dyDescent="0.3">
      <c r="A1527" s="3" t="s">
        <v>11</v>
      </c>
      <c r="B1527" s="4">
        <v>8762</v>
      </c>
      <c r="C1527" s="3" t="s">
        <v>9</v>
      </c>
      <c r="D1527" s="18">
        <v>0.1</v>
      </c>
      <c r="E1527" s="21">
        <v>7.9741404289037643E-3</v>
      </c>
      <c r="F1527" s="5">
        <v>42170</v>
      </c>
      <c r="G1527" s="5">
        <v>42750</v>
      </c>
      <c r="H1527" s="16">
        <v>580</v>
      </c>
      <c r="I1527" s="5">
        <v>42750</v>
      </c>
      <c r="J1527" s="5">
        <v>43082</v>
      </c>
      <c r="K1527" s="16">
        <v>912</v>
      </c>
      <c r="L1527" s="13">
        <v>3400.95</v>
      </c>
      <c r="M1527" s="15">
        <v>190.51836944703604</v>
      </c>
      <c r="N1527" s="13">
        <v>3400.95</v>
      </c>
      <c r="O1527" s="13">
        <v>0</v>
      </c>
      <c r="P1527" s="11">
        <v>1</v>
      </c>
    </row>
    <row r="1528" spans="1:16" ht="15" thickBot="1" x14ac:dyDescent="0.3">
      <c r="A1528" s="3" t="s">
        <v>11</v>
      </c>
      <c r="B1528" s="4">
        <v>897191</v>
      </c>
      <c r="C1528" s="3" t="s">
        <v>9</v>
      </c>
      <c r="D1528" s="18">
        <v>0.1</v>
      </c>
      <c r="E1528" s="21">
        <v>7.9741404289037643E-3</v>
      </c>
      <c r="F1528" s="5">
        <v>42171</v>
      </c>
      <c r="G1528" s="5">
        <v>43998</v>
      </c>
      <c r="H1528" s="16">
        <v>1827</v>
      </c>
      <c r="I1528" s="5">
        <v>44028</v>
      </c>
      <c r="J1528" s="5">
        <v>44011</v>
      </c>
      <c r="K1528" s="16">
        <v>1840</v>
      </c>
      <c r="L1528" s="13">
        <v>16000</v>
      </c>
      <c r="M1528" s="15">
        <v>332.68786018592056</v>
      </c>
      <c r="N1528" s="13">
        <v>813.89</v>
      </c>
      <c r="O1528" s="13">
        <v>0</v>
      </c>
      <c r="P1528" s="11">
        <v>1</v>
      </c>
    </row>
    <row r="1529" spans="1:16" ht="15" thickBot="1" x14ac:dyDescent="0.3">
      <c r="A1529" s="3" t="s">
        <v>11</v>
      </c>
      <c r="B1529" s="4">
        <v>368163</v>
      </c>
      <c r="C1529" s="3" t="s">
        <v>9</v>
      </c>
      <c r="D1529" s="18">
        <v>0.14000000000000001</v>
      </c>
      <c r="E1529" s="21">
        <v>1.0978851950173452E-2</v>
      </c>
      <c r="F1529" s="5">
        <v>42174</v>
      </c>
      <c r="G1529" s="5">
        <v>42905</v>
      </c>
      <c r="H1529" s="16">
        <v>731</v>
      </c>
      <c r="I1529" s="5">
        <v>42905</v>
      </c>
      <c r="J1529" s="5">
        <v>42619</v>
      </c>
      <c r="K1529" s="16">
        <v>445</v>
      </c>
      <c r="L1529" s="13">
        <v>642.65</v>
      </c>
      <c r="M1529" s="15">
        <v>30.202689407569828</v>
      </c>
      <c r="N1529" s="13">
        <v>642.65</v>
      </c>
      <c r="O1529" s="13">
        <v>0</v>
      </c>
      <c r="P1529" s="11">
        <v>1</v>
      </c>
    </row>
    <row r="1530" spans="1:16" ht="15" thickBot="1" x14ac:dyDescent="0.3">
      <c r="A1530" s="3" t="s">
        <v>11</v>
      </c>
      <c r="B1530" s="4">
        <v>499034</v>
      </c>
      <c r="C1530" s="3" t="s">
        <v>2</v>
      </c>
      <c r="D1530" s="18">
        <v>0.09</v>
      </c>
      <c r="E1530" s="21">
        <v>7.2073233161367156E-3</v>
      </c>
      <c r="F1530" s="5">
        <v>42180</v>
      </c>
      <c r="G1530" s="5">
        <v>44464</v>
      </c>
      <c r="H1530" s="16">
        <v>2284</v>
      </c>
      <c r="I1530" s="5">
        <v>43921</v>
      </c>
      <c r="J1530" s="5">
        <v>44011</v>
      </c>
      <c r="K1530" s="16">
        <v>1831</v>
      </c>
      <c r="L1530" s="13">
        <v>99490.19</v>
      </c>
      <c r="M1530" s="15">
        <v>1702.5307119202812</v>
      </c>
      <c r="N1530" s="13">
        <v>39850</v>
      </c>
      <c r="O1530" s="13">
        <v>0</v>
      </c>
      <c r="P1530" s="11">
        <v>1</v>
      </c>
    </row>
    <row r="1531" spans="1:16" ht="15" thickBot="1" x14ac:dyDescent="0.3">
      <c r="A1531" s="3" t="s">
        <v>11</v>
      </c>
      <c r="B1531" s="4">
        <v>212255</v>
      </c>
      <c r="C1531" s="3" t="s">
        <v>9</v>
      </c>
      <c r="D1531" s="18">
        <v>0.12</v>
      </c>
      <c r="E1531" s="21">
        <v>9.4887929345830457E-3</v>
      </c>
      <c r="F1531" s="5">
        <v>42181</v>
      </c>
      <c r="G1531" s="5">
        <v>43277</v>
      </c>
      <c r="H1531" s="16">
        <v>1096</v>
      </c>
      <c r="I1531" s="5">
        <v>43277</v>
      </c>
      <c r="J1531" s="5">
        <v>42306</v>
      </c>
      <c r="K1531" s="16">
        <v>125</v>
      </c>
      <c r="L1531" s="13">
        <v>6107.27</v>
      </c>
      <c r="M1531" s="15">
        <v>198.59987536927727</v>
      </c>
      <c r="N1531" s="13">
        <v>6107.27</v>
      </c>
      <c r="O1531" s="13">
        <v>0</v>
      </c>
      <c r="P1531" s="11">
        <v>1</v>
      </c>
    </row>
    <row r="1532" spans="1:16" ht="15" thickBot="1" x14ac:dyDescent="0.3">
      <c r="A1532" s="3" t="s">
        <v>11</v>
      </c>
      <c r="B1532" s="4">
        <v>919617</v>
      </c>
      <c r="C1532" s="3" t="s">
        <v>9</v>
      </c>
      <c r="D1532" s="18">
        <v>0.1</v>
      </c>
      <c r="E1532" s="21">
        <v>7.9741404289037643E-3</v>
      </c>
      <c r="F1532" s="5">
        <v>42184</v>
      </c>
      <c r="G1532" s="5">
        <v>43828</v>
      </c>
      <c r="H1532" s="16">
        <v>1644</v>
      </c>
      <c r="I1532" s="5">
        <v>43828</v>
      </c>
      <c r="J1532" s="5">
        <v>42508</v>
      </c>
      <c r="K1532" s="16">
        <v>324</v>
      </c>
      <c r="L1532" s="13">
        <v>10033.14</v>
      </c>
      <c r="M1532" s="15">
        <v>226.71109228116438</v>
      </c>
      <c r="N1532" s="13">
        <v>10033.14</v>
      </c>
      <c r="O1532" s="13">
        <v>0</v>
      </c>
      <c r="P1532" s="11">
        <v>1</v>
      </c>
    </row>
    <row r="1533" spans="1:16" ht="15" thickBot="1" x14ac:dyDescent="0.3">
      <c r="A1533" s="3" t="s">
        <v>11</v>
      </c>
      <c r="B1533" s="4">
        <v>722723</v>
      </c>
      <c r="C1533" s="3" t="s">
        <v>9</v>
      </c>
      <c r="D1533" s="18">
        <v>0.1</v>
      </c>
      <c r="E1533" s="21">
        <v>7.9741404289037643E-3</v>
      </c>
      <c r="F1533" s="5">
        <v>42187</v>
      </c>
      <c r="G1533" s="5">
        <v>44379</v>
      </c>
      <c r="H1533" s="16">
        <v>2192</v>
      </c>
      <c r="I1533" s="5">
        <v>44379</v>
      </c>
      <c r="J1533" s="5">
        <v>42299</v>
      </c>
      <c r="K1533" s="16">
        <v>112</v>
      </c>
      <c r="L1533" s="13">
        <v>15687.6</v>
      </c>
      <c r="M1533" s="15">
        <v>284.12106739483625</v>
      </c>
      <c r="N1533" s="13">
        <v>15687.6</v>
      </c>
      <c r="O1533" s="13">
        <v>253.44</v>
      </c>
      <c r="P1533" s="11">
        <v>1</v>
      </c>
    </row>
    <row r="1534" spans="1:16" ht="15" thickBot="1" x14ac:dyDescent="0.3">
      <c r="A1534" s="3" t="s">
        <v>11</v>
      </c>
      <c r="B1534" s="4">
        <v>823185</v>
      </c>
      <c r="C1534" s="3" t="s">
        <v>9</v>
      </c>
      <c r="D1534" s="18">
        <v>0.14000000000000001</v>
      </c>
      <c r="E1534" s="21">
        <v>1.0978851950173452E-2</v>
      </c>
      <c r="F1534" s="5">
        <v>42191</v>
      </c>
      <c r="G1534" s="5">
        <v>43652</v>
      </c>
      <c r="H1534" s="16">
        <v>1461</v>
      </c>
      <c r="I1534" s="5">
        <v>43652</v>
      </c>
      <c r="J1534" s="5">
        <v>43644</v>
      </c>
      <c r="K1534" s="16">
        <v>1453</v>
      </c>
      <c r="L1534" s="13">
        <v>1984.96</v>
      </c>
      <c r="M1534" s="15">
        <v>52.839733882265612</v>
      </c>
      <c r="N1534" s="13">
        <v>1984.96</v>
      </c>
      <c r="O1534" s="13">
        <v>0</v>
      </c>
      <c r="P1534" s="11">
        <v>1</v>
      </c>
    </row>
    <row r="1535" spans="1:16" ht="15" thickBot="1" x14ac:dyDescent="0.3">
      <c r="A1535" s="3" t="s">
        <v>11</v>
      </c>
      <c r="B1535" s="4">
        <v>99744</v>
      </c>
      <c r="C1535" s="3" t="s">
        <v>9</v>
      </c>
      <c r="D1535" s="18">
        <v>0.1</v>
      </c>
      <c r="E1535" s="21">
        <v>7.9741404289037643E-3</v>
      </c>
      <c r="F1535" s="5">
        <v>42194</v>
      </c>
      <c r="G1535" s="5">
        <v>44751</v>
      </c>
      <c r="H1535" s="16">
        <v>2557</v>
      </c>
      <c r="I1535" s="5">
        <v>44751</v>
      </c>
      <c r="J1535" s="5">
        <v>43406</v>
      </c>
      <c r="K1535" s="16">
        <v>1212</v>
      </c>
      <c r="L1535" s="13">
        <v>30748.47</v>
      </c>
      <c r="M1535" s="15">
        <v>498.51692442585392</v>
      </c>
      <c r="N1535" s="13">
        <v>30360.22</v>
      </c>
      <c r="O1535" s="13">
        <v>0</v>
      </c>
      <c r="P1535" s="11">
        <v>1</v>
      </c>
    </row>
    <row r="1536" spans="1:16" ht="15" thickBot="1" x14ac:dyDescent="0.3">
      <c r="A1536" s="3" t="s">
        <v>11</v>
      </c>
      <c r="B1536" s="4">
        <v>813910</v>
      </c>
      <c r="C1536" s="3" t="s">
        <v>9</v>
      </c>
      <c r="D1536" s="18">
        <v>0.1</v>
      </c>
      <c r="E1536" s="21">
        <v>7.9741404289037643E-3</v>
      </c>
      <c r="F1536" s="5">
        <v>42191</v>
      </c>
      <c r="G1536" s="5">
        <v>43287</v>
      </c>
      <c r="H1536" s="16">
        <v>1096</v>
      </c>
      <c r="I1536" s="5">
        <v>43287</v>
      </c>
      <c r="J1536" s="5">
        <v>42244</v>
      </c>
      <c r="K1536" s="16">
        <v>53</v>
      </c>
      <c r="L1536" s="13">
        <v>10313.530000000001</v>
      </c>
      <c r="M1536" s="15">
        <v>326.53536024366616</v>
      </c>
      <c r="N1536" s="13">
        <v>10313.530000000001</v>
      </c>
      <c r="O1536" s="13">
        <v>0</v>
      </c>
      <c r="P1536" s="11">
        <v>1</v>
      </c>
    </row>
    <row r="1537" spans="1:16" ht="15" thickBot="1" x14ac:dyDescent="0.3">
      <c r="A1537" s="3" t="s">
        <v>11</v>
      </c>
      <c r="B1537" s="4">
        <v>759170</v>
      </c>
      <c r="C1537" s="3" t="s">
        <v>9</v>
      </c>
      <c r="D1537" s="18">
        <v>0.1</v>
      </c>
      <c r="E1537" s="21">
        <v>7.9741404289037643E-3</v>
      </c>
      <c r="F1537" s="5">
        <v>42192</v>
      </c>
      <c r="G1537" s="5">
        <v>44081</v>
      </c>
      <c r="H1537" s="16">
        <v>1889</v>
      </c>
      <c r="I1537" s="5">
        <v>44081</v>
      </c>
      <c r="J1537" s="5">
        <v>43496</v>
      </c>
      <c r="K1537" s="16">
        <v>1304</v>
      </c>
      <c r="L1537" s="13">
        <v>10895.37</v>
      </c>
      <c r="M1537" s="15">
        <v>220.7693927653367</v>
      </c>
      <c r="N1537" s="13">
        <v>9771.4599999999991</v>
      </c>
      <c r="O1537" s="13">
        <v>0</v>
      </c>
      <c r="P1537" s="11">
        <v>1</v>
      </c>
    </row>
    <row r="1538" spans="1:16" ht="15" thickBot="1" x14ac:dyDescent="0.3">
      <c r="A1538" s="3" t="s">
        <v>11</v>
      </c>
      <c r="B1538" s="4">
        <v>7385</v>
      </c>
      <c r="C1538" s="3" t="s">
        <v>9</v>
      </c>
      <c r="D1538" s="18">
        <v>0.1</v>
      </c>
      <c r="E1538" s="21">
        <v>7.9741404289037643E-3</v>
      </c>
      <c r="F1538" s="5">
        <v>42198</v>
      </c>
      <c r="G1538" s="5">
        <v>44543</v>
      </c>
      <c r="H1538" s="16">
        <v>2345</v>
      </c>
      <c r="I1538" s="5">
        <v>44543</v>
      </c>
      <c r="J1538" s="5">
        <v>43292</v>
      </c>
      <c r="K1538" s="16">
        <v>1094</v>
      </c>
      <c r="L1538" s="13">
        <v>7161.93</v>
      </c>
      <c r="M1538" s="15">
        <v>123.47966714947101</v>
      </c>
      <c r="N1538" s="13">
        <v>7161.93</v>
      </c>
      <c r="O1538" s="13">
        <v>0</v>
      </c>
      <c r="P1538" s="11">
        <v>1</v>
      </c>
    </row>
    <row r="1539" spans="1:16" ht="15" thickBot="1" x14ac:dyDescent="0.3">
      <c r="A1539" s="3" t="s">
        <v>11</v>
      </c>
      <c r="B1539" s="4">
        <v>373624</v>
      </c>
      <c r="C1539" s="3" t="s">
        <v>12</v>
      </c>
      <c r="D1539" s="18">
        <v>0.12</v>
      </c>
      <c r="E1539" s="21">
        <v>9.4887929345830457E-3</v>
      </c>
      <c r="F1539" s="5">
        <v>42199</v>
      </c>
      <c r="G1539" s="5">
        <v>44026</v>
      </c>
      <c r="H1539" s="16">
        <v>1827</v>
      </c>
      <c r="I1539" s="5">
        <v>44241</v>
      </c>
      <c r="J1539" s="5">
        <v>44375</v>
      </c>
      <c r="K1539" s="16">
        <v>2176</v>
      </c>
      <c r="L1539" s="13">
        <v>10500</v>
      </c>
      <c r="M1539" s="15">
        <v>227.7957837463224</v>
      </c>
      <c r="N1539" s="13">
        <v>67.099999999999994</v>
      </c>
      <c r="O1539" s="13">
        <v>67.099999999999994</v>
      </c>
      <c r="P1539" s="11">
        <v>1</v>
      </c>
    </row>
    <row r="1540" spans="1:16" ht="15" thickBot="1" x14ac:dyDescent="0.3">
      <c r="A1540" s="3" t="s">
        <v>11</v>
      </c>
      <c r="B1540" s="4">
        <v>683715</v>
      </c>
      <c r="C1540" s="3" t="s">
        <v>9</v>
      </c>
      <c r="D1540" s="18">
        <v>0.1</v>
      </c>
      <c r="E1540" s="21">
        <v>7.9741404289037643E-3</v>
      </c>
      <c r="F1540" s="5">
        <v>42199</v>
      </c>
      <c r="G1540" s="5">
        <v>43387</v>
      </c>
      <c r="H1540" s="16">
        <v>1188</v>
      </c>
      <c r="I1540" s="5">
        <v>43387</v>
      </c>
      <c r="J1540" s="5">
        <v>43371</v>
      </c>
      <c r="K1540" s="16">
        <v>1172</v>
      </c>
      <c r="L1540" s="13">
        <v>631.01</v>
      </c>
      <c r="M1540" s="15">
        <v>18.64559245246766</v>
      </c>
      <c r="N1540" s="13">
        <v>631.01</v>
      </c>
      <c r="O1540" s="13">
        <v>225</v>
      </c>
      <c r="P1540" s="11">
        <v>1</v>
      </c>
    </row>
    <row r="1541" spans="1:16" ht="15" thickBot="1" x14ac:dyDescent="0.3">
      <c r="A1541" s="3" t="s">
        <v>11</v>
      </c>
      <c r="B1541" s="4">
        <v>809750</v>
      </c>
      <c r="C1541" s="3" t="s">
        <v>9</v>
      </c>
      <c r="D1541" s="18">
        <v>0.1</v>
      </c>
      <c r="E1541" s="21">
        <v>7.9741404289037643E-3</v>
      </c>
      <c r="F1541" s="5">
        <v>42205</v>
      </c>
      <c r="G1541" s="5">
        <v>44032</v>
      </c>
      <c r="H1541" s="16">
        <v>1827</v>
      </c>
      <c r="I1541" s="5">
        <v>44032</v>
      </c>
      <c r="J1541" s="5">
        <v>42857</v>
      </c>
      <c r="K1541" s="16">
        <v>652</v>
      </c>
      <c r="L1541" s="13">
        <v>4171.6000000000004</v>
      </c>
      <c r="M1541" s="15">
        <v>86.740042346974164</v>
      </c>
      <c r="N1541" s="13">
        <v>4171.6000000000004</v>
      </c>
      <c r="O1541" s="13">
        <v>0</v>
      </c>
      <c r="P1541" s="11">
        <v>1</v>
      </c>
    </row>
    <row r="1542" spans="1:16" ht="15" thickBot="1" x14ac:dyDescent="0.3">
      <c r="A1542" s="3" t="s">
        <v>11</v>
      </c>
      <c r="B1542" s="4">
        <v>754143</v>
      </c>
      <c r="C1542" s="3" t="s">
        <v>9</v>
      </c>
      <c r="D1542" s="18">
        <v>0.14000000000000001</v>
      </c>
      <c r="E1542" s="21">
        <v>1.0978851950173452E-2</v>
      </c>
      <c r="F1542" s="5">
        <v>42206</v>
      </c>
      <c r="G1542" s="5">
        <v>43486</v>
      </c>
      <c r="H1542" s="16">
        <v>1280</v>
      </c>
      <c r="I1542" s="5">
        <v>43486</v>
      </c>
      <c r="J1542" s="5">
        <v>42948</v>
      </c>
      <c r="K1542" s="16">
        <v>742</v>
      </c>
      <c r="L1542" s="13">
        <v>3006.01</v>
      </c>
      <c r="M1542" s="15">
        <v>88.617326237445283</v>
      </c>
      <c r="N1542" s="13">
        <v>3006.01</v>
      </c>
      <c r="O1542" s="13">
        <v>0</v>
      </c>
      <c r="P1542" s="11">
        <v>1</v>
      </c>
    </row>
    <row r="1543" spans="1:16" ht="15" thickBot="1" x14ac:dyDescent="0.3">
      <c r="A1543" s="3" t="s">
        <v>11</v>
      </c>
      <c r="B1543" s="4">
        <v>220324</v>
      </c>
      <c r="C1543" s="3" t="s">
        <v>9</v>
      </c>
      <c r="D1543" s="18">
        <v>0.1</v>
      </c>
      <c r="E1543" s="21">
        <v>7.9741404289037643E-3</v>
      </c>
      <c r="F1543" s="5">
        <v>42213</v>
      </c>
      <c r="G1543" s="5">
        <v>43661</v>
      </c>
      <c r="H1543" s="16">
        <v>1448</v>
      </c>
      <c r="I1543" s="5">
        <v>43661</v>
      </c>
      <c r="J1543" s="5">
        <v>43725</v>
      </c>
      <c r="K1543" s="16">
        <v>1512</v>
      </c>
      <c r="L1543" s="13">
        <v>980.95</v>
      </c>
      <c r="M1543" s="15">
        <v>24.564873889952075</v>
      </c>
      <c r="N1543" s="13">
        <v>980.95</v>
      </c>
      <c r="O1543" s="13">
        <v>0</v>
      </c>
      <c r="P1543" s="11">
        <v>1</v>
      </c>
    </row>
    <row r="1544" spans="1:16" ht="15" thickBot="1" x14ac:dyDescent="0.3">
      <c r="A1544" s="3" t="s">
        <v>11</v>
      </c>
      <c r="B1544" s="4">
        <v>191101</v>
      </c>
      <c r="C1544" s="3" t="s">
        <v>9</v>
      </c>
      <c r="D1544" s="18">
        <v>0.14000000000000001</v>
      </c>
      <c r="E1544" s="21">
        <v>1.0978851950173452E-2</v>
      </c>
      <c r="F1544" s="5">
        <v>42214</v>
      </c>
      <c r="G1544" s="5">
        <v>43188</v>
      </c>
      <c r="H1544" s="16">
        <v>974</v>
      </c>
      <c r="I1544" s="5">
        <v>43188</v>
      </c>
      <c r="J1544" s="5">
        <v>42438</v>
      </c>
      <c r="K1544" s="16">
        <v>224</v>
      </c>
      <c r="L1544" s="13">
        <v>6618.77</v>
      </c>
      <c r="M1544" s="15">
        <v>243.45608973439198</v>
      </c>
      <c r="N1544" s="13">
        <v>6618.77</v>
      </c>
      <c r="O1544" s="13">
        <v>0</v>
      </c>
      <c r="P1544" s="11">
        <v>1</v>
      </c>
    </row>
    <row r="1545" spans="1:16" ht="15" thickBot="1" x14ac:dyDescent="0.3">
      <c r="A1545" s="3" t="s">
        <v>11</v>
      </c>
      <c r="B1545" s="4">
        <v>545074</v>
      </c>
      <c r="C1545" s="3" t="s">
        <v>9</v>
      </c>
      <c r="D1545" s="18">
        <v>0.08</v>
      </c>
      <c r="E1545" s="21">
        <v>6.4340301100034303E-3</v>
      </c>
      <c r="F1545" s="5">
        <v>42215</v>
      </c>
      <c r="G1545" s="5">
        <v>44042</v>
      </c>
      <c r="H1545" s="16">
        <v>1827</v>
      </c>
      <c r="I1545" s="5">
        <v>44042</v>
      </c>
      <c r="J1545" s="5">
        <v>42314</v>
      </c>
      <c r="K1545" s="16">
        <v>99</v>
      </c>
      <c r="L1545" s="13">
        <v>6000</v>
      </c>
      <c r="M1545" s="15">
        <v>119.39417624302409</v>
      </c>
      <c r="N1545" s="13">
        <v>6000</v>
      </c>
      <c r="O1545" s="13">
        <v>6000</v>
      </c>
      <c r="P1545" s="11">
        <v>1</v>
      </c>
    </row>
    <row r="1546" spans="1:16" ht="15" thickBot="1" x14ac:dyDescent="0.3">
      <c r="A1546" s="3" t="s">
        <v>11</v>
      </c>
      <c r="B1546" s="4">
        <v>302050</v>
      </c>
      <c r="C1546" s="3" t="s">
        <v>9</v>
      </c>
      <c r="D1546" s="18">
        <v>0.105</v>
      </c>
      <c r="E1546" s="21">
        <v>8.355155683635207E-3</v>
      </c>
      <c r="F1546" s="5">
        <v>42216</v>
      </c>
      <c r="G1546" s="5">
        <v>44495</v>
      </c>
      <c r="H1546" s="16">
        <v>2279</v>
      </c>
      <c r="I1546" s="5">
        <v>44495</v>
      </c>
      <c r="J1546" s="5">
        <v>43234</v>
      </c>
      <c r="K1546" s="16">
        <v>1018</v>
      </c>
      <c r="L1546" s="13">
        <v>12701.09</v>
      </c>
      <c r="M1546" s="15">
        <v>226.50299225645293</v>
      </c>
      <c r="N1546" s="13">
        <v>12701.09</v>
      </c>
      <c r="O1546" s="13">
        <v>0</v>
      </c>
      <c r="P1546" s="11">
        <v>1</v>
      </c>
    </row>
    <row r="1547" spans="1:16" ht="15" thickBot="1" x14ac:dyDescent="0.3">
      <c r="A1547" s="3" t="s">
        <v>11</v>
      </c>
      <c r="B1547" s="4">
        <v>935911</v>
      </c>
      <c r="C1547" s="3" t="s">
        <v>9</v>
      </c>
      <c r="D1547" s="18">
        <v>0.1</v>
      </c>
      <c r="E1547" s="21">
        <v>7.9741404289037643E-3</v>
      </c>
      <c r="F1547" s="5">
        <v>42221</v>
      </c>
      <c r="G1547" s="5">
        <v>44048</v>
      </c>
      <c r="H1547" s="16">
        <v>1827</v>
      </c>
      <c r="I1547" s="5">
        <v>44048</v>
      </c>
      <c r="J1547" s="5">
        <v>42419</v>
      </c>
      <c r="K1547" s="16">
        <v>198</v>
      </c>
      <c r="L1547" s="13">
        <v>2351.9</v>
      </c>
      <c r="M1547" s="15">
        <v>48.903036148204166</v>
      </c>
      <c r="N1547" s="13">
        <v>2351.9</v>
      </c>
      <c r="O1547" s="13">
        <v>0</v>
      </c>
      <c r="P1547" s="11">
        <v>1</v>
      </c>
    </row>
    <row r="1548" spans="1:16" ht="15" thickBot="1" x14ac:dyDescent="0.3">
      <c r="A1548" s="3" t="s">
        <v>11</v>
      </c>
      <c r="B1548" s="4">
        <v>789526</v>
      </c>
      <c r="C1548" s="3" t="s">
        <v>9</v>
      </c>
      <c r="D1548" s="18">
        <v>0.08</v>
      </c>
      <c r="E1548" s="21">
        <v>6.4340301100034303E-3</v>
      </c>
      <c r="F1548" s="5">
        <v>42226</v>
      </c>
      <c r="G1548" s="5">
        <v>44985</v>
      </c>
      <c r="H1548" s="16">
        <v>2759</v>
      </c>
      <c r="I1548" s="5">
        <v>44985</v>
      </c>
      <c r="J1548" s="5">
        <v>43496</v>
      </c>
      <c r="K1548" s="16">
        <v>1270</v>
      </c>
      <c r="L1548" s="13">
        <v>19927.04</v>
      </c>
      <c r="M1548" s="15">
        <v>287.74422548014024</v>
      </c>
      <c r="N1548" s="13">
        <v>18927.04</v>
      </c>
      <c r="O1548" s="13">
        <v>0</v>
      </c>
      <c r="P1548" s="11">
        <v>1</v>
      </c>
    </row>
    <row r="1549" spans="1:16" ht="15" thickBot="1" x14ac:dyDescent="0.3">
      <c r="A1549" s="3" t="s">
        <v>11</v>
      </c>
      <c r="B1549" s="4">
        <v>554278</v>
      </c>
      <c r="C1549" s="3" t="s">
        <v>9</v>
      </c>
      <c r="D1549" s="18">
        <v>0.1</v>
      </c>
      <c r="E1549" s="21">
        <v>7.9741404289037643E-3</v>
      </c>
      <c r="F1549" s="5">
        <v>42227</v>
      </c>
      <c r="G1549" s="5">
        <v>44525</v>
      </c>
      <c r="H1549" s="16">
        <v>2298</v>
      </c>
      <c r="I1549" s="5">
        <v>44525</v>
      </c>
      <c r="J1549" s="5">
        <v>43238</v>
      </c>
      <c r="K1549" s="16">
        <v>1011</v>
      </c>
      <c r="L1549" s="13">
        <v>30634.84</v>
      </c>
      <c r="M1549" s="15">
        <v>535.97786319541831</v>
      </c>
      <c r="N1549" s="13">
        <v>30634.84</v>
      </c>
      <c r="O1549" s="13">
        <v>0</v>
      </c>
      <c r="P1549" s="11">
        <v>1</v>
      </c>
    </row>
    <row r="1550" spans="1:16" ht="15" thickBot="1" x14ac:dyDescent="0.3">
      <c r="A1550" s="3" t="s">
        <v>11</v>
      </c>
      <c r="B1550" s="4">
        <v>447703</v>
      </c>
      <c r="C1550" s="3" t="s">
        <v>9</v>
      </c>
      <c r="D1550" s="18">
        <v>0.1</v>
      </c>
      <c r="E1550" s="21">
        <v>7.9741404289037643E-3</v>
      </c>
      <c r="F1550" s="5">
        <v>42230</v>
      </c>
      <c r="G1550" s="5">
        <v>44909</v>
      </c>
      <c r="H1550" s="16">
        <v>2679</v>
      </c>
      <c r="I1550" s="5">
        <v>44909</v>
      </c>
      <c r="J1550" s="5">
        <v>43496</v>
      </c>
      <c r="K1550" s="16">
        <v>1266</v>
      </c>
      <c r="L1550" s="13">
        <v>16343.77</v>
      </c>
      <c r="M1550" s="15">
        <v>256.55270893264179</v>
      </c>
      <c r="N1550" s="13">
        <v>14927.54</v>
      </c>
      <c r="O1550" s="13">
        <v>14927.54</v>
      </c>
      <c r="P1550" s="11">
        <v>1</v>
      </c>
    </row>
    <row r="1551" spans="1:16" ht="15" thickBot="1" x14ac:dyDescent="0.3">
      <c r="A1551" s="3" t="s">
        <v>11</v>
      </c>
      <c r="B1551" s="4">
        <v>894320</v>
      </c>
      <c r="C1551" s="3" t="s">
        <v>9</v>
      </c>
      <c r="D1551" s="18">
        <v>0.05</v>
      </c>
      <c r="E1551" s="21">
        <v>4.0741237836483535E-3</v>
      </c>
      <c r="F1551" s="5">
        <v>42230</v>
      </c>
      <c r="G1551" s="5">
        <v>44057</v>
      </c>
      <c r="H1551" s="16">
        <v>1827</v>
      </c>
      <c r="I1551" s="5">
        <v>44057</v>
      </c>
      <c r="J1551" s="5">
        <v>43376</v>
      </c>
      <c r="K1551" s="16">
        <v>1146</v>
      </c>
      <c r="L1551" s="13">
        <v>9266.33</v>
      </c>
      <c r="M1551" s="15">
        <v>172.12050600510608</v>
      </c>
      <c r="N1551" s="13">
        <v>9235.1299999999992</v>
      </c>
      <c r="O1551" s="13">
        <v>0</v>
      </c>
      <c r="P1551" s="11">
        <v>1</v>
      </c>
    </row>
    <row r="1552" spans="1:16" ht="15" thickBot="1" x14ac:dyDescent="0.3">
      <c r="A1552" s="3" t="s">
        <v>11</v>
      </c>
      <c r="B1552" s="4">
        <v>936918</v>
      </c>
      <c r="C1552" s="3" t="s">
        <v>9</v>
      </c>
      <c r="D1552" s="18">
        <v>0.1</v>
      </c>
      <c r="E1552" s="21">
        <v>7.9741404289037643E-3</v>
      </c>
      <c r="F1552" s="5">
        <v>42233</v>
      </c>
      <c r="G1552" s="5">
        <v>43694</v>
      </c>
      <c r="H1552" s="16">
        <v>1461</v>
      </c>
      <c r="I1552" s="5">
        <v>43694</v>
      </c>
      <c r="J1552" s="5">
        <v>43633</v>
      </c>
      <c r="K1552" s="16">
        <v>1400</v>
      </c>
      <c r="L1552" s="13">
        <v>6921.85</v>
      </c>
      <c r="M1552" s="15">
        <v>172.07101362689772</v>
      </c>
      <c r="N1552" s="13">
        <v>6307.38</v>
      </c>
      <c r="O1552" s="13">
        <v>2600.69</v>
      </c>
      <c r="P1552" s="11">
        <v>1</v>
      </c>
    </row>
    <row r="1553" spans="1:16" ht="15" thickBot="1" x14ac:dyDescent="0.3">
      <c r="A1553" s="3" t="s">
        <v>11</v>
      </c>
      <c r="B1553" s="4">
        <v>904813</v>
      </c>
      <c r="C1553" s="3" t="s">
        <v>9</v>
      </c>
      <c r="D1553" s="18">
        <v>0.1</v>
      </c>
      <c r="E1553" s="21">
        <v>7.9741404289037643E-3</v>
      </c>
      <c r="F1553" s="5">
        <v>42233</v>
      </c>
      <c r="G1553" s="5">
        <v>44425</v>
      </c>
      <c r="H1553" s="16">
        <v>2192</v>
      </c>
      <c r="I1553" s="5">
        <v>44425</v>
      </c>
      <c r="J1553" s="5">
        <v>43654</v>
      </c>
      <c r="K1553" s="16">
        <v>1421</v>
      </c>
      <c r="L1553" s="13">
        <v>5306.91</v>
      </c>
      <c r="M1553" s="15">
        <v>96.114442857309626</v>
      </c>
      <c r="N1553" s="13">
        <v>4721.2700000000004</v>
      </c>
      <c r="O1553" s="13">
        <v>4721.2700000000004</v>
      </c>
      <c r="P1553" s="11">
        <v>1</v>
      </c>
    </row>
    <row r="1554" spans="1:16" ht="15" thickBot="1" x14ac:dyDescent="0.3">
      <c r="A1554" s="3" t="s">
        <v>11</v>
      </c>
      <c r="B1554" s="4">
        <v>510508</v>
      </c>
      <c r="C1554" s="3" t="s">
        <v>9</v>
      </c>
      <c r="D1554" s="18">
        <v>0.1</v>
      </c>
      <c r="E1554" s="21">
        <v>7.9741404289037643E-3</v>
      </c>
      <c r="F1554" s="5">
        <v>42233</v>
      </c>
      <c r="G1554" s="5">
        <v>44486</v>
      </c>
      <c r="H1554" s="16">
        <v>2253</v>
      </c>
      <c r="I1554" s="5">
        <v>44486</v>
      </c>
      <c r="J1554" s="5">
        <v>43200</v>
      </c>
      <c r="K1554" s="16">
        <v>967</v>
      </c>
      <c r="L1554" s="13">
        <v>1707.46</v>
      </c>
      <c r="M1554" s="15">
        <v>30.306917242082275</v>
      </c>
      <c r="N1554" s="13">
        <v>1707.46</v>
      </c>
      <c r="O1554" s="13">
        <v>0</v>
      </c>
      <c r="P1554" s="11">
        <v>1</v>
      </c>
    </row>
    <row r="1555" spans="1:16" ht="15" thickBot="1" x14ac:dyDescent="0.3">
      <c r="A1555" s="3" t="s">
        <v>11</v>
      </c>
      <c r="B1555" s="4">
        <v>694365</v>
      </c>
      <c r="C1555" s="3" t="s">
        <v>9</v>
      </c>
      <c r="D1555" s="18">
        <v>0.1</v>
      </c>
      <c r="E1555" s="21">
        <v>7.9741404289037643E-3</v>
      </c>
      <c r="F1555" s="5">
        <v>42235</v>
      </c>
      <c r="G1555" s="5">
        <v>44549</v>
      </c>
      <c r="H1555" s="16">
        <v>2314</v>
      </c>
      <c r="I1555" s="5">
        <v>44549</v>
      </c>
      <c r="J1555" s="5">
        <v>43418</v>
      </c>
      <c r="K1555" s="16">
        <v>1183</v>
      </c>
      <c r="L1555" s="13">
        <v>3996.98</v>
      </c>
      <c r="M1555" s="15">
        <v>69.578762369036852</v>
      </c>
      <c r="N1555" s="13">
        <v>3793.69</v>
      </c>
      <c r="O1555" s="13">
        <v>0</v>
      </c>
      <c r="P1555" s="11">
        <v>1</v>
      </c>
    </row>
    <row r="1556" spans="1:16" ht="15" thickBot="1" x14ac:dyDescent="0.3">
      <c r="A1556" s="3" t="s">
        <v>11</v>
      </c>
      <c r="B1556" s="4">
        <v>17351</v>
      </c>
      <c r="C1556" s="3" t="s">
        <v>9</v>
      </c>
      <c r="D1556" s="18">
        <v>0.1</v>
      </c>
      <c r="E1556" s="21">
        <v>7.9741404289037643E-3</v>
      </c>
      <c r="F1556" s="5">
        <v>42237</v>
      </c>
      <c r="G1556" s="5">
        <v>44429</v>
      </c>
      <c r="H1556" s="16">
        <v>2192</v>
      </c>
      <c r="I1556" s="5">
        <v>44429</v>
      </c>
      <c r="J1556" s="5">
        <v>42514</v>
      </c>
      <c r="K1556" s="16">
        <v>277</v>
      </c>
      <c r="L1556" s="13">
        <v>11375.06</v>
      </c>
      <c r="M1556" s="15">
        <v>206.0158462021154</v>
      </c>
      <c r="N1556" s="13">
        <v>11375.06</v>
      </c>
      <c r="O1556" s="13">
        <v>0</v>
      </c>
      <c r="P1556" s="11">
        <v>1</v>
      </c>
    </row>
    <row r="1557" spans="1:16" ht="15" thickBot="1" x14ac:dyDescent="0.3">
      <c r="A1557" s="3" t="s">
        <v>11</v>
      </c>
      <c r="B1557" s="4">
        <v>390997</v>
      </c>
      <c r="C1557" s="3" t="s">
        <v>9</v>
      </c>
      <c r="D1557" s="18">
        <v>0.1</v>
      </c>
      <c r="E1557" s="21">
        <v>7.9741404289037643E-3</v>
      </c>
      <c r="F1557" s="5">
        <v>42240</v>
      </c>
      <c r="G1557" s="5">
        <v>44279</v>
      </c>
      <c r="H1557" s="16">
        <v>2039</v>
      </c>
      <c r="I1557" s="5">
        <v>44279</v>
      </c>
      <c r="J1557" s="5">
        <v>42734</v>
      </c>
      <c r="K1557" s="16">
        <v>494</v>
      </c>
      <c r="L1557" s="13">
        <v>10000</v>
      </c>
      <c r="M1557" s="15">
        <v>191.15739967919086</v>
      </c>
      <c r="N1557" s="13">
        <v>10000</v>
      </c>
      <c r="O1557" s="13">
        <v>0</v>
      </c>
      <c r="P1557" s="11">
        <v>1</v>
      </c>
    </row>
    <row r="1558" spans="1:16" ht="15" thickBot="1" x14ac:dyDescent="0.3">
      <c r="A1558" s="3" t="s">
        <v>11</v>
      </c>
      <c r="B1558" s="4">
        <v>951948</v>
      </c>
      <c r="C1558" s="3" t="s">
        <v>9</v>
      </c>
      <c r="D1558" s="18">
        <v>0.1</v>
      </c>
      <c r="E1558" s="21">
        <v>7.9741404289037643E-3</v>
      </c>
      <c r="F1558" s="5">
        <v>42277</v>
      </c>
      <c r="G1558" s="5">
        <v>44104</v>
      </c>
      <c r="H1558" s="16">
        <v>1827</v>
      </c>
      <c r="I1558" s="5">
        <v>44104</v>
      </c>
      <c r="J1558" s="5">
        <v>42744</v>
      </c>
      <c r="K1558" s="16">
        <v>467</v>
      </c>
      <c r="L1558" s="13">
        <v>3003.59</v>
      </c>
      <c r="M1558" s="15">
        <v>62.453620623489329</v>
      </c>
      <c r="N1558" s="13">
        <v>3003.59</v>
      </c>
      <c r="O1558" s="13">
        <v>0</v>
      </c>
      <c r="P1558" s="11">
        <v>1</v>
      </c>
    </row>
    <row r="1559" spans="1:16" ht="15" thickBot="1" x14ac:dyDescent="0.3">
      <c r="A1559" s="3" t="s">
        <v>11</v>
      </c>
      <c r="B1559" s="4">
        <v>945013</v>
      </c>
      <c r="C1559" s="3" t="s">
        <v>9</v>
      </c>
      <c r="D1559" s="18">
        <v>9.5000000000000001E-2</v>
      </c>
      <c r="E1559" s="21">
        <v>7.5915342905825689E-3</v>
      </c>
      <c r="F1559" s="5">
        <v>42250</v>
      </c>
      <c r="G1559" s="5">
        <v>43931</v>
      </c>
      <c r="H1559" s="16">
        <v>1681</v>
      </c>
      <c r="I1559" s="5">
        <v>43931</v>
      </c>
      <c r="J1559" s="5">
        <v>43203</v>
      </c>
      <c r="K1559" s="16">
        <v>953</v>
      </c>
      <c r="L1559" s="13">
        <v>9005.01</v>
      </c>
      <c r="M1559" s="15">
        <v>197.90521366326101</v>
      </c>
      <c r="N1559" s="13">
        <v>9005.01</v>
      </c>
      <c r="O1559" s="13">
        <v>0</v>
      </c>
      <c r="P1559" s="11">
        <v>1</v>
      </c>
    </row>
    <row r="1560" spans="1:16" ht="15" thickBot="1" x14ac:dyDescent="0.3">
      <c r="A1560" s="3" t="s">
        <v>11</v>
      </c>
      <c r="B1560" s="4">
        <v>200234</v>
      </c>
      <c r="C1560" s="3" t="s">
        <v>9</v>
      </c>
      <c r="D1560" s="18">
        <v>0.14000000000000001</v>
      </c>
      <c r="E1560" s="21">
        <v>1.0978851950173452E-2</v>
      </c>
      <c r="F1560" s="5">
        <v>42251</v>
      </c>
      <c r="G1560" s="5">
        <v>42829</v>
      </c>
      <c r="H1560" s="16">
        <v>578</v>
      </c>
      <c r="I1560" s="5">
        <v>42829</v>
      </c>
      <c r="J1560" s="5">
        <v>42650</v>
      </c>
      <c r="K1560" s="16">
        <v>399</v>
      </c>
      <c r="L1560" s="13">
        <v>1766.81</v>
      </c>
      <c r="M1560" s="15">
        <v>102.24400395882215</v>
      </c>
      <c r="N1560" s="13">
        <v>1766.81</v>
      </c>
      <c r="O1560" s="13">
        <v>0</v>
      </c>
      <c r="P1560" s="11">
        <v>1</v>
      </c>
    </row>
    <row r="1561" spans="1:16" ht="15" thickBot="1" x14ac:dyDescent="0.3">
      <c r="A1561" s="3" t="s">
        <v>11</v>
      </c>
      <c r="B1561" s="4">
        <v>458115</v>
      </c>
      <c r="C1561" s="3" t="s">
        <v>9</v>
      </c>
      <c r="D1561" s="18">
        <v>0.1</v>
      </c>
      <c r="E1561" s="21">
        <v>7.9741404289037643E-3</v>
      </c>
      <c r="F1561" s="5">
        <v>42255</v>
      </c>
      <c r="G1561" s="5">
        <v>42621</v>
      </c>
      <c r="H1561" s="16">
        <v>366</v>
      </c>
      <c r="I1561" s="5">
        <v>42621</v>
      </c>
      <c r="J1561" s="5">
        <v>42303</v>
      </c>
      <c r="K1561" s="16">
        <v>48</v>
      </c>
      <c r="L1561" s="13">
        <v>913.15</v>
      </c>
      <c r="M1561" s="15">
        <v>78.845973261287355</v>
      </c>
      <c r="N1561" s="13">
        <v>913.15</v>
      </c>
      <c r="O1561" s="13">
        <v>0</v>
      </c>
      <c r="P1561" s="11">
        <v>1</v>
      </c>
    </row>
    <row r="1562" spans="1:16" ht="15" thickBot="1" x14ac:dyDescent="0.3">
      <c r="A1562" s="3" t="s">
        <v>11</v>
      </c>
      <c r="B1562" s="4">
        <v>315992</v>
      </c>
      <c r="C1562" s="3" t="s">
        <v>9</v>
      </c>
      <c r="D1562" s="18">
        <v>0.1</v>
      </c>
      <c r="E1562" s="21">
        <v>7.9741404289037643E-3</v>
      </c>
      <c r="F1562" s="5">
        <v>42255</v>
      </c>
      <c r="G1562" s="5">
        <v>44082</v>
      </c>
      <c r="H1562" s="16">
        <v>1827</v>
      </c>
      <c r="I1562" s="5">
        <v>44082</v>
      </c>
      <c r="J1562" s="5">
        <v>43073</v>
      </c>
      <c r="K1562" s="16">
        <v>818</v>
      </c>
      <c r="L1562" s="13">
        <v>640.74</v>
      </c>
      <c r="M1562" s="15">
        <v>13.322901220970422</v>
      </c>
      <c r="N1562" s="13">
        <v>640.74</v>
      </c>
      <c r="O1562" s="13">
        <v>0</v>
      </c>
      <c r="P1562" s="11">
        <v>1</v>
      </c>
    </row>
    <row r="1563" spans="1:16" ht="15" thickBot="1" x14ac:dyDescent="0.3">
      <c r="A1563" s="3" t="s">
        <v>11</v>
      </c>
      <c r="B1563" s="4">
        <v>727331</v>
      </c>
      <c r="C1563" s="3" t="s">
        <v>19</v>
      </c>
      <c r="D1563" s="18">
        <v>0.1</v>
      </c>
      <c r="E1563" s="21">
        <v>7.9741404289037643E-3</v>
      </c>
      <c r="F1563" s="5">
        <v>42256</v>
      </c>
      <c r="G1563" s="5">
        <v>43717</v>
      </c>
      <c r="H1563" s="16">
        <v>1461</v>
      </c>
      <c r="I1563" s="5">
        <v>43747</v>
      </c>
      <c r="J1563" s="5">
        <v>44033</v>
      </c>
      <c r="K1563" s="16">
        <v>1777</v>
      </c>
      <c r="L1563" s="13">
        <v>4315</v>
      </c>
      <c r="M1563" s="15">
        <v>107.26704909815493</v>
      </c>
      <c r="N1563" s="13">
        <v>99.38</v>
      </c>
      <c r="O1563" s="13">
        <v>99.38</v>
      </c>
      <c r="P1563" s="11">
        <v>1</v>
      </c>
    </row>
    <row r="1564" spans="1:16" ht="15" thickBot="1" x14ac:dyDescent="0.3">
      <c r="A1564" s="3" t="s">
        <v>11</v>
      </c>
      <c r="B1564" s="4">
        <v>379569</v>
      </c>
      <c r="C1564" s="3" t="s">
        <v>9</v>
      </c>
      <c r="D1564" s="18">
        <v>0.1</v>
      </c>
      <c r="E1564" s="21">
        <v>7.9741404289037643E-3</v>
      </c>
      <c r="F1564" s="5">
        <v>42257</v>
      </c>
      <c r="G1564" s="5">
        <v>44145</v>
      </c>
      <c r="H1564" s="16">
        <v>1888</v>
      </c>
      <c r="I1564" s="5">
        <v>44145</v>
      </c>
      <c r="J1564" s="5">
        <v>42464</v>
      </c>
      <c r="K1564" s="16">
        <v>207</v>
      </c>
      <c r="L1564" s="13">
        <v>15229.01</v>
      </c>
      <c r="M1564" s="15">
        <v>308.70651902297391</v>
      </c>
      <c r="N1564" s="13">
        <v>15229.01</v>
      </c>
      <c r="O1564" s="13">
        <v>0</v>
      </c>
      <c r="P1564" s="11">
        <v>1</v>
      </c>
    </row>
    <row r="1565" spans="1:16" ht="15" thickBot="1" x14ac:dyDescent="0.3">
      <c r="A1565" s="3" t="s">
        <v>11</v>
      </c>
      <c r="B1565" s="4">
        <v>43512</v>
      </c>
      <c r="C1565" s="3" t="s">
        <v>9</v>
      </c>
      <c r="D1565" s="18">
        <v>0.1</v>
      </c>
      <c r="E1565" s="21">
        <v>7.9741404289037643E-3</v>
      </c>
      <c r="F1565" s="5">
        <v>42256</v>
      </c>
      <c r="G1565" s="5">
        <v>44448</v>
      </c>
      <c r="H1565" s="16">
        <v>2192</v>
      </c>
      <c r="I1565" s="5">
        <v>44448</v>
      </c>
      <c r="J1565" s="5">
        <v>43154</v>
      </c>
      <c r="K1565" s="16">
        <v>898</v>
      </c>
      <c r="L1565" s="13">
        <v>0.7</v>
      </c>
      <c r="M1565" s="15">
        <v>1.2677831355745007E-2</v>
      </c>
      <c r="N1565" s="13">
        <v>0.7</v>
      </c>
      <c r="O1565" s="13">
        <v>0</v>
      </c>
      <c r="P1565" s="11">
        <v>1</v>
      </c>
    </row>
    <row r="1566" spans="1:16" ht="15" thickBot="1" x14ac:dyDescent="0.3">
      <c r="A1566" s="3" t="s">
        <v>11</v>
      </c>
      <c r="B1566" s="4">
        <v>683678</v>
      </c>
      <c r="C1566" s="3" t="s">
        <v>9</v>
      </c>
      <c r="D1566" s="18">
        <v>0.1</v>
      </c>
      <c r="E1566" s="21">
        <v>7.9741404289037643E-3</v>
      </c>
      <c r="F1566" s="5">
        <v>42262</v>
      </c>
      <c r="G1566" s="5">
        <v>44454</v>
      </c>
      <c r="H1566" s="16">
        <v>2192</v>
      </c>
      <c r="I1566" s="5">
        <v>44454</v>
      </c>
      <c r="J1566" s="5">
        <v>43131</v>
      </c>
      <c r="K1566" s="16">
        <v>869</v>
      </c>
      <c r="L1566" s="13">
        <v>13345.21</v>
      </c>
      <c r="M1566" s="15">
        <v>241.69760255285971</v>
      </c>
      <c r="N1566" s="13">
        <v>13345.21</v>
      </c>
      <c r="O1566" s="13">
        <v>0</v>
      </c>
      <c r="P1566" s="11">
        <v>1</v>
      </c>
    </row>
    <row r="1567" spans="1:16" ht="15" thickBot="1" x14ac:dyDescent="0.3">
      <c r="A1567" s="3" t="s">
        <v>11</v>
      </c>
      <c r="B1567" s="4">
        <v>105640</v>
      </c>
      <c r="C1567" s="3" t="s">
        <v>9</v>
      </c>
      <c r="D1567" s="18">
        <v>0.14000000000000001</v>
      </c>
      <c r="E1567" s="21">
        <v>1.0978851950173452E-2</v>
      </c>
      <c r="F1567" s="5">
        <v>42263</v>
      </c>
      <c r="G1567" s="5">
        <v>42994</v>
      </c>
      <c r="H1567" s="16">
        <v>731</v>
      </c>
      <c r="I1567" s="5">
        <v>42994</v>
      </c>
      <c r="J1567" s="5">
        <v>42411</v>
      </c>
      <c r="K1567" s="16">
        <v>148</v>
      </c>
      <c r="L1567" s="13">
        <v>3197.01</v>
      </c>
      <c r="M1567" s="15">
        <v>150.25021405569879</v>
      </c>
      <c r="N1567" s="13">
        <v>3197.01</v>
      </c>
      <c r="O1567" s="13">
        <v>0</v>
      </c>
      <c r="P1567" s="11">
        <v>1</v>
      </c>
    </row>
    <row r="1568" spans="1:16" ht="15" thickBot="1" x14ac:dyDescent="0.3">
      <c r="A1568" s="3" t="s">
        <v>11</v>
      </c>
      <c r="B1568" s="4">
        <v>543350</v>
      </c>
      <c r="C1568" s="3" t="s">
        <v>9</v>
      </c>
      <c r="D1568" s="18">
        <v>0.12</v>
      </c>
      <c r="E1568" s="21">
        <v>9.4887929345830457E-3</v>
      </c>
      <c r="F1568" s="5">
        <v>42263</v>
      </c>
      <c r="G1568" s="5">
        <v>42994</v>
      </c>
      <c r="H1568" s="16">
        <v>731</v>
      </c>
      <c r="I1568" s="5">
        <v>42994</v>
      </c>
      <c r="J1568" s="5">
        <v>42949</v>
      </c>
      <c r="K1568" s="16">
        <v>686</v>
      </c>
      <c r="L1568" s="13">
        <v>1008.81</v>
      </c>
      <c r="M1568" s="15">
        <v>46.566945332656594</v>
      </c>
      <c r="N1568" s="13">
        <v>1008.81</v>
      </c>
      <c r="O1568" s="13">
        <v>0</v>
      </c>
      <c r="P1568" s="11">
        <v>1</v>
      </c>
    </row>
    <row r="1569" spans="1:16" ht="15" thickBot="1" x14ac:dyDescent="0.3">
      <c r="A1569" s="3" t="s">
        <v>11</v>
      </c>
      <c r="B1569" s="4">
        <v>287509</v>
      </c>
      <c r="C1569" s="3" t="s">
        <v>9</v>
      </c>
      <c r="D1569" s="18">
        <v>0.1</v>
      </c>
      <c r="E1569" s="21">
        <v>7.9741404289037643E-3</v>
      </c>
      <c r="F1569" s="5">
        <v>42264</v>
      </c>
      <c r="G1569" s="5">
        <v>43376</v>
      </c>
      <c r="H1569" s="16">
        <v>1112</v>
      </c>
      <c r="I1569" s="5">
        <v>43376</v>
      </c>
      <c r="J1569" s="5">
        <v>43269</v>
      </c>
      <c r="K1569" s="16">
        <v>1005</v>
      </c>
      <c r="L1569" s="13">
        <v>3212.45</v>
      </c>
      <c r="M1569" s="15">
        <v>100.44772780608521</v>
      </c>
      <c r="N1569" s="13">
        <v>3212.45</v>
      </c>
      <c r="O1569" s="13">
        <v>0</v>
      </c>
      <c r="P1569" s="11">
        <v>1</v>
      </c>
    </row>
    <row r="1570" spans="1:16" ht="15" thickBot="1" x14ac:dyDescent="0.3">
      <c r="A1570" s="3" t="s">
        <v>11</v>
      </c>
      <c r="B1570" s="4">
        <v>97648</v>
      </c>
      <c r="C1570" s="3" t="s">
        <v>9</v>
      </c>
      <c r="D1570" s="18">
        <v>0.1</v>
      </c>
      <c r="E1570" s="21">
        <v>7.9741404289037643E-3</v>
      </c>
      <c r="F1570" s="5">
        <v>42268</v>
      </c>
      <c r="G1570" s="5">
        <v>43545</v>
      </c>
      <c r="H1570" s="16">
        <v>1277</v>
      </c>
      <c r="I1570" s="5">
        <v>43545</v>
      </c>
      <c r="J1570" s="5">
        <v>42641</v>
      </c>
      <c r="K1570" s="16">
        <v>373</v>
      </c>
      <c r="L1570" s="13">
        <v>3224.7</v>
      </c>
      <c r="M1570" s="15">
        <v>89.638304586896922</v>
      </c>
      <c r="N1570" s="13">
        <v>3224.7</v>
      </c>
      <c r="O1570" s="13">
        <v>0</v>
      </c>
      <c r="P1570" s="11">
        <v>1</v>
      </c>
    </row>
    <row r="1571" spans="1:16" ht="15" thickBot="1" x14ac:dyDescent="0.3">
      <c r="A1571" s="3" t="s">
        <v>11</v>
      </c>
      <c r="B1571" s="4">
        <v>108056</v>
      </c>
      <c r="C1571" s="3" t="s">
        <v>9</v>
      </c>
      <c r="D1571" s="18">
        <v>9.5000000000000001E-2</v>
      </c>
      <c r="E1571" s="21">
        <v>7.5915342905825689E-3</v>
      </c>
      <c r="F1571" s="5">
        <v>42269</v>
      </c>
      <c r="G1571" s="5">
        <v>43365</v>
      </c>
      <c r="H1571" s="16">
        <v>1096</v>
      </c>
      <c r="I1571" s="5">
        <v>43365</v>
      </c>
      <c r="J1571" s="5">
        <v>42366</v>
      </c>
      <c r="K1571" s="16">
        <v>97</v>
      </c>
      <c r="L1571" s="13">
        <v>3205.68</v>
      </c>
      <c r="M1571" s="15">
        <v>100.80699501826105</v>
      </c>
      <c r="N1571" s="13">
        <v>3205.68</v>
      </c>
      <c r="O1571" s="13">
        <v>0</v>
      </c>
      <c r="P1571" s="11">
        <v>1</v>
      </c>
    </row>
    <row r="1572" spans="1:16" ht="15" thickBot="1" x14ac:dyDescent="0.3">
      <c r="A1572" s="3" t="s">
        <v>11</v>
      </c>
      <c r="B1572" s="4">
        <v>241340</v>
      </c>
      <c r="C1572" s="3" t="s">
        <v>9</v>
      </c>
      <c r="D1572" s="18">
        <v>0.1</v>
      </c>
      <c r="E1572" s="21">
        <v>7.9741404289037643E-3</v>
      </c>
      <c r="F1572" s="5">
        <v>42271</v>
      </c>
      <c r="G1572" s="5">
        <v>44098</v>
      </c>
      <c r="H1572" s="16">
        <v>1827</v>
      </c>
      <c r="I1572" s="5">
        <v>44098</v>
      </c>
      <c r="J1572" s="5">
        <v>42899</v>
      </c>
      <c r="K1572" s="16">
        <v>628</v>
      </c>
      <c r="L1572" s="13">
        <v>4252.8100000000004</v>
      </c>
      <c r="M1572" s="15">
        <v>88.428641167330312</v>
      </c>
      <c r="N1572" s="13">
        <v>4252.8100000000004</v>
      </c>
      <c r="O1572" s="13">
        <v>0</v>
      </c>
      <c r="P1572" s="11">
        <v>1</v>
      </c>
    </row>
    <row r="1573" spans="1:16" ht="15" thickBot="1" x14ac:dyDescent="0.3">
      <c r="A1573" s="3" t="s">
        <v>11</v>
      </c>
      <c r="B1573" s="4">
        <v>839854</v>
      </c>
      <c r="C1573" s="3" t="s">
        <v>9</v>
      </c>
      <c r="D1573" s="18">
        <v>0.1</v>
      </c>
      <c r="E1573" s="21">
        <v>7.9741404289037643E-3</v>
      </c>
      <c r="F1573" s="5">
        <v>42272</v>
      </c>
      <c r="G1573" s="5">
        <v>42679</v>
      </c>
      <c r="H1573" s="16">
        <v>407</v>
      </c>
      <c r="I1573" s="5">
        <v>42679</v>
      </c>
      <c r="J1573" s="5">
        <v>42697</v>
      </c>
      <c r="K1573" s="16">
        <v>425</v>
      </c>
      <c r="L1573" s="13">
        <v>451.78</v>
      </c>
      <c r="M1573" s="15">
        <v>35.266955041331009</v>
      </c>
      <c r="N1573" s="13">
        <v>451.78</v>
      </c>
      <c r="O1573" s="13">
        <v>0</v>
      </c>
      <c r="P1573" s="11">
        <v>1</v>
      </c>
    </row>
    <row r="1574" spans="1:16" ht="15" thickBot="1" x14ac:dyDescent="0.3">
      <c r="A1574" s="3" t="s">
        <v>11</v>
      </c>
      <c r="B1574" s="4">
        <v>217743</v>
      </c>
      <c r="C1574" s="3" t="s">
        <v>2</v>
      </c>
      <c r="D1574" s="18">
        <v>0.08</v>
      </c>
      <c r="E1574" s="21">
        <v>6.4340301100034303E-3</v>
      </c>
      <c r="F1574" s="5">
        <v>42276</v>
      </c>
      <c r="G1574" s="5">
        <v>44103</v>
      </c>
      <c r="H1574" s="16">
        <v>1827</v>
      </c>
      <c r="I1574" s="5">
        <v>44255</v>
      </c>
      <c r="J1574" s="5">
        <v>43888</v>
      </c>
      <c r="K1574" s="16">
        <v>1612</v>
      </c>
      <c r="L1574" s="13">
        <v>75000</v>
      </c>
      <c r="M1574" s="15">
        <v>1492.4272030378011</v>
      </c>
      <c r="N1574" s="13">
        <v>40929.370000000003</v>
      </c>
      <c r="O1574" s="13">
        <v>0</v>
      </c>
      <c r="P1574" s="11">
        <v>1</v>
      </c>
    </row>
    <row r="1575" spans="1:16" ht="15" thickBot="1" x14ac:dyDescent="0.3">
      <c r="A1575" s="3" t="s">
        <v>11</v>
      </c>
      <c r="B1575" s="4">
        <v>523268</v>
      </c>
      <c r="C1575" s="3" t="s">
        <v>9</v>
      </c>
      <c r="D1575" s="18">
        <v>0.1</v>
      </c>
      <c r="E1575" s="21">
        <v>7.9741404289037643E-3</v>
      </c>
      <c r="F1575" s="5">
        <v>42277</v>
      </c>
      <c r="G1575" s="5">
        <v>44104</v>
      </c>
      <c r="H1575" s="16">
        <v>1827</v>
      </c>
      <c r="I1575" s="5">
        <v>44104</v>
      </c>
      <c r="J1575" s="5">
        <v>42551</v>
      </c>
      <c r="K1575" s="16">
        <v>274</v>
      </c>
      <c r="L1575" s="13">
        <v>25617.64</v>
      </c>
      <c r="M1575" s="15">
        <v>532.66736466332782</v>
      </c>
      <c r="N1575" s="13">
        <v>25617.64</v>
      </c>
      <c r="O1575" s="13">
        <v>0</v>
      </c>
      <c r="P1575" s="11">
        <v>1</v>
      </c>
    </row>
    <row r="1576" spans="1:16" ht="15" thickBot="1" x14ac:dyDescent="0.3">
      <c r="A1576" s="3" t="s">
        <v>11</v>
      </c>
      <c r="B1576" s="4">
        <v>301448</v>
      </c>
      <c r="C1576" s="3" t="s">
        <v>2</v>
      </c>
      <c r="D1576" s="18">
        <v>0.08</v>
      </c>
      <c r="E1576" s="21">
        <v>6.4340301100034303E-3</v>
      </c>
      <c r="F1576" s="5">
        <v>42277</v>
      </c>
      <c r="G1576" s="5">
        <v>44469</v>
      </c>
      <c r="H1576" s="16">
        <v>2192</v>
      </c>
      <c r="I1576" s="5">
        <v>44469</v>
      </c>
      <c r="J1576" s="5">
        <v>43748</v>
      </c>
      <c r="K1576" s="16">
        <v>1471</v>
      </c>
      <c r="L1576" s="13">
        <v>300000</v>
      </c>
      <c r="M1576" s="15">
        <v>5159.2397546028897</v>
      </c>
      <c r="N1576" s="13">
        <v>132300</v>
      </c>
      <c r="O1576" s="13">
        <v>0</v>
      </c>
      <c r="P1576" s="11">
        <v>1</v>
      </c>
    </row>
    <row r="1577" spans="1:16" ht="15" thickBot="1" x14ac:dyDescent="0.3">
      <c r="A1577" s="3" t="s">
        <v>11</v>
      </c>
      <c r="B1577" s="4">
        <v>508275</v>
      </c>
      <c r="C1577" s="3" t="s">
        <v>9</v>
      </c>
      <c r="D1577" s="18">
        <v>0.1</v>
      </c>
      <c r="E1577" s="21">
        <v>7.9741404289037643E-3</v>
      </c>
      <c r="F1577" s="5">
        <v>42277</v>
      </c>
      <c r="G1577" s="5">
        <v>44469</v>
      </c>
      <c r="H1577" s="16">
        <v>2192</v>
      </c>
      <c r="I1577" s="5">
        <v>44469</v>
      </c>
      <c r="J1577" s="5">
        <v>42856</v>
      </c>
      <c r="K1577" s="16">
        <v>579</v>
      </c>
      <c r="L1577" s="13">
        <v>24318.9</v>
      </c>
      <c r="M1577" s="15">
        <v>440.44416136746753</v>
      </c>
      <c r="N1577" s="13">
        <v>24318.9</v>
      </c>
      <c r="O1577" s="13">
        <v>0</v>
      </c>
      <c r="P1577" s="11">
        <v>1</v>
      </c>
    </row>
    <row r="1578" spans="1:16" ht="15" thickBot="1" x14ac:dyDescent="0.3">
      <c r="A1578" s="3" t="s">
        <v>11</v>
      </c>
      <c r="B1578" s="4">
        <v>316980</v>
      </c>
      <c r="C1578" s="3" t="s">
        <v>9</v>
      </c>
      <c r="D1578" s="18">
        <v>0.1</v>
      </c>
      <c r="E1578" s="21">
        <v>7.9741404289037643E-3</v>
      </c>
      <c r="F1578" s="5">
        <v>42278</v>
      </c>
      <c r="G1578" s="5">
        <v>44470</v>
      </c>
      <c r="H1578" s="16">
        <v>2192</v>
      </c>
      <c r="I1578" s="5">
        <v>44470</v>
      </c>
      <c r="J1578" s="5">
        <v>43116</v>
      </c>
      <c r="K1578" s="16">
        <v>838</v>
      </c>
      <c r="L1578" s="13">
        <v>12449.54</v>
      </c>
      <c r="M1578" s="15">
        <v>225.475955109431</v>
      </c>
      <c r="N1578" s="13">
        <v>12449.54</v>
      </c>
      <c r="O1578" s="13">
        <v>0</v>
      </c>
      <c r="P1578" s="11">
        <v>1</v>
      </c>
    </row>
    <row r="1579" spans="1:16" ht="15" thickBot="1" x14ac:dyDescent="0.3">
      <c r="A1579" s="3" t="s">
        <v>11</v>
      </c>
      <c r="B1579" s="4">
        <v>975070</v>
      </c>
      <c r="C1579" s="3" t="s">
        <v>9</v>
      </c>
      <c r="D1579" s="18">
        <v>0.09</v>
      </c>
      <c r="E1579" s="21">
        <v>7.2073233161367156E-3</v>
      </c>
      <c r="F1579" s="5">
        <v>42278</v>
      </c>
      <c r="G1579" s="5">
        <v>44835</v>
      </c>
      <c r="H1579" s="16">
        <v>2557</v>
      </c>
      <c r="I1579" s="5">
        <v>44835</v>
      </c>
      <c r="J1579" s="5">
        <v>43725</v>
      </c>
      <c r="K1579" s="16">
        <v>1447</v>
      </c>
      <c r="L1579" s="13">
        <v>19697.580000000002</v>
      </c>
      <c r="M1579" s="15">
        <v>310.11375168126011</v>
      </c>
      <c r="N1579" s="13">
        <v>19697.580000000002</v>
      </c>
      <c r="O1579" s="13">
        <v>0</v>
      </c>
      <c r="P1579" s="11">
        <v>1</v>
      </c>
    </row>
    <row r="1580" spans="1:16" ht="15" thickBot="1" x14ac:dyDescent="0.3">
      <c r="A1580" s="3" t="s">
        <v>11</v>
      </c>
      <c r="B1580" s="4">
        <v>161478</v>
      </c>
      <c r="C1580" s="3" t="s">
        <v>9</v>
      </c>
      <c r="D1580" s="18">
        <v>0.09</v>
      </c>
      <c r="E1580" s="21">
        <v>7.2073233161367156E-3</v>
      </c>
      <c r="F1580" s="5">
        <v>42283</v>
      </c>
      <c r="G1580" s="5">
        <v>43972</v>
      </c>
      <c r="H1580" s="16">
        <v>1689</v>
      </c>
      <c r="I1580" s="5">
        <v>43972</v>
      </c>
      <c r="J1580" s="5">
        <v>43210</v>
      </c>
      <c r="K1580" s="16">
        <v>927</v>
      </c>
      <c r="L1580" s="13">
        <v>7489.54</v>
      </c>
      <c r="M1580" s="15">
        <v>162.31151709747544</v>
      </c>
      <c r="N1580" s="13">
        <v>7489.54</v>
      </c>
      <c r="O1580" s="13">
        <v>0</v>
      </c>
      <c r="P1580" s="11">
        <v>1</v>
      </c>
    </row>
    <row r="1581" spans="1:16" ht="15" thickBot="1" x14ac:dyDescent="0.3">
      <c r="A1581" s="3" t="s">
        <v>11</v>
      </c>
      <c r="B1581" s="4">
        <v>359640</v>
      </c>
      <c r="C1581" s="3" t="s">
        <v>9</v>
      </c>
      <c r="D1581" s="18">
        <v>0.1</v>
      </c>
      <c r="E1581" s="21">
        <v>7.9741404289037643E-3</v>
      </c>
      <c r="F1581" s="5">
        <v>42286</v>
      </c>
      <c r="G1581" s="5">
        <v>44478</v>
      </c>
      <c r="H1581" s="16">
        <v>2192</v>
      </c>
      <c r="I1581" s="5">
        <v>44478</v>
      </c>
      <c r="J1581" s="5">
        <v>43971</v>
      </c>
      <c r="K1581" s="16">
        <v>1685</v>
      </c>
      <c r="L1581" s="13">
        <v>29029.61</v>
      </c>
      <c r="M1581" s="15">
        <v>525.76071414721252</v>
      </c>
      <c r="N1581" s="13">
        <v>7408</v>
      </c>
      <c r="O1581" s="13">
        <v>0</v>
      </c>
      <c r="P1581" s="11">
        <v>1</v>
      </c>
    </row>
    <row r="1582" spans="1:16" ht="15" thickBot="1" x14ac:dyDescent="0.3">
      <c r="A1582" s="3" t="s">
        <v>11</v>
      </c>
      <c r="B1582" s="4">
        <v>896845</v>
      </c>
      <c r="C1582" s="3" t="s">
        <v>9</v>
      </c>
      <c r="D1582" s="18">
        <v>8.5000000000000006E-2</v>
      </c>
      <c r="E1582" s="21">
        <v>6.8214933659622723E-3</v>
      </c>
      <c r="F1582" s="5">
        <v>42299</v>
      </c>
      <c r="G1582" s="5">
        <v>43281</v>
      </c>
      <c r="H1582" s="16">
        <v>982</v>
      </c>
      <c r="I1582" s="5">
        <v>43281</v>
      </c>
      <c r="J1582" s="5">
        <v>42999</v>
      </c>
      <c r="K1582" s="16">
        <v>700</v>
      </c>
      <c r="L1582" s="13">
        <v>8600</v>
      </c>
      <c r="M1582" s="15">
        <v>294.04363680530946</v>
      </c>
      <c r="N1582" s="13">
        <v>8600</v>
      </c>
      <c r="O1582" s="13">
        <v>8600</v>
      </c>
      <c r="P1582" s="11">
        <v>1</v>
      </c>
    </row>
    <row r="1583" spans="1:16" ht="15" thickBot="1" x14ac:dyDescent="0.3">
      <c r="A1583" s="3" t="s">
        <v>11</v>
      </c>
      <c r="B1583" s="4">
        <v>457277</v>
      </c>
      <c r="C1583" s="3" t="s">
        <v>9</v>
      </c>
      <c r="D1583" s="18">
        <v>0.08</v>
      </c>
      <c r="E1583" s="21">
        <v>6.4340301100034303E-3</v>
      </c>
      <c r="F1583" s="5">
        <v>42305</v>
      </c>
      <c r="G1583" s="5">
        <v>44497</v>
      </c>
      <c r="H1583" s="16">
        <v>2192</v>
      </c>
      <c r="I1583" s="5">
        <v>44497</v>
      </c>
      <c r="J1583" s="5">
        <v>43633</v>
      </c>
      <c r="K1583" s="16">
        <v>1328</v>
      </c>
      <c r="L1583" s="13">
        <v>1787.45</v>
      </c>
      <c r="M1583" s="15">
        <v>30.739610331216454</v>
      </c>
      <c r="N1583" s="13">
        <v>1676.11</v>
      </c>
      <c r="O1583" s="13">
        <v>80.430000000000007</v>
      </c>
      <c r="P1583" s="11">
        <v>1</v>
      </c>
    </row>
    <row r="1584" spans="1:16" ht="15" thickBot="1" x14ac:dyDescent="0.3">
      <c r="A1584" s="3" t="s">
        <v>11</v>
      </c>
      <c r="B1584" s="4">
        <v>360931</v>
      </c>
      <c r="C1584" s="3" t="s">
        <v>9</v>
      </c>
      <c r="D1584" s="18">
        <v>0.1</v>
      </c>
      <c r="E1584" s="21">
        <v>7.9741404289037643E-3</v>
      </c>
      <c r="F1584" s="5">
        <v>42305</v>
      </c>
      <c r="G1584" s="5">
        <v>43661</v>
      </c>
      <c r="H1584" s="16">
        <v>1356</v>
      </c>
      <c r="I1584" s="5">
        <v>43661</v>
      </c>
      <c r="J1584" s="5">
        <v>43725</v>
      </c>
      <c r="K1584" s="16">
        <v>1420</v>
      </c>
      <c r="L1584" s="13">
        <v>15379.86</v>
      </c>
      <c r="M1584" s="15">
        <v>406.59900009852544</v>
      </c>
      <c r="N1584" s="13">
        <v>15379.86</v>
      </c>
      <c r="O1584" s="13">
        <v>3000</v>
      </c>
      <c r="P1584" s="11">
        <v>1</v>
      </c>
    </row>
    <row r="1585" spans="1:16" ht="15" thickBot="1" x14ac:dyDescent="0.3">
      <c r="A1585" s="3" t="s">
        <v>11</v>
      </c>
      <c r="B1585" s="4">
        <v>70032</v>
      </c>
      <c r="C1585" s="3" t="s">
        <v>9</v>
      </c>
      <c r="D1585" s="18">
        <v>0.1</v>
      </c>
      <c r="E1585" s="21">
        <v>7.9741404289037643E-3</v>
      </c>
      <c r="F1585" s="5">
        <v>42307</v>
      </c>
      <c r="G1585" s="5">
        <v>44500</v>
      </c>
      <c r="H1585" s="16">
        <v>2193</v>
      </c>
      <c r="I1585" s="5">
        <v>44500</v>
      </c>
      <c r="J1585" s="5">
        <v>43171</v>
      </c>
      <c r="K1585" s="16">
        <v>864</v>
      </c>
      <c r="L1585" s="13">
        <v>2789.4</v>
      </c>
      <c r="M1585" s="15">
        <v>50.502351938569113</v>
      </c>
      <c r="N1585" s="13">
        <v>2789.4</v>
      </c>
      <c r="O1585" s="13">
        <v>0</v>
      </c>
      <c r="P1585" s="11">
        <v>1</v>
      </c>
    </row>
    <row r="1586" spans="1:16" ht="15" thickBot="1" x14ac:dyDescent="0.3">
      <c r="A1586" s="3" t="s">
        <v>11</v>
      </c>
      <c r="B1586" s="4">
        <v>357860</v>
      </c>
      <c r="C1586" s="3" t="s">
        <v>3</v>
      </c>
      <c r="D1586" s="18">
        <v>8.5000000000000006E-2</v>
      </c>
      <c r="E1586" s="21">
        <v>6.8214933659622723E-3</v>
      </c>
      <c r="F1586" s="5">
        <v>42310</v>
      </c>
      <c r="G1586" s="5">
        <v>42676</v>
      </c>
      <c r="H1586" s="16">
        <v>366</v>
      </c>
      <c r="I1586" s="5">
        <v>43921</v>
      </c>
      <c r="J1586" s="5">
        <v>44011</v>
      </c>
      <c r="K1586" s="16">
        <v>1701</v>
      </c>
      <c r="L1586" s="13">
        <v>102500</v>
      </c>
      <c r="M1586" s="15">
        <v>8784.6963585269677</v>
      </c>
      <c r="N1586" s="13">
        <v>38000</v>
      </c>
      <c r="O1586" s="13">
        <v>2000</v>
      </c>
      <c r="P1586" s="11">
        <v>1</v>
      </c>
    </row>
    <row r="1587" spans="1:16" ht="15" thickBot="1" x14ac:dyDescent="0.3">
      <c r="A1587" s="3" t="s">
        <v>11</v>
      </c>
      <c r="B1587" s="4">
        <v>780466</v>
      </c>
      <c r="C1587" s="3" t="s">
        <v>9</v>
      </c>
      <c r="D1587" s="18">
        <v>0.12</v>
      </c>
      <c r="E1587" s="21">
        <v>9.4887929345830457E-3</v>
      </c>
      <c r="F1587" s="5">
        <v>42311</v>
      </c>
      <c r="G1587" s="5">
        <v>43407</v>
      </c>
      <c r="H1587" s="16">
        <v>1096</v>
      </c>
      <c r="I1587" s="5">
        <v>43407</v>
      </c>
      <c r="J1587" s="5">
        <v>43003</v>
      </c>
      <c r="K1587" s="16">
        <v>692</v>
      </c>
      <c r="L1587" s="13">
        <v>6271.43</v>
      </c>
      <c r="M1587" s="15">
        <v>203.9381288836332</v>
      </c>
      <c r="N1587" s="13">
        <v>6271.43</v>
      </c>
      <c r="O1587" s="13">
        <v>300</v>
      </c>
      <c r="P1587" s="11">
        <v>1</v>
      </c>
    </row>
    <row r="1588" spans="1:16" ht="15" thickBot="1" x14ac:dyDescent="0.3">
      <c r="A1588" s="3" t="s">
        <v>11</v>
      </c>
      <c r="B1588" s="4">
        <v>266672</v>
      </c>
      <c r="C1588" s="3" t="s">
        <v>9</v>
      </c>
      <c r="D1588" s="18">
        <v>0.1</v>
      </c>
      <c r="E1588" s="21">
        <v>7.9741404289037643E-3</v>
      </c>
      <c r="F1588" s="5">
        <v>42312</v>
      </c>
      <c r="G1588" s="5">
        <v>44290</v>
      </c>
      <c r="H1588" s="16">
        <v>1978</v>
      </c>
      <c r="I1588" s="5">
        <v>44290</v>
      </c>
      <c r="J1588" s="5">
        <v>43657</v>
      </c>
      <c r="K1588" s="16">
        <v>1345</v>
      </c>
      <c r="L1588" s="13">
        <v>4631.55</v>
      </c>
      <c r="M1588" s="15">
        <v>90.596385711911964</v>
      </c>
      <c r="N1588" s="13">
        <v>4222.0600000000004</v>
      </c>
      <c r="O1588" s="13">
        <v>64.67</v>
      </c>
      <c r="P1588" s="11">
        <v>1</v>
      </c>
    </row>
    <row r="1589" spans="1:16" ht="15" thickBot="1" x14ac:dyDescent="0.3">
      <c r="A1589" s="3" t="s">
        <v>11</v>
      </c>
      <c r="B1589" s="4">
        <v>60420</v>
      </c>
      <c r="C1589" s="3" t="s">
        <v>9</v>
      </c>
      <c r="D1589" s="18">
        <v>0.14000000000000001</v>
      </c>
      <c r="E1589" s="21">
        <v>1.0978851950173452E-2</v>
      </c>
      <c r="F1589" s="5">
        <v>42314</v>
      </c>
      <c r="G1589" s="5">
        <v>42741</v>
      </c>
      <c r="H1589" s="16">
        <v>427</v>
      </c>
      <c r="I1589" s="5">
        <v>42741</v>
      </c>
      <c r="J1589" s="5">
        <v>42632</v>
      </c>
      <c r="K1589" s="16">
        <v>318</v>
      </c>
      <c r="L1589" s="13">
        <v>1042.81</v>
      </c>
      <c r="M1589" s="15">
        <v>79.539437097388912</v>
      </c>
      <c r="N1589" s="13">
        <v>1042.81</v>
      </c>
      <c r="O1589" s="13">
        <v>0</v>
      </c>
      <c r="P1589" s="11">
        <v>1</v>
      </c>
    </row>
    <row r="1590" spans="1:16" ht="15" thickBot="1" x14ac:dyDescent="0.3">
      <c r="A1590" s="3" t="s">
        <v>11</v>
      </c>
      <c r="B1590" s="4">
        <v>919057</v>
      </c>
      <c r="C1590" s="3" t="s">
        <v>9</v>
      </c>
      <c r="D1590" s="18">
        <v>0.1</v>
      </c>
      <c r="E1590" s="21">
        <v>7.9741404289037643E-3</v>
      </c>
      <c r="F1590" s="5">
        <v>42317</v>
      </c>
      <c r="G1590" s="5">
        <v>42925</v>
      </c>
      <c r="H1590" s="16">
        <v>608</v>
      </c>
      <c r="I1590" s="5">
        <v>42925</v>
      </c>
      <c r="J1590" s="5">
        <v>42556</v>
      </c>
      <c r="K1590" s="16">
        <v>239</v>
      </c>
      <c r="L1590" s="13">
        <v>1720.28</v>
      </c>
      <c r="M1590" s="15">
        <v>92.263028317931827</v>
      </c>
      <c r="N1590" s="13">
        <v>1720.28</v>
      </c>
      <c r="O1590" s="13">
        <v>0</v>
      </c>
      <c r="P1590" s="11">
        <v>1</v>
      </c>
    </row>
    <row r="1591" spans="1:16" ht="15" thickBot="1" x14ac:dyDescent="0.3">
      <c r="A1591" s="3" t="s">
        <v>11</v>
      </c>
      <c r="B1591" s="4">
        <v>32035</v>
      </c>
      <c r="C1591" s="3" t="s">
        <v>9</v>
      </c>
      <c r="D1591" s="18">
        <v>0.1</v>
      </c>
      <c r="E1591" s="21">
        <v>7.9741404289037643E-3</v>
      </c>
      <c r="F1591" s="5">
        <v>42320</v>
      </c>
      <c r="G1591" s="5">
        <v>44877</v>
      </c>
      <c r="H1591" s="16">
        <v>2557</v>
      </c>
      <c r="I1591" s="5">
        <v>44877</v>
      </c>
      <c r="J1591" s="5">
        <v>43167</v>
      </c>
      <c r="K1591" s="16">
        <v>847</v>
      </c>
      <c r="L1591" s="13">
        <v>5550.68</v>
      </c>
      <c r="M1591" s="15">
        <v>89.991727135434658</v>
      </c>
      <c r="N1591" s="13">
        <v>5550.68</v>
      </c>
      <c r="O1591" s="13">
        <v>0</v>
      </c>
      <c r="P1591" s="11">
        <v>1</v>
      </c>
    </row>
    <row r="1592" spans="1:16" ht="15" thickBot="1" x14ac:dyDescent="0.3">
      <c r="A1592" s="3" t="s">
        <v>11</v>
      </c>
      <c r="B1592" s="4">
        <v>19186</v>
      </c>
      <c r="C1592" s="3" t="s">
        <v>9</v>
      </c>
      <c r="D1592" s="18">
        <v>0.09</v>
      </c>
      <c r="E1592" s="21">
        <v>7.2073233161367156E-3</v>
      </c>
      <c r="F1592" s="5">
        <v>42320</v>
      </c>
      <c r="G1592" s="5">
        <v>44938</v>
      </c>
      <c r="H1592" s="16">
        <v>2618</v>
      </c>
      <c r="I1592" s="5">
        <v>44938</v>
      </c>
      <c r="J1592" s="5">
        <v>42858</v>
      </c>
      <c r="K1592" s="16">
        <v>538</v>
      </c>
      <c r="L1592" s="13">
        <v>32671.97</v>
      </c>
      <c r="M1592" s="15">
        <v>505.69673632281882</v>
      </c>
      <c r="N1592" s="13">
        <v>32671.97</v>
      </c>
      <c r="O1592" s="13">
        <v>0</v>
      </c>
      <c r="P1592" s="11">
        <v>1</v>
      </c>
    </row>
    <row r="1593" spans="1:16" ht="15" thickBot="1" x14ac:dyDescent="0.3">
      <c r="A1593" s="3" t="s">
        <v>11</v>
      </c>
      <c r="B1593" s="4">
        <v>282851</v>
      </c>
      <c r="C1593" s="3" t="s">
        <v>9</v>
      </c>
      <c r="D1593" s="18">
        <v>0.1</v>
      </c>
      <c r="E1593" s="21">
        <v>7.9741404289037643E-3</v>
      </c>
      <c r="F1593" s="5">
        <v>42321</v>
      </c>
      <c r="G1593" s="5">
        <v>43860</v>
      </c>
      <c r="H1593" s="16">
        <v>1539</v>
      </c>
      <c r="I1593" s="5">
        <v>43860</v>
      </c>
      <c r="J1593" s="5">
        <v>43633</v>
      </c>
      <c r="K1593" s="16">
        <v>1312</v>
      </c>
      <c r="L1593" s="13">
        <v>3513.35</v>
      </c>
      <c r="M1593" s="15">
        <v>83.715665124435418</v>
      </c>
      <c r="N1593" s="13">
        <v>3230.98</v>
      </c>
      <c r="O1593" s="13">
        <v>2517</v>
      </c>
      <c r="P1593" s="11">
        <v>1</v>
      </c>
    </row>
    <row r="1594" spans="1:16" ht="15" thickBot="1" x14ac:dyDescent="0.3">
      <c r="A1594" s="3" t="s">
        <v>11</v>
      </c>
      <c r="B1594" s="4">
        <v>278175</v>
      </c>
      <c r="C1594" s="3" t="s">
        <v>9</v>
      </c>
      <c r="D1594" s="18">
        <v>0.1</v>
      </c>
      <c r="E1594" s="21">
        <v>7.9741404289037643E-3</v>
      </c>
      <c r="F1594" s="5">
        <v>42328</v>
      </c>
      <c r="G1594" s="5">
        <v>43986</v>
      </c>
      <c r="H1594" s="16">
        <v>1658</v>
      </c>
      <c r="I1594" s="5">
        <v>43986</v>
      </c>
      <c r="J1594" s="5">
        <v>42426</v>
      </c>
      <c r="K1594" s="16">
        <v>98</v>
      </c>
      <c r="L1594" s="13">
        <v>24492.87</v>
      </c>
      <c r="M1594" s="15">
        <v>549.71713040663747</v>
      </c>
      <c r="N1594" s="13">
        <v>24492.87</v>
      </c>
      <c r="O1594" s="13">
        <v>0</v>
      </c>
      <c r="P1594" s="11">
        <v>1</v>
      </c>
    </row>
    <row r="1595" spans="1:16" ht="15" thickBot="1" x14ac:dyDescent="0.3">
      <c r="A1595" s="3" t="s">
        <v>11</v>
      </c>
      <c r="B1595" s="4">
        <v>383982</v>
      </c>
      <c r="C1595" s="3" t="s">
        <v>9</v>
      </c>
      <c r="D1595" s="18">
        <v>7.4999999999999997E-2</v>
      </c>
      <c r="E1595" s="21">
        <v>6.0449190242917172E-3</v>
      </c>
      <c r="F1595" s="5">
        <v>42333</v>
      </c>
      <c r="G1595" s="5">
        <v>44525</v>
      </c>
      <c r="H1595" s="16">
        <v>2192</v>
      </c>
      <c r="I1595" s="5">
        <v>44525</v>
      </c>
      <c r="J1595" s="5">
        <v>42732</v>
      </c>
      <c r="K1595" s="16">
        <v>399</v>
      </c>
      <c r="L1595" s="13">
        <v>37000</v>
      </c>
      <c r="M1595" s="15">
        <v>627.92796593568164</v>
      </c>
      <c r="N1595" s="13">
        <v>37000</v>
      </c>
      <c r="O1595" s="13">
        <v>0</v>
      </c>
      <c r="P1595" s="11">
        <v>1</v>
      </c>
    </row>
    <row r="1596" spans="1:16" ht="15" thickBot="1" x14ac:dyDescent="0.3">
      <c r="A1596" s="3" t="s">
        <v>11</v>
      </c>
      <c r="B1596" s="4">
        <v>918086</v>
      </c>
      <c r="C1596" s="3" t="s">
        <v>9</v>
      </c>
      <c r="D1596" s="18">
        <v>0.1</v>
      </c>
      <c r="E1596" s="21">
        <v>7.9741404289037643E-3</v>
      </c>
      <c r="F1596" s="5">
        <v>42335</v>
      </c>
      <c r="G1596" s="5">
        <v>43066</v>
      </c>
      <c r="H1596" s="16">
        <v>731</v>
      </c>
      <c r="I1596" s="5">
        <v>43066</v>
      </c>
      <c r="J1596" s="5">
        <v>42877</v>
      </c>
      <c r="K1596" s="16">
        <v>542</v>
      </c>
      <c r="L1596" s="13">
        <v>2104.38</v>
      </c>
      <c r="M1596" s="15">
        <v>95.367719240732271</v>
      </c>
      <c r="N1596" s="13">
        <v>2104.38</v>
      </c>
      <c r="O1596" s="13">
        <v>0</v>
      </c>
      <c r="P1596" s="11">
        <v>1</v>
      </c>
    </row>
    <row r="1597" spans="1:16" ht="15" thickBot="1" x14ac:dyDescent="0.3">
      <c r="A1597" s="3" t="s">
        <v>11</v>
      </c>
      <c r="B1597" s="4">
        <v>358572</v>
      </c>
      <c r="C1597" s="3" t="s">
        <v>9</v>
      </c>
      <c r="D1597" s="18">
        <v>0.1</v>
      </c>
      <c r="E1597" s="21">
        <v>7.9741404289037643E-3</v>
      </c>
      <c r="F1597" s="5">
        <v>42338</v>
      </c>
      <c r="G1597" s="5">
        <v>42855</v>
      </c>
      <c r="H1597" s="16">
        <v>517</v>
      </c>
      <c r="I1597" s="5">
        <v>42855</v>
      </c>
      <c r="J1597" s="5">
        <v>42628</v>
      </c>
      <c r="K1597" s="16">
        <v>290</v>
      </c>
      <c r="L1597" s="13">
        <v>2699.92</v>
      </c>
      <c r="M1597" s="15">
        <v>168.30256037860707</v>
      </c>
      <c r="N1597" s="13">
        <v>2699.92</v>
      </c>
      <c r="O1597" s="13">
        <v>2699.92</v>
      </c>
      <c r="P1597" s="11">
        <v>1</v>
      </c>
    </row>
    <row r="1598" spans="1:16" ht="15" thickBot="1" x14ac:dyDescent="0.3">
      <c r="A1598" s="3" t="s">
        <v>11</v>
      </c>
      <c r="B1598" s="4">
        <v>453781</v>
      </c>
      <c r="C1598" s="3" t="s">
        <v>9</v>
      </c>
      <c r="D1598" s="18">
        <v>0.1</v>
      </c>
      <c r="E1598" s="21">
        <v>7.9741404289037643E-3</v>
      </c>
      <c r="F1598" s="5">
        <v>42338</v>
      </c>
      <c r="G1598" s="5">
        <v>44895</v>
      </c>
      <c r="H1598" s="16">
        <v>2557</v>
      </c>
      <c r="I1598" s="5">
        <v>44895</v>
      </c>
      <c r="J1598" s="5">
        <v>42916</v>
      </c>
      <c r="K1598" s="16">
        <v>578</v>
      </c>
      <c r="L1598" s="13">
        <v>9000</v>
      </c>
      <c r="M1598" s="15">
        <v>145.91465265857732</v>
      </c>
      <c r="N1598" s="13">
        <v>9000</v>
      </c>
      <c r="O1598" s="13">
        <v>0</v>
      </c>
      <c r="P1598" s="11">
        <v>1</v>
      </c>
    </row>
    <row r="1599" spans="1:16" ht="15" thickBot="1" x14ac:dyDescent="0.3">
      <c r="A1599" s="3" t="s">
        <v>11</v>
      </c>
      <c r="B1599" s="4">
        <v>100094</v>
      </c>
      <c r="C1599" s="3" t="s">
        <v>9</v>
      </c>
      <c r="D1599" s="18">
        <v>0.1</v>
      </c>
      <c r="E1599" s="21">
        <v>7.9741404289037643E-3</v>
      </c>
      <c r="F1599" s="5">
        <v>42338</v>
      </c>
      <c r="G1599" s="5">
        <v>44895</v>
      </c>
      <c r="H1599" s="16">
        <v>2557</v>
      </c>
      <c r="I1599" s="5">
        <v>44925</v>
      </c>
      <c r="J1599" s="5">
        <v>43818</v>
      </c>
      <c r="K1599" s="16">
        <v>1480</v>
      </c>
      <c r="L1599" s="13">
        <v>40164.870000000003</v>
      </c>
      <c r="M1599" s="15">
        <v>651.18256168076812</v>
      </c>
      <c r="N1599" s="13">
        <v>21422.07</v>
      </c>
      <c r="O1599" s="13">
        <v>21422.07</v>
      </c>
      <c r="P1599" s="11">
        <v>1</v>
      </c>
    </row>
    <row r="1600" spans="1:16" ht="15" thickBot="1" x14ac:dyDescent="0.3">
      <c r="A1600" s="3" t="s">
        <v>11</v>
      </c>
      <c r="B1600" s="4">
        <v>156732</v>
      </c>
      <c r="C1600" s="3" t="s">
        <v>9</v>
      </c>
      <c r="D1600" s="18">
        <v>0.1</v>
      </c>
      <c r="E1600" s="21">
        <v>7.9741404289037643E-3</v>
      </c>
      <c r="F1600" s="5">
        <v>42339</v>
      </c>
      <c r="G1600" s="5">
        <v>44907</v>
      </c>
      <c r="H1600" s="16">
        <v>2568</v>
      </c>
      <c r="I1600" s="5">
        <v>44907</v>
      </c>
      <c r="J1600" s="5">
        <v>44099</v>
      </c>
      <c r="K1600" s="16">
        <v>1760</v>
      </c>
      <c r="L1600" s="13">
        <v>42264.27</v>
      </c>
      <c r="M1600" s="15">
        <v>683.16703694409512</v>
      </c>
      <c r="N1600" s="13">
        <v>11848.86</v>
      </c>
      <c r="O1600" s="13">
        <v>11848.86</v>
      </c>
      <c r="P1600" s="11">
        <v>1</v>
      </c>
    </row>
    <row r="1601" spans="1:16" ht="15" thickBot="1" x14ac:dyDescent="0.3">
      <c r="A1601" s="3" t="s">
        <v>11</v>
      </c>
      <c r="B1601" s="4">
        <v>37376</v>
      </c>
      <c r="C1601" s="3" t="s">
        <v>9</v>
      </c>
      <c r="D1601" s="18">
        <v>0.09</v>
      </c>
      <c r="E1601" s="21">
        <v>7.2073233161367156E-3</v>
      </c>
      <c r="F1601" s="5">
        <v>42342</v>
      </c>
      <c r="G1601" s="5">
        <v>43438</v>
      </c>
      <c r="H1601" s="16">
        <v>1096</v>
      </c>
      <c r="I1601" s="5">
        <v>43438</v>
      </c>
      <c r="J1601" s="5">
        <v>42905</v>
      </c>
      <c r="K1601" s="16">
        <v>563</v>
      </c>
      <c r="L1601" s="13">
        <v>2067.2199999999998</v>
      </c>
      <c r="M1601" s="15">
        <v>64.563093167337698</v>
      </c>
      <c r="N1601" s="13">
        <v>2067.2199999999998</v>
      </c>
      <c r="O1601" s="13">
        <v>0</v>
      </c>
      <c r="P1601" s="11">
        <v>1</v>
      </c>
    </row>
    <row r="1602" spans="1:16" ht="15" thickBot="1" x14ac:dyDescent="0.3">
      <c r="A1602" s="3" t="s">
        <v>11</v>
      </c>
      <c r="B1602" s="4">
        <v>557447</v>
      </c>
      <c r="C1602" s="3" t="s">
        <v>2</v>
      </c>
      <c r="D1602" s="18">
        <v>0.1</v>
      </c>
      <c r="E1602" s="21">
        <v>7.9741404289037643E-3</v>
      </c>
      <c r="F1602" s="5">
        <v>42345</v>
      </c>
      <c r="G1602" s="5">
        <v>43661</v>
      </c>
      <c r="H1602" s="16">
        <v>1316</v>
      </c>
      <c r="I1602" s="5">
        <v>43661</v>
      </c>
      <c r="J1602" s="5">
        <v>43725</v>
      </c>
      <c r="K1602" s="16">
        <v>1380</v>
      </c>
      <c r="L1602" s="13">
        <v>2829</v>
      </c>
      <c r="M1602" s="15">
        <v>76.680751400054405</v>
      </c>
      <c r="N1602" s="13">
        <v>2829</v>
      </c>
      <c r="O1602" s="13">
        <v>0</v>
      </c>
      <c r="P1602" s="11">
        <v>1</v>
      </c>
    </row>
    <row r="1603" spans="1:16" ht="15" thickBot="1" x14ac:dyDescent="0.3">
      <c r="A1603" s="3" t="s">
        <v>11</v>
      </c>
      <c r="B1603" s="4">
        <v>519072</v>
      </c>
      <c r="C1603" s="3" t="s">
        <v>9</v>
      </c>
      <c r="D1603" s="18">
        <v>0.1</v>
      </c>
      <c r="E1603" s="21">
        <v>7.9741404289037643E-3</v>
      </c>
      <c r="F1603" s="5">
        <v>42346</v>
      </c>
      <c r="G1603" s="5">
        <v>42833</v>
      </c>
      <c r="H1603" s="16">
        <v>487</v>
      </c>
      <c r="I1603" s="5">
        <v>42833</v>
      </c>
      <c r="J1603" s="5">
        <v>42583</v>
      </c>
      <c r="K1603" s="16">
        <v>237</v>
      </c>
      <c r="L1603" s="13">
        <v>1438.76</v>
      </c>
      <c r="M1603" s="15">
        <v>94.842558453050486</v>
      </c>
      <c r="N1603" s="13">
        <v>1438.76</v>
      </c>
      <c r="O1603" s="13">
        <v>0</v>
      </c>
      <c r="P1603" s="11">
        <v>1</v>
      </c>
    </row>
    <row r="1604" spans="1:16" ht="15" thickBot="1" x14ac:dyDescent="0.3">
      <c r="A1604" s="3" t="s">
        <v>11</v>
      </c>
      <c r="B1604" s="4">
        <v>613124</v>
      </c>
      <c r="C1604" s="3" t="s">
        <v>9</v>
      </c>
      <c r="D1604" s="18">
        <v>0.12</v>
      </c>
      <c r="E1604" s="21">
        <v>9.4887929345830457E-3</v>
      </c>
      <c r="F1604" s="5">
        <v>42346</v>
      </c>
      <c r="G1604" s="5">
        <v>44217</v>
      </c>
      <c r="H1604" s="16">
        <v>1871</v>
      </c>
      <c r="I1604" s="5">
        <v>44217</v>
      </c>
      <c r="J1604" s="5">
        <v>42802</v>
      </c>
      <c r="K1604" s="16">
        <v>456</v>
      </c>
      <c r="L1604" s="13">
        <v>6445.69</v>
      </c>
      <c r="M1604" s="15">
        <v>137.40678293736076</v>
      </c>
      <c r="N1604" s="13">
        <v>6445.69</v>
      </c>
      <c r="O1604" s="13">
        <v>0</v>
      </c>
      <c r="P1604" s="11">
        <v>1</v>
      </c>
    </row>
    <row r="1605" spans="1:16" ht="15" thickBot="1" x14ac:dyDescent="0.3">
      <c r="A1605" s="3" t="s">
        <v>11</v>
      </c>
      <c r="B1605" s="4">
        <v>556919</v>
      </c>
      <c r="C1605" s="3" t="s">
        <v>19</v>
      </c>
      <c r="D1605" s="18">
        <v>8.5000000000000006E-2</v>
      </c>
      <c r="E1605" s="21">
        <v>6.8214933659622723E-3</v>
      </c>
      <c r="F1605" s="5">
        <v>42348</v>
      </c>
      <c r="G1605" s="5">
        <v>44653</v>
      </c>
      <c r="H1605" s="16">
        <v>2305</v>
      </c>
      <c r="I1605" s="5">
        <v>44653</v>
      </c>
      <c r="J1605" s="5">
        <v>43592</v>
      </c>
      <c r="K1605" s="16">
        <v>1244</v>
      </c>
      <c r="L1605" s="13">
        <v>17926.59</v>
      </c>
      <c r="M1605" s="15">
        <v>300.55466523267347</v>
      </c>
      <c r="N1605" s="13">
        <v>16270.16</v>
      </c>
      <c r="O1605" s="13">
        <v>0</v>
      </c>
      <c r="P1605" s="11">
        <v>1</v>
      </c>
    </row>
    <row r="1606" spans="1:16" ht="15" thickBot="1" x14ac:dyDescent="0.3">
      <c r="A1606" s="3" t="s">
        <v>11</v>
      </c>
      <c r="B1606" s="4">
        <v>691520</v>
      </c>
      <c r="C1606" s="3" t="s">
        <v>9</v>
      </c>
      <c r="D1606" s="18">
        <v>0.1</v>
      </c>
      <c r="E1606" s="21">
        <v>7.9741404289037643E-3</v>
      </c>
      <c r="F1606" s="5">
        <v>42354</v>
      </c>
      <c r="G1606" s="5">
        <v>43937</v>
      </c>
      <c r="H1606" s="16">
        <v>1583</v>
      </c>
      <c r="I1606" s="5">
        <v>43937</v>
      </c>
      <c r="J1606" s="5">
        <v>43621</v>
      </c>
      <c r="K1606" s="16">
        <v>1267</v>
      </c>
      <c r="L1606" s="13">
        <v>9110.8700000000008</v>
      </c>
      <c r="M1606" s="15">
        <v>212.20650069638563</v>
      </c>
      <c r="N1606" s="13">
        <v>8498.6299999999992</v>
      </c>
      <c r="O1606" s="13">
        <v>125.9</v>
      </c>
      <c r="P1606" s="11">
        <v>1</v>
      </c>
    </row>
    <row r="1607" spans="1:16" ht="15" thickBot="1" x14ac:dyDescent="0.3">
      <c r="A1607" s="3" t="s">
        <v>11</v>
      </c>
      <c r="B1607" s="4">
        <v>864896</v>
      </c>
      <c r="C1607" s="3" t="s">
        <v>9</v>
      </c>
      <c r="D1607" s="18">
        <v>0.1</v>
      </c>
      <c r="E1607" s="21">
        <v>7.9741404289037643E-3</v>
      </c>
      <c r="F1607" s="5">
        <v>42356</v>
      </c>
      <c r="G1607" s="5">
        <v>43452</v>
      </c>
      <c r="H1607" s="16">
        <v>1096</v>
      </c>
      <c r="I1607" s="5">
        <v>43452</v>
      </c>
      <c r="J1607" s="5">
        <v>42636</v>
      </c>
      <c r="K1607" s="16">
        <v>280</v>
      </c>
      <c r="L1607" s="13">
        <v>5241.28</v>
      </c>
      <c r="M1607" s="15">
        <v>165.943498776648</v>
      </c>
      <c r="N1607" s="13">
        <v>5241.28</v>
      </c>
      <c r="O1607" s="13">
        <v>0</v>
      </c>
      <c r="P1607" s="11">
        <v>1</v>
      </c>
    </row>
    <row r="1608" spans="1:16" ht="15" thickBot="1" x14ac:dyDescent="0.3">
      <c r="A1608" s="3" t="s">
        <v>11</v>
      </c>
      <c r="B1608" s="4">
        <v>855296</v>
      </c>
      <c r="C1608" s="3" t="s">
        <v>9</v>
      </c>
      <c r="D1608" s="18">
        <v>0.1</v>
      </c>
      <c r="E1608" s="21">
        <v>7.9741404289037643E-3</v>
      </c>
      <c r="F1608" s="5">
        <v>42359</v>
      </c>
      <c r="G1608" s="5">
        <v>44186</v>
      </c>
      <c r="H1608" s="16">
        <v>1827</v>
      </c>
      <c r="I1608" s="5">
        <v>44186</v>
      </c>
      <c r="J1608" s="5">
        <v>43935</v>
      </c>
      <c r="K1608" s="16">
        <v>1576</v>
      </c>
      <c r="L1608" s="13">
        <v>7931.79</v>
      </c>
      <c r="M1608" s="15">
        <v>164.92564015900521</v>
      </c>
      <c r="N1608" s="13">
        <v>324.67</v>
      </c>
      <c r="O1608" s="13">
        <v>324.67</v>
      </c>
      <c r="P1608" s="11">
        <v>1</v>
      </c>
    </row>
    <row r="1609" spans="1:16" ht="15" thickBot="1" x14ac:dyDescent="0.3">
      <c r="A1609" s="3" t="s">
        <v>11</v>
      </c>
      <c r="B1609" s="4">
        <v>315229</v>
      </c>
      <c r="C1609" s="3" t="s">
        <v>9</v>
      </c>
      <c r="D1609" s="18">
        <v>0.08</v>
      </c>
      <c r="E1609" s="21">
        <v>6.4340301100034303E-3</v>
      </c>
      <c r="F1609" s="5">
        <v>42361</v>
      </c>
      <c r="G1609" s="5">
        <v>44370</v>
      </c>
      <c r="H1609" s="16">
        <v>2009</v>
      </c>
      <c r="I1609" s="5">
        <v>44370</v>
      </c>
      <c r="J1609" s="5">
        <v>42641</v>
      </c>
      <c r="K1609" s="16">
        <v>280</v>
      </c>
      <c r="L1609" s="13">
        <v>10274.57</v>
      </c>
      <c r="M1609" s="15">
        <v>189.33337609410555</v>
      </c>
      <c r="N1609" s="13">
        <v>10274.57</v>
      </c>
      <c r="O1609" s="13">
        <v>0</v>
      </c>
      <c r="P1609" s="11">
        <v>1</v>
      </c>
    </row>
    <row r="1610" spans="1:16" ht="15" thickBot="1" x14ac:dyDescent="0.3">
      <c r="A1610" s="3" t="s">
        <v>11</v>
      </c>
      <c r="B1610" s="4">
        <v>621962</v>
      </c>
      <c r="C1610" s="3" t="s">
        <v>9</v>
      </c>
      <c r="D1610" s="18">
        <v>8.5000000000000006E-2</v>
      </c>
      <c r="E1610" s="21">
        <v>6.8214933659622723E-3</v>
      </c>
      <c r="F1610" s="5">
        <v>42608</v>
      </c>
      <c r="G1610" s="5">
        <v>44635</v>
      </c>
      <c r="H1610" s="16">
        <v>2027</v>
      </c>
      <c r="I1610" s="5">
        <v>44635</v>
      </c>
      <c r="J1610" s="5">
        <v>43644</v>
      </c>
      <c r="K1610" s="16">
        <v>1036</v>
      </c>
      <c r="L1610" s="13">
        <v>12011.42</v>
      </c>
      <c r="M1610" s="15">
        <v>222.47034036454482</v>
      </c>
      <c r="N1610" s="13">
        <v>12011.42</v>
      </c>
      <c r="O1610" s="13">
        <v>0</v>
      </c>
      <c r="P1610" s="11">
        <v>1</v>
      </c>
    </row>
    <row r="1611" spans="1:16" ht="15" thickBot="1" x14ac:dyDescent="0.3">
      <c r="A1611" s="3" t="s">
        <v>11</v>
      </c>
      <c r="B1611" s="4">
        <v>950858</v>
      </c>
      <c r="C1611" s="3" t="s">
        <v>9</v>
      </c>
      <c r="D1611" s="18">
        <v>0.1</v>
      </c>
      <c r="E1611" s="21">
        <v>7.9741404289037643E-3</v>
      </c>
      <c r="F1611" s="5">
        <v>42367</v>
      </c>
      <c r="G1611" s="5">
        <v>43613</v>
      </c>
      <c r="H1611" s="16">
        <v>1246</v>
      </c>
      <c r="I1611" s="5">
        <v>43613</v>
      </c>
      <c r="J1611" s="5">
        <v>43725</v>
      </c>
      <c r="K1611" s="16">
        <v>1358</v>
      </c>
      <c r="L1611" s="13">
        <v>527.12</v>
      </c>
      <c r="M1611" s="15">
        <v>14.95903229429639</v>
      </c>
      <c r="N1611" s="13">
        <v>527.12</v>
      </c>
      <c r="O1611" s="13">
        <v>0</v>
      </c>
      <c r="P1611" s="11">
        <v>1</v>
      </c>
    </row>
    <row r="1612" spans="1:16" ht="15" thickBot="1" x14ac:dyDescent="0.3">
      <c r="A1612" s="3" t="s">
        <v>11</v>
      </c>
      <c r="B1612" s="4">
        <v>636323</v>
      </c>
      <c r="C1612" s="3" t="s">
        <v>9</v>
      </c>
      <c r="D1612" s="18">
        <v>0.1</v>
      </c>
      <c r="E1612" s="21">
        <v>7.9741404289037643E-3</v>
      </c>
      <c r="F1612" s="5">
        <v>42367</v>
      </c>
      <c r="G1612" s="5">
        <v>43828</v>
      </c>
      <c r="H1612" s="16">
        <v>1461</v>
      </c>
      <c r="I1612" s="5">
        <v>43828</v>
      </c>
      <c r="J1612" s="5">
        <v>43210</v>
      </c>
      <c r="K1612" s="16">
        <v>843</v>
      </c>
      <c r="L1612" s="13">
        <v>24704.39</v>
      </c>
      <c r="M1612" s="15">
        <v>614.12908808110478</v>
      </c>
      <c r="N1612" s="13">
        <v>24704.39</v>
      </c>
      <c r="O1612" s="13">
        <v>0</v>
      </c>
      <c r="P1612" s="11">
        <v>1</v>
      </c>
    </row>
    <row r="1613" spans="1:16" ht="15" thickBot="1" x14ac:dyDescent="0.3">
      <c r="A1613" s="3" t="s">
        <v>11</v>
      </c>
      <c r="B1613" s="4">
        <v>572329</v>
      </c>
      <c r="C1613" s="3" t="s">
        <v>9</v>
      </c>
      <c r="D1613" s="18">
        <v>0.1</v>
      </c>
      <c r="E1613" s="21">
        <v>7.9741404289037643E-3</v>
      </c>
      <c r="F1613" s="5">
        <v>42374</v>
      </c>
      <c r="G1613" s="5">
        <v>44597</v>
      </c>
      <c r="H1613" s="16">
        <v>2223</v>
      </c>
      <c r="I1613" s="5">
        <v>44597</v>
      </c>
      <c r="J1613" s="5">
        <v>43215</v>
      </c>
      <c r="K1613" s="16">
        <v>841</v>
      </c>
      <c r="L1613" s="13">
        <v>11295.78</v>
      </c>
      <c r="M1613" s="15">
        <v>202.47612116087652</v>
      </c>
      <c r="N1613" s="13">
        <v>11295.78</v>
      </c>
      <c r="O1613" s="13">
        <v>0</v>
      </c>
      <c r="P1613" s="11">
        <v>1</v>
      </c>
    </row>
    <row r="1614" spans="1:16" ht="15" thickBot="1" x14ac:dyDescent="0.3">
      <c r="A1614" s="3" t="s">
        <v>11</v>
      </c>
      <c r="B1614" s="4">
        <v>369984</v>
      </c>
      <c r="C1614" s="3" t="s">
        <v>9</v>
      </c>
      <c r="D1614" s="18">
        <v>0.1</v>
      </c>
      <c r="E1614" s="21">
        <v>7.9741404289037643E-3</v>
      </c>
      <c r="F1614" s="5">
        <v>42377</v>
      </c>
      <c r="G1614" s="5">
        <v>44569</v>
      </c>
      <c r="H1614" s="16">
        <v>2192</v>
      </c>
      <c r="I1614" s="5">
        <v>44569</v>
      </c>
      <c r="J1614" s="5">
        <v>43234</v>
      </c>
      <c r="K1614" s="16">
        <v>857</v>
      </c>
      <c r="L1614" s="13">
        <v>27995.08</v>
      </c>
      <c r="M1614" s="15">
        <v>507.02414718655706</v>
      </c>
      <c r="N1614" s="13">
        <v>27995.08</v>
      </c>
      <c r="O1614" s="13">
        <v>6133.37</v>
      </c>
      <c r="P1614" s="11">
        <v>1</v>
      </c>
    </row>
    <row r="1615" spans="1:16" ht="15" thickBot="1" x14ac:dyDescent="0.3">
      <c r="A1615" s="3" t="s">
        <v>11</v>
      </c>
      <c r="B1615" s="4">
        <v>550341</v>
      </c>
      <c r="C1615" s="3" t="s">
        <v>9</v>
      </c>
      <c r="D1615" s="18">
        <v>0.1</v>
      </c>
      <c r="E1615" s="21">
        <v>7.9741404289037643E-3</v>
      </c>
      <c r="F1615" s="5">
        <v>42377</v>
      </c>
      <c r="G1615" s="5">
        <v>45013</v>
      </c>
      <c r="H1615" s="16">
        <v>2636</v>
      </c>
      <c r="I1615" s="5">
        <v>45319</v>
      </c>
      <c r="J1615" s="5">
        <v>43971</v>
      </c>
      <c r="K1615" s="16">
        <v>1594</v>
      </c>
      <c r="L1615" s="13">
        <v>26281.56</v>
      </c>
      <c r="M1615" s="15">
        <v>417.174989421693</v>
      </c>
      <c r="N1615" s="13">
        <v>16524.95</v>
      </c>
      <c r="O1615" s="13">
        <v>0</v>
      </c>
      <c r="P1615" s="11">
        <v>1</v>
      </c>
    </row>
    <row r="1616" spans="1:16" ht="15" thickBot="1" x14ac:dyDescent="0.3">
      <c r="A1616" s="3" t="s">
        <v>11</v>
      </c>
      <c r="B1616" s="4">
        <v>14844</v>
      </c>
      <c r="C1616" s="3" t="s">
        <v>9</v>
      </c>
      <c r="D1616" s="18">
        <v>0.1</v>
      </c>
      <c r="E1616" s="21">
        <v>7.9741404289037643E-3</v>
      </c>
      <c r="F1616" s="5">
        <v>42383</v>
      </c>
      <c r="G1616" s="5">
        <v>44210</v>
      </c>
      <c r="H1616" s="16">
        <v>1827</v>
      </c>
      <c r="I1616" s="5">
        <v>44210</v>
      </c>
      <c r="J1616" s="5">
        <v>42495</v>
      </c>
      <c r="K1616" s="16">
        <v>112</v>
      </c>
      <c r="L1616" s="13">
        <v>3773.69</v>
      </c>
      <c r="M1616" s="15">
        <v>78.466303194062917</v>
      </c>
      <c r="N1616" s="13">
        <v>3773.69</v>
      </c>
      <c r="O1616" s="13">
        <v>0</v>
      </c>
      <c r="P1616" s="11">
        <v>1</v>
      </c>
    </row>
    <row r="1617" spans="1:16" ht="15" thickBot="1" x14ac:dyDescent="0.3">
      <c r="A1617" s="3" t="s">
        <v>11</v>
      </c>
      <c r="B1617" s="4">
        <v>97265</v>
      </c>
      <c r="C1617" s="3" t="s">
        <v>9</v>
      </c>
      <c r="D1617" s="18">
        <v>0.1</v>
      </c>
      <c r="E1617" s="21">
        <v>7.9741404289037643E-3</v>
      </c>
      <c r="F1617" s="5">
        <v>42384</v>
      </c>
      <c r="G1617" s="5">
        <v>43661</v>
      </c>
      <c r="H1617" s="16">
        <v>1277</v>
      </c>
      <c r="I1617" s="5">
        <v>43661</v>
      </c>
      <c r="J1617" s="5">
        <v>43154</v>
      </c>
      <c r="K1617" s="16">
        <v>770</v>
      </c>
      <c r="L1617" s="13">
        <v>2568.77</v>
      </c>
      <c r="M1617" s="15">
        <v>71.405150145341651</v>
      </c>
      <c r="N1617" s="13">
        <v>2568.77</v>
      </c>
      <c r="O1617" s="13">
        <v>0</v>
      </c>
      <c r="P1617" s="11">
        <v>1</v>
      </c>
    </row>
    <row r="1618" spans="1:16" ht="15" thickBot="1" x14ac:dyDescent="0.3">
      <c r="A1618" s="3" t="s">
        <v>11</v>
      </c>
      <c r="B1618" s="4">
        <v>387885</v>
      </c>
      <c r="C1618" s="3" t="s">
        <v>9</v>
      </c>
      <c r="D1618" s="18">
        <v>0.1</v>
      </c>
      <c r="E1618" s="21">
        <v>7.9741404289037643E-3</v>
      </c>
      <c r="F1618" s="5">
        <v>42384</v>
      </c>
      <c r="G1618" s="5">
        <v>44576</v>
      </c>
      <c r="H1618" s="16">
        <v>2192</v>
      </c>
      <c r="I1618" s="5">
        <v>44576</v>
      </c>
      <c r="J1618" s="5">
        <v>43644</v>
      </c>
      <c r="K1618" s="16">
        <v>1260</v>
      </c>
      <c r="L1618" s="13">
        <v>9510.06</v>
      </c>
      <c r="M1618" s="15">
        <v>172.23848123288047</v>
      </c>
      <c r="N1618" s="13">
        <v>9510.06</v>
      </c>
      <c r="O1618" s="13">
        <v>0</v>
      </c>
      <c r="P1618" s="11">
        <v>1</v>
      </c>
    </row>
    <row r="1619" spans="1:16" ht="15" thickBot="1" x14ac:dyDescent="0.3">
      <c r="A1619" s="3" t="s">
        <v>11</v>
      </c>
      <c r="B1619" s="4">
        <v>27019</v>
      </c>
      <c r="C1619" s="3" t="s">
        <v>9</v>
      </c>
      <c r="D1619" s="18">
        <v>0.1</v>
      </c>
      <c r="E1619" s="21">
        <v>7.9741404289037643E-3</v>
      </c>
      <c r="F1619" s="5">
        <v>42388</v>
      </c>
      <c r="G1619" s="5">
        <v>43119</v>
      </c>
      <c r="H1619" s="16">
        <v>731</v>
      </c>
      <c r="I1619" s="5">
        <v>43119</v>
      </c>
      <c r="J1619" s="5">
        <v>43496</v>
      </c>
      <c r="K1619" s="16">
        <v>1108</v>
      </c>
      <c r="L1619" s="13">
        <v>24292.85</v>
      </c>
      <c r="M1619" s="15">
        <v>1100.9198425936488</v>
      </c>
      <c r="N1619" s="13">
        <v>24292.85</v>
      </c>
      <c r="O1619" s="13">
        <v>0</v>
      </c>
      <c r="P1619" s="11">
        <v>1</v>
      </c>
    </row>
    <row r="1620" spans="1:16" ht="15" thickBot="1" x14ac:dyDescent="0.3">
      <c r="A1620" s="3" t="s">
        <v>11</v>
      </c>
      <c r="B1620" s="4">
        <v>886809</v>
      </c>
      <c r="C1620" s="3" t="s">
        <v>9</v>
      </c>
      <c r="D1620" s="18">
        <v>0.14000000000000001</v>
      </c>
      <c r="E1620" s="21">
        <v>1.0978851950173452E-2</v>
      </c>
      <c r="F1620" s="5">
        <v>42390</v>
      </c>
      <c r="G1620" s="5">
        <v>43486</v>
      </c>
      <c r="H1620" s="16">
        <v>1096</v>
      </c>
      <c r="I1620" s="5">
        <v>43486</v>
      </c>
      <c r="J1620" s="5">
        <v>43236</v>
      </c>
      <c r="K1620" s="16">
        <v>846</v>
      </c>
      <c r="L1620" s="13">
        <v>5189.1899999999996</v>
      </c>
      <c r="M1620" s="15">
        <v>173.19270306016483</v>
      </c>
      <c r="N1620" s="13">
        <v>5189.1899999999996</v>
      </c>
      <c r="O1620" s="13">
        <v>0</v>
      </c>
      <c r="P1620" s="11">
        <v>1</v>
      </c>
    </row>
    <row r="1621" spans="1:16" ht="15" thickBot="1" x14ac:dyDescent="0.3">
      <c r="A1621" s="3" t="s">
        <v>11</v>
      </c>
      <c r="B1621" s="4">
        <v>788540</v>
      </c>
      <c r="C1621" s="3" t="s">
        <v>9</v>
      </c>
      <c r="D1621" s="18">
        <v>0.11</v>
      </c>
      <c r="E1621" s="21">
        <v>8.7345938235519061E-3</v>
      </c>
      <c r="F1621" s="5">
        <v>42394</v>
      </c>
      <c r="G1621" s="5">
        <v>44252</v>
      </c>
      <c r="H1621" s="16">
        <v>1858</v>
      </c>
      <c r="I1621" s="5">
        <v>44252</v>
      </c>
      <c r="J1621" s="5">
        <v>43011</v>
      </c>
      <c r="K1621" s="16">
        <v>617</v>
      </c>
      <c r="L1621" s="13">
        <v>8857.14</v>
      </c>
      <c r="M1621" s="15">
        <v>185.772044018397</v>
      </c>
      <c r="N1621" s="13">
        <v>8857.14</v>
      </c>
      <c r="O1621" s="13">
        <v>325</v>
      </c>
      <c r="P1621" s="11">
        <v>1</v>
      </c>
    </row>
    <row r="1622" spans="1:16" ht="15" thickBot="1" x14ac:dyDescent="0.3">
      <c r="A1622" s="3" t="s">
        <v>11</v>
      </c>
      <c r="B1622" s="4">
        <v>625496</v>
      </c>
      <c r="C1622" s="3" t="s">
        <v>9</v>
      </c>
      <c r="D1622" s="18">
        <v>0.11</v>
      </c>
      <c r="E1622" s="21">
        <v>8.7345938235519061E-3</v>
      </c>
      <c r="F1622" s="5">
        <v>42394</v>
      </c>
      <c r="G1622" s="5">
        <v>44221</v>
      </c>
      <c r="H1622" s="16">
        <v>1827</v>
      </c>
      <c r="I1622" s="5">
        <v>44221</v>
      </c>
      <c r="J1622" s="5">
        <v>43817</v>
      </c>
      <c r="K1622" s="16">
        <v>1423</v>
      </c>
      <c r="L1622" s="13">
        <v>5015.0200000000004</v>
      </c>
      <c r="M1622" s="15">
        <v>106.53398429785166</v>
      </c>
      <c r="N1622" s="13">
        <v>3922.68</v>
      </c>
      <c r="O1622" s="13">
        <v>3500</v>
      </c>
      <c r="P1622" s="11">
        <v>1</v>
      </c>
    </row>
    <row r="1623" spans="1:16" ht="15" thickBot="1" x14ac:dyDescent="0.3">
      <c r="A1623" s="3" t="s">
        <v>11</v>
      </c>
      <c r="B1623" s="4">
        <v>465868</v>
      </c>
      <c r="C1623" s="3" t="s">
        <v>9</v>
      </c>
      <c r="D1623" s="18">
        <v>0.12</v>
      </c>
      <c r="E1623" s="21">
        <v>9.4887929345830457E-3</v>
      </c>
      <c r="F1623" s="5">
        <v>42395</v>
      </c>
      <c r="G1623" s="5">
        <v>44008</v>
      </c>
      <c r="H1623" s="16">
        <v>1613</v>
      </c>
      <c r="I1623" s="5">
        <v>44008</v>
      </c>
      <c r="J1623" s="5">
        <v>43640</v>
      </c>
      <c r="K1623" s="16">
        <v>1245</v>
      </c>
      <c r="L1623" s="13">
        <v>5527.68</v>
      </c>
      <c r="M1623" s="15">
        <v>131.73114769539964</v>
      </c>
      <c r="N1623" s="13">
        <v>4990.7299999999996</v>
      </c>
      <c r="O1623" s="13">
        <v>4990.7299999999996</v>
      </c>
      <c r="P1623" s="11">
        <v>1</v>
      </c>
    </row>
    <row r="1624" spans="1:16" ht="15" thickBot="1" x14ac:dyDescent="0.3">
      <c r="A1624" s="3" t="s">
        <v>11</v>
      </c>
      <c r="B1624" s="4">
        <v>337549</v>
      </c>
      <c r="C1624" s="3" t="s">
        <v>9</v>
      </c>
      <c r="D1624" s="18">
        <v>0.1</v>
      </c>
      <c r="E1624" s="21">
        <v>7.9741404289037643E-3</v>
      </c>
      <c r="F1624" s="5">
        <v>42515</v>
      </c>
      <c r="G1624" s="5">
        <v>42729</v>
      </c>
      <c r="H1624" s="16">
        <v>214</v>
      </c>
      <c r="I1624" s="5">
        <v>42729</v>
      </c>
      <c r="J1624" s="5">
        <v>43006</v>
      </c>
      <c r="K1624" s="16">
        <v>491</v>
      </c>
      <c r="L1624" s="13">
        <v>1075.48</v>
      </c>
      <c r="M1624" s="15">
        <v>155.69705488890571</v>
      </c>
      <c r="N1624" s="13">
        <v>1075.48</v>
      </c>
      <c r="O1624" s="13">
        <v>0</v>
      </c>
      <c r="P1624" s="11">
        <v>1</v>
      </c>
    </row>
    <row r="1625" spans="1:16" ht="15" thickBot="1" x14ac:dyDescent="0.3">
      <c r="A1625" s="3" t="s">
        <v>11</v>
      </c>
      <c r="B1625" s="4">
        <v>327157</v>
      </c>
      <c r="C1625" s="3" t="s">
        <v>9</v>
      </c>
      <c r="D1625" s="18">
        <v>0.1</v>
      </c>
      <c r="E1625" s="21">
        <v>7.9741404289037643E-3</v>
      </c>
      <c r="F1625" s="5">
        <v>42405</v>
      </c>
      <c r="G1625" s="5">
        <v>44232</v>
      </c>
      <c r="H1625" s="16">
        <v>1827</v>
      </c>
      <c r="I1625" s="5">
        <v>44232</v>
      </c>
      <c r="J1625" s="5">
        <v>42695</v>
      </c>
      <c r="K1625" s="16">
        <v>290</v>
      </c>
      <c r="L1625" s="13">
        <v>9831.42</v>
      </c>
      <c r="M1625" s="15">
        <v>204.42463014931647</v>
      </c>
      <c r="N1625" s="13">
        <v>9831.42</v>
      </c>
      <c r="O1625" s="13">
        <v>0</v>
      </c>
      <c r="P1625" s="11">
        <v>1</v>
      </c>
    </row>
    <row r="1626" spans="1:16" ht="15" thickBot="1" x14ac:dyDescent="0.3">
      <c r="A1626" s="3" t="s">
        <v>11</v>
      </c>
      <c r="B1626" s="4">
        <v>834892</v>
      </c>
      <c r="C1626" s="3" t="s">
        <v>9</v>
      </c>
      <c r="D1626" s="18">
        <v>0.1</v>
      </c>
      <c r="E1626" s="21">
        <v>7.9741404289037643E-3</v>
      </c>
      <c r="F1626" s="5">
        <v>42405</v>
      </c>
      <c r="G1626" s="5">
        <v>44247</v>
      </c>
      <c r="H1626" s="16">
        <v>1842</v>
      </c>
      <c r="I1626" s="5">
        <v>44247</v>
      </c>
      <c r="J1626" s="5">
        <v>43818</v>
      </c>
      <c r="K1626" s="16">
        <v>1413</v>
      </c>
      <c r="L1626" s="13">
        <v>8506.39</v>
      </c>
      <c r="M1626" s="15">
        <v>175.75350651432933</v>
      </c>
      <c r="N1626" s="13">
        <v>4656.6099999999997</v>
      </c>
      <c r="O1626" s="13">
        <v>4152.76</v>
      </c>
      <c r="P1626" s="11">
        <v>1</v>
      </c>
    </row>
    <row r="1627" spans="1:16" ht="15" thickBot="1" x14ac:dyDescent="0.3">
      <c r="A1627" s="3" t="s">
        <v>11</v>
      </c>
      <c r="B1627" s="4">
        <v>527897</v>
      </c>
      <c r="C1627" s="3" t="s">
        <v>9</v>
      </c>
      <c r="D1627" s="18">
        <v>0.1</v>
      </c>
      <c r="E1627" s="21">
        <v>7.9741404289037643E-3</v>
      </c>
      <c r="F1627" s="5">
        <v>42422</v>
      </c>
      <c r="G1627" s="5">
        <v>43668</v>
      </c>
      <c r="H1627" s="16">
        <v>1246</v>
      </c>
      <c r="I1627" s="5">
        <v>43668</v>
      </c>
      <c r="J1627" s="5">
        <v>43738</v>
      </c>
      <c r="K1627" s="16">
        <v>1316</v>
      </c>
      <c r="L1627" s="13">
        <v>629.03</v>
      </c>
      <c r="M1627" s="15">
        <v>17.8511156550335</v>
      </c>
      <c r="N1627" s="13">
        <v>629.03</v>
      </c>
      <c r="O1627" s="13">
        <v>629.03</v>
      </c>
      <c r="P1627" s="11">
        <v>1</v>
      </c>
    </row>
    <row r="1628" spans="1:16" ht="15" thickBot="1" x14ac:dyDescent="0.3">
      <c r="A1628" s="3" t="s">
        <v>11</v>
      </c>
      <c r="B1628" s="4">
        <v>195682</v>
      </c>
      <c r="C1628" s="3" t="s">
        <v>9</v>
      </c>
      <c r="D1628" s="18">
        <v>8.5000000000000006E-2</v>
      </c>
      <c r="E1628" s="21">
        <v>6.8214933659622723E-3</v>
      </c>
      <c r="F1628" s="5">
        <v>42422</v>
      </c>
      <c r="G1628" s="5">
        <v>43518</v>
      </c>
      <c r="H1628" s="16">
        <v>1096</v>
      </c>
      <c r="I1628" s="5">
        <v>43518</v>
      </c>
      <c r="J1628" s="5">
        <v>43227</v>
      </c>
      <c r="K1628" s="16">
        <v>805</v>
      </c>
      <c r="L1628" s="13">
        <v>18000</v>
      </c>
      <c r="M1628" s="15">
        <v>558.31147248292473</v>
      </c>
      <c r="N1628" s="13">
        <v>18000</v>
      </c>
      <c r="O1628" s="13">
        <v>18000</v>
      </c>
      <c r="P1628" s="11">
        <v>1</v>
      </c>
    </row>
    <row r="1629" spans="1:16" ht="15" thickBot="1" x14ac:dyDescent="0.3">
      <c r="A1629" s="3" t="s">
        <v>11</v>
      </c>
      <c r="B1629" s="4">
        <v>303428</v>
      </c>
      <c r="C1629" s="3" t="s">
        <v>9</v>
      </c>
      <c r="D1629" s="18">
        <v>0.08</v>
      </c>
      <c r="E1629" s="21">
        <v>6.4340301100034303E-3</v>
      </c>
      <c r="F1629" s="5">
        <v>42423</v>
      </c>
      <c r="G1629" s="5">
        <v>43884</v>
      </c>
      <c r="H1629" s="16">
        <v>1461</v>
      </c>
      <c r="I1629" s="5">
        <v>43884</v>
      </c>
      <c r="J1629" s="5">
        <v>43321</v>
      </c>
      <c r="K1629" s="16">
        <v>898</v>
      </c>
      <c r="L1629" s="13">
        <v>6203.11</v>
      </c>
      <c r="M1629" s="15">
        <v>148.77585631982924</v>
      </c>
      <c r="N1629" s="13">
        <v>6203.11</v>
      </c>
      <c r="O1629" s="13">
        <v>0</v>
      </c>
      <c r="P1629" s="11">
        <v>1</v>
      </c>
    </row>
    <row r="1630" spans="1:16" ht="15" thickBot="1" x14ac:dyDescent="0.3">
      <c r="A1630" s="3" t="s">
        <v>11</v>
      </c>
      <c r="B1630" s="4">
        <v>170118</v>
      </c>
      <c r="C1630" s="3" t="s">
        <v>9</v>
      </c>
      <c r="D1630" s="18">
        <v>0.1</v>
      </c>
      <c r="E1630" s="21">
        <v>7.9741404289037643E-3</v>
      </c>
      <c r="F1630" s="5">
        <v>42429</v>
      </c>
      <c r="G1630" s="5">
        <v>44255</v>
      </c>
      <c r="H1630" s="16">
        <v>1826</v>
      </c>
      <c r="I1630" s="5">
        <v>44255</v>
      </c>
      <c r="J1630" s="5">
        <v>43546</v>
      </c>
      <c r="K1630" s="16">
        <v>1117</v>
      </c>
      <c r="L1630" s="13">
        <v>7496.78</v>
      </c>
      <c r="M1630" s="15">
        <v>155.94686085947836</v>
      </c>
      <c r="N1630" s="13">
        <v>7012.06</v>
      </c>
      <c r="O1630" s="13">
        <v>3856.3</v>
      </c>
      <c r="P1630" s="11">
        <v>1</v>
      </c>
    </row>
    <row r="1631" spans="1:16" ht="15" thickBot="1" x14ac:dyDescent="0.3">
      <c r="A1631" s="3" t="s">
        <v>11</v>
      </c>
      <c r="B1631" s="4">
        <v>50345</v>
      </c>
      <c r="C1631" s="3" t="s">
        <v>9</v>
      </c>
      <c r="D1631" s="18">
        <v>0.14000000000000001</v>
      </c>
      <c r="E1631" s="21">
        <v>1.0978851950173452E-2</v>
      </c>
      <c r="F1631" s="5">
        <v>42429</v>
      </c>
      <c r="G1631" s="5">
        <v>44255</v>
      </c>
      <c r="H1631" s="16">
        <v>1826</v>
      </c>
      <c r="I1631" s="5">
        <v>44255</v>
      </c>
      <c r="J1631" s="5">
        <v>42780</v>
      </c>
      <c r="K1631" s="16">
        <v>351</v>
      </c>
      <c r="L1631" s="13">
        <v>6202.8</v>
      </c>
      <c r="M1631" s="15">
        <v>140.26033839333024</v>
      </c>
      <c r="N1631" s="13">
        <v>6202.8</v>
      </c>
      <c r="O1631" s="13">
        <v>0</v>
      </c>
      <c r="P1631" s="11">
        <v>1</v>
      </c>
    </row>
    <row r="1632" spans="1:16" ht="15" thickBot="1" x14ac:dyDescent="0.3">
      <c r="A1632" s="3" t="s">
        <v>11</v>
      </c>
      <c r="B1632" s="4">
        <v>885751</v>
      </c>
      <c r="C1632" s="3" t="s">
        <v>9</v>
      </c>
      <c r="D1632" s="18">
        <v>0.1</v>
      </c>
      <c r="E1632" s="21">
        <v>7.9741404289037643E-3</v>
      </c>
      <c r="F1632" s="5">
        <v>42430</v>
      </c>
      <c r="G1632" s="5">
        <v>44621</v>
      </c>
      <c r="H1632" s="16">
        <v>2191</v>
      </c>
      <c r="I1632" s="5">
        <v>44927</v>
      </c>
      <c r="J1632" s="5">
        <v>43829</v>
      </c>
      <c r="K1632" s="16">
        <v>1399</v>
      </c>
      <c r="L1632" s="13">
        <v>35037.089999999997</v>
      </c>
      <c r="M1632" s="15">
        <v>634.7769814858483</v>
      </c>
      <c r="N1632" s="13">
        <v>25342.240000000002</v>
      </c>
      <c r="O1632" s="13">
        <v>22500</v>
      </c>
      <c r="P1632" s="11">
        <v>1</v>
      </c>
    </row>
    <row r="1633" spans="1:16" ht="15" thickBot="1" x14ac:dyDescent="0.3">
      <c r="A1633" s="3" t="s">
        <v>11</v>
      </c>
      <c r="B1633" s="4">
        <v>729125</v>
      </c>
      <c r="C1633" s="3" t="s">
        <v>9</v>
      </c>
      <c r="D1633" s="18">
        <v>0.1</v>
      </c>
      <c r="E1633" s="21">
        <v>7.9741404289037643E-3</v>
      </c>
      <c r="F1633" s="5">
        <v>42433</v>
      </c>
      <c r="G1633" s="5">
        <v>44351</v>
      </c>
      <c r="H1633" s="16">
        <v>1918</v>
      </c>
      <c r="I1633" s="5">
        <v>44351</v>
      </c>
      <c r="J1633" s="5">
        <v>42643</v>
      </c>
      <c r="K1633" s="16">
        <v>210</v>
      </c>
      <c r="L1633" s="13">
        <v>7791.43</v>
      </c>
      <c r="M1633" s="15">
        <v>156.03613010210842</v>
      </c>
      <c r="N1633" s="13">
        <v>7791.43</v>
      </c>
      <c r="O1633" s="13">
        <v>0</v>
      </c>
      <c r="P1633" s="11">
        <v>1</v>
      </c>
    </row>
    <row r="1634" spans="1:16" ht="15" thickBot="1" x14ac:dyDescent="0.3">
      <c r="A1634" s="3" t="s">
        <v>11</v>
      </c>
      <c r="B1634" s="4">
        <v>226269</v>
      </c>
      <c r="C1634" s="3" t="s">
        <v>9</v>
      </c>
      <c r="D1634" s="18">
        <v>0.1</v>
      </c>
      <c r="E1634" s="21">
        <v>7.9741404289037643E-3</v>
      </c>
      <c r="F1634" s="5">
        <v>42437</v>
      </c>
      <c r="G1634" s="5">
        <v>43661</v>
      </c>
      <c r="H1634" s="16">
        <v>1224</v>
      </c>
      <c r="I1634" s="5">
        <v>43661</v>
      </c>
      <c r="J1634" s="5">
        <v>43725</v>
      </c>
      <c r="K1634" s="16">
        <v>1288</v>
      </c>
      <c r="L1634" s="13">
        <v>2733.84</v>
      </c>
      <c r="M1634" s="15">
        <v>78.760369989606644</v>
      </c>
      <c r="N1634" s="13">
        <v>2733.84</v>
      </c>
      <c r="O1634" s="13">
        <v>0</v>
      </c>
      <c r="P1634" s="11">
        <v>1</v>
      </c>
    </row>
    <row r="1635" spans="1:16" ht="15" thickBot="1" x14ac:dyDescent="0.3">
      <c r="A1635" s="3" t="s">
        <v>11</v>
      </c>
      <c r="B1635" s="4">
        <v>974288</v>
      </c>
      <c r="C1635" s="3" t="s">
        <v>9</v>
      </c>
      <c r="D1635" s="18">
        <v>0.1</v>
      </c>
      <c r="E1635" s="21">
        <v>7.9741404289037643E-3</v>
      </c>
      <c r="F1635" s="5">
        <v>42440</v>
      </c>
      <c r="G1635" s="5">
        <v>44631</v>
      </c>
      <c r="H1635" s="16">
        <v>2191</v>
      </c>
      <c r="I1635" s="5">
        <v>44631</v>
      </c>
      <c r="J1635" s="5">
        <v>42795</v>
      </c>
      <c r="K1635" s="16">
        <v>355</v>
      </c>
      <c r="L1635" s="13">
        <v>12509.09</v>
      </c>
      <c r="M1635" s="15">
        <v>226.63076161104735</v>
      </c>
      <c r="N1635" s="13">
        <v>12509.09</v>
      </c>
      <c r="O1635" s="13">
        <v>0</v>
      </c>
      <c r="P1635" s="11">
        <v>1</v>
      </c>
    </row>
    <row r="1636" spans="1:16" ht="15" thickBot="1" x14ac:dyDescent="0.3">
      <c r="A1636" s="3" t="s">
        <v>11</v>
      </c>
      <c r="B1636" s="4">
        <v>454181</v>
      </c>
      <c r="C1636" s="3" t="s">
        <v>9</v>
      </c>
      <c r="D1636" s="18">
        <v>0.12</v>
      </c>
      <c r="E1636" s="21">
        <v>9.4887929345830457E-3</v>
      </c>
      <c r="F1636" s="5">
        <v>42443</v>
      </c>
      <c r="G1636" s="5">
        <v>44269</v>
      </c>
      <c r="H1636" s="16">
        <v>1826</v>
      </c>
      <c r="I1636" s="5">
        <v>44269</v>
      </c>
      <c r="J1636" s="5">
        <v>42649</v>
      </c>
      <c r="K1636" s="16">
        <v>206</v>
      </c>
      <c r="L1636" s="13">
        <v>12835.65</v>
      </c>
      <c r="M1636" s="15">
        <v>278.58015749373624</v>
      </c>
      <c r="N1636" s="13">
        <v>12835.65</v>
      </c>
      <c r="O1636" s="13">
        <v>0</v>
      </c>
      <c r="P1636" s="11">
        <v>1</v>
      </c>
    </row>
    <row r="1637" spans="1:16" ht="15" thickBot="1" x14ac:dyDescent="0.3">
      <c r="A1637" s="3" t="s">
        <v>11</v>
      </c>
      <c r="B1637" s="4">
        <v>670737</v>
      </c>
      <c r="C1637" s="3" t="s">
        <v>9</v>
      </c>
      <c r="D1637" s="18">
        <v>0.08</v>
      </c>
      <c r="E1637" s="21">
        <v>6.4340301100034303E-3</v>
      </c>
      <c r="F1637" s="5">
        <v>42444</v>
      </c>
      <c r="G1637" s="5">
        <v>45008</v>
      </c>
      <c r="H1637" s="16">
        <v>2564</v>
      </c>
      <c r="I1637" s="5">
        <v>45008</v>
      </c>
      <c r="J1637" s="5">
        <v>43810</v>
      </c>
      <c r="K1637" s="16">
        <v>1366</v>
      </c>
      <c r="L1637" s="13">
        <v>22294.66</v>
      </c>
      <c r="M1637" s="15">
        <v>339.93815302378493</v>
      </c>
      <c r="N1637" s="13">
        <v>8660.2800000000007</v>
      </c>
      <c r="O1637" s="13">
        <v>0</v>
      </c>
      <c r="P1637" s="11">
        <v>1</v>
      </c>
    </row>
    <row r="1638" spans="1:16" ht="15" thickBot="1" x14ac:dyDescent="0.3">
      <c r="A1638" s="3" t="s">
        <v>11</v>
      </c>
      <c r="B1638" s="4">
        <v>566139</v>
      </c>
      <c r="C1638" s="3" t="s">
        <v>9</v>
      </c>
      <c r="D1638" s="18">
        <v>0.1</v>
      </c>
      <c r="E1638" s="21">
        <v>7.9741404289037643E-3</v>
      </c>
      <c r="F1638" s="5">
        <v>42444</v>
      </c>
      <c r="G1638" s="5">
        <v>44392</v>
      </c>
      <c r="H1638" s="16">
        <v>1948</v>
      </c>
      <c r="I1638" s="5">
        <v>44392</v>
      </c>
      <c r="J1638" s="5">
        <v>43657</v>
      </c>
      <c r="K1638" s="16">
        <v>1213</v>
      </c>
      <c r="L1638" s="13">
        <v>8828.1</v>
      </c>
      <c r="M1638" s="15">
        <v>174.7081316586158</v>
      </c>
      <c r="N1638" s="13">
        <v>8091.28</v>
      </c>
      <c r="O1638" s="13">
        <v>5106.33</v>
      </c>
      <c r="P1638" s="11">
        <v>1</v>
      </c>
    </row>
    <row r="1639" spans="1:16" ht="15" thickBot="1" x14ac:dyDescent="0.3">
      <c r="A1639" s="3" t="s">
        <v>11</v>
      </c>
      <c r="B1639" s="4">
        <v>251051</v>
      </c>
      <c r="C1639" s="3" t="s">
        <v>9</v>
      </c>
      <c r="D1639" s="18">
        <v>0.09</v>
      </c>
      <c r="E1639" s="21">
        <v>7.2073233161367156E-3</v>
      </c>
      <c r="F1639" s="5">
        <v>42444</v>
      </c>
      <c r="G1639" s="5">
        <v>44706</v>
      </c>
      <c r="H1639" s="16">
        <v>2262</v>
      </c>
      <c r="I1639" s="5">
        <v>44706</v>
      </c>
      <c r="J1639" s="5">
        <v>43249</v>
      </c>
      <c r="K1639" s="16">
        <v>805</v>
      </c>
      <c r="L1639" s="13">
        <v>35904.769999999997</v>
      </c>
      <c r="M1639" s="15">
        <v>618.91349815763158</v>
      </c>
      <c r="N1639" s="13">
        <v>35904.769999999997</v>
      </c>
      <c r="O1639" s="13">
        <v>0</v>
      </c>
      <c r="P1639" s="11">
        <v>1</v>
      </c>
    </row>
    <row r="1640" spans="1:16" ht="15" thickBot="1" x14ac:dyDescent="0.3">
      <c r="A1640" s="3" t="s">
        <v>11</v>
      </c>
      <c r="B1640" s="4">
        <v>534947</v>
      </c>
      <c r="C1640" s="3" t="s">
        <v>9</v>
      </c>
      <c r="D1640" s="18">
        <v>0.1</v>
      </c>
      <c r="E1640" s="21">
        <v>7.9741404289037643E-3</v>
      </c>
      <c r="F1640" s="5">
        <v>42445</v>
      </c>
      <c r="G1640" s="5">
        <v>44333</v>
      </c>
      <c r="H1640" s="16">
        <v>1888</v>
      </c>
      <c r="I1640" s="5">
        <v>44333</v>
      </c>
      <c r="J1640" s="5">
        <v>42999</v>
      </c>
      <c r="K1640" s="16">
        <v>554</v>
      </c>
      <c r="L1640" s="13">
        <v>6992.72</v>
      </c>
      <c r="M1640" s="15">
        <v>141.74908609964339</v>
      </c>
      <c r="N1640" s="13">
        <v>6992.72</v>
      </c>
      <c r="O1640" s="13">
        <v>0</v>
      </c>
      <c r="P1640" s="11">
        <v>1</v>
      </c>
    </row>
    <row r="1641" spans="1:16" ht="15" thickBot="1" x14ac:dyDescent="0.3">
      <c r="A1641" s="3" t="s">
        <v>11</v>
      </c>
      <c r="B1641" s="4">
        <v>900882</v>
      </c>
      <c r="C1641" s="3" t="s">
        <v>9</v>
      </c>
      <c r="D1641" s="18">
        <v>0.1</v>
      </c>
      <c r="E1641" s="21">
        <v>7.9741404289037643E-3</v>
      </c>
      <c r="F1641" s="5">
        <v>42451</v>
      </c>
      <c r="G1641" s="5">
        <v>42816</v>
      </c>
      <c r="H1641" s="16">
        <v>365</v>
      </c>
      <c r="I1641" s="5">
        <v>42816</v>
      </c>
      <c r="J1641" s="5">
        <v>42523</v>
      </c>
      <c r="K1641" s="16">
        <v>72</v>
      </c>
      <c r="L1641" s="13">
        <v>1828.13</v>
      </c>
      <c r="M1641" s="15">
        <v>158.26181011710145</v>
      </c>
      <c r="N1641" s="13">
        <v>1828.13</v>
      </c>
      <c r="O1641" s="13">
        <v>0</v>
      </c>
      <c r="P1641" s="11">
        <v>1</v>
      </c>
    </row>
    <row r="1642" spans="1:16" ht="15" thickBot="1" x14ac:dyDescent="0.3">
      <c r="A1642" s="3" t="s">
        <v>11</v>
      </c>
      <c r="B1642" s="4">
        <v>865088</v>
      </c>
      <c r="C1642" s="3" t="s">
        <v>9</v>
      </c>
      <c r="D1642" s="18">
        <v>0.1</v>
      </c>
      <c r="E1642" s="21">
        <v>7.9741404289037643E-3</v>
      </c>
      <c r="F1642" s="5">
        <v>42452</v>
      </c>
      <c r="G1642" s="5">
        <v>44278</v>
      </c>
      <c r="H1642" s="16">
        <v>1826</v>
      </c>
      <c r="I1642" s="5">
        <v>44278</v>
      </c>
      <c r="J1642" s="5">
        <v>43893</v>
      </c>
      <c r="K1642" s="16">
        <v>1441</v>
      </c>
      <c r="L1642" s="13">
        <v>6874.2</v>
      </c>
      <c r="M1642" s="15">
        <v>142.99604775920145</v>
      </c>
      <c r="N1642" s="13">
        <v>1203.46</v>
      </c>
      <c r="O1642" s="13">
        <v>0</v>
      </c>
      <c r="P1642" s="11">
        <v>1</v>
      </c>
    </row>
    <row r="1643" spans="1:16" ht="15" thickBot="1" x14ac:dyDescent="0.3">
      <c r="A1643" s="3" t="s">
        <v>11</v>
      </c>
      <c r="B1643" s="4">
        <v>100827</v>
      </c>
      <c r="C1643" s="3" t="s">
        <v>9</v>
      </c>
      <c r="D1643" s="18">
        <v>0.14000000000000001</v>
      </c>
      <c r="E1643" s="21">
        <v>1.0978851950173452E-2</v>
      </c>
      <c r="F1643" s="5">
        <v>42454</v>
      </c>
      <c r="G1643" s="5">
        <v>43899</v>
      </c>
      <c r="H1643" s="16">
        <v>1445</v>
      </c>
      <c r="I1643" s="5">
        <v>43899</v>
      </c>
      <c r="J1643" s="5">
        <v>43620</v>
      </c>
      <c r="K1643" s="16">
        <v>1166</v>
      </c>
      <c r="L1643" s="13">
        <v>5599.45</v>
      </c>
      <c r="M1643" s="15">
        <v>150.30831016409127</v>
      </c>
      <c r="N1643" s="13">
        <v>4829.57</v>
      </c>
      <c r="O1643" s="13">
        <v>0</v>
      </c>
      <c r="P1643" s="11">
        <v>1</v>
      </c>
    </row>
    <row r="1644" spans="1:16" ht="15" thickBot="1" x14ac:dyDescent="0.3">
      <c r="A1644" s="3" t="s">
        <v>11</v>
      </c>
      <c r="B1644" s="4">
        <v>531271</v>
      </c>
      <c r="C1644" s="3" t="s">
        <v>9</v>
      </c>
      <c r="D1644" s="18">
        <v>9.5000000000000001E-2</v>
      </c>
      <c r="E1644" s="21">
        <v>7.5915342905825689E-3</v>
      </c>
      <c r="F1644" s="5">
        <v>42454</v>
      </c>
      <c r="G1644" s="5">
        <v>43459</v>
      </c>
      <c r="H1644" s="16">
        <v>1005</v>
      </c>
      <c r="I1644" s="5">
        <v>43459</v>
      </c>
      <c r="J1644" s="5">
        <v>43069</v>
      </c>
      <c r="K1644" s="16">
        <v>615</v>
      </c>
      <c r="L1644" s="13">
        <v>12000</v>
      </c>
      <c r="M1644" s="15">
        <v>407.03743063534807</v>
      </c>
      <c r="N1644" s="13">
        <v>12000</v>
      </c>
      <c r="O1644" s="13">
        <v>0</v>
      </c>
      <c r="P1644" s="11">
        <v>1</v>
      </c>
    </row>
    <row r="1645" spans="1:16" ht="15" thickBot="1" x14ac:dyDescent="0.3">
      <c r="A1645" s="3" t="s">
        <v>11</v>
      </c>
      <c r="B1645" s="4">
        <v>417431</v>
      </c>
      <c r="C1645" s="3" t="s">
        <v>9</v>
      </c>
      <c r="D1645" s="18">
        <v>0.1</v>
      </c>
      <c r="E1645" s="21">
        <v>7.9741404289037643E-3</v>
      </c>
      <c r="F1645" s="5">
        <v>42454</v>
      </c>
      <c r="G1645" s="5">
        <v>44635</v>
      </c>
      <c r="H1645" s="16">
        <v>2181</v>
      </c>
      <c r="I1645" s="5">
        <v>44635</v>
      </c>
      <c r="J1645" s="5">
        <v>43173</v>
      </c>
      <c r="K1645" s="16">
        <v>719</v>
      </c>
      <c r="L1645" s="13">
        <v>5589.23</v>
      </c>
      <c r="M1645" s="15">
        <v>101.60429861744109</v>
      </c>
      <c r="N1645" s="13">
        <v>5589.23</v>
      </c>
      <c r="O1645" s="13">
        <v>0</v>
      </c>
      <c r="P1645" s="11">
        <v>1</v>
      </c>
    </row>
    <row r="1646" spans="1:16" ht="15" thickBot="1" x14ac:dyDescent="0.3">
      <c r="A1646" s="3" t="s">
        <v>11</v>
      </c>
      <c r="B1646" s="4">
        <v>234530</v>
      </c>
      <c r="C1646" s="3" t="s">
        <v>9</v>
      </c>
      <c r="D1646" s="18">
        <v>0.09</v>
      </c>
      <c r="E1646" s="21">
        <v>7.2073233161367156E-3</v>
      </c>
      <c r="F1646" s="5">
        <v>42459</v>
      </c>
      <c r="G1646" s="5">
        <v>42520</v>
      </c>
      <c r="H1646" s="16">
        <v>61</v>
      </c>
      <c r="I1646" s="5">
        <v>42520</v>
      </c>
      <c r="J1646" s="5">
        <v>42956</v>
      </c>
      <c r="K1646" s="16">
        <v>497</v>
      </c>
      <c r="L1646" s="13">
        <v>2281.0700000000002</v>
      </c>
      <c r="M1646" s="15">
        <v>1134.1157997794908</v>
      </c>
      <c r="N1646" s="13">
        <v>2281.0700000000002</v>
      </c>
      <c r="O1646" s="13">
        <v>0</v>
      </c>
      <c r="P1646" s="11">
        <v>1</v>
      </c>
    </row>
    <row r="1647" spans="1:16" ht="15" thickBot="1" x14ac:dyDescent="0.3">
      <c r="A1647" s="3" t="s">
        <v>11</v>
      </c>
      <c r="B1647" s="4">
        <v>233517</v>
      </c>
      <c r="C1647" s="3" t="s">
        <v>19</v>
      </c>
      <c r="D1647" s="18">
        <v>0.09</v>
      </c>
      <c r="E1647" s="21">
        <v>7.2073233161367156E-3</v>
      </c>
      <c r="F1647" s="5">
        <v>42459</v>
      </c>
      <c r="G1647" s="5">
        <v>43554</v>
      </c>
      <c r="H1647" s="16">
        <v>1095</v>
      </c>
      <c r="I1647" s="5">
        <v>43554</v>
      </c>
      <c r="J1647" s="5">
        <v>43502</v>
      </c>
      <c r="K1647" s="16">
        <v>1043</v>
      </c>
      <c r="L1647" s="13">
        <v>9398.65</v>
      </c>
      <c r="M1647" s="15">
        <v>293.7716151346699</v>
      </c>
      <c r="N1647" s="13">
        <v>9398.65</v>
      </c>
      <c r="O1647" s="13">
        <v>0</v>
      </c>
      <c r="P1647" s="11">
        <v>1</v>
      </c>
    </row>
    <row r="1648" spans="1:16" ht="15" thickBot="1" x14ac:dyDescent="0.3">
      <c r="A1648" s="3" t="s">
        <v>11</v>
      </c>
      <c r="B1648" s="4">
        <v>638621</v>
      </c>
      <c r="C1648" s="3" t="s">
        <v>9</v>
      </c>
      <c r="D1648" s="18">
        <v>0.14000000000000001</v>
      </c>
      <c r="E1648" s="21">
        <v>1.0978851950173452E-2</v>
      </c>
      <c r="F1648" s="5">
        <v>42464</v>
      </c>
      <c r="G1648" s="5">
        <v>43559</v>
      </c>
      <c r="H1648" s="16">
        <v>1095</v>
      </c>
      <c r="I1648" s="5">
        <v>43559</v>
      </c>
      <c r="J1648" s="5">
        <v>43525</v>
      </c>
      <c r="K1648" s="16">
        <v>1061</v>
      </c>
      <c r="L1648" s="13">
        <v>10601.32</v>
      </c>
      <c r="M1648" s="15">
        <v>354.08913470323603</v>
      </c>
      <c r="N1648" s="13">
        <v>10301.32</v>
      </c>
      <c r="O1648" s="13">
        <v>0</v>
      </c>
      <c r="P1648" s="11">
        <v>1</v>
      </c>
    </row>
    <row r="1649" spans="1:16" ht="15" thickBot="1" x14ac:dyDescent="0.3">
      <c r="A1649" s="3" t="s">
        <v>11</v>
      </c>
      <c r="B1649" s="4">
        <v>840122</v>
      </c>
      <c r="C1649" s="3" t="s">
        <v>9</v>
      </c>
      <c r="D1649" s="18">
        <v>0.1</v>
      </c>
      <c r="E1649" s="21">
        <v>7.9741404289037643E-3</v>
      </c>
      <c r="F1649" s="5">
        <v>42464</v>
      </c>
      <c r="G1649" s="5">
        <v>44108</v>
      </c>
      <c r="H1649" s="16">
        <v>1644</v>
      </c>
      <c r="I1649" s="5">
        <v>44108</v>
      </c>
      <c r="J1649" s="5">
        <v>43371</v>
      </c>
      <c r="K1649" s="16">
        <v>907</v>
      </c>
      <c r="L1649" s="13">
        <v>4369.43</v>
      </c>
      <c r="M1649" s="15">
        <v>98.732624875770512</v>
      </c>
      <c r="N1649" s="13">
        <v>3949.76</v>
      </c>
      <c r="O1649" s="13">
        <v>1683.6</v>
      </c>
      <c r="P1649" s="11">
        <v>1</v>
      </c>
    </row>
    <row r="1650" spans="1:16" ht="15" thickBot="1" x14ac:dyDescent="0.3">
      <c r="A1650" s="3" t="s">
        <v>11</v>
      </c>
      <c r="B1650" s="4">
        <v>868380</v>
      </c>
      <c r="C1650" s="3" t="s">
        <v>9</v>
      </c>
      <c r="D1650" s="18">
        <v>0.1</v>
      </c>
      <c r="E1650" s="21">
        <v>7.9741404289037643E-3</v>
      </c>
      <c r="F1650" s="5">
        <v>42472</v>
      </c>
      <c r="G1650" s="5">
        <v>44785</v>
      </c>
      <c r="H1650" s="16">
        <v>2313</v>
      </c>
      <c r="I1650" s="5">
        <v>44785</v>
      </c>
      <c r="J1650" s="5">
        <v>43644</v>
      </c>
      <c r="K1650" s="16">
        <v>1172</v>
      </c>
      <c r="L1650" s="13">
        <v>31116.22</v>
      </c>
      <c r="M1650" s="15">
        <v>541.83570756401718</v>
      </c>
      <c r="N1650" s="13">
        <v>28321.94</v>
      </c>
      <c r="O1650" s="13">
        <v>28321.94</v>
      </c>
      <c r="P1650" s="11">
        <v>1</v>
      </c>
    </row>
    <row r="1651" spans="1:16" ht="15" thickBot="1" x14ac:dyDescent="0.3">
      <c r="A1651" s="3" t="s">
        <v>11</v>
      </c>
      <c r="B1651" s="4">
        <v>620591</v>
      </c>
      <c r="C1651" s="3" t="s">
        <v>9</v>
      </c>
      <c r="D1651" s="18">
        <v>0.1</v>
      </c>
      <c r="E1651" s="21">
        <v>7.9741404289037643E-3</v>
      </c>
      <c r="F1651" s="5">
        <v>42478</v>
      </c>
      <c r="G1651" s="5">
        <v>42661</v>
      </c>
      <c r="H1651" s="16">
        <v>183</v>
      </c>
      <c r="I1651" s="5">
        <v>42661</v>
      </c>
      <c r="J1651" s="5">
        <v>43374</v>
      </c>
      <c r="K1651" s="16">
        <v>896</v>
      </c>
      <c r="L1651" s="13">
        <v>3748.34</v>
      </c>
      <c r="M1651" s="15">
        <v>631.99427522601957</v>
      </c>
      <c r="N1651" s="13">
        <v>3733</v>
      </c>
      <c r="O1651" s="13">
        <v>0</v>
      </c>
      <c r="P1651" s="11">
        <v>1</v>
      </c>
    </row>
    <row r="1652" spans="1:16" ht="15" thickBot="1" x14ac:dyDescent="0.3">
      <c r="A1652" s="3" t="s">
        <v>11</v>
      </c>
      <c r="B1652" s="4">
        <v>4987</v>
      </c>
      <c r="C1652" s="3" t="s">
        <v>9</v>
      </c>
      <c r="D1652" s="18">
        <v>0.1</v>
      </c>
      <c r="E1652" s="21">
        <v>7.9741404289037643E-3</v>
      </c>
      <c r="F1652" s="5">
        <v>42480</v>
      </c>
      <c r="G1652" s="5">
        <v>43575</v>
      </c>
      <c r="H1652" s="16">
        <v>1095</v>
      </c>
      <c r="I1652" s="5">
        <v>43575</v>
      </c>
      <c r="J1652" s="5">
        <v>43221</v>
      </c>
      <c r="K1652" s="16">
        <v>741</v>
      </c>
      <c r="L1652" s="13">
        <v>4661.4799999999996</v>
      </c>
      <c r="M1652" s="15">
        <v>147.70269746672437</v>
      </c>
      <c r="N1652" s="13">
        <v>4661.4799999999996</v>
      </c>
      <c r="O1652" s="13">
        <v>0</v>
      </c>
      <c r="P1652" s="11">
        <v>1</v>
      </c>
    </row>
    <row r="1653" spans="1:16" ht="15" thickBot="1" x14ac:dyDescent="0.3">
      <c r="A1653" s="3" t="s">
        <v>11</v>
      </c>
      <c r="B1653" s="4">
        <v>459360</v>
      </c>
      <c r="C1653" s="3" t="s">
        <v>2</v>
      </c>
      <c r="D1653" s="18">
        <v>7.0000000000000007E-2</v>
      </c>
      <c r="E1653" s="21">
        <v>5.6541453874052738E-3</v>
      </c>
      <c r="F1653" s="5">
        <v>42489</v>
      </c>
      <c r="G1653" s="5">
        <v>44680</v>
      </c>
      <c r="H1653" s="16">
        <v>2191</v>
      </c>
      <c r="I1653" s="5">
        <v>44680</v>
      </c>
      <c r="J1653" s="5">
        <v>43734</v>
      </c>
      <c r="K1653" s="16">
        <v>1245</v>
      </c>
      <c r="L1653" s="13">
        <v>169000</v>
      </c>
      <c r="M1653" s="15">
        <v>2831.0201556084598</v>
      </c>
      <c r="N1653" s="13">
        <v>1389.46</v>
      </c>
      <c r="O1653" s="13">
        <v>0</v>
      </c>
      <c r="P1653" s="11">
        <v>1</v>
      </c>
    </row>
    <row r="1654" spans="1:16" ht="15" thickBot="1" x14ac:dyDescent="0.3">
      <c r="A1654" s="3" t="s">
        <v>11</v>
      </c>
      <c r="B1654" s="4">
        <v>764671</v>
      </c>
      <c r="C1654" s="3" t="s">
        <v>9</v>
      </c>
      <c r="D1654" s="18">
        <v>0.1</v>
      </c>
      <c r="E1654" s="21">
        <v>7.9741404289037643E-3</v>
      </c>
      <c r="F1654" s="5">
        <v>42492</v>
      </c>
      <c r="G1654" s="5">
        <v>44683</v>
      </c>
      <c r="H1654" s="16">
        <v>2191</v>
      </c>
      <c r="I1654" s="5">
        <v>44836</v>
      </c>
      <c r="J1654" s="5">
        <v>44236</v>
      </c>
      <c r="K1654" s="16">
        <v>1744</v>
      </c>
      <c r="L1654" s="13">
        <v>22194.53</v>
      </c>
      <c r="M1654" s="15">
        <v>402.10464849955019</v>
      </c>
      <c r="N1654" s="13">
        <v>7746.7</v>
      </c>
      <c r="O1654" s="13">
        <v>0</v>
      </c>
      <c r="P1654" s="11">
        <v>1</v>
      </c>
    </row>
    <row r="1655" spans="1:16" ht="15" thickBot="1" x14ac:dyDescent="0.3">
      <c r="A1655" s="3" t="s">
        <v>11</v>
      </c>
      <c r="B1655" s="4">
        <v>25921</v>
      </c>
      <c r="C1655" s="3" t="s">
        <v>9</v>
      </c>
      <c r="D1655" s="18">
        <v>0.08</v>
      </c>
      <c r="E1655" s="21">
        <v>6.4340301100034303E-3</v>
      </c>
      <c r="F1655" s="5">
        <v>42494</v>
      </c>
      <c r="G1655" s="5">
        <v>45366</v>
      </c>
      <c r="H1655" s="16">
        <v>2872</v>
      </c>
      <c r="I1655" s="5">
        <v>45366</v>
      </c>
      <c r="J1655" s="5">
        <v>43371</v>
      </c>
      <c r="K1655" s="16">
        <v>877</v>
      </c>
      <c r="L1655" s="13">
        <v>8430.26</v>
      </c>
      <c r="M1655" s="15">
        <v>118.22100704563105</v>
      </c>
      <c r="N1655" s="13">
        <v>8330.26</v>
      </c>
      <c r="O1655" s="13">
        <v>0</v>
      </c>
      <c r="P1655" s="11">
        <v>1</v>
      </c>
    </row>
    <row r="1656" spans="1:16" ht="15" thickBot="1" x14ac:dyDescent="0.3">
      <c r="A1656" s="3" t="s">
        <v>11</v>
      </c>
      <c r="B1656" s="4">
        <v>442919</v>
      </c>
      <c r="C1656" s="3" t="s">
        <v>9</v>
      </c>
      <c r="D1656" s="18">
        <v>0.08</v>
      </c>
      <c r="E1656" s="21">
        <v>6.4340301100034303E-3</v>
      </c>
      <c r="F1656" s="5">
        <v>42502</v>
      </c>
      <c r="G1656" s="5">
        <v>45058</v>
      </c>
      <c r="H1656" s="16">
        <v>2556</v>
      </c>
      <c r="I1656" s="5">
        <v>45058</v>
      </c>
      <c r="J1656" s="5">
        <v>42795</v>
      </c>
      <c r="K1656" s="16">
        <v>293</v>
      </c>
      <c r="L1656" s="13">
        <v>21471.96</v>
      </c>
      <c r="M1656" s="15">
        <v>328.16348031777147</v>
      </c>
      <c r="N1656" s="13">
        <v>21471.96</v>
      </c>
      <c r="O1656" s="13">
        <v>0</v>
      </c>
      <c r="P1656" s="11">
        <v>1</v>
      </c>
    </row>
    <row r="1657" spans="1:16" ht="15" thickBot="1" x14ac:dyDescent="0.3">
      <c r="A1657" s="3" t="s">
        <v>11</v>
      </c>
      <c r="B1657" s="4">
        <v>310946</v>
      </c>
      <c r="C1657" s="3" t="s">
        <v>9</v>
      </c>
      <c r="D1657" s="18">
        <v>0.1</v>
      </c>
      <c r="E1657" s="21">
        <v>7.9741404289037643E-3</v>
      </c>
      <c r="F1657" s="5">
        <v>42503</v>
      </c>
      <c r="G1657" s="5">
        <v>44240</v>
      </c>
      <c r="H1657" s="16">
        <v>1737</v>
      </c>
      <c r="I1657" s="5">
        <v>44240</v>
      </c>
      <c r="J1657" s="5">
        <v>42821</v>
      </c>
      <c r="K1657" s="16">
        <v>318</v>
      </c>
      <c r="L1657" s="13">
        <v>5813.06</v>
      </c>
      <c r="M1657" s="15">
        <v>125.74529979863753</v>
      </c>
      <c r="N1657" s="13">
        <v>5813.06</v>
      </c>
      <c r="O1657" s="13">
        <v>0</v>
      </c>
      <c r="P1657" s="11">
        <v>1</v>
      </c>
    </row>
    <row r="1658" spans="1:16" ht="15" thickBot="1" x14ac:dyDescent="0.3">
      <c r="A1658" s="3" t="s">
        <v>11</v>
      </c>
      <c r="B1658" s="4">
        <v>713530</v>
      </c>
      <c r="C1658" s="3" t="s">
        <v>9</v>
      </c>
      <c r="D1658" s="18">
        <v>0.1</v>
      </c>
      <c r="E1658" s="21">
        <v>7.9741404289037643E-3</v>
      </c>
      <c r="F1658" s="5">
        <v>42506</v>
      </c>
      <c r="G1658" s="5">
        <v>44401</v>
      </c>
      <c r="H1658" s="16">
        <v>1895</v>
      </c>
      <c r="I1658" s="5">
        <v>44401</v>
      </c>
      <c r="J1658" s="5">
        <v>43376</v>
      </c>
      <c r="K1658" s="16">
        <v>870</v>
      </c>
      <c r="L1658" s="13">
        <v>6126.31</v>
      </c>
      <c r="M1658" s="15">
        <v>123.83256082053974</v>
      </c>
      <c r="N1658" s="13">
        <v>6097.15</v>
      </c>
      <c r="O1658" s="13">
        <v>0</v>
      </c>
      <c r="P1658" s="11">
        <v>1</v>
      </c>
    </row>
    <row r="1659" spans="1:16" ht="15" thickBot="1" x14ac:dyDescent="0.3">
      <c r="A1659" s="3" t="s">
        <v>11</v>
      </c>
      <c r="B1659" s="4">
        <v>958702</v>
      </c>
      <c r="C1659" s="3" t="s">
        <v>9</v>
      </c>
      <c r="D1659" s="18">
        <v>0.1</v>
      </c>
      <c r="E1659" s="21">
        <v>7.9741404289037643E-3</v>
      </c>
      <c r="F1659" s="5">
        <v>42506</v>
      </c>
      <c r="G1659" s="5">
        <v>45062</v>
      </c>
      <c r="H1659" s="16">
        <v>2556</v>
      </c>
      <c r="I1659" s="5">
        <v>45062</v>
      </c>
      <c r="J1659" s="5">
        <v>43406</v>
      </c>
      <c r="K1659" s="16">
        <v>900</v>
      </c>
      <c r="L1659" s="13">
        <v>11162.12</v>
      </c>
      <c r="M1659" s="15">
        <v>181.01806087654734</v>
      </c>
      <c r="N1659" s="13">
        <v>11020.77</v>
      </c>
      <c r="O1659" s="13">
        <v>0</v>
      </c>
      <c r="P1659" s="11">
        <v>1</v>
      </c>
    </row>
    <row r="1660" spans="1:16" ht="15" thickBot="1" x14ac:dyDescent="0.3">
      <c r="A1660" s="3" t="s">
        <v>11</v>
      </c>
      <c r="B1660" s="4">
        <v>930365</v>
      </c>
      <c r="C1660" s="3" t="s">
        <v>9</v>
      </c>
      <c r="D1660" s="18">
        <v>0.1</v>
      </c>
      <c r="E1660" s="21">
        <v>7.9741404289037643E-3</v>
      </c>
      <c r="F1660" s="5">
        <v>42513</v>
      </c>
      <c r="G1660" s="5">
        <v>45192</v>
      </c>
      <c r="H1660" s="16">
        <v>2679</v>
      </c>
      <c r="I1660" s="5">
        <v>45192</v>
      </c>
      <c r="J1660" s="5">
        <v>44333</v>
      </c>
      <c r="K1660" s="16">
        <v>1820</v>
      </c>
      <c r="L1660" s="13">
        <v>26587.27</v>
      </c>
      <c r="M1660" s="15">
        <v>417.34778093570571</v>
      </c>
      <c r="N1660" s="13">
        <v>10897.71</v>
      </c>
      <c r="O1660" s="13">
        <v>0</v>
      </c>
      <c r="P1660" s="11">
        <v>1</v>
      </c>
    </row>
    <row r="1661" spans="1:16" ht="15" thickBot="1" x14ac:dyDescent="0.3">
      <c r="A1661" s="3" t="s">
        <v>11</v>
      </c>
      <c r="B1661" s="4">
        <v>318073</v>
      </c>
      <c r="C1661" s="3" t="s">
        <v>9</v>
      </c>
      <c r="D1661" s="18">
        <v>0.1</v>
      </c>
      <c r="E1661" s="21">
        <v>7.9741404289037643E-3</v>
      </c>
      <c r="F1661" s="5">
        <v>42513</v>
      </c>
      <c r="G1661" s="5">
        <v>44339</v>
      </c>
      <c r="H1661" s="16">
        <v>1826</v>
      </c>
      <c r="I1661" s="5">
        <v>44339</v>
      </c>
      <c r="J1661" s="5">
        <v>43762</v>
      </c>
      <c r="K1661" s="16">
        <v>1249</v>
      </c>
      <c r="L1661" s="13">
        <v>10420.69</v>
      </c>
      <c r="M1661" s="15">
        <v>216.76958554069316</v>
      </c>
      <c r="N1661" s="13">
        <v>2396.58</v>
      </c>
      <c r="O1661" s="13">
        <v>0</v>
      </c>
      <c r="P1661" s="11">
        <v>1</v>
      </c>
    </row>
    <row r="1662" spans="1:16" ht="15" thickBot="1" x14ac:dyDescent="0.3">
      <c r="A1662" s="3" t="s">
        <v>11</v>
      </c>
      <c r="B1662" s="4">
        <v>344125</v>
      </c>
      <c r="C1662" s="3" t="s">
        <v>9</v>
      </c>
      <c r="D1662" s="18">
        <v>8.5000000000000006E-2</v>
      </c>
      <c r="E1662" s="21">
        <v>6.8214933659622723E-3</v>
      </c>
      <c r="F1662" s="5">
        <v>42513</v>
      </c>
      <c r="G1662" s="5">
        <v>44677</v>
      </c>
      <c r="H1662" s="16">
        <v>2164</v>
      </c>
      <c r="I1662" s="5">
        <v>44677</v>
      </c>
      <c r="J1662" s="5">
        <v>43642</v>
      </c>
      <c r="K1662" s="16">
        <v>1129</v>
      </c>
      <c r="L1662" s="13">
        <v>14323.04</v>
      </c>
      <c r="M1662" s="15">
        <v>252.06897975002036</v>
      </c>
      <c r="N1662" s="13">
        <v>13341.22</v>
      </c>
      <c r="O1662" s="13">
        <v>13297.2</v>
      </c>
      <c r="P1662" s="11">
        <v>1</v>
      </c>
    </row>
    <row r="1663" spans="1:16" ht="15" thickBot="1" x14ac:dyDescent="0.3">
      <c r="A1663" s="3" t="s">
        <v>11</v>
      </c>
      <c r="B1663" s="4">
        <v>99818</v>
      </c>
      <c r="C1663" s="3" t="s">
        <v>9</v>
      </c>
      <c r="D1663" s="18">
        <v>9.5000000000000001E-2</v>
      </c>
      <c r="E1663" s="21">
        <v>7.5915342905825689E-3</v>
      </c>
      <c r="F1663" s="5">
        <v>42516</v>
      </c>
      <c r="G1663" s="5">
        <v>44707</v>
      </c>
      <c r="H1663" s="16">
        <v>2191</v>
      </c>
      <c r="I1663" s="5">
        <v>44707</v>
      </c>
      <c r="J1663" s="5">
        <v>43496</v>
      </c>
      <c r="K1663" s="16">
        <v>980</v>
      </c>
      <c r="L1663" s="13">
        <v>40398.57</v>
      </c>
      <c r="M1663" s="15">
        <v>722.63811063252911</v>
      </c>
      <c r="N1663" s="13">
        <v>40398.57</v>
      </c>
      <c r="O1663" s="13">
        <v>0</v>
      </c>
      <c r="P1663" s="11">
        <v>1</v>
      </c>
    </row>
    <row r="1664" spans="1:16" ht="15" thickBot="1" x14ac:dyDescent="0.3">
      <c r="A1664" s="3" t="s">
        <v>11</v>
      </c>
      <c r="B1664" s="4">
        <v>728558</v>
      </c>
      <c r="C1664" s="3" t="s">
        <v>12</v>
      </c>
      <c r="D1664" s="18">
        <v>0.1</v>
      </c>
      <c r="E1664" s="21">
        <v>7.9741404289037643E-3</v>
      </c>
      <c r="F1664" s="5">
        <v>42516</v>
      </c>
      <c r="G1664" s="5">
        <v>44707</v>
      </c>
      <c r="H1664" s="16">
        <v>2191</v>
      </c>
      <c r="I1664" s="5">
        <v>44952</v>
      </c>
      <c r="J1664" s="5">
        <v>44179</v>
      </c>
      <c r="K1664" s="16">
        <v>1663</v>
      </c>
      <c r="L1664" s="13">
        <v>17029.080000000002</v>
      </c>
      <c r="M1664" s="15">
        <v>308.52071333210125</v>
      </c>
      <c r="N1664" s="13">
        <v>8060.25</v>
      </c>
      <c r="O1664" s="13">
        <v>4900</v>
      </c>
      <c r="P1664" s="11">
        <v>1</v>
      </c>
    </row>
    <row r="1665" spans="1:16" ht="15" thickBot="1" x14ac:dyDescent="0.3">
      <c r="A1665" s="3" t="s">
        <v>11</v>
      </c>
      <c r="B1665" s="4">
        <v>85392</v>
      </c>
      <c r="C1665" s="3" t="s">
        <v>9</v>
      </c>
      <c r="D1665" s="18">
        <v>0.11</v>
      </c>
      <c r="E1665" s="21">
        <v>8.7345938235519061E-3</v>
      </c>
      <c r="F1665" s="5">
        <v>42521</v>
      </c>
      <c r="G1665" s="5">
        <v>43245</v>
      </c>
      <c r="H1665" s="16">
        <v>724</v>
      </c>
      <c r="I1665" s="5">
        <v>43245</v>
      </c>
      <c r="J1665" s="5">
        <v>43056</v>
      </c>
      <c r="K1665" s="16">
        <v>535</v>
      </c>
      <c r="L1665" s="13">
        <v>1499.62</v>
      </c>
      <c r="M1665" s="15">
        <v>69.188147519111936</v>
      </c>
      <c r="N1665" s="13">
        <v>1499.62</v>
      </c>
      <c r="O1665" s="13">
        <v>1499.62</v>
      </c>
      <c r="P1665" s="11">
        <v>1</v>
      </c>
    </row>
    <row r="1666" spans="1:16" ht="15" thickBot="1" x14ac:dyDescent="0.3">
      <c r="A1666" s="3" t="s">
        <v>11</v>
      </c>
      <c r="B1666" s="4">
        <v>538611</v>
      </c>
      <c r="C1666" s="3" t="s">
        <v>9</v>
      </c>
      <c r="D1666" s="18">
        <v>0.1</v>
      </c>
      <c r="E1666" s="21">
        <v>7.9741404289037643E-3</v>
      </c>
      <c r="F1666" s="5">
        <v>42524</v>
      </c>
      <c r="G1666" s="5">
        <v>44715</v>
      </c>
      <c r="H1666" s="16">
        <v>2191</v>
      </c>
      <c r="I1666" s="5">
        <v>44715</v>
      </c>
      <c r="J1666" s="5">
        <v>42807</v>
      </c>
      <c r="K1666" s="16">
        <v>283</v>
      </c>
      <c r="L1666" s="13">
        <v>18707.810000000001</v>
      </c>
      <c r="M1666" s="15">
        <v>338.93474492347309</v>
      </c>
      <c r="N1666" s="13">
        <v>18707.810000000001</v>
      </c>
      <c r="O1666" s="13">
        <v>0</v>
      </c>
      <c r="P1666" s="11">
        <v>1</v>
      </c>
    </row>
    <row r="1667" spans="1:16" ht="15" thickBot="1" x14ac:dyDescent="0.3">
      <c r="A1667" s="3" t="s">
        <v>11</v>
      </c>
      <c r="B1667" s="4">
        <v>270535</v>
      </c>
      <c r="C1667" s="3" t="s">
        <v>9</v>
      </c>
      <c r="D1667" s="18">
        <v>0.14000000000000001</v>
      </c>
      <c r="E1667" s="21">
        <v>1.0978851950173452E-2</v>
      </c>
      <c r="F1667" s="5">
        <v>42524</v>
      </c>
      <c r="G1667" s="5">
        <v>43772</v>
      </c>
      <c r="H1667" s="16">
        <v>1248</v>
      </c>
      <c r="I1667" s="5">
        <v>43772</v>
      </c>
      <c r="J1667" s="5">
        <v>43371</v>
      </c>
      <c r="K1667" s="16">
        <v>847</v>
      </c>
      <c r="L1667" s="13">
        <v>1202.42</v>
      </c>
      <c r="M1667" s="15">
        <v>36.161291494010896</v>
      </c>
      <c r="N1667" s="13">
        <v>1202.42</v>
      </c>
      <c r="O1667" s="13">
        <v>0</v>
      </c>
      <c r="P1667" s="11">
        <v>1</v>
      </c>
    </row>
    <row r="1668" spans="1:16" ht="15" thickBot="1" x14ac:dyDescent="0.3">
      <c r="A1668" s="3" t="s">
        <v>11</v>
      </c>
      <c r="B1668" s="4">
        <v>789227</v>
      </c>
      <c r="C1668" s="3" t="s">
        <v>9</v>
      </c>
      <c r="D1668" s="18">
        <v>0.08</v>
      </c>
      <c r="E1668" s="21">
        <v>6.4340301100034303E-3</v>
      </c>
      <c r="F1668" s="5">
        <v>42527</v>
      </c>
      <c r="G1668" s="5">
        <v>44383</v>
      </c>
      <c r="H1668" s="16">
        <v>1856</v>
      </c>
      <c r="I1668" s="5">
        <v>44383</v>
      </c>
      <c r="J1668" s="5">
        <v>43655</v>
      </c>
      <c r="K1668" s="16">
        <v>1128</v>
      </c>
      <c r="L1668" s="13">
        <v>7166.8</v>
      </c>
      <c r="M1668" s="15">
        <v>140.79132146404393</v>
      </c>
      <c r="N1668" s="13">
        <v>6647.37</v>
      </c>
      <c r="O1668" s="13">
        <v>6647.37</v>
      </c>
      <c r="P1668" s="11">
        <v>1</v>
      </c>
    </row>
    <row r="1669" spans="1:16" ht="15" thickBot="1" x14ac:dyDescent="0.3">
      <c r="A1669" s="3" t="s">
        <v>11</v>
      </c>
      <c r="B1669" s="4">
        <v>794664</v>
      </c>
      <c r="C1669" s="3" t="s">
        <v>9</v>
      </c>
      <c r="D1669" s="18">
        <v>0.1</v>
      </c>
      <c r="E1669" s="21">
        <v>7.9741404289037643E-3</v>
      </c>
      <c r="F1669" s="5">
        <v>42528</v>
      </c>
      <c r="G1669" s="5">
        <v>43148</v>
      </c>
      <c r="H1669" s="16">
        <v>620</v>
      </c>
      <c r="I1669" s="5">
        <v>43148</v>
      </c>
      <c r="J1669" s="5">
        <v>43199</v>
      </c>
      <c r="K1669" s="16">
        <v>671</v>
      </c>
      <c r="L1669" s="13">
        <v>1025.93</v>
      </c>
      <c r="M1669" s="15">
        <v>54.041746986535358</v>
      </c>
      <c r="N1669" s="13">
        <v>1025.93</v>
      </c>
      <c r="O1669" s="13">
        <v>0</v>
      </c>
      <c r="P1669" s="11">
        <v>1</v>
      </c>
    </row>
    <row r="1670" spans="1:16" ht="15" thickBot="1" x14ac:dyDescent="0.3">
      <c r="A1670" s="3" t="s">
        <v>11</v>
      </c>
      <c r="B1670" s="4">
        <v>171282</v>
      </c>
      <c r="C1670" s="3" t="s">
        <v>9</v>
      </c>
      <c r="D1670" s="18">
        <v>0.1</v>
      </c>
      <c r="E1670" s="21">
        <v>7.9741404289037643E-3</v>
      </c>
      <c r="F1670" s="5">
        <v>42531</v>
      </c>
      <c r="G1670" s="5">
        <v>44357</v>
      </c>
      <c r="H1670" s="16">
        <v>1826</v>
      </c>
      <c r="I1670" s="5">
        <v>44357</v>
      </c>
      <c r="J1670" s="5">
        <v>43726</v>
      </c>
      <c r="K1670" s="16">
        <v>1195</v>
      </c>
      <c r="L1670" s="13">
        <v>5463.86</v>
      </c>
      <c r="M1670" s="15">
        <v>113.65837268476191</v>
      </c>
      <c r="N1670" s="13">
        <v>4963.8599999999997</v>
      </c>
      <c r="O1670" s="13">
        <v>4963.8599999999997</v>
      </c>
      <c r="P1670" s="11">
        <v>1</v>
      </c>
    </row>
    <row r="1671" spans="1:16" ht="15" thickBot="1" x14ac:dyDescent="0.3">
      <c r="A1671" s="3" t="s">
        <v>11</v>
      </c>
      <c r="B1671" s="4">
        <v>784023</v>
      </c>
      <c r="C1671" s="3" t="s">
        <v>19</v>
      </c>
      <c r="D1671" s="18">
        <v>0.1</v>
      </c>
      <c r="E1671" s="21">
        <v>7.9741404289037643E-3</v>
      </c>
      <c r="F1671" s="5">
        <v>42534</v>
      </c>
      <c r="G1671" s="5">
        <v>43205</v>
      </c>
      <c r="H1671" s="16">
        <v>671</v>
      </c>
      <c r="I1671" s="5">
        <v>43205</v>
      </c>
      <c r="J1671" s="5">
        <v>43371</v>
      </c>
      <c r="K1671" s="16">
        <v>837</v>
      </c>
      <c r="L1671" s="13">
        <v>144.79</v>
      </c>
      <c r="M1671" s="15">
        <v>7.0936196651003609</v>
      </c>
      <c r="N1671" s="13">
        <v>144.79</v>
      </c>
      <c r="O1671" s="13">
        <v>144.79</v>
      </c>
      <c r="P1671" s="11">
        <v>1</v>
      </c>
    </row>
    <row r="1672" spans="1:16" ht="15" thickBot="1" x14ac:dyDescent="0.3">
      <c r="A1672" s="3" t="s">
        <v>11</v>
      </c>
      <c r="B1672" s="4">
        <v>274993</v>
      </c>
      <c r="C1672" s="3" t="s">
        <v>9</v>
      </c>
      <c r="D1672" s="18">
        <v>0.1</v>
      </c>
      <c r="E1672" s="21">
        <v>7.9741404289037643E-3</v>
      </c>
      <c r="F1672" s="5">
        <v>42541</v>
      </c>
      <c r="G1672" s="5">
        <v>46073</v>
      </c>
      <c r="H1672" s="16">
        <v>3532</v>
      </c>
      <c r="I1672" s="5">
        <v>46073</v>
      </c>
      <c r="J1672" s="5">
        <v>43371</v>
      </c>
      <c r="K1672" s="16">
        <v>830</v>
      </c>
      <c r="L1672" s="13">
        <v>15365.76</v>
      </c>
      <c r="M1672" s="15">
        <v>201.70901618798447</v>
      </c>
      <c r="N1672" s="13">
        <v>13934.38</v>
      </c>
      <c r="O1672" s="13">
        <v>5411.16</v>
      </c>
      <c r="P1672" s="11">
        <v>1</v>
      </c>
    </row>
    <row r="1673" spans="1:16" ht="15" thickBot="1" x14ac:dyDescent="0.3">
      <c r="A1673" s="3" t="s">
        <v>11</v>
      </c>
      <c r="B1673" s="4">
        <v>199959</v>
      </c>
      <c r="C1673" s="3" t="s">
        <v>9</v>
      </c>
      <c r="D1673" s="18">
        <v>0.1</v>
      </c>
      <c r="E1673" s="21">
        <v>7.9741404289037643E-3</v>
      </c>
      <c r="F1673" s="5">
        <v>42542</v>
      </c>
      <c r="G1673" s="5">
        <v>43090</v>
      </c>
      <c r="H1673" s="16">
        <v>548</v>
      </c>
      <c r="I1673" s="5">
        <v>43090</v>
      </c>
      <c r="J1673" s="5">
        <v>42828</v>
      </c>
      <c r="K1673" s="16">
        <v>286</v>
      </c>
      <c r="L1673" s="13">
        <v>1389.59</v>
      </c>
      <c r="M1673" s="15">
        <v>82.049665581120593</v>
      </c>
      <c r="N1673" s="13">
        <v>1389.59</v>
      </c>
      <c r="O1673" s="13">
        <v>0</v>
      </c>
      <c r="P1673" s="11">
        <v>1</v>
      </c>
    </row>
    <row r="1674" spans="1:16" ht="15" thickBot="1" x14ac:dyDescent="0.3">
      <c r="A1674" s="3" t="s">
        <v>11</v>
      </c>
      <c r="B1674" s="4">
        <v>585448</v>
      </c>
      <c r="C1674" s="3" t="s">
        <v>9</v>
      </c>
      <c r="D1674" s="18">
        <v>0.1</v>
      </c>
      <c r="E1674" s="21">
        <v>7.9741404289037643E-3</v>
      </c>
      <c r="F1674" s="5">
        <v>42551</v>
      </c>
      <c r="G1674" s="5">
        <v>44742</v>
      </c>
      <c r="H1674" s="16">
        <v>2191</v>
      </c>
      <c r="I1674" s="5">
        <v>44742</v>
      </c>
      <c r="J1674" s="5">
        <v>44179</v>
      </c>
      <c r="K1674" s="16">
        <v>1628</v>
      </c>
      <c r="L1674" s="13">
        <v>15402.94</v>
      </c>
      <c r="M1674" s="15">
        <v>279.05946981349285</v>
      </c>
      <c r="N1674" s="13">
        <v>1960.15</v>
      </c>
      <c r="O1674" s="13">
        <v>1960.15</v>
      </c>
      <c r="P1674" s="11">
        <v>1</v>
      </c>
    </row>
    <row r="1675" spans="1:16" ht="15" thickBot="1" x14ac:dyDescent="0.3">
      <c r="A1675" s="3" t="s">
        <v>11</v>
      </c>
      <c r="B1675" s="4">
        <v>798257</v>
      </c>
      <c r="C1675" s="3" t="s">
        <v>9</v>
      </c>
      <c r="D1675" s="18">
        <v>0.08</v>
      </c>
      <c r="E1675" s="21">
        <v>6.4340301100034303E-3</v>
      </c>
      <c r="F1675" s="5">
        <v>42556</v>
      </c>
      <c r="G1675" s="5">
        <v>43378</v>
      </c>
      <c r="H1675" s="16">
        <v>822</v>
      </c>
      <c r="I1675" s="5">
        <v>43378</v>
      </c>
      <c r="J1675" s="5">
        <v>43255</v>
      </c>
      <c r="K1675" s="16">
        <v>699</v>
      </c>
      <c r="L1675" s="13">
        <v>21908.52</v>
      </c>
      <c r="M1675" s="15">
        <v>874.69372961843749</v>
      </c>
      <c r="N1675" s="13">
        <v>21908.52</v>
      </c>
      <c r="O1675" s="13">
        <v>0</v>
      </c>
      <c r="P1675" s="11">
        <v>1</v>
      </c>
    </row>
    <row r="1676" spans="1:16" ht="15" thickBot="1" x14ac:dyDescent="0.3">
      <c r="A1676" s="3" t="s">
        <v>11</v>
      </c>
      <c r="B1676" s="4">
        <v>677811</v>
      </c>
      <c r="C1676" s="3" t="s">
        <v>9</v>
      </c>
      <c r="D1676" s="18">
        <v>0.1</v>
      </c>
      <c r="E1676" s="21">
        <v>7.9741404289037643E-3</v>
      </c>
      <c r="F1676" s="5">
        <v>42556</v>
      </c>
      <c r="G1676" s="5">
        <v>45112</v>
      </c>
      <c r="H1676" s="16">
        <v>2556</v>
      </c>
      <c r="I1676" s="5">
        <v>45112</v>
      </c>
      <c r="J1676" s="5">
        <v>43397</v>
      </c>
      <c r="K1676" s="16">
        <v>841</v>
      </c>
      <c r="L1676" s="13">
        <v>33715.97</v>
      </c>
      <c r="M1676" s="15">
        <v>546.77780833496172</v>
      </c>
      <c r="N1676" s="13">
        <v>33227.089999999997</v>
      </c>
      <c r="O1676" s="13">
        <v>0</v>
      </c>
      <c r="P1676" s="11">
        <v>1</v>
      </c>
    </row>
    <row r="1677" spans="1:16" ht="15" thickBot="1" x14ac:dyDescent="0.3">
      <c r="A1677" s="3" t="s">
        <v>11</v>
      </c>
      <c r="B1677" s="4">
        <v>262708</v>
      </c>
      <c r="C1677" s="3" t="s">
        <v>9</v>
      </c>
      <c r="D1677" s="18">
        <v>0.1</v>
      </c>
      <c r="E1677" s="21">
        <v>7.9741404289037643E-3</v>
      </c>
      <c r="F1677" s="5">
        <v>42556</v>
      </c>
      <c r="G1677" s="5">
        <v>44524</v>
      </c>
      <c r="H1677" s="16">
        <v>1968</v>
      </c>
      <c r="I1677" s="5">
        <v>44524</v>
      </c>
      <c r="J1677" s="5">
        <v>43173</v>
      </c>
      <c r="K1677" s="16">
        <v>617</v>
      </c>
      <c r="L1677" s="13">
        <v>16785.04</v>
      </c>
      <c r="M1677" s="15">
        <v>329.59682112009904</v>
      </c>
      <c r="N1677" s="13">
        <v>16785.04</v>
      </c>
      <c r="O1677" s="13">
        <v>4500</v>
      </c>
      <c r="P1677" s="11">
        <v>1</v>
      </c>
    </row>
    <row r="1678" spans="1:16" ht="15" thickBot="1" x14ac:dyDescent="0.3">
      <c r="A1678" s="3" t="s">
        <v>11</v>
      </c>
      <c r="B1678" s="4">
        <v>877753</v>
      </c>
      <c r="C1678" s="3" t="s">
        <v>9</v>
      </c>
      <c r="D1678" s="18">
        <v>0.1</v>
      </c>
      <c r="E1678" s="21">
        <v>7.9741404289037643E-3</v>
      </c>
      <c r="F1678" s="5">
        <v>42557</v>
      </c>
      <c r="G1678" s="5">
        <v>44779</v>
      </c>
      <c r="H1678" s="16">
        <v>2222</v>
      </c>
      <c r="I1678" s="5">
        <v>44779</v>
      </c>
      <c r="J1678" s="5">
        <v>43496</v>
      </c>
      <c r="K1678" s="16">
        <v>939</v>
      </c>
      <c r="L1678" s="13">
        <v>14004.56</v>
      </c>
      <c r="M1678" s="15">
        <v>251.11379969430769</v>
      </c>
      <c r="N1678" s="13">
        <v>14004.56</v>
      </c>
      <c r="O1678" s="13">
        <v>4500</v>
      </c>
      <c r="P1678" s="11">
        <v>1</v>
      </c>
    </row>
    <row r="1679" spans="1:16" ht="15" thickBot="1" x14ac:dyDescent="0.3">
      <c r="A1679" s="3" t="s">
        <v>11</v>
      </c>
      <c r="B1679" s="4">
        <v>60809</v>
      </c>
      <c r="C1679" s="3" t="s">
        <v>9</v>
      </c>
      <c r="D1679" s="18">
        <v>0.1</v>
      </c>
      <c r="E1679" s="21">
        <v>7.9741404289037643E-3</v>
      </c>
      <c r="F1679" s="5">
        <v>42562</v>
      </c>
      <c r="G1679" s="5">
        <v>43688</v>
      </c>
      <c r="H1679" s="16">
        <v>1126</v>
      </c>
      <c r="I1679" s="5">
        <v>43688</v>
      </c>
      <c r="J1679" s="5">
        <v>43735</v>
      </c>
      <c r="K1679" s="16">
        <v>1173</v>
      </c>
      <c r="L1679" s="13">
        <v>1209.93</v>
      </c>
      <c r="M1679" s="15">
        <v>37.427908348023578</v>
      </c>
      <c r="N1679" s="13">
        <v>600</v>
      </c>
      <c r="O1679" s="13">
        <v>431.89</v>
      </c>
      <c r="P1679" s="11">
        <v>1</v>
      </c>
    </row>
    <row r="1680" spans="1:16" ht="15" thickBot="1" x14ac:dyDescent="0.3">
      <c r="A1680" s="3" t="s">
        <v>11</v>
      </c>
      <c r="B1680" s="4">
        <v>467959</v>
      </c>
      <c r="C1680" s="3" t="s">
        <v>9</v>
      </c>
      <c r="D1680" s="18">
        <v>0.1</v>
      </c>
      <c r="E1680" s="21">
        <v>7.9741404289037643E-3</v>
      </c>
      <c r="F1680" s="5">
        <v>42565</v>
      </c>
      <c r="G1680" s="5">
        <v>44756</v>
      </c>
      <c r="H1680" s="16">
        <v>2191</v>
      </c>
      <c r="I1680" s="5">
        <v>44756</v>
      </c>
      <c r="J1680" s="5">
        <v>43130</v>
      </c>
      <c r="K1680" s="16">
        <v>565</v>
      </c>
      <c r="L1680" s="13">
        <v>10122.98</v>
      </c>
      <c r="M1680" s="15">
        <v>183.40092422177793</v>
      </c>
      <c r="N1680" s="13">
        <v>10122.98</v>
      </c>
      <c r="O1680" s="13">
        <v>0</v>
      </c>
      <c r="P1680" s="11">
        <v>1</v>
      </c>
    </row>
    <row r="1681" spans="1:16" ht="15" thickBot="1" x14ac:dyDescent="0.3">
      <c r="A1681" s="3" t="s">
        <v>11</v>
      </c>
      <c r="B1681" s="4">
        <v>140012</v>
      </c>
      <c r="C1681" s="3" t="s">
        <v>9</v>
      </c>
      <c r="D1681" s="18">
        <v>0.1</v>
      </c>
      <c r="E1681" s="21">
        <v>7.9741404289037643E-3</v>
      </c>
      <c r="F1681" s="5">
        <v>42566</v>
      </c>
      <c r="G1681" s="5">
        <v>44819</v>
      </c>
      <c r="H1681" s="16">
        <v>2253</v>
      </c>
      <c r="I1681" s="5">
        <v>44819</v>
      </c>
      <c r="J1681" s="5">
        <v>43357</v>
      </c>
      <c r="K1681" s="16">
        <v>791</v>
      </c>
      <c r="L1681" s="13">
        <v>9703.14</v>
      </c>
      <c r="M1681" s="15">
        <v>172.22790634529545</v>
      </c>
      <c r="N1681" s="13">
        <v>9703.14</v>
      </c>
      <c r="O1681" s="13">
        <v>0</v>
      </c>
      <c r="P1681" s="11">
        <v>1</v>
      </c>
    </row>
    <row r="1682" spans="1:16" ht="15" thickBot="1" x14ac:dyDescent="0.3">
      <c r="A1682" s="3" t="s">
        <v>11</v>
      </c>
      <c r="B1682" s="4">
        <v>506905</v>
      </c>
      <c r="C1682" s="3" t="s">
        <v>9</v>
      </c>
      <c r="D1682" s="18">
        <v>0.1</v>
      </c>
      <c r="E1682" s="21">
        <v>7.9741404289037643E-3</v>
      </c>
      <c r="F1682" s="5">
        <v>42571</v>
      </c>
      <c r="G1682" s="5">
        <v>44489</v>
      </c>
      <c r="H1682" s="16">
        <v>1918</v>
      </c>
      <c r="I1682" s="5">
        <v>44489</v>
      </c>
      <c r="J1682" s="5">
        <v>43216</v>
      </c>
      <c r="K1682" s="16">
        <v>645</v>
      </c>
      <c r="L1682" s="13">
        <v>20725.03</v>
      </c>
      <c r="M1682" s="15">
        <v>415.05262544232573</v>
      </c>
      <c r="N1682" s="13">
        <v>20725.03</v>
      </c>
      <c r="O1682" s="13">
        <v>0</v>
      </c>
      <c r="P1682" s="11">
        <v>1</v>
      </c>
    </row>
    <row r="1683" spans="1:16" ht="15" thickBot="1" x14ac:dyDescent="0.3">
      <c r="A1683" s="3" t="s">
        <v>11</v>
      </c>
      <c r="B1683" s="4">
        <v>493736</v>
      </c>
      <c r="C1683" s="3" t="s">
        <v>9</v>
      </c>
      <c r="D1683" s="18">
        <v>0.1</v>
      </c>
      <c r="E1683" s="21">
        <v>7.9741404289037643E-3</v>
      </c>
      <c r="F1683" s="5">
        <v>42577</v>
      </c>
      <c r="G1683" s="5">
        <v>44387</v>
      </c>
      <c r="H1683" s="16">
        <v>1810</v>
      </c>
      <c r="I1683" s="5">
        <v>44387</v>
      </c>
      <c r="J1683" s="5">
        <v>43602</v>
      </c>
      <c r="K1683" s="16">
        <v>1025</v>
      </c>
      <c r="L1683" s="13">
        <v>7905.52</v>
      </c>
      <c r="M1683" s="15">
        <v>165.58011459824627</v>
      </c>
      <c r="N1683" s="13">
        <v>7478.76</v>
      </c>
      <c r="O1683" s="13">
        <v>0</v>
      </c>
      <c r="P1683" s="11">
        <v>1</v>
      </c>
    </row>
    <row r="1684" spans="1:16" ht="15" thickBot="1" x14ac:dyDescent="0.3">
      <c r="A1684" s="3" t="s">
        <v>11</v>
      </c>
      <c r="B1684" s="4">
        <v>800621</v>
      </c>
      <c r="C1684" s="3" t="s">
        <v>9</v>
      </c>
      <c r="D1684" s="18">
        <v>0.1</v>
      </c>
      <c r="E1684" s="21">
        <v>7.9741404289037643E-3</v>
      </c>
      <c r="F1684" s="5">
        <v>42578</v>
      </c>
      <c r="G1684" s="5">
        <v>44892</v>
      </c>
      <c r="H1684" s="16">
        <v>2314</v>
      </c>
      <c r="I1684" s="5">
        <v>44892</v>
      </c>
      <c r="J1684" s="5">
        <v>43731</v>
      </c>
      <c r="K1684" s="16">
        <v>1153</v>
      </c>
      <c r="L1684" s="13">
        <v>19705.59</v>
      </c>
      <c r="M1684" s="15">
        <v>343.03162986846792</v>
      </c>
      <c r="N1684" s="13">
        <v>5605.59</v>
      </c>
      <c r="O1684" s="13">
        <v>0</v>
      </c>
      <c r="P1684" s="11">
        <v>1</v>
      </c>
    </row>
    <row r="1685" spans="1:16" ht="15" thickBot="1" x14ac:dyDescent="0.3">
      <c r="A1685" s="3" t="s">
        <v>11</v>
      </c>
      <c r="B1685" s="4">
        <v>709170</v>
      </c>
      <c r="C1685" s="3" t="s">
        <v>9</v>
      </c>
      <c r="D1685" s="18">
        <v>0.1</v>
      </c>
      <c r="E1685" s="21">
        <v>7.9741404289037643E-3</v>
      </c>
      <c r="F1685" s="5">
        <v>42594</v>
      </c>
      <c r="G1685" s="5">
        <v>44816</v>
      </c>
      <c r="H1685" s="16">
        <v>2222</v>
      </c>
      <c r="I1685" s="5">
        <v>44816</v>
      </c>
      <c r="J1685" s="5">
        <v>43502</v>
      </c>
      <c r="K1685" s="16">
        <v>908</v>
      </c>
      <c r="L1685" s="13">
        <v>2661.09</v>
      </c>
      <c r="M1685" s="15">
        <v>47.715631282134197</v>
      </c>
      <c r="N1685" s="13">
        <v>2661.09</v>
      </c>
      <c r="O1685" s="13">
        <v>2661.09</v>
      </c>
      <c r="P1685" s="11">
        <v>1</v>
      </c>
    </row>
    <row r="1686" spans="1:16" ht="15" thickBot="1" x14ac:dyDescent="0.3">
      <c r="A1686" s="3" t="s">
        <v>11</v>
      </c>
      <c r="B1686" s="4">
        <v>340157</v>
      </c>
      <c r="C1686" s="3" t="s">
        <v>9</v>
      </c>
      <c r="D1686" s="18">
        <v>0.1</v>
      </c>
      <c r="E1686" s="21">
        <v>7.9741404289037643E-3</v>
      </c>
      <c r="F1686" s="5">
        <v>42594</v>
      </c>
      <c r="G1686" s="5">
        <v>44854</v>
      </c>
      <c r="H1686" s="16">
        <v>2260</v>
      </c>
      <c r="I1686" s="5">
        <v>44854</v>
      </c>
      <c r="J1686" s="5">
        <v>43369</v>
      </c>
      <c r="K1686" s="16">
        <v>775</v>
      </c>
      <c r="L1686" s="13">
        <v>1419.79</v>
      </c>
      <c r="M1686" s="15">
        <v>25.143786842745381</v>
      </c>
      <c r="N1686" s="13">
        <v>1362.18</v>
      </c>
      <c r="O1686" s="13">
        <v>0</v>
      </c>
      <c r="P1686" s="11">
        <v>1</v>
      </c>
    </row>
    <row r="1687" spans="1:16" ht="15" thickBot="1" x14ac:dyDescent="0.3">
      <c r="A1687" s="3" t="s">
        <v>11</v>
      </c>
      <c r="B1687" s="4">
        <v>366083</v>
      </c>
      <c r="C1687" s="3" t="s">
        <v>9</v>
      </c>
      <c r="D1687" s="18">
        <v>0.09</v>
      </c>
      <c r="E1687" s="21">
        <v>7.2073233161367156E-3</v>
      </c>
      <c r="F1687" s="5">
        <v>42598</v>
      </c>
      <c r="G1687" s="5">
        <v>45536</v>
      </c>
      <c r="H1687" s="16">
        <v>2938</v>
      </c>
      <c r="I1687" s="5">
        <v>45536</v>
      </c>
      <c r="J1687" s="5">
        <v>43655</v>
      </c>
      <c r="K1687" s="16">
        <v>1057</v>
      </c>
      <c r="L1687" s="13">
        <v>14929.8</v>
      </c>
      <c r="M1687" s="15">
        <v>213.05441838299615</v>
      </c>
      <c r="N1687" s="13">
        <v>14929.8</v>
      </c>
      <c r="O1687" s="13">
        <v>0</v>
      </c>
      <c r="P1687" s="11">
        <v>1</v>
      </c>
    </row>
    <row r="1688" spans="1:16" ht="15" thickBot="1" x14ac:dyDescent="0.3">
      <c r="A1688" s="3" t="s">
        <v>11</v>
      </c>
      <c r="B1688" s="4">
        <v>790787</v>
      </c>
      <c r="C1688" s="3" t="s">
        <v>9</v>
      </c>
      <c r="D1688" s="18">
        <v>0.1</v>
      </c>
      <c r="E1688" s="21">
        <v>7.9741404289037643E-3</v>
      </c>
      <c r="F1688" s="5">
        <v>42601</v>
      </c>
      <c r="G1688" s="5">
        <v>44299</v>
      </c>
      <c r="H1688" s="16">
        <v>1698</v>
      </c>
      <c r="I1688" s="5">
        <v>44299</v>
      </c>
      <c r="J1688" s="5">
        <v>43644</v>
      </c>
      <c r="K1688" s="16">
        <v>1043</v>
      </c>
      <c r="L1688" s="13">
        <v>2969.94</v>
      </c>
      <c r="M1688" s="15">
        <v>65.406964484364408</v>
      </c>
      <c r="N1688" s="13">
        <v>2969.94</v>
      </c>
      <c r="O1688" s="13">
        <v>0</v>
      </c>
      <c r="P1688" s="11">
        <v>1</v>
      </c>
    </row>
    <row r="1689" spans="1:16" ht="15" thickBot="1" x14ac:dyDescent="0.3">
      <c r="A1689" s="3" t="s">
        <v>11</v>
      </c>
      <c r="B1689" s="4">
        <v>878518</v>
      </c>
      <c r="C1689" s="3" t="s">
        <v>9</v>
      </c>
      <c r="D1689" s="18">
        <v>0.1</v>
      </c>
      <c r="E1689" s="21">
        <v>7.9741404289037643E-3</v>
      </c>
      <c r="F1689" s="5">
        <v>42600</v>
      </c>
      <c r="G1689" s="5">
        <v>44852</v>
      </c>
      <c r="H1689" s="16">
        <v>2252</v>
      </c>
      <c r="I1689" s="5">
        <v>44852</v>
      </c>
      <c r="J1689" s="5">
        <v>43371</v>
      </c>
      <c r="K1689" s="16">
        <v>771</v>
      </c>
      <c r="L1689" s="13">
        <v>8407.09</v>
      </c>
      <c r="M1689" s="15">
        <v>149.27185074564571</v>
      </c>
      <c r="N1689" s="13">
        <v>8407.09</v>
      </c>
      <c r="O1689" s="13">
        <v>0</v>
      </c>
      <c r="P1689" s="11">
        <v>1</v>
      </c>
    </row>
    <row r="1690" spans="1:16" ht="15" thickBot="1" x14ac:dyDescent="0.3">
      <c r="A1690" s="3" t="s">
        <v>11</v>
      </c>
      <c r="B1690" s="4">
        <v>809191</v>
      </c>
      <c r="C1690" s="3" t="s">
        <v>9</v>
      </c>
      <c r="D1690" s="18">
        <v>0.1</v>
      </c>
      <c r="E1690" s="21">
        <v>7.9741404289037643E-3</v>
      </c>
      <c r="F1690" s="5">
        <v>42601</v>
      </c>
      <c r="G1690" s="5">
        <v>44428</v>
      </c>
      <c r="H1690" s="16">
        <v>1827</v>
      </c>
      <c r="I1690" s="5">
        <v>44428</v>
      </c>
      <c r="J1690" s="5">
        <v>43563</v>
      </c>
      <c r="K1690" s="16">
        <v>962</v>
      </c>
      <c r="L1690" s="13">
        <v>36505.730000000003</v>
      </c>
      <c r="M1690" s="15">
        <v>759.06332488906048</v>
      </c>
      <c r="N1690" s="13">
        <v>36505.730000000003</v>
      </c>
      <c r="O1690" s="13">
        <v>0</v>
      </c>
      <c r="P1690" s="11">
        <v>1</v>
      </c>
    </row>
    <row r="1691" spans="1:16" ht="15" thickBot="1" x14ac:dyDescent="0.3">
      <c r="A1691" s="3" t="s">
        <v>11</v>
      </c>
      <c r="B1691" s="4">
        <v>951188</v>
      </c>
      <c r="C1691" s="3" t="s">
        <v>19</v>
      </c>
      <c r="D1691" s="18">
        <v>0.1</v>
      </c>
      <c r="E1691" s="21">
        <v>7.9741404289037643E-3</v>
      </c>
      <c r="F1691" s="5">
        <v>42606</v>
      </c>
      <c r="G1691" s="5">
        <v>43701</v>
      </c>
      <c r="H1691" s="16">
        <v>1095</v>
      </c>
      <c r="I1691" s="5">
        <v>43701</v>
      </c>
      <c r="J1691" s="5">
        <v>43371</v>
      </c>
      <c r="K1691" s="16">
        <v>765</v>
      </c>
      <c r="L1691" s="13">
        <v>1646.82</v>
      </c>
      <c r="M1691" s="15">
        <v>52.180800141189295</v>
      </c>
      <c r="N1691" s="13">
        <v>1646.82</v>
      </c>
      <c r="O1691" s="13">
        <v>0</v>
      </c>
      <c r="P1691" s="11">
        <v>1</v>
      </c>
    </row>
    <row r="1692" spans="1:16" ht="15" thickBot="1" x14ac:dyDescent="0.3">
      <c r="A1692" s="3" t="s">
        <v>11</v>
      </c>
      <c r="B1692" s="4">
        <v>927550</v>
      </c>
      <c r="C1692" s="3" t="s">
        <v>9</v>
      </c>
      <c r="D1692" s="18">
        <v>0.1</v>
      </c>
      <c r="E1692" s="21">
        <v>7.9741404289037643E-3</v>
      </c>
      <c r="F1692" s="5">
        <v>42619</v>
      </c>
      <c r="G1692" s="5">
        <v>44110</v>
      </c>
      <c r="H1692" s="16">
        <v>1491</v>
      </c>
      <c r="I1692" s="5">
        <v>44110</v>
      </c>
      <c r="J1692" s="5">
        <v>43496</v>
      </c>
      <c r="K1692" s="16">
        <v>877</v>
      </c>
      <c r="L1692" s="13">
        <v>2557.2399999999998</v>
      </c>
      <c r="M1692" s="15">
        <v>62.523351212959348</v>
      </c>
      <c r="N1692" s="13">
        <v>2397.14</v>
      </c>
      <c r="O1692" s="13">
        <v>2397.14</v>
      </c>
      <c r="P1692" s="11">
        <v>1</v>
      </c>
    </row>
    <row r="1693" spans="1:16" ht="15" thickBot="1" x14ac:dyDescent="0.3">
      <c r="A1693" s="3" t="s">
        <v>11</v>
      </c>
      <c r="B1693" s="4">
        <v>787773</v>
      </c>
      <c r="C1693" s="3" t="s">
        <v>3</v>
      </c>
      <c r="D1693" s="18">
        <v>0.08</v>
      </c>
      <c r="E1693" s="21">
        <v>6.4340301100034303E-3</v>
      </c>
      <c r="F1693" s="5">
        <v>42620</v>
      </c>
      <c r="G1693" s="5">
        <v>42985</v>
      </c>
      <c r="H1693" s="16">
        <v>365</v>
      </c>
      <c r="I1693" s="5">
        <v>43350</v>
      </c>
      <c r="J1693" s="5">
        <v>43718</v>
      </c>
      <c r="K1693" s="16">
        <v>1098</v>
      </c>
      <c r="L1693" s="13">
        <v>3800</v>
      </c>
      <c r="M1693" s="15">
        <v>325.71608210398779</v>
      </c>
      <c r="N1693" s="13">
        <v>3491.39</v>
      </c>
      <c r="O1693" s="13">
        <v>0</v>
      </c>
      <c r="P1693" s="11">
        <v>1</v>
      </c>
    </row>
    <row r="1694" spans="1:16" ht="15" thickBot="1" x14ac:dyDescent="0.3">
      <c r="A1694" s="3" t="s">
        <v>11</v>
      </c>
      <c r="B1694" s="4">
        <v>95913</v>
      </c>
      <c r="C1694" s="3" t="s">
        <v>9</v>
      </c>
      <c r="D1694" s="18">
        <v>0.14000000000000001</v>
      </c>
      <c r="E1694" s="21">
        <v>1.0978851950173452E-2</v>
      </c>
      <c r="F1694" s="5">
        <v>42625</v>
      </c>
      <c r="G1694" s="5">
        <v>44816</v>
      </c>
      <c r="H1694" s="16">
        <v>2191</v>
      </c>
      <c r="I1694" s="5">
        <v>44816</v>
      </c>
      <c r="J1694" s="5">
        <v>42690</v>
      </c>
      <c r="K1694" s="16">
        <v>65</v>
      </c>
      <c r="L1694" s="13">
        <v>18782.04</v>
      </c>
      <c r="M1694" s="15">
        <v>375.24272613101999</v>
      </c>
      <c r="N1694" s="13">
        <v>18782.04</v>
      </c>
      <c r="O1694" s="13">
        <v>0</v>
      </c>
      <c r="P1694" s="11">
        <v>1</v>
      </c>
    </row>
    <row r="1695" spans="1:16" ht="15" thickBot="1" x14ac:dyDescent="0.3">
      <c r="A1695" s="3" t="s">
        <v>11</v>
      </c>
      <c r="B1695" s="4">
        <v>862749</v>
      </c>
      <c r="C1695" s="3" t="s">
        <v>9</v>
      </c>
      <c r="D1695" s="18">
        <v>8.5000000000000006E-2</v>
      </c>
      <c r="E1695" s="21">
        <v>6.8214933659622723E-3</v>
      </c>
      <c r="F1695" s="5">
        <v>42635</v>
      </c>
      <c r="G1695" s="5">
        <v>43546</v>
      </c>
      <c r="H1695" s="16">
        <v>911</v>
      </c>
      <c r="I1695" s="5">
        <v>43546</v>
      </c>
      <c r="J1695" s="5">
        <v>43371</v>
      </c>
      <c r="K1695" s="16">
        <v>736</v>
      </c>
      <c r="L1695" s="13">
        <v>1281.8499999999999</v>
      </c>
      <c r="M1695" s="15">
        <v>46.878605692497771</v>
      </c>
      <c r="N1695" s="13">
        <v>1281.8499999999999</v>
      </c>
      <c r="O1695" s="13">
        <v>1000</v>
      </c>
      <c r="P1695" s="11">
        <v>1</v>
      </c>
    </row>
    <row r="1696" spans="1:16" ht="15" thickBot="1" x14ac:dyDescent="0.3">
      <c r="A1696" s="3" t="s">
        <v>11</v>
      </c>
      <c r="B1696" s="4">
        <v>739336</v>
      </c>
      <c r="C1696" s="3" t="s">
        <v>9</v>
      </c>
      <c r="D1696" s="18">
        <v>0.1</v>
      </c>
      <c r="E1696" s="21">
        <v>7.9741404289037643E-3</v>
      </c>
      <c r="F1696" s="5">
        <v>42636</v>
      </c>
      <c r="G1696" s="5">
        <v>44827</v>
      </c>
      <c r="H1696" s="16">
        <v>2191</v>
      </c>
      <c r="I1696" s="5">
        <v>45192</v>
      </c>
      <c r="J1696" s="5">
        <v>43830</v>
      </c>
      <c r="K1696" s="16">
        <v>1194</v>
      </c>
      <c r="L1696" s="13">
        <v>23000</v>
      </c>
      <c r="M1696" s="15">
        <v>416.69757888496196</v>
      </c>
      <c r="N1696" s="13">
        <v>19355.21</v>
      </c>
      <c r="O1696" s="13">
        <v>6391.26</v>
      </c>
      <c r="P1696" s="11">
        <v>1</v>
      </c>
    </row>
    <row r="1697" spans="1:16" ht="15" thickBot="1" x14ac:dyDescent="0.3">
      <c r="A1697" s="3" t="s">
        <v>11</v>
      </c>
      <c r="B1697" s="4">
        <v>595169</v>
      </c>
      <c r="C1697" s="3" t="s">
        <v>9</v>
      </c>
      <c r="D1697" s="18">
        <v>0.1</v>
      </c>
      <c r="E1697" s="21">
        <v>7.9741404289037643E-3</v>
      </c>
      <c r="F1697" s="5">
        <v>42639</v>
      </c>
      <c r="G1697" s="5">
        <v>44281</v>
      </c>
      <c r="H1697" s="16">
        <v>1642</v>
      </c>
      <c r="I1697" s="5">
        <v>44281</v>
      </c>
      <c r="J1697" s="5">
        <v>43644</v>
      </c>
      <c r="K1697" s="16">
        <v>1005</v>
      </c>
      <c r="L1697" s="13">
        <v>2535.14</v>
      </c>
      <c r="M1697" s="15">
        <v>57.34028339475551</v>
      </c>
      <c r="N1697" s="13">
        <v>2535.14</v>
      </c>
      <c r="O1697" s="13">
        <v>0</v>
      </c>
      <c r="P1697" s="11">
        <v>1</v>
      </c>
    </row>
    <row r="1698" spans="1:16" ht="15" thickBot="1" x14ac:dyDescent="0.3">
      <c r="A1698" s="3" t="s">
        <v>11</v>
      </c>
      <c r="B1698" s="4">
        <v>647725</v>
      </c>
      <c r="C1698" s="3" t="s">
        <v>9</v>
      </c>
      <c r="D1698" s="18">
        <v>0.1</v>
      </c>
      <c r="E1698" s="21">
        <v>7.9741404289037643E-3</v>
      </c>
      <c r="F1698" s="5">
        <v>42640</v>
      </c>
      <c r="G1698" s="5">
        <v>44131</v>
      </c>
      <c r="H1698" s="16">
        <v>1491</v>
      </c>
      <c r="I1698" s="5">
        <v>44131</v>
      </c>
      <c r="J1698" s="5">
        <v>43628</v>
      </c>
      <c r="K1698" s="16">
        <v>988</v>
      </c>
      <c r="L1698" s="13">
        <v>6044.67</v>
      </c>
      <c r="M1698" s="15">
        <v>147.78942350989308</v>
      </c>
      <c r="N1698" s="13">
        <v>6044.67</v>
      </c>
      <c r="O1698" s="13">
        <v>0</v>
      </c>
      <c r="P1698" s="11">
        <v>1</v>
      </c>
    </row>
    <row r="1699" spans="1:16" ht="15" thickBot="1" x14ac:dyDescent="0.3">
      <c r="A1699" s="3" t="s">
        <v>11</v>
      </c>
      <c r="B1699" s="4">
        <v>729752</v>
      </c>
      <c r="C1699" s="3" t="s">
        <v>9</v>
      </c>
      <c r="D1699" s="18">
        <v>0.1</v>
      </c>
      <c r="E1699" s="21">
        <v>7.9741404289037643E-3</v>
      </c>
      <c r="F1699" s="5">
        <v>42641</v>
      </c>
      <c r="G1699" s="5">
        <v>43736</v>
      </c>
      <c r="H1699" s="16">
        <v>1095</v>
      </c>
      <c r="I1699" s="5">
        <v>43736</v>
      </c>
      <c r="J1699" s="5">
        <v>42682</v>
      </c>
      <c r="K1699" s="16">
        <v>41</v>
      </c>
      <c r="L1699" s="13">
        <v>6071.99</v>
      </c>
      <c r="M1699" s="15">
        <v>192.39582750349157</v>
      </c>
      <c r="N1699" s="13">
        <v>6071.99</v>
      </c>
      <c r="O1699" s="13">
        <v>0</v>
      </c>
      <c r="P1699" s="11">
        <v>1</v>
      </c>
    </row>
    <row r="1700" spans="1:16" ht="15" thickBot="1" x14ac:dyDescent="0.3">
      <c r="A1700" s="3" t="s">
        <v>11</v>
      </c>
      <c r="B1700" s="4">
        <v>675973</v>
      </c>
      <c r="C1700" s="3" t="s">
        <v>9</v>
      </c>
      <c r="D1700" s="18">
        <v>0.1</v>
      </c>
      <c r="E1700" s="21">
        <v>7.9741404289037643E-3</v>
      </c>
      <c r="F1700" s="5">
        <v>42641</v>
      </c>
      <c r="G1700" s="5">
        <v>44079</v>
      </c>
      <c r="H1700" s="16">
        <v>1438</v>
      </c>
      <c r="I1700" s="5">
        <v>44079</v>
      </c>
      <c r="J1700" s="5">
        <v>43496</v>
      </c>
      <c r="K1700" s="16">
        <v>855</v>
      </c>
      <c r="L1700" s="13">
        <v>8943.9</v>
      </c>
      <c r="M1700" s="15">
        <v>225.25056867745025</v>
      </c>
      <c r="N1700" s="13">
        <v>8808.92</v>
      </c>
      <c r="O1700" s="13">
        <v>2577.8000000000002</v>
      </c>
      <c r="P1700" s="11">
        <v>1</v>
      </c>
    </row>
    <row r="1701" spans="1:16" ht="15" thickBot="1" x14ac:dyDescent="0.3">
      <c r="A1701" s="3" t="s">
        <v>11</v>
      </c>
      <c r="B1701" s="4">
        <v>162756</v>
      </c>
      <c r="C1701" s="3" t="s">
        <v>9</v>
      </c>
      <c r="D1701" s="18">
        <v>0.1</v>
      </c>
      <c r="E1701" s="21">
        <v>7.9741404289037643E-3</v>
      </c>
      <c r="F1701" s="5">
        <v>42646</v>
      </c>
      <c r="G1701" s="5">
        <v>44472</v>
      </c>
      <c r="H1701" s="16">
        <v>1826</v>
      </c>
      <c r="I1701" s="5">
        <v>44472</v>
      </c>
      <c r="J1701" s="5">
        <v>42810</v>
      </c>
      <c r="K1701" s="16">
        <v>164</v>
      </c>
      <c r="L1701" s="13">
        <v>4573.04</v>
      </c>
      <c r="M1701" s="15">
        <v>95.127672492033767</v>
      </c>
      <c r="N1701" s="13">
        <v>4573.04</v>
      </c>
      <c r="O1701" s="13">
        <v>0</v>
      </c>
      <c r="P1701" s="11">
        <v>1</v>
      </c>
    </row>
    <row r="1702" spans="1:16" ht="15" thickBot="1" x14ac:dyDescent="0.3">
      <c r="A1702" s="3" t="s">
        <v>11</v>
      </c>
      <c r="B1702" s="4">
        <v>567799</v>
      </c>
      <c r="C1702" s="3" t="s">
        <v>9</v>
      </c>
      <c r="D1702" s="18">
        <v>0.14000000000000001</v>
      </c>
      <c r="E1702" s="21">
        <v>1.0978851950173452E-2</v>
      </c>
      <c r="F1702" s="5">
        <v>42654</v>
      </c>
      <c r="G1702" s="5">
        <v>43819</v>
      </c>
      <c r="H1702" s="16">
        <v>1165</v>
      </c>
      <c r="I1702" s="5">
        <v>43819</v>
      </c>
      <c r="J1702" s="5">
        <v>43371</v>
      </c>
      <c r="K1702" s="16">
        <v>717</v>
      </c>
      <c r="L1702" s="13">
        <v>3403.05</v>
      </c>
      <c r="M1702" s="15">
        <v>108.10939351235712</v>
      </c>
      <c r="N1702" s="13">
        <v>3403.05</v>
      </c>
      <c r="O1702" s="13">
        <v>0</v>
      </c>
      <c r="P1702" s="11">
        <v>1</v>
      </c>
    </row>
    <row r="1703" spans="1:16" ht="15" thickBot="1" x14ac:dyDescent="0.3">
      <c r="A1703" s="3" t="s">
        <v>11</v>
      </c>
      <c r="B1703" s="4">
        <v>508374</v>
      </c>
      <c r="C1703" s="3" t="s">
        <v>9</v>
      </c>
      <c r="D1703" s="18">
        <v>0.1</v>
      </c>
      <c r="E1703" s="21">
        <v>7.9741404289037643E-3</v>
      </c>
      <c r="F1703" s="5">
        <v>42654</v>
      </c>
      <c r="G1703" s="5">
        <v>45210</v>
      </c>
      <c r="H1703" s="16">
        <v>2556</v>
      </c>
      <c r="I1703" s="5">
        <v>45210</v>
      </c>
      <c r="J1703" s="5">
        <v>43542</v>
      </c>
      <c r="K1703" s="16">
        <v>888</v>
      </c>
      <c r="L1703" s="13">
        <v>5184.63</v>
      </c>
      <c r="M1703" s="15">
        <v>84.080055487879847</v>
      </c>
      <c r="N1703" s="13">
        <v>4692.6000000000004</v>
      </c>
      <c r="O1703" s="13">
        <v>0</v>
      </c>
      <c r="P1703" s="11">
        <v>1</v>
      </c>
    </row>
    <row r="1704" spans="1:16" ht="15" thickBot="1" x14ac:dyDescent="0.3">
      <c r="A1704" s="3" t="s">
        <v>11</v>
      </c>
      <c r="B1704" s="4">
        <v>436782</v>
      </c>
      <c r="C1704" s="3" t="s">
        <v>9</v>
      </c>
      <c r="D1704" s="18">
        <v>0.12</v>
      </c>
      <c r="E1704" s="21">
        <v>9.4887929345830457E-3</v>
      </c>
      <c r="F1704" s="5">
        <v>42655</v>
      </c>
      <c r="G1704" s="5">
        <v>44481</v>
      </c>
      <c r="H1704" s="16">
        <v>1826</v>
      </c>
      <c r="I1704" s="5">
        <v>44481</v>
      </c>
      <c r="J1704" s="5">
        <v>43131</v>
      </c>
      <c r="K1704" s="16">
        <v>476</v>
      </c>
      <c r="L1704" s="13">
        <v>18251.849999999999</v>
      </c>
      <c r="M1704" s="15">
        <v>396.13134103470014</v>
      </c>
      <c r="N1704" s="13">
        <v>18251.849999999999</v>
      </c>
      <c r="O1704" s="13">
        <v>0</v>
      </c>
      <c r="P1704" s="11">
        <v>1</v>
      </c>
    </row>
    <row r="1705" spans="1:16" ht="15" thickBot="1" x14ac:dyDescent="0.3">
      <c r="A1705" s="3" t="s">
        <v>11</v>
      </c>
      <c r="B1705" s="4">
        <v>617741</v>
      </c>
      <c r="C1705" s="3" t="s">
        <v>9</v>
      </c>
      <c r="D1705" s="18">
        <v>0.1</v>
      </c>
      <c r="E1705" s="21">
        <v>7.9741404289037643E-3</v>
      </c>
      <c r="F1705" s="5">
        <v>42661</v>
      </c>
      <c r="G1705" s="5">
        <v>44122</v>
      </c>
      <c r="H1705" s="16">
        <v>1461</v>
      </c>
      <c r="I1705" s="5">
        <v>44153</v>
      </c>
      <c r="J1705" s="5">
        <v>44180</v>
      </c>
      <c r="K1705" s="16">
        <v>1519</v>
      </c>
      <c r="L1705" s="13">
        <v>9456.69</v>
      </c>
      <c r="M1705" s="15">
        <v>235.08487382063282</v>
      </c>
      <c r="N1705" s="13">
        <v>1051.58</v>
      </c>
      <c r="O1705" s="13">
        <v>1051.58</v>
      </c>
      <c r="P1705" s="11">
        <v>1</v>
      </c>
    </row>
    <row r="1706" spans="1:16" ht="15" thickBot="1" x14ac:dyDescent="0.3">
      <c r="A1706" s="3" t="s">
        <v>11</v>
      </c>
      <c r="B1706" s="4">
        <v>861190</v>
      </c>
      <c r="C1706" s="3" t="s">
        <v>9</v>
      </c>
      <c r="D1706" s="18">
        <v>0.1</v>
      </c>
      <c r="E1706" s="21">
        <v>7.9741404289037643E-3</v>
      </c>
      <c r="F1706" s="5">
        <v>42662</v>
      </c>
      <c r="G1706" s="5">
        <v>44853</v>
      </c>
      <c r="H1706" s="16">
        <v>2191</v>
      </c>
      <c r="I1706" s="5">
        <v>45065</v>
      </c>
      <c r="J1706" s="5">
        <v>44099</v>
      </c>
      <c r="K1706" s="16">
        <v>1437</v>
      </c>
      <c r="L1706" s="13">
        <v>15345.74</v>
      </c>
      <c r="M1706" s="15">
        <v>278.02316105209195</v>
      </c>
      <c r="N1706" s="13">
        <v>6119.72</v>
      </c>
      <c r="O1706" s="13">
        <v>0</v>
      </c>
      <c r="P1706" s="11">
        <v>1</v>
      </c>
    </row>
    <row r="1707" spans="1:16" ht="15" thickBot="1" x14ac:dyDescent="0.3">
      <c r="A1707" s="3" t="s">
        <v>11</v>
      </c>
      <c r="B1707" s="4">
        <v>770053</v>
      </c>
      <c r="C1707" s="3" t="s">
        <v>2</v>
      </c>
      <c r="D1707" s="18">
        <v>0.09</v>
      </c>
      <c r="E1707" s="21">
        <v>7.2073233161367156E-3</v>
      </c>
      <c r="F1707" s="5">
        <v>42663</v>
      </c>
      <c r="G1707" s="5">
        <v>42755</v>
      </c>
      <c r="H1707" s="16">
        <v>92</v>
      </c>
      <c r="I1707" s="5">
        <v>44711</v>
      </c>
      <c r="J1707" s="5">
        <v>44102</v>
      </c>
      <c r="K1707" s="16">
        <v>1439</v>
      </c>
      <c r="L1707" s="13">
        <v>25000</v>
      </c>
      <c r="M1707" s="15">
        <v>8271.9386497472515</v>
      </c>
      <c r="N1707" s="13">
        <v>22250</v>
      </c>
      <c r="O1707" s="13">
        <v>6384.1</v>
      </c>
      <c r="P1707" s="11">
        <v>1</v>
      </c>
    </row>
    <row r="1708" spans="1:16" ht="15" thickBot="1" x14ac:dyDescent="0.3">
      <c r="A1708" s="3" t="s">
        <v>11</v>
      </c>
      <c r="B1708" s="4">
        <v>306349</v>
      </c>
      <c r="C1708" s="3" t="s">
        <v>2</v>
      </c>
      <c r="D1708" s="18">
        <v>0.1</v>
      </c>
      <c r="E1708" s="21">
        <v>7.9741404289037643E-3</v>
      </c>
      <c r="F1708" s="5">
        <v>42674</v>
      </c>
      <c r="G1708" s="5">
        <v>44135</v>
      </c>
      <c r="H1708" s="16">
        <v>1461</v>
      </c>
      <c r="I1708" s="5">
        <v>44285</v>
      </c>
      <c r="J1708" s="5">
        <v>43731</v>
      </c>
      <c r="K1708" s="16">
        <v>1057</v>
      </c>
      <c r="L1708" s="13">
        <v>45448.4</v>
      </c>
      <c r="M1708" s="15">
        <v>1129.8066637850716</v>
      </c>
      <c r="N1708" s="13">
        <v>9952.25</v>
      </c>
      <c r="O1708" s="13">
        <v>0</v>
      </c>
      <c r="P1708" s="11">
        <v>1</v>
      </c>
    </row>
    <row r="1709" spans="1:16" ht="15" thickBot="1" x14ac:dyDescent="0.3">
      <c r="A1709" s="3" t="s">
        <v>11</v>
      </c>
      <c r="B1709" s="4">
        <v>562718</v>
      </c>
      <c r="C1709" s="3" t="s">
        <v>9</v>
      </c>
      <c r="D1709" s="18">
        <v>0.1</v>
      </c>
      <c r="E1709" s="21">
        <v>7.9741404289037643E-3</v>
      </c>
      <c r="F1709" s="5">
        <v>42674</v>
      </c>
      <c r="G1709" s="5">
        <v>44865</v>
      </c>
      <c r="H1709" s="16">
        <v>2191</v>
      </c>
      <c r="I1709" s="5">
        <v>44865</v>
      </c>
      <c r="J1709" s="5">
        <v>43731</v>
      </c>
      <c r="K1709" s="16">
        <v>1057</v>
      </c>
      <c r="L1709" s="13">
        <v>21974.61</v>
      </c>
      <c r="M1709" s="15">
        <v>398.12029495396848</v>
      </c>
      <c r="N1709" s="13">
        <v>7825.04</v>
      </c>
      <c r="O1709" s="13">
        <v>0</v>
      </c>
      <c r="P1709" s="11">
        <v>1</v>
      </c>
    </row>
    <row r="1710" spans="1:16" ht="15" thickBot="1" x14ac:dyDescent="0.3">
      <c r="A1710" s="3" t="s">
        <v>11</v>
      </c>
      <c r="B1710" s="4">
        <v>570644</v>
      </c>
      <c r="C1710" s="3" t="s">
        <v>9</v>
      </c>
      <c r="D1710" s="18">
        <v>0.08</v>
      </c>
      <c r="E1710" s="21">
        <v>6.4340301100034303E-3</v>
      </c>
      <c r="F1710" s="5">
        <v>42675</v>
      </c>
      <c r="G1710" s="5">
        <v>44896</v>
      </c>
      <c r="H1710" s="16">
        <v>2221</v>
      </c>
      <c r="I1710" s="5">
        <v>44896</v>
      </c>
      <c r="J1710" s="5">
        <v>43502</v>
      </c>
      <c r="K1710" s="16">
        <v>827</v>
      </c>
      <c r="L1710" s="13">
        <v>19477.560000000001</v>
      </c>
      <c r="M1710" s="15">
        <v>331.53683316772913</v>
      </c>
      <c r="N1710" s="13">
        <v>19477.560000000001</v>
      </c>
      <c r="O1710" s="13">
        <v>0</v>
      </c>
      <c r="P1710" s="11">
        <v>1</v>
      </c>
    </row>
    <row r="1711" spans="1:16" ht="15" thickBot="1" x14ac:dyDescent="0.3">
      <c r="A1711" s="3" t="s">
        <v>11</v>
      </c>
      <c r="B1711" s="4">
        <v>492741</v>
      </c>
      <c r="C1711" s="3" t="s">
        <v>9</v>
      </c>
      <c r="D1711" s="18">
        <v>0.1</v>
      </c>
      <c r="E1711" s="21">
        <v>7.9741404289037643E-3</v>
      </c>
      <c r="F1711" s="5">
        <v>42676</v>
      </c>
      <c r="G1711" s="5">
        <v>44502</v>
      </c>
      <c r="H1711" s="16">
        <v>1826</v>
      </c>
      <c r="I1711" s="5">
        <v>44502</v>
      </c>
      <c r="J1711" s="5">
        <v>44011</v>
      </c>
      <c r="K1711" s="16">
        <v>1335</v>
      </c>
      <c r="L1711" s="13">
        <v>38524.1</v>
      </c>
      <c r="M1711" s="15">
        <v>801.37238420183462</v>
      </c>
      <c r="N1711" s="13">
        <v>12913</v>
      </c>
      <c r="O1711" s="13">
        <v>0</v>
      </c>
      <c r="P1711" s="11">
        <v>1</v>
      </c>
    </row>
    <row r="1712" spans="1:16" ht="15" thickBot="1" x14ac:dyDescent="0.3">
      <c r="A1712" s="3" t="s">
        <v>11</v>
      </c>
      <c r="B1712" s="4">
        <v>307087</v>
      </c>
      <c r="C1712" s="3" t="s">
        <v>9</v>
      </c>
      <c r="D1712" s="18">
        <v>0.12</v>
      </c>
      <c r="E1712" s="21">
        <v>9.4887929345830457E-3</v>
      </c>
      <c r="F1712" s="5">
        <v>42688</v>
      </c>
      <c r="G1712" s="5">
        <v>44149</v>
      </c>
      <c r="H1712" s="16">
        <v>1461</v>
      </c>
      <c r="I1712" s="5">
        <v>44149</v>
      </c>
      <c r="J1712" s="5">
        <v>43598</v>
      </c>
      <c r="K1712" s="16">
        <v>910</v>
      </c>
      <c r="L1712" s="13">
        <v>7738.34</v>
      </c>
      <c r="M1712" s="15">
        <v>199.16898777066783</v>
      </c>
      <c r="N1712" s="13">
        <v>7438.34</v>
      </c>
      <c r="O1712" s="13">
        <v>3979.78</v>
      </c>
      <c r="P1712" s="11">
        <v>1</v>
      </c>
    </row>
    <row r="1713" spans="1:16" ht="15" thickBot="1" x14ac:dyDescent="0.3">
      <c r="A1713" s="3" t="s">
        <v>11</v>
      </c>
      <c r="B1713" s="4">
        <v>369216</v>
      </c>
      <c r="C1713" s="3" t="s">
        <v>19</v>
      </c>
      <c r="D1713" s="18">
        <v>0.1</v>
      </c>
      <c r="E1713" s="21">
        <v>7.9741404289037643E-3</v>
      </c>
      <c r="F1713" s="5">
        <v>42688</v>
      </c>
      <c r="G1713" s="5">
        <v>43661</v>
      </c>
      <c r="H1713" s="16">
        <v>973</v>
      </c>
      <c r="I1713" s="5">
        <v>43661</v>
      </c>
      <c r="J1713" s="5">
        <v>43725</v>
      </c>
      <c r="K1713" s="16">
        <v>1037</v>
      </c>
      <c r="L1713" s="13">
        <v>5939.67</v>
      </c>
      <c r="M1713" s="15">
        <v>208.56145195523413</v>
      </c>
      <c r="N1713" s="13">
        <v>4973.1000000000004</v>
      </c>
      <c r="O1713" s="13">
        <v>0</v>
      </c>
      <c r="P1713" s="11">
        <v>1</v>
      </c>
    </row>
    <row r="1714" spans="1:16" ht="15" thickBot="1" x14ac:dyDescent="0.3">
      <c r="A1714" s="3" t="s">
        <v>11</v>
      </c>
      <c r="B1714" s="4">
        <v>825571</v>
      </c>
      <c r="C1714" s="3" t="s">
        <v>9</v>
      </c>
      <c r="D1714" s="18">
        <v>0.09</v>
      </c>
      <c r="E1714" s="21">
        <v>7.2073233161367156E-3</v>
      </c>
      <c r="F1714" s="5">
        <v>42691</v>
      </c>
      <c r="G1714" s="5">
        <v>43056</v>
      </c>
      <c r="H1714" s="16">
        <v>365</v>
      </c>
      <c r="I1714" s="5">
        <v>43056</v>
      </c>
      <c r="J1714" s="5">
        <v>43525</v>
      </c>
      <c r="K1714" s="16">
        <v>834</v>
      </c>
      <c r="L1714" s="13">
        <v>15236.24</v>
      </c>
      <c r="M1714" s="15">
        <v>1312.5068608685244</v>
      </c>
      <c r="N1714" s="13">
        <v>14695</v>
      </c>
      <c r="O1714" s="13">
        <v>300</v>
      </c>
      <c r="P1714" s="11">
        <v>1</v>
      </c>
    </row>
    <row r="1715" spans="1:16" ht="15" thickBot="1" x14ac:dyDescent="0.3">
      <c r="A1715" s="3" t="s">
        <v>11</v>
      </c>
      <c r="B1715" s="4">
        <v>572002</v>
      </c>
      <c r="C1715" s="3" t="s">
        <v>9</v>
      </c>
      <c r="D1715" s="18">
        <v>0.1</v>
      </c>
      <c r="E1715" s="21">
        <v>7.9741404289037643E-3</v>
      </c>
      <c r="F1715" s="5">
        <v>42691</v>
      </c>
      <c r="G1715" s="5">
        <v>43421</v>
      </c>
      <c r="H1715" s="16">
        <v>730</v>
      </c>
      <c r="I1715" s="5">
        <v>43421</v>
      </c>
      <c r="J1715" s="5">
        <v>43213</v>
      </c>
      <c r="K1715" s="16">
        <v>522</v>
      </c>
      <c r="L1715" s="13">
        <v>1061.76</v>
      </c>
      <c r="M1715" s="15">
        <v>48.177301394093575</v>
      </c>
      <c r="N1715" s="13">
        <v>1061.76</v>
      </c>
      <c r="O1715" s="13">
        <v>0</v>
      </c>
      <c r="P1715" s="11">
        <v>1</v>
      </c>
    </row>
    <row r="1716" spans="1:16" ht="15" thickBot="1" x14ac:dyDescent="0.3">
      <c r="A1716" s="3" t="s">
        <v>11</v>
      </c>
      <c r="B1716" s="4">
        <v>769990</v>
      </c>
      <c r="C1716" s="3" t="s">
        <v>9</v>
      </c>
      <c r="D1716" s="18">
        <v>0.1</v>
      </c>
      <c r="E1716" s="21">
        <v>7.9741404289037643E-3</v>
      </c>
      <c r="F1716" s="5">
        <v>42697</v>
      </c>
      <c r="G1716" s="5">
        <v>44523</v>
      </c>
      <c r="H1716" s="16">
        <v>1826</v>
      </c>
      <c r="I1716" s="5">
        <v>44553</v>
      </c>
      <c r="J1716" s="5">
        <v>44011</v>
      </c>
      <c r="K1716" s="16">
        <v>1314</v>
      </c>
      <c r="L1716" s="13">
        <v>10500</v>
      </c>
      <c r="M1716" s="15">
        <v>218.41937992371697</v>
      </c>
      <c r="N1716" s="13">
        <v>4542.88</v>
      </c>
      <c r="O1716" s="13">
        <v>0</v>
      </c>
      <c r="P1716" s="11">
        <v>1</v>
      </c>
    </row>
    <row r="1717" spans="1:16" ht="15" thickBot="1" x14ac:dyDescent="0.3">
      <c r="A1717" s="3" t="s">
        <v>11</v>
      </c>
      <c r="B1717" s="4">
        <v>213986</v>
      </c>
      <c r="C1717" s="3" t="s">
        <v>9</v>
      </c>
      <c r="D1717" s="18">
        <v>0.1</v>
      </c>
      <c r="E1717" s="21">
        <v>7.9741404289037643E-3</v>
      </c>
      <c r="F1717" s="5">
        <v>42702</v>
      </c>
      <c r="G1717" s="5">
        <v>44709</v>
      </c>
      <c r="H1717" s="16">
        <v>2007</v>
      </c>
      <c r="I1717" s="5">
        <v>44801</v>
      </c>
      <c r="J1717" s="5">
        <v>43829</v>
      </c>
      <c r="K1717" s="16">
        <v>1127</v>
      </c>
      <c r="L1717" s="13">
        <v>30305.7</v>
      </c>
      <c r="M1717" s="15">
        <v>586.28536203245915</v>
      </c>
      <c r="N1717" s="13">
        <v>19724.919999999998</v>
      </c>
      <c r="O1717" s="13">
        <v>2505.71</v>
      </c>
      <c r="P1717" s="11">
        <v>1</v>
      </c>
    </row>
    <row r="1718" spans="1:16" ht="15" thickBot="1" x14ac:dyDescent="0.3">
      <c r="A1718" s="3" t="s">
        <v>11</v>
      </c>
      <c r="B1718" s="4">
        <v>283509</v>
      </c>
      <c r="C1718" s="3" t="s">
        <v>9</v>
      </c>
      <c r="D1718" s="18">
        <v>0.1</v>
      </c>
      <c r="E1718" s="21">
        <v>7.9741404289037643E-3</v>
      </c>
      <c r="F1718" s="5">
        <v>42702</v>
      </c>
      <c r="G1718" s="5">
        <v>44528</v>
      </c>
      <c r="H1718" s="16">
        <v>1826</v>
      </c>
      <c r="I1718" s="5">
        <v>44528</v>
      </c>
      <c r="J1718" s="5">
        <v>42865</v>
      </c>
      <c r="K1718" s="16">
        <v>163</v>
      </c>
      <c r="L1718" s="13">
        <v>16731.91</v>
      </c>
      <c r="M1718" s="15">
        <v>348.05461020375611</v>
      </c>
      <c r="N1718" s="13">
        <v>16731.91</v>
      </c>
      <c r="O1718" s="13">
        <v>0</v>
      </c>
      <c r="P1718" s="11">
        <v>1</v>
      </c>
    </row>
    <row r="1719" spans="1:16" ht="15" thickBot="1" x14ac:dyDescent="0.3">
      <c r="A1719" s="3" t="s">
        <v>11</v>
      </c>
      <c r="B1719" s="4">
        <v>555768</v>
      </c>
      <c r="C1719" s="3" t="s">
        <v>9</v>
      </c>
      <c r="D1719" s="18">
        <v>0.09</v>
      </c>
      <c r="E1719" s="21">
        <v>7.2073233161367156E-3</v>
      </c>
      <c r="F1719" s="5">
        <v>42702</v>
      </c>
      <c r="G1719" s="5">
        <v>45105</v>
      </c>
      <c r="H1719" s="16">
        <v>2403</v>
      </c>
      <c r="I1719" s="5">
        <v>45105</v>
      </c>
      <c r="J1719" s="5">
        <v>43664</v>
      </c>
      <c r="K1719" s="16">
        <v>962</v>
      </c>
      <c r="L1719" s="13">
        <v>15658.34</v>
      </c>
      <c r="M1719" s="15">
        <v>257.99611233798754</v>
      </c>
      <c r="N1719" s="13">
        <v>15658.34</v>
      </c>
      <c r="O1719" s="13">
        <v>0</v>
      </c>
      <c r="P1719" s="11">
        <v>1</v>
      </c>
    </row>
    <row r="1720" spans="1:16" ht="15" thickBot="1" x14ac:dyDescent="0.3">
      <c r="A1720" s="3" t="s">
        <v>11</v>
      </c>
      <c r="B1720" s="4">
        <v>515326</v>
      </c>
      <c r="C1720" s="3" t="s">
        <v>9</v>
      </c>
      <c r="D1720" s="18">
        <v>0.1</v>
      </c>
      <c r="E1720" s="21">
        <v>7.9741404289037643E-3</v>
      </c>
      <c r="F1720" s="5">
        <v>42704</v>
      </c>
      <c r="G1720" s="5">
        <v>44895</v>
      </c>
      <c r="H1720" s="16">
        <v>2191</v>
      </c>
      <c r="I1720" s="5">
        <v>44895</v>
      </c>
      <c r="J1720" s="5">
        <v>42898</v>
      </c>
      <c r="K1720" s="16">
        <v>194</v>
      </c>
      <c r="L1720" s="13">
        <v>12007.72</v>
      </c>
      <c r="M1720" s="15">
        <v>217.54729790993633</v>
      </c>
      <c r="N1720" s="13">
        <v>12007.72</v>
      </c>
      <c r="O1720" s="13">
        <v>0</v>
      </c>
      <c r="P1720" s="11">
        <v>1</v>
      </c>
    </row>
    <row r="1721" spans="1:16" ht="15" thickBot="1" x14ac:dyDescent="0.3">
      <c r="A1721" s="3" t="s">
        <v>11</v>
      </c>
      <c r="B1721" s="4">
        <v>149126</v>
      </c>
      <c r="C1721" s="3" t="s">
        <v>9</v>
      </c>
      <c r="D1721" s="18">
        <v>0.12</v>
      </c>
      <c r="E1721" s="21">
        <v>9.4887929345830457E-3</v>
      </c>
      <c r="F1721" s="5">
        <v>42709</v>
      </c>
      <c r="G1721" s="5">
        <v>43621</v>
      </c>
      <c r="H1721" s="16">
        <v>912</v>
      </c>
      <c r="I1721" s="5">
        <v>43621</v>
      </c>
      <c r="J1721" s="5">
        <v>43075</v>
      </c>
      <c r="K1721" s="16">
        <v>366</v>
      </c>
      <c r="L1721" s="13">
        <v>4892.92</v>
      </c>
      <c r="M1721" s="15">
        <v>186.03694514838185</v>
      </c>
      <c r="N1721" s="13">
        <v>4892.92</v>
      </c>
      <c r="O1721" s="13">
        <v>0</v>
      </c>
      <c r="P1721" s="11">
        <v>1</v>
      </c>
    </row>
    <row r="1722" spans="1:16" ht="15" thickBot="1" x14ac:dyDescent="0.3">
      <c r="A1722" s="3" t="s">
        <v>11</v>
      </c>
      <c r="B1722" s="4">
        <v>629541</v>
      </c>
      <c r="C1722" s="3" t="s">
        <v>9</v>
      </c>
      <c r="D1722" s="18">
        <v>0.09</v>
      </c>
      <c r="E1722" s="21">
        <v>7.2073233161367156E-3</v>
      </c>
      <c r="F1722" s="5">
        <v>42710</v>
      </c>
      <c r="G1722" s="5">
        <v>45418</v>
      </c>
      <c r="H1722" s="16">
        <v>2708</v>
      </c>
      <c r="I1722" s="5">
        <v>45418</v>
      </c>
      <c r="J1722" s="5">
        <v>43644</v>
      </c>
      <c r="K1722" s="16">
        <v>934</v>
      </c>
      <c r="L1722" s="13">
        <v>15781.94</v>
      </c>
      <c r="M1722" s="15">
        <v>238.44092342909872</v>
      </c>
      <c r="N1722" s="13">
        <v>15781.94</v>
      </c>
      <c r="O1722" s="13">
        <v>0</v>
      </c>
      <c r="P1722" s="11">
        <v>1</v>
      </c>
    </row>
    <row r="1723" spans="1:16" ht="15" thickBot="1" x14ac:dyDescent="0.3">
      <c r="A1723" s="3" t="s">
        <v>11</v>
      </c>
      <c r="B1723" s="4">
        <v>821207</v>
      </c>
      <c r="C1723" s="3" t="s">
        <v>9</v>
      </c>
      <c r="D1723" s="18">
        <v>0.09</v>
      </c>
      <c r="E1723" s="21">
        <v>7.2073233161367156E-3</v>
      </c>
      <c r="F1723" s="5">
        <v>42713</v>
      </c>
      <c r="G1723" s="5">
        <v>45295</v>
      </c>
      <c r="H1723" s="16">
        <v>2582</v>
      </c>
      <c r="I1723" s="5">
        <v>45295</v>
      </c>
      <c r="J1723" s="5">
        <v>43651</v>
      </c>
      <c r="K1723" s="16">
        <v>938</v>
      </c>
      <c r="L1723" s="13">
        <v>15865.74</v>
      </c>
      <c r="M1723" s="15">
        <v>248.03337153640658</v>
      </c>
      <c r="N1723" s="13">
        <v>14640.12</v>
      </c>
      <c r="O1723" s="13">
        <v>14640.12</v>
      </c>
      <c r="P1723" s="11">
        <v>1</v>
      </c>
    </row>
    <row r="1724" spans="1:16" ht="15" thickBot="1" x14ac:dyDescent="0.3">
      <c r="A1724" s="3" t="s">
        <v>11</v>
      </c>
      <c r="B1724" s="4">
        <v>438050</v>
      </c>
      <c r="C1724" s="3" t="s">
        <v>9</v>
      </c>
      <c r="D1724" s="18">
        <v>0.1</v>
      </c>
      <c r="E1724" s="21">
        <v>7.9741404289037643E-3</v>
      </c>
      <c r="F1724" s="5">
        <v>42716</v>
      </c>
      <c r="G1724" s="5">
        <v>44907</v>
      </c>
      <c r="H1724" s="16">
        <v>2191</v>
      </c>
      <c r="I1724" s="5">
        <v>44907</v>
      </c>
      <c r="J1724" s="5">
        <v>43432</v>
      </c>
      <c r="K1724" s="16">
        <v>716</v>
      </c>
      <c r="L1724" s="13">
        <v>4259.6099999999997</v>
      </c>
      <c r="M1724" s="15">
        <v>77.172572782355346</v>
      </c>
      <c r="N1724" s="13">
        <v>3910.26</v>
      </c>
      <c r="O1724" s="13">
        <v>0</v>
      </c>
      <c r="P1724" s="11">
        <v>1</v>
      </c>
    </row>
    <row r="1725" spans="1:16" ht="15" thickBot="1" x14ac:dyDescent="0.3">
      <c r="A1725" s="3" t="s">
        <v>11</v>
      </c>
      <c r="B1725" s="4">
        <v>149745</v>
      </c>
      <c r="C1725" s="3" t="s">
        <v>9</v>
      </c>
      <c r="D1725" s="18">
        <v>0.1</v>
      </c>
      <c r="E1725" s="21">
        <v>7.9741404289037643E-3</v>
      </c>
      <c r="F1725" s="5">
        <v>42717</v>
      </c>
      <c r="G1725" s="5">
        <v>44946</v>
      </c>
      <c r="H1725" s="16">
        <v>2229</v>
      </c>
      <c r="I1725" s="5">
        <v>44946</v>
      </c>
      <c r="J1725" s="5">
        <v>43725</v>
      </c>
      <c r="K1725" s="16">
        <v>1008</v>
      </c>
      <c r="L1725" s="13">
        <v>11323.58</v>
      </c>
      <c r="M1725" s="15">
        <v>202.57319916747687</v>
      </c>
      <c r="N1725" s="13">
        <v>11323.58</v>
      </c>
      <c r="O1725" s="13">
        <v>0</v>
      </c>
      <c r="P1725" s="11">
        <v>1</v>
      </c>
    </row>
    <row r="1726" spans="1:16" ht="15" thickBot="1" x14ac:dyDescent="0.3">
      <c r="A1726" s="3" t="s">
        <v>11</v>
      </c>
      <c r="B1726" s="4">
        <v>175231</v>
      </c>
      <c r="C1726" s="3" t="s">
        <v>2</v>
      </c>
      <c r="D1726" s="18">
        <v>0.09</v>
      </c>
      <c r="E1726" s="21">
        <v>7.2073233161367156E-3</v>
      </c>
      <c r="F1726" s="5">
        <v>42719</v>
      </c>
      <c r="G1726" s="5">
        <v>43661</v>
      </c>
      <c r="H1726" s="16">
        <v>942</v>
      </c>
      <c r="I1726" s="5">
        <v>43661</v>
      </c>
      <c r="J1726" s="5">
        <v>43725</v>
      </c>
      <c r="K1726" s="16">
        <v>1006</v>
      </c>
      <c r="L1726" s="13">
        <v>10064.76</v>
      </c>
      <c r="M1726" s="15">
        <v>359.31944335652452</v>
      </c>
      <c r="N1726" s="13">
        <v>10064.76</v>
      </c>
      <c r="O1726" s="13">
        <v>0</v>
      </c>
      <c r="P1726" s="11">
        <v>1</v>
      </c>
    </row>
    <row r="1727" spans="1:16" ht="15" thickBot="1" x14ac:dyDescent="0.3">
      <c r="A1727" s="3" t="s">
        <v>11</v>
      </c>
      <c r="B1727" s="4">
        <v>689069</v>
      </c>
      <c r="C1727" s="3" t="s">
        <v>19</v>
      </c>
      <c r="D1727" s="18">
        <v>0.08</v>
      </c>
      <c r="E1727" s="21">
        <v>6.4340301100034303E-3</v>
      </c>
      <c r="F1727" s="5">
        <v>42725</v>
      </c>
      <c r="G1727" s="5">
        <v>43455</v>
      </c>
      <c r="H1727" s="16">
        <v>730</v>
      </c>
      <c r="I1727" s="5">
        <v>43455</v>
      </c>
      <c r="J1727" s="5">
        <v>43685</v>
      </c>
      <c r="K1727" s="16">
        <v>960</v>
      </c>
      <c r="L1727" s="13">
        <v>18420.88</v>
      </c>
      <c r="M1727" s="15">
        <v>820.25619622327565</v>
      </c>
      <c r="N1727" s="13">
        <v>12300</v>
      </c>
      <c r="O1727" s="13">
        <v>0</v>
      </c>
      <c r="P1727" s="11">
        <v>1</v>
      </c>
    </row>
    <row r="1728" spans="1:16" ht="15" thickBot="1" x14ac:dyDescent="0.3">
      <c r="A1728" s="3" t="s">
        <v>11</v>
      </c>
      <c r="B1728" s="4">
        <v>247742</v>
      </c>
      <c r="C1728" s="3" t="s">
        <v>9</v>
      </c>
      <c r="D1728" s="18">
        <v>0.1</v>
      </c>
      <c r="E1728" s="21">
        <v>7.9741404289037643E-3</v>
      </c>
      <c r="F1728" s="5">
        <v>42731</v>
      </c>
      <c r="G1728" s="5">
        <v>44557</v>
      </c>
      <c r="H1728" s="16">
        <v>1826</v>
      </c>
      <c r="I1728" s="5">
        <v>44557</v>
      </c>
      <c r="J1728" s="5">
        <v>42898</v>
      </c>
      <c r="K1728" s="16">
        <v>167</v>
      </c>
      <c r="L1728" s="13">
        <v>6476.99</v>
      </c>
      <c r="M1728" s="15">
        <v>134.73334662591577</v>
      </c>
      <c r="N1728" s="13">
        <v>6476.99</v>
      </c>
      <c r="O1728" s="13">
        <v>0</v>
      </c>
      <c r="P1728" s="11">
        <v>1</v>
      </c>
    </row>
    <row r="1729" spans="1:16" ht="15" thickBot="1" x14ac:dyDescent="0.3">
      <c r="A1729" s="3" t="s">
        <v>11</v>
      </c>
      <c r="B1729" s="4">
        <v>175851</v>
      </c>
      <c r="C1729" s="3" t="s">
        <v>9</v>
      </c>
      <c r="D1729" s="18">
        <v>0.1</v>
      </c>
      <c r="E1729" s="21">
        <v>7.9741404289037643E-3</v>
      </c>
      <c r="F1729" s="5">
        <v>42732</v>
      </c>
      <c r="G1729" s="5">
        <v>44375</v>
      </c>
      <c r="H1729" s="16">
        <v>1643</v>
      </c>
      <c r="I1729" s="5">
        <v>44375</v>
      </c>
      <c r="J1729" s="5">
        <v>42892</v>
      </c>
      <c r="K1729" s="16">
        <v>160</v>
      </c>
      <c r="L1729" s="13">
        <v>40592.9</v>
      </c>
      <c r="M1729" s="15">
        <v>917.6918861640022</v>
      </c>
      <c r="N1729" s="13">
        <v>40592.9</v>
      </c>
      <c r="O1729" s="13">
        <v>0</v>
      </c>
      <c r="P1729" s="11">
        <v>1</v>
      </c>
    </row>
    <row r="1730" spans="1:16" ht="15" thickBot="1" x14ac:dyDescent="0.3">
      <c r="A1730" s="3" t="s">
        <v>11</v>
      </c>
      <c r="B1730" s="4">
        <v>280302</v>
      </c>
      <c r="C1730" s="3" t="s">
        <v>9</v>
      </c>
      <c r="D1730" s="18">
        <v>0.14000000000000001</v>
      </c>
      <c r="E1730" s="21">
        <v>1.0978851950173452E-2</v>
      </c>
      <c r="F1730" s="5">
        <v>42733</v>
      </c>
      <c r="G1730" s="5">
        <v>44284</v>
      </c>
      <c r="H1730" s="16">
        <v>1551</v>
      </c>
      <c r="I1730" s="5">
        <v>44406</v>
      </c>
      <c r="J1730" s="5">
        <v>44099</v>
      </c>
      <c r="K1730" s="16">
        <v>1366</v>
      </c>
      <c r="L1730" s="13">
        <v>16921.169999999998</v>
      </c>
      <c r="M1730" s="15">
        <v>430.66956881361381</v>
      </c>
      <c r="N1730" s="13">
        <v>5170.18</v>
      </c>
      <c r="O1730" s="13">
        <v>0</v>
      </c>
      <c r="P1730" s="11">
        <v>1</v>
      </c>
    </row>
    <row r="1731" spans="1:16" ht="15" thickBot="1" x14ac:dyDescent="0.3">
      <c r="A1731" s="3" t="s">
        <v>11</v>
      </c>
      <c r="B1731" s="4">
        <v>132773</v>
      </c>
      <c r="C1731" s="3" t="s">
        <v>12</v>
      </c>
      <c r="D1731" s="18">
        <v>0.08</v>
      </c>
      <c r="E1731" s="21">
        <v>6.4340301100034303E-3</v>
      </c>
      <c r="F1731" s="5">
        <v>42733</v>
      </c>
      <c r="G1731" s="5">
        <v>44559</v>
      </c>
      <c r="H1731" s="16">
        <v>1826</v>
      </c>
      <c r="I1731" s="5">
        <v>44620</v>
      </c>
      <c r="J1731" s="5">
        <v>43802</v>
      </c>
      <c r="K1731" s="16">
        <v>1069</v>
      </c>
      <c r="L1731" s="13">
        <v>12685.79</v>
      </c>
      <c r="M1731" s="15">
        <v>252.54790873392321</v>
      </c>
      <c r="N1731" s="13">
        <v>6700</v>
      </c>
      <c r="O1731" s="13">
        <v>0</v>
      </c>
      <c r="P1731" s="11">
        <v>1</v>
      </c>
    </row>
    <row r="1732" spans="1:16" ht="15" thickBot="1" x14ac:dyDescent="0.3">
      <c r="A1732" s="3" t="s">
        <v>11</v>
      </c>
      <c r="B1732" s="4">
        <v>830605</v>
      </c>
      <c r="C1732" s="3" t="s">
        <v>3</v>
      </c>
      <c r="D1732" s="18">
        <v>7.4999999999999997E-2</v>
      </c>
      <c r="E1732" s="21">
        <v>6.0449190242917172E-3</v>
      </c>
      <c r="F1732" s="5">
        <v>42734</v>
      </c>
      <c r="G1732" s="5">
        <v>43099</v>
      </c>
      <c r="H1732" s="16">
        <v>365</v>
      </c>
      <c r="I1732" s="5">
        <v>43498</v>
      </c>
      <c r="J1732" s="5">
        <v>43994</v>
      </c>
      <c r="K1732" s="16">
        <v>1260</v>
      </c>
      <c r="L1732" s="13">
        <v>440000</v>
      </c>
      <c r="M1732" s="15">
        <v>37619.712177862464</v>
      </c>
      <c r="N1732" s="13">
        <v>362874.15</v>
      </c>
      <c r="O1732" s="13">
        <v>0</v>
      </c>
      <c r="P1732" s="11">
        <v>1</v>
      </c>
    </row>
    <row r="1733" spans="1:16" ht="15" thickBot="1" x14ac:dyDescent="0.3">
      <c r="A1733" s="3" t="s">
        <v>11</v>
      </c>
      <c r="B1733" s="4">
        <v>859820</v>
      </c>
      <c r="C1733" s="3" t="s">
        <v>9</v>
      </c>
      <c r="D1733" s="18">
        <v>0.1</v>
      </c>
      <c r="E1733" s="21">
        <v>7.9741404289037643E-3</v>
      </c>
      <c r="F1733" s="5">
        <v>42738</v>
      </c>
      <c r="G1733" s="5">
        <v>44564</v>
      </c>
      <c r="H1733" s="16">
        <v>1826</v>
      </c>
      <c r="I1733" s="5">
        <v>44564</v>
      </c>
      <c r="J1733" s="5">
        <v>43542</v>
      </c>
      <c r="K1733" s="16">
        <v>804</v>
      </c>
      <c r="L1733" s="13">
        <v>9225.1299999999992</v>
      </c>
      <c r="M1733" s="15">
        <v>191.89973088720751</v>
      </c>
      <c r="N1733" s="13">
        <v>8554.26</v>
      </c>
      <c r="O1733" s="13">
        <v>0</v>
      </c>
      <c r="P1733" s="11">
        <v>1</v>
      </c>
    </row>
    <row r="1734" spans="1:16" ht="15" thickBot="1" x14ac:dyDescent="0.3">
      <c r="A1734" s="3" t="s">
        <v>11</v>
      </c>
      <c r="B1734" s="4">
        <v>337441</v>
      </c>
      <c r="C1734" s="3" t="s">
        <v>9</v>
      </c>
      <c r="D1734" s="18">
        <v>0.09</v>
      </c>
      <c r="E1734" s="21">
        <v>7.2073233161367156E-3</v>
      </c>
      <c r="F1734" s="5">
        <v>42739</v>
      </c>
      <c r="G1734" s="5">
        <v>45295</v>
      </c>
      <c r="H1734" s="16">
        <v>2556</v>
      </c>
      <c r="I1734" s="5">
        <v>45458</v>
      </c>
      <c r="J1734" s="5">
        <v>45064</v>
      </c>
      <c r="K1734" s="16">
        <v>2325</v>
      </c>
      <c r="L1734" s="13">
        <v>37746.31</v>
      </c>
      <c r="M1734" s="15">
        <v>594.43698224833679</v>
      </c>
      <c r="N1734" s="13">
        <v>8493.31</v>
      </c>
      <c r="O1734" s="13">
        <v>0</v>
      </c>
      <c r="P1734" s="11">
        <v>1</v>
      </c>
    </row>
    <row r="1735" spans="1:16" ht="15" thickBot="1" x14ac:dyDescent="0.3">
      <c r="A1735" s="3" t="s">
        <v>11</v>
      </c>
      <c r="B1735" s="4">
        <v>136096</v>
      </c>
      <c r="C1735" s="3" t="s">
        <v>9</v>
      </c>
      <c r="D1735" s="18">
        <v>0.1</v>
      </c>
      <c r="E1735" s="21">
        <v>7.9741404289037643E-3</v>
      </c>
      <c r="F1735" s="5">
        <v>42744</v>
      </c>
      <c r="G1735" s="5">
        <v>44948</v>
      </c>
      <c r="H1735" s="16">
        <v>2204</v>
      </c>
      <c r="I1735" s="5">
        <v>44948</v>
      </c>
      <c r="J1735" s="5">
        <v>43496</v>
      </c>
      <c r="K1735" s="16">
        <v>752</v>
      </c>
      <c r="L1735" s="13">
        <v>14558.76</v>
      </c>
      <c r="M1735" s="15">
        <v>262.61747434340629</v>
      </c>
      <c r="N1735" s="13">
        <v>13824.55</v>
      </c>
      <c r="O1735" s="13">
        <v>224.28</v>
      </c>
      <c r="P1735" s="11">
        <v>1</v>
      </c>
    </row>
    <row r="1736" spans="1:16" ht="15" thickBot="1" x14ac:dyDescent="0.3">
      <c r="A1736" s="3" t="s">
        <v>11</v>
      </c>
      <c r="B1736" s="4">
        <v>343504</v>
      </c>
      <c r="C1736" s="3" t="s">
        <v>9</v>
      </c>
      <c r="D1736" s="18">
        <v>0.11</v>
      </c>
      <c r="E1736" s="21">
        <v>8.7345938235519061E-3</v>
      </c>
      <c r="F1736" s="5">
        <v>42746</v>
      </c>
      <c r="G1736" s="5">
        <v>43841</v>
      </c>
      <c r="H1736" s="16">
        <v>1095</v>
      </c>
      <c r="I1736" s="5">
        <v>43841</v>
      </c>
      <c r="J1736" s="5">
        <v>43725</v>
      </c>
      <c r="K1736" s="16">
        <v>979</v>
      </c>
      <c r="L1736" s="13">
        <v>3500</v>
      </c>
      <c r="M1736" s="15">
        <v>112.40144756964199</v>
      </c>
      <c r="N1736" s="13">
        <v>993.57</v>
      </c>
      <c r="O1736" s="13">
        <v>100</v>
      </c>
      <c r="P1736" s="11">
        <v>1</v>
      </c>
    </row>
    <row r="1737" spans="1:16" ht="15" thickBot="1" x14ac:dyDescent="0.3">
      <c r="A1737" s="3" t="s">
        <v>11</v>
      </c>
      <c r="B1737" s="4">
        <v>628196</v>
      </c>
      <c r="C1737" s="3" t="s">
        <v>9</v>
      </c>
      <c r="D1737" s="18">
        <v>0.1</v>
      </c>
      <c r="E1737" s="21">
        <v>7.9741404289037643E-3</v>
      </c>
      <c r="F1737" s="5">
        <v>42748</v>
      </c>
      <c r="G1737" s="5">
        <v>44998</v>
      </c>
      <c r="H1737" s="16">
        <v>2250</v>
      </c>
      <c r="I1737" s="5">
        <v>44998</v>
      </c>
      <c r="J1737" s="5">
        <v>43496</v>
      </c>
      <c r="K1737" s="16">
        <v>748</v>
      </c>
      <c r="L1737" s="13">
        <v>12498.43</v>
      </c>
      <c r="M1737" s="15">
        <v>222.05978998612144</v>
      </c>
      <c r="N1737" s="13">
        <v>12498.43</v>
      </c>
      <c r="O1737" s="13">
        <v>12498.43</v>
      </c>
      <c r="P1737" s="11">
        <v>1</v>
      </c>
    </row>
    <row r="1738" spans="1:16" ht="15" thickBot="1" x14ac:dyDescent="0.3">
      <c r="A1738" s="3" t="s">
        <v>11</v>
      </c>
      <c r="B1738" s="4">
        <v>418578</v>
      </c>
      <c r="C1738" s="3" t="s">
        <v>9</v>
      </c>
      <c r="D1738" s="18">
        <v>0.1</v>
      </c>
      <c r="E1738" s="21">
        <v>7.9741404289037643E-3</v>
      </c>
      <c r="F1738" s="5">
        <v>42752</v>
      </c>
      <c r="G1738" s="5">
        <v>44943</v>
      </c>
      <c r="H1738" s="16">
        <v>2191</v>
      </c>
      <c r="I1738" s="5">
        <v>45033</v>
      </c>
      <c r="J1738" s="5">
        <v>44916</v>
      </c>
      <c r="K1738" s="16">
        <v>2164</v>
      </c>
      <c r="L1738" s="13">
        <v>15458.67</v>
      </c>
      <c r="M1738" s="15">
        <v>280.06914616441713</v>
      </c>
      <c r="N1738" s="13">
        <v>2023.13</v>
      </c>
      <c r="O1738" s="13">
        <v>2023.13</v>
      </c>
      <c r="P1738" s="11">
        <v>1</v>
      </c>
    </row>
    <row r="1739" spans="1:16" ht="15" thickBot="1" x14ac:dyDescent="0.3">
      <c r="A1739" s="3" t="s">
        <v>11</v>
      </c>
      <c r="B1739" s="4">
        <v>381524</v>
      </c>
      <c r="C1739" s="3" t="s">
        <v>9</v>
      </c>
      <c r="D1739" s="18">
        <v>0.14000000000000001</v>
      </c>
      <c r="E1739" s="21">
        <v>1.0978851950173452E-2</v>
      </c>
      <c r="F1739" s="5">
        <v>42762</v>
      </c>
      <c r="G1739" s="5">
        <v>43582</v>
      </c>
      <c r="H1739" s="16">
        <v>820</v>
      </c>
      <c r="I1739" s="5">
        <v>43582</v>
      </c>
      <c r="J1739" s="5">
        <v>43005</v>
      </c>
      <c r="K1739" s="16">
        <v>243</v>
      </c>
      <c r="L1739" s="13">
        <v>4486.88</v>
      </c>
      <c r="M1739" s="15">
        <v>190.90736944555834</v>
      </c>
      <c r="N1739" s="13">
        <v>4486.88</v>
      </c>
      <c r="O1739" s="13">
        <v>0</v>
      </c>
      <c r="P1739" s="11">
        <v>1</v>
      </c>
    </row>
    <row r="1740" spans="1:16" ht="15" thickBot="1" x14ac:dyDescent="0.3">
      <c r="A1740" s="3" t="s">
        <v>11</v>
      </c>
      <c r="B1740" s="4">
        <v>137869</v>
      </c>
      <c r="C1740" s="3" t="s">
        <v>19</v>
      </c>
      <c r="D1740" s="18">
        <v>0.1</v>
      </c>
      <c r="E1740" s="21">
        <v>7.9741404289037643E-3</v>
      </c>
      <c r="F1740" s="5">
        <v>42768</v>
      </c>
      <c r="G1740" s="5">
        <v>44229</v>
      </c>
      <c r="H1740" s="16">
        <v>1461</v>
      </c>
      <c r="I1740" s="5">
        <v>44229</v>
      </c>
      <c r="J1740" s="5">
        <v>43371</v>
      </c>
      <c r="K1740" s="16">
        <v>603</v>
      </c>
      <c r="L1740" s="13">
        <v>3095.74</v>
      </c>
      <c r="M1740" s="15">
        <v>76.957333621117513</v>
      </c>
      <c r="N1740" s="13">
        <v>2506.02</v>
      </c>
      <c r="O1740" s="13">
        <v>0</v>
      </c>
      <c r="P1740" s="11">
        <v>1</v>
      </c>
    </row>
    <row r="1741" spans="1:16" ht="15" thickBot="1" x14ac:dyDescent="0.3">
      <c r="A1741" s="3" t="s">
        <v>11</v>
      </c>
      <c r="B1741" s="4">
        <v>418991</v>
      </c>
      <c r="C1741" s="3" t="s">
        <v>9</v>
      </c>
      <c r="D1741" s="18">
        <v>0.09</v>
      </c>
      <c r="E1741" s="21">
        <v>7.2073233161367156E-3</v>
      </c>
      <c r="F1741" s="5">
        <v>42768</v>
      </c>
      <c r="G1741" s="5">
        <v>43498</v>
      </c>
      <c r="H1741" s="16">
        <v>730</v>
      </c>
      <c r="I1741" s="5">
        <v>43498</v>
      </c>
      <c r="J1741" s="5">
        <v>42977</v>
      </c>
      <c r="K1741" s="16">
        <v>209</v>
      </c>
      <c r="L1741" s="13">
        <v>1473.94</v>
      </c>
      <c r="M1741" s="15">
        <v>66.257101091171876</v>
      </c>
      <c r="N1741" s="13">
        <v>1473.94</v>
      </c>
      <c r="O1741" s="13">
        <v>0</v>
      </c>
      <c r="P1741" s="11">
        <v>1</v>
      </c>
    </row>
    <row r="1742" spans="1:16" ht="15" thickBot="1" x14ac:dyDescent="0.3">
      <c r="A1742" s="3" t="s">
        <v>11</v>
      </c>
      <c r="B1742" s="4">
        <v>255256</v>
      </c>
      <c r="C1742" s="3" t="s">
        <v>9</v>
      </c>
      <c r="D1742" s="18">
        <v>0.1</v>
      </c>
      <c r="E1742" s="21">
        <v>7.9741404289037643E-3</v>
      </c>
      <c r="F1742" s="5">
        <v>42769</v>
      </c>
      <c r="G1742" s="5">
        <v>44221</v>
      </c>
      <c r="H1742" s="16">
        <v>1452</v>
      </c>
      <c r="I1742" s="5">
        <v>44490</v>
      </c>
      <c r="J1742" s="5">
        <v>43725</v>
      </c>
      <c r="K1742" s="16">
        <v>956</v>
      </c>
      <c r="L1742" s="13">
        <v>6163.71</v>
      </c>
      <c r="M1742" s="15">
        <v>154.0022593258667</v>
      </c>
      <c r="N1742" s="13">
        <v>3412.69</v>
      </c>
      <c r="O1742" s="13">
        <v>3412.69</v>
      </c>
      <c r="P1742" s="11">
        <v>1</v>
      </c>
    </row>
    <row r="1743" spans="1:16" ht="15" thickBot="1" x14ac:dyDescent="0.3">
      <c r="A1743" s="3" t="s">
        <v>11</v>
      </c>
      <c r="B1743" s="4">
        <v>900519</v>
      </c>
      <c r="C1743" s="3" t="s">
        <v>12</v>
      </c>
      <c r="D1743" s="18">
        <v>0.14000000000000001</v>
      </c>
      <c r="E1743" s="21">
        <v>1.0978851950173452E-2</v>
      </c>
      <c r="F1743" s="5">
        <v>42773</v>
      </c>
      <c r="G1743" s="5">
        <v>44234</v>
      </c>
      <c r="H1743" s="16">
        <v>1461</v>
      </c>
      <c r="I1743" s="5">
        <v>44234</v>
      </c>
      <c r="J1743" s="5">
        <v>43815</v>
      </c>
      <c r="K1743" s="16">
        <v>1042</v>
      </c>
      <c r="L1743" s="13">
        <v>13111.93</v>
      </c>
      <c r="M1743" s="15">
        <v>349.0402284594627</v>
      </c>
      <c r="N1743" s="13">
        <v>6264.17</v>
      </c>
      <c r="O1743" s="13">
        <v>3250</v>
      </c>
      <c r="P1743" s="11">
        <v>1</v>
      </c>
    </row>
    <row r="1744" spans="1:16" ht="15" thickBot="1" x14ac:dyDescent="0.3">
      <c r="A1744" s="3" t="s">
        <v>11</v>
      </c>
      <c r="B1744" s="4">
        <v>660233</v>
      </c>
      <c r="C1744" s="3" t="s">
        <v>9</v>
      </c>
      <c r="D1744" s="18">
        <v>0.09</v>
      </c>
      <c r="E1744" s="21">
        <v>7.2073233161367156E-3</v>
      </c>
      <c r="F1744" s="5">
        <v>42772</v>
      </c>
      <c r="G1744" s="5">
        <v>45022</v>
      </c>
      <c r="H1744" s="16">
        <v>2250</v>
      </c>
      <c r="I1744" s="5">
        <v>45022</v>
      </c>
      <c r="J1744" s="5">
        <v>43654</v>
      </c>
      <c r="K1744" s="16">
        <v>882</v>
      </c>
      <c r="L1744" s="13">
        <v>41148.94</v>
      </c>
      <c r="M1744" s="15">
        <v>712.16174124913039</v>
      </c>
      <c r="N1744" s="13">
        <v>37932.75</v>
      </c>
      <c r="O1744" s="13">
        <v>37932.75</v>
      </c>
      <c r="P1744" s="11">
        <v>1</v>
      </c>
    </row>
    <row r="1745" spans="1:16" ht="15" thickBot="1" x14ac:dyDescent="0.3">
      <c r="A1745" s="3" t="s">
        <v>11</v>
      </c>
      <c r="B1745" s="4">
        <v>123531</v>
      </c>
      <c r="C1745" s="3" t="s">
        <v>9</v>
      </c>
      <c r="D1745" s="18">
        <v>0.1</v>
      </c>
      <c r="E1745" s="21">
        <v>7.9741404289037643E-3</v>
      </c>
      <c r="F1745" s="5">
        <v>42788</v>
      </c>
      <c r="G1745" s="5">
        <v>44614</v>
      </c>
      <c r="H1745" s="16">
        <v>1826</v>
      </c>
      <c r="I1745" s="5">
        <v>44614</v>
      </c>
      <c r="J1745" s="5">
        <v>43636</v>
      </c>
      <c r="K1745" s="16">
        <v>848</v>
      </c>
      <c r="L1745" s="13">
        <v>8556.1200000000008</v>
      </c>
      <c r="M1745" s="15">
        <v>177.98308809075365</v>
      </c>
      <c r="N1745" s="13">
        <v>8556.1200000000008</v>
      </c>
      <c r="O1745" s="13">
        <v>0</v>
      </c>
      <c r="P1745" s="11">
        <v>1</v>
      </c>
    </row>
    <row r="1746" spans="1:16" ht="15" thickBot="1" x14ac:dyDescent="0.3">
      <c r="A1746" s="3" t="s">
        <v>11</v>
      </c>
      <c r="B1746" s="4">
        <v>329180</v>
      </c>
      <c r="C1746" s="3" t="s">
        <v>9</v>
      </c>
      <c r="D1746" s="18">
        <v>0.11</v>
      </c>
      <c r="E1746" s="21">
        <v>8.7345938235519061E-3</v>
      </c>
      <c r="F1746" s="5">
        <v>42788</v>
      </c>
      <c r="G1746" s="5">
        <v>43519</v>
      </c>
      <c r="H1746" s="16">
        <v>731</v>
      </c>
      <c r="I1746" s="5">
        <v>43519</v>
      </c>
      <c r="J1746" s="5">
        <v>43542</v>
      </c>
      <c r="K1746" s="16">
        <v>754</v>
      </c>
      <c r="L1746" s="13">
        <v>4058.69</v>
      </c>
      <c r="M1746" s="15">
        <v>185.64476756070744</v>
      </c>
      <c r="N1746" s="13">
        <v>3775.63</v>
      </c>
      <c r="O1746" s="13">
        <v>0</v>
      </c>
      <c r="P1746" s="11">
        <v>1</v>
      </c>
    </row>
    <row r="1747" spans="1:16" ht="15" thickBot="1" x14ac:dyDescent="0.3">
      <c r="A1747" s="3" t="s">
        <v>11</v>
      </c>
      <c r="B1747" s="4">
        <v>600213</v>
      </c>
      <c r="C1747" s="3" t="s">
        <v>9</v>
      </c>
      <c r="D1747" s="18">
        <v>0.14000000000000001</v>
      </c>
      <c r="E1747" s="21">
        <v>1.0978851950173452E-2</v>
      </c>
      <c r="F1747" s="5">
        <v>42790</v>
      </c>
      <c r="G1747" s="5">
        <v>43579</v>
      </c>
      <c r="H1747" s="16">
        <v>789</v>
      </c>
      <c r="I1747" s="5">
        <v>43579</v>
      </c>
      <c r="J1747" s="5">
        <v>43370</v>
      </c>
      <c r="K1747" s="16">
        <v>580</v>
      </c>
      <c r="L1747" s="13">
        <v>2127.91</v>
      </c>
      <c r="M1747" s="15">
        <v>93.591772253598705</v>
      </c>
      <c r="N1747" s="13">
        <v>2113.4699999999998</v>
      </c>
      <c r="O1747" s="13">
        <v>0</v>
      </c>
      <c r="P1747" s="11">
        <v>1</v>
      </c>
    </row>
    <row r="1748" spans="1:16" ht="15" thickBot="1" x14ac:dyDescent="0.3">
      <c r="A1748" s="3" t="s">
        <v>11</v>
      </c>
      <c r="B1748" s="4">
        <v>784779</v>
      </c>
      <c r="C1748" s="3" t="s">
        <v>9</v>
      </c>
      <c r="D1748" s="18">
        <v>0.1</v>
      </c>
      <c r="E1748" s="21">
        <v>7.9741404289037643E-3</v>
      </c>
      <c r="F1748" s="5">
        <v>42790</v>
      </c>
      <c r="G1748" s="5">
        <v>45009</v>
      </c>
      <c r="H1748" s="16">
        <v>2219</v>
      </c>
      <c r="I1748" s="5">
        <v>45009</v>
      </c>
      <c r="J1748" s="5">
        <v>43731</v>
      </c>
      <c r="K1748" s="16">
        <v>941</v>
      </c>
      <c r="L1748" s="13">
        <v>11233.82</v>
      </c>
      <c r="M1748" s="15">
        <v>201.63209228486426</v>
      </c>
      <c r="N1748" s="13">
        <v>10862.98</v>
      </c>
      <c r="O1748" s="13">
        <v>0</v>
      </c>
      <c r="P1748" s="11">
        <v>1</v>
      </c>
    </row>
    <row r="1749" spans="1:16" ht="15" thickBot="1" x14ac:dyDescent="0.3">
      <c r="A1749" s="3" t="s">
        <v>11</v>
      </c>
      <c r="B1749" s="4">
        <v>325954</v>
      </c>
      <c r="C1749" s="3" t="s">
        <v>9</v>
      </c>
      <c r="D1749" s="18">
        <v>0.09</v>
      </c>
      <c r="E1749" s="21">
        <v>7.2073233161367156E-3</v>
      </c>
      <c r="F1749" s="5">
        <v>42794</v>
      </c>
      <c r="G1749" s="5">
        <v>44604</v>
      </c>
      <c r="H1749" s="16">
        <v>1810</v>
      </c>
      <c r="I1749" s="5">
        <v>44604</v>
      </c>
      <c r="J1749" s="5">
        <v>43809</v>
      </c>
      <c r="K1749" s="16">
        <v>1015</v>
      </c>
      <c r="L1749" s="13">
        <v>8787.51</v>
      </c>
      <c r="M1749" s="15">
        <v>180.12047640893056</v>
      </c>
      <c r="N1749" s="13">
        <v>5364.99</v>
      </c>
      <c r="O1749" s="13">
        <v>2096.77</v>
      </c>
      <c r="P1749" s="11">
        <v>1</v>
      </c>
    </row>
    <row r="1750" spans="1:16" ht="15" thickBot="1" x14ac:dyDescent="0.3">
      <c r="A1750" s="3" t="s">
        <v>11</v>
      </c>
      <c r="B1750" s="4">
        <v>748149</v>
      </c>
      <c r="C1750" s="3" t="s">
        <v>9</v>
      </c>
      <c r="D1750" s="18">
        <v>0.14000000000000001</v>
      </c>
      <c r="E1750" s="21">
        <v>1.0978851950173452E-2</v>
      </c>
      <c r="F1750" s="5">
        <v>42800</v>
      </c>
      <c r="G1750" s="5">
        <v>44445</v>
      </c>
      <c r="H1750" s="16">
        <v>1645</v>
      </c>
      <c r="I1750" s="5">
        <v>44445</v>
      </c>
      <c r="J1750" s="5">
        <v>43164</v>
      </c>
      <c r="K1750" s="16">
        <v>364</v>
      </c>
      <c r="L1750" s="13">
        <v>14346.93</v>
      </c>
      <c r="M1750" s="15">
        <v>349.64859017438863</v>
      </c>
      <c r="N1750" s="13">
        <v>14346.93</v>
      </c>
      <c r="O1750" s="13">
        <v>0</v>
      </c>
      <c r="P1750" s="11">
        <v>1</v>
      </c>
    </row>
    <row r="1751" spans="1:16" ht="15" thickBot="1" x14ac:dyDescent="0.3">
      <c r="A1751" s="3" t="s">
        <v>11</v>
      </c>
      <c r="B1751" s="4">
        <v>395097</v>
      </c>
      <c r="C1751" s="3" t="s">
        <v>9</v>
      </c>
      <c r="D1751" s="18">
        <v>0.1</v>
      </c>
      <c r="E1751" s="21">
        <v>7.9741404289037643E-3</v>
      </c>
      <c r="F1751" s="5">
        <v>42800</v>
      </c>
      <c r="G1751" s="5">
        <v>44261</v>
      </c>
      <c r="H1751" s="16">
        <v>1461</v>
      </c>
      <c r="I1751" s="5">
        <v>44261</v>
      </c>
      <c r="J1751" s="5">
        <v>43501</v>
      </c>
      <c r="K1751" s="16">
        <v>701</v>
      </c>
      <c r="L1751" s="13">
        <v>2050.39</v>
      </c>
      <c r="M1751" s="15">
        <v>50.970865538902864</v>
      </c>
      <c r="N1751" s="13">
        <v>1760.61</v>
      </c>
      <c r="O1751" s="13">
        <v>1760.61</v>
      </c>
      <c r="P1751" s="11">
        <v>1</v>
      </c>
    </row>
    <row r="1752" spans="1:16" ht="15" thickBot="1" x14ac:dyDescent="0.3">
      <c r="A1752" s="3" t="s">
        <v>11</v>
      </c>
      <c r="B1752" s="4">
        <v>356241</v>
      </c>
      <c r="C1752" s="3" t="s">
        <v>12</v>
      </c>
      <c r="D1752" s="18">
        <v>0.1</v>
      </c>
      <c r="E1752" s="21">
        <v>7.9741404289037643E-3</v>
      </c>
      <c r="F1752" s="5">
        <v>42801</v>
      </c>
      <c r="G1752" s="5">
        <v>45371</v>
      </c>
      <c r="H1752" s="16">
        <v>2570</v>
      </c>
      <c r="I1752" s="5">
        <v>45646</v>
      </c>
      <c r="J1752" s="5">
        <v>44361</v>
      </c>
      <c r="K1752" s="16">
        <v>1560</v>
      </c>
      <c r="L1752" s="13">
        <v>18736.849999999999</v>
      </c>
      <c r="M1752" s="15">
        <v>302.7011372161121</v>
      </c>
      <c r="N1752" s="13">
        <v>12240.11</v>
      </c>
      <c r="O1752" s="13">
        <v>4373.76</v>
      </c>
      <c r="P1752" s="11">
        <v>1</v>
      </c>
    </row>
    <row r="1753" spans="1:16" ht="15" thickBot="1" x14ac:dyDescent="0.3">
      <c r="A1753" s="3" t="s">
        <v>11</v>
      </c>
      <c r="B1753" s="4">
        <v>112844</v>
      </c>
      <c r="C1753" s="3" t="s">
        <v>9</v>
      </c>
      <c r="D1753" s="18">
        <v>0.1</v>
      </c>
      <c r="E1753" s="21">
        <v>7.9741404289037643E-3</v>
      </c>
      <c r="F1753" s="5">
        <v>42803</v>
      </c>
      <c r="G1753" s="5">
        <v>44994</v>
      </c>
      <c r="H1753" s="16">
        <v>2191</v>
      </c>
      <c r="I1753" s="5">
        <v>44994</v>
      </c>
      <c r="J1753" s="5">
        <v>43250</v>
      </c>
      <c r="K1753" s="16">
        <v>447</v>
      </c>
      <c r="L1753" s="13">
        <v>23513.05</v>
      </c>
      <c r="M1753" s="15">
        <v>425.99265248700237</v>
      </c>
      <c r="N1753" s="13">
        <v>23513.05</v>
      </c>
      <c r="O1753" s="13">
        <v>0</v>
      </c>
      <c r="P1753" s="11">
        <v>1</v>
      </c>
    </row>
    <row r="1754" spans="1:16" ht="15" thickBot="1" x14ac:dyDescent="0.3">
      <c r="A1754" s="3" t="s">
        <v>11</v>
      </c>
      <c r="B1754" s="4">
        <v>237826</v>
      </c>
      <c r="C1754" s="3" t="s">
        <v>9</v>
      </c>
      <c r="D1754" s="18">
        <v>0.1</v>
      </c>
      <c r="E1754" s="21">
        <v>7.9741404289037643E-3</v>
      </c>
      <c r="F1754" s="5">
        <v>42810</v>
      </c>
      <c r="G1754" s="5">
        <v>44636</v>
      </c>
      <c r="H1754" s="16">
        <v>1826</v>
      </c>
      <c r="I1754" s="5">
        <v>44636</v>
      </c>
      <c r="J1754" s="5">
        <v>43731</v>
      </c>
      <c r="K1754" s="16">
        <v>921</v>
      </c>
      <c r="L1754" s="13">
        <v>9949.1</v>
      </c>
      <c r="M1754" s="15">
        <v>206.95964312371927</v>
      </c>
      <c r="N1754" s="13">
        <v>8979.1299999999992</v>
      </c>
      <c r="O1754" s="13">
        <v>0</v>
      </c>
      <c r="P1754" s="11">
        <v>1</v>
      </c>
    </row>
    <row r="1755" spans="1:16" ht="15" thickBot="1" x14ac:dyDescent="0.3">
      <c r="A1755" s="3" t="s">
        <v>11</v>
      </c>
      <c r="B1755" s="4">
        <v>706609</v>
      </c>
      <c r="C1755" s="3" t="s">
        <v>9</v>
      </c>
      <c r="D1755" s="18">
        <v>0.12</v>
      </c>
      <c r="E1755" s="21">
        <v>9.4887929345830457E-3</v>
      </c>
      <c r="F1755" s="5">
        <v>42814</v>
      </c>
      <c r="G1755" s="5">
        <v>44459</v>
      </c>
      <c r="H1755" s="16">
        <v>1645</v>
      </c>
      <c r="I1755" s="5">
        <v>44459</v>
      </c>
      <c r="J1755" s="5">
        <v>43647</v>
      </c>
      <c r="K1755" s="16">
        <v>833</v>
      </c>
      <c r="L1755" s="13">
        <v>5289.36</v>
      </c>
      <c r="M1755" s="15">
        <v>124.17051882809768</v>
      </c>
      <c r="N1755" s="13">
        <v>4574.6400000000003</v>
      </c>
      <c r="O1755" s="13">
        <v>4574.6400000000003</v>
      </c>
      <c r="P1755" s="11">
        <v>1</v>
      </c>
    </row>
    <row r="1756" spans="1:16" ht="15" thickBot="1" x14ac:dyDescent="0.3">
      <c r="A1756" s="3" t="s">
        <v>11</v>
      </c>
      <c r="B1756" s="4">
        <v>648979</v>
      </c>
      <c r="C1756" s="3" t="s">
        <v>9</v>
      </c>
      <c r="D1756" s="18">
        <v>0.1</v>
      </c>
      <c r="E1756" s="21">
        <v>7.9741404289037643E-3</v>
      </c>
      <c r="F1756" s="5">
        <v>42816</v>
      </c>
      <c r="G1756" s="5">
        <v>45007</v>
      </c>
      <c r="H1756" s="16">
        <v>2191</v>
      </c>
      <c r="I1756" s="5">
        <v>45007</v>
      </c>
      <c r="J1756" s="5">
        <v>43073</v>
      </c>
      <c r="K1756" s="16">
        <v>257</v>
      </c>
      <c r="L1756" s="13">
        <v>12484.37</v>
      </c>
      <c r="M1756" s="15">
        <v>226.18290230017621</v>
      </c>
      <c r="N1756" s="13">
        <v>12484.37</v>
      </c>
      <c r="O1756" s="13">
        <v>0</v>
      </c>
      <c r="P1756" s="11">
        <v>1</v>
      </c>
    </row>
    <row r="1757" spans="1:16" ht="15" thickBot="1" x14ac:dyDescent="0.3">
      <c r="A1757" s="3" t="s">
        <v>11</v>
      </c>
      <c r="B1757" s="4">
        <v>899699</v>
      </c>
      <c r="C1757" s="3" t="s">
        <v>9</v>
      </c>
      <c r="D1757" s="18">
        <v>0.1</v>
      </c>
      <c r="E1757" s="21">
        <v>7.9741404289037643E-3</v>
      </c>
      <c r="F1757" s="5">
        <v>42821</v>
      </c>
      <c r="G1757" s="5">
        <v>43308</v>
      </c>
      <c r="H1757" s="16">
        <v>487</v>
      </c>
      <c r="I1757" s="5">
        <v>43308</v>
      </c>
      <c r="J1757" s="5">
        <v>42977</v>
      </c>
      <c r="K1757" s="16">
        <v>156</v>
      </c>
      <c r="L1757" s="13">
        <v>9300</v>
      </c>
      <c r="M1757" s="15">
        <v>613.05276322205896</v>
      </c>
      <c r="N1757" s="13">
        <v>9300</v>
      </c>
      <c r="O1757" s="13">
        <v>0</v>
      </c>
      <c r="P1757" s="11">
        <v>1</v>
      </c>
    </row>
    <row r="1758" spans="1:16" ht="15" thickBot="1" x14ac:dyDescent="0.3">
      <c r="A1758" s="3" t="s">
        <v>11</v>
      </c>
      <c r="B1758" s="4">
        <v>727013</v>
      </c>
      <c r="C1758" s="3" t="s">
        <v>9</v>
      </c>
      <c r="D1758" s="18">
        <v>8.5000000000000006E-2</v>
      </c>
      <c r="E1758" s="21">
        <v>6.8214933659622723E-3</v>
      </c>
      <c r="F1758" s="5">
        <v>42824</v>
      </c>
      <c r="G1758" s="5">
        <v>43281</v>
      </c>
      <c r="H1758" s="16">
        <v>457</v>
      </c>
      <c r="I1758" s="5">
        <v>43281</v>
      </c>
      <c r="J1758" s="5">
        <v>43496</v>
      </c>
      <c r="K1758" s="16">
        <v>672</v>
      </c>
      <c r="L1758" s="13">
        <v>22200</v>
      </c>
      <c r="M1758" s="15">
        <v>1539.3206300493187</v>
      </c>
      <c r="N1758" s="13">
        <v>22200</v>
      </c>
      <c r="O1758" s="13">
        <v>0</v>
      </c>
      <c r="P1758" s="11">
        <v>1</v>
      </c>
    </row>
    <row r="1759" spans="1:16" ht="15" thickBot="1" x14ac:dyDescent="0.3">
      <c r="A1759" s="3" t="s">
        <v>11</v>
      </c>
      <c r="B1759" s="4">
        <v>92443</v>
      </c>
      <c r="C1759" s="3" t="s">
        <v>9</v>
      </c>
      <c r="D1759" s="18">
        <v>8.5000000000000006E-2</v>
      </c>
      <c r="E1759" s="21">
        <v>6.8214933659622723E-3</v>
      </c>
      <c r="F1759" s="5">
        <v>42825</v>
      </c>
      <c r="G1759" s="5">
        <v>43281</v>
      </c>
      <c r="H1759" s="16">
        <v>456</v>
      </c>
      <c r="I1759" s="5">
        <v>43281</v>
      </c>
      <c r="J1759" s="5">
        <v>42978</v>
      </c>
      <c r="K1759" s="16">
        <v>153</v>
      </c>
      <c r="L1759" s="13">
        <v>11002.75</v>
      </c>
      <c r="M1759" s="15">
        <v>764.50504960949729</v>
      </c>
      <c r="N1759" s="13">
        <v>11002.75</v>
      </c>
      <c r="O1759" s="13">
        <v>0</v>
      </c>
      <c r="P1759" s="11">
        <v>1</v>
      </c>
    </row>
    <row r="1760" spans="1:16" ht="15" thickBot="1" x14ac:dyDescent="0.3">
      <c r="A1760" s="3" t="s">
        <v>11</v>
      </c>
      <c r="B1760" s="4">
        <v>470581</v>
      </c>
      <c r="C1760" s="3" t="s">
        <v>9</v>
      </c>
      <c r="D1760" s="18">
        <v>0.1</v>
      </c>
      <c r="E1760" s="21">
        <v>7.9741404289037643E-3</v>
      </c>
      <c r="F1760" s="5">
        <v>42830</v>
      </c>
      <c r="G1760" s="5">
        <v>44597</v>
      </c>
      <c r="H1760" s="16">
        <v>1767</v>
      </c>
      <c r="I1760" s="5">
        <v>44597</v>
      </c>
      <c r="J1760" s="5">
        <v>43496</v>
      </c>
      <c r="K1760" s="16">
        <v>666</v>
      </c>
      <c r="L1760" s="13">
        <v>8319.1299999999992</v>
      </c>
      <c r="M1760" s="15">
        <v>177.54971297669749</v>
      </c>
      <c r="N1760" s="13">
        <v>8319.1299999999992</v>
      </c>
      <c r="O1760" s="13">
        <v>8319.1299999999992</v>
      </c>
      <c r="P1760" s="11">
        <v>1</v>
      </c>
    </row>
    <row r="1761" spans="1:16" ht="15" thickBot="1" x14ac:dyDescent="0.3">
      <c r="A1761" s="3" t="s">
        <v>11</v>
      </c>
      <c r="B1761" s="4">
        <v>969212</v>
      </c>
      <c r="C1761" s="3" t="s">
        <v>9</v>
      </c>
      <c r="D1761" s="18">
        <v>0.1</v>
      </c>
      <c r="E1761" s="21">
        <v>7.9741404289037643E-3</v>
      </c>
      <c r="F1761" s="5">
        <v>42831</v>
      </c>
      <c r="G1761" s="5">
        <v>45022</v>
      </c>
      <c r="H1761" s="16">
        <v>2191</v>
      </c>
      <c r="I1761" s="5">
        <v>45022</v>
      </c>
      <c r="J1761" s="5">
        <v>43654</v>
      </c>
      <c r="K1761" s="16">
        <v>823</v>
      </c>
      <c r="L1761" s="13">
        <v>13432.05</v>
      </c>
      <c r="M1761" s="15">
        <v>243.35229193311972</v>
      </c>
      <c r="N1761" s="13">
        <v>12072.66</v>
      </c>
      <c r="O1761" s="13">
        <v>12072.66</v>
      </c>
      <c r="P1761" s="11">
        <v>1</v>
      </c>
    </row>
    <row r="1762" spans="1:16" ht="15" thickBot="1" x14ac:dyDescent="0.3">
      <c r="A1762" s="3" t="s">
        <v>11</v>
      </c>
      <c r="B1762" s="4">
        <v>567899</v>
      </c>
      <c r="C1762" s="3" t="s">
        <v>9</v>
      </c>
      <c r="D1762" s="18">
        <v>0.1</v>
      </c>
      <c r="E1762" s="21">
        <v>7.9741404289037643E-3</v>
      </c>
      <c r="F1762" s="5">
        <v>42846</v>
      </c>
      <c r="G1762" s="5">
        <v>44672</v>
      </c>
      <c r="H1762" s="16">
        <v>1826</v>
      </c>
      <c r="I1762" s="5">
        <v>44672</v>
      </c>
      <c r="J1762" s="5">
        <v>44460</v>
      </c>
      <c r="K1762" s="16">
        <v>1614</v>
      </c>
      <c r="L1762" s="13">
        <v>16321.45</v>
      </c>
      <c r="M1762" s="15">
        <v>339.51628461485245</v>
      </c>
      <c r="N1762" s="13">
        <v>3623.39</v>
      </c>
      <c r="O1762" s="13">
        <v>0</v>
      </c>
      <c r="P1762" s="11">
        <v>1</v>
      </c>
    </row>
    <row r="1763" spans="1:16" ht="15" thickBot="1" x14ac:dyDescent="0.3">
      <c r="A1763" s="3" t="s">
        <v>11</v>
      </c>
      <c r="B1763" s="4">
        <v>945790</v>
      </c>
      <c r="C1763" s="3" t="s">
        <v>9</v>
      </c>
      <c r="D1763" s="18">
        <v>0.1</v>
      </c>
      <c r="E1763" s="21">
        <v>7.9741404289037643E-3</v>
      </c>
      <c r="F1763" s="5">
        <v>42856</v>
      </c>
      <c r="G1763" s="5">
        <v>44682</v>
      </c>
      <c r="H1763" s="16">
        <v>1826</v>
      </c>
      <c r="I1763" s="5">
        <v>44682</v>
      </c>
      <c r="J1763" s="5">
        <v>43725</v>
      </c>
      <c r="K1763" s="16">
        <v>869</v>
      </c>
      <c r="L1763" s="13">
        <v>9131.84</v>
      </c>
      <c r="M1763" s="15">
        <v>189.95912670119955</v>
      </c>
      <c r="N1763" s="13">
        <v>7000</v>
      </c>
      <c r="O1763" s="13">
        <v>0</v>
      </c>
      <c r="P1763" s="11">
        <v>1</v>
      </c>
    </row>
    <row r="1764" spans="1:16" ht="15" thickBot="1" x14ac:dyDescent="0.3">
      <c r="A1764" s="3" t="s">
        <v>11</v>
      </c>
      <c r="B1764" s="4">
        <v>574235</v>
      </c>
      <c r="C1764" s="3" t="s">
        <v>9</v>
      </c>
      <c r="D1764" s="18">
        <v>0.12</v>
      </c>
      <c r="E1764" s="21">
        <v>9.4887929345830457E-3</v>
      </c>
      <c r="F1764" s="5">
        <v>42858</v>
      </c>
      <c r="G1764" s="5">
        <v>44319</v>
      </c>
      <c r="H1764" s="16">
        <v>1461</v>
      </c>
      <c r="I1764" s="5">
        <v>44319</v>
      </c>
      <c r="J1764" s="5">
        <v>43647</v>
      </c>
      <c r="K1764" s="16">
        <v>789</v>
      </c>
      <c r="L1764" s="13">
        <v>3144.18</v>
      </c>
      <c r="M1764" s="15">
        <v>80.924739410361695</v>
      </c>
      <c r="N1764" s="13">
        <v>2867.08</v>
      </c>
      <c r="O1764" s="13">
        <v>0</v>
      </c>
      <c r="P1764" s="11">
        <v>1</v>
      </c>
    </row>
    <row r="1765" spans="1:16" ht="15" thickBot="1" x14ac:dyDescent="0.3">
      <c r="A1765" s="3" t="s">
        <v>11</v>
      </c>
      <c r="B1765" s="4">
        <v>292830</v>
      </c>
      <c r="C1765" s="3" t="s">
        <v>9</v>
      </c>
      <c r="D1765" s="18">
        <v>0.1</v>
      </c>
      <c r="E1765" s="21">
        <v>7.9741404289037643E-3</v>
      </c>
      <c r="F1765" s="5">
        <v>42863</v>
      </c>
      <c r="G1765" s="5">
        <v>45054</v>
      </c>
      <c r="H1765" s="16">
        <v>2191</v>
      </c>
      <c r="I1765" s="5">
        <v>45054</v>
      </c>
      <c r="J1765" s="5">
        <v>42906</v>
      </c>
      <c r="K1765" s="16">
        <v>43</v>
      </c>
      <c r="L1765" s="13">
        <v>24598.03</v>
      </c>
      <c r="M1765" s="15">
        <v>445.64954549302871</v>
      </c>
      <c r="N1765" s="13">
        <v>24598.03</v>
      </c>
      <c r="O1765" s="13">
        <v>0</v>
      </c>
      <c r="P1765" s="11">
        <v>1</v>
      </c>
    </row>
    <row r="1766" spans="1:16" ht="15" thickBot="1" x14ac:dyDescent="0.3">
      <c r="A1766" s="3" t="s">
        <v>11</v>
      </c>
      <c r="B1766" s="4">
        <v>567316</v>
      </c>
      <c r="C1766" s="3" t="s">
        <v>9</v>
      </c>
      <c r="D1766" s="18">
        <v>0.12</v>
      </c>
      <c r="E1766" s="21">
        <v>9.4887929345830457E-3</v>
      </c>
      <c r="F1766" s="5">
        <v>42863</v>
      </c>
      <c r="G1766" s="5">
        <v>43167</v>
      </c>
      <c r="H1766" s="16">
        <v>304</v>
      </c>
      <c r="I1766" s="5">
        <v>43167</v>
      </c>
      <c r="J1766" s="5">
        <v>42922</v>
      </c>
      <c r="K1766" s="16">
        <v>59</v>
      </c>
      <c r="L1766" s="13">
        <v>1716.96</v>
      </c>
      <c r="M1766" s="15">
        <v>178.51529891100452</v>
      </c>
      <c r="N1766" s="13">
        <v>1716.96</v>
      </c>
      <c r="O1766" s="13">
        <v>0</v>
      </c>
      <c r="P1766" s="11">
        <v>1</v>
      </c>
    </row>
    <row r="1767" spans="1:16" ht="15" thickBot="1" x14ac:dyDescent="0.3">
      <c r="A1767" s="3" t="s">
        <v>11</v>
      </c>
      <c r="B1767" s="4">
        <v>857621</v>
      </c>
      <c r="C1767" s="3" t="s">
        <v>9</v>
      </c>
      <c r="D1767" s="18">
        <v>0.09</v>
      </c>
      <c r="E1767" s="21">
        <v>7.2073233161367156E-3</v>
      </c>
      <c r="F1767" s="5">
        <v>42867</v>
      </c>
      <c r="G1767" s="5">
        <v>44693</v>
      </c>
      <c r="H1767" s="16">
        <v>1826</v>
      </c>
      <c r="I1767" s="5">
        <v>44693</v>
      </c>
      <c r="J1767" s="5">
        <v>43644</v>
      </c>
      <c r="K1767" s="16">
        <v>777</v>
      </c>
      <c r="L1767" s="13">
        <v>5139.6400000000003</v>
      </c>
      <c r="M1767" s="15">
        <v>104.61147382999226</v>
      </c>
      <c r="N1767" s="13">
        <v>5139.6400000000003</v>
      </c>
      <c r="O1767" s="13">
        <v>0</v>
      </c>
      <c r="P1767" s="11">
        <v>1</v>
      </c>
    </row>
    <row r="1768" spans="1:16" ht="15" thickBot="1" x14ac:dyDescent="0.3">
      <c r="A1768" s="3" t="s">
        <v>11</v>
      </c>
      <c r="B1768" s="4">
        <v>516894</v>
      </c>
      <c r="C1768" s="3" t="s">
        <v>9</v>
      </c>
      <c r="D1768" s="18">
        <v>0.1</v>
      </c>
      <c r="E1768" s="21">
        <v>7.9741404289037643E-3</v>
      </c>
      <c r="F1768" s="5">
        <v>42871</v>
      </c>
      <c r="G1768" s="5">
        <v>44881</v>
      </c>
      <c r="H1768" s="16">
        <v>2010</v>
      </c>
      <c r="I1768" s="5">
        <v>44881</v>
      </c>
      <c r="J1768" s="5">
        <v>43560</v>
      </c>
      <c r="K1768" s="16">
        <v>689</v>
      </c>
      <c r="L1768" s="13">
        <v>9921.4</v>
      </c>
      <c r="M1768" s="15">
        <v>191.71948855014094</v>
      </c>
      <c r="N1768" s="13">
        <v>9921.4</v>
      </c>
      <c r="O1768" s="13">
        <v>0</v>
      </c>
      <c r="P1768" s="11">
        <v>1</v>
      </c>
    </row>
    <row r="1769" spans="1:16" ht="15" thickBot="1" x14ac:dyDescent="0.3">
      <c r="A1769" s="3" t="s">
        <v>11</v>
      </c>
      <c r="B1769" s="4">
        <v>469916</v>
      </c>
      <c r="C1769" s="3" t="s">
        <v>9</v>
      </c>
      <c r="D1769" s="18">
        <v>0.1</v>
      </c>
      <c r="E1769" s="21">
        <v>7.9741404289037643E-3</v>
      </c>
      <c r="F1769" s="5">
        <v>42872</v>
      </c>
      <c r="G1769" s="5">
        <v>43237</v>
      </c>
      <c r="H1769" s="16">
        <v>365</v>
      </c>
      <c r="I1769" s="5">
        <v>43237</v>
      </c>
      <c r="J1769" s="5">
        <v>43371</v>
      </c>
      <c r="K1769" s="16">
        <v>499</v>
      </c>
      <c r="L1769" s="13">
        <v>6000</v>
      </c>
      <c r="M1769" s="15">
        <v>519.42195615334174</v>
      </c>
      <c r="N1769" s="13">
        <v>6000</v>
      </c>
      <c r="O1769" s="13">
        <v>0</v>
      </c>
      <c r="P1769" s="11">
        <v>1</v>
      </c>
    </row>
    <row r="1770" spans="1:16" ht="15" thickBot="1" x14ac:dyDescent="0.3">
      <c r="A1770" s="3" t="s">
        <v>11</v>
      </c>
      <c r="B1770" s="4">
        <v>760582</v>
      </c>
      <c r="C1770" s="3" t="s">
        <v>9</v>
      </c>
      <c r="D1770" s="18">
        <v>0.11</v>
      </c>
      <c r="E1770" s="21">
        <v>8.7345938235519061E-3</v>
      </c>
      <c r="F1770" s="5">
        <v>42887</v>
      </c>
      <c r="G1770" s="5">
        <v>45078</v>
      </c>
      <c r="H1770" s="16">
        <v>2191</v>
      </c>
      <c r="I1770" s="5">
        <v>45078</v>
      </c>
      <c r="J1770" s="5">
        <v>43809</v>
      </c>
      <c r="K1770" s="16">
        <v>922</v>
      </c>
      <c r="L1770" s="13">
        <v>21921.61</v>
      </c>
      <c r="M1770" s="15">
        <v>407.27326966281163</v>
      </c>
      <c r="N1770" s="13">
        <v>8800</v>
      </c>
      <c r="O1770" s="13">
        <v>0</v>
      </c>
      <c r="P1770" s="11">
        <v>1</v>
      </c>
    </row>
    <row r="1771" spans="1:16" ht="15" thickBot="1" x14ac:dyDescent="0.3">
      <c r="A1771" s="3" t="s">
        <v>11</v>
      </c>
      <c r="B1771" s="4">
        <v>966918</v>
      </c>
      <c r="C1771" s="3" t="s">
        <v>2</v>
      </c>
      <c r="D1771" s="18">
        <v>0.1</v>
      </c>
      <c r="E1771" s="21">
        <v>7.9741404289037643E-3</v>
      </c>
      <c r="F1771" s="5">
        <v>42888</v>
      </c>
      <c r="G1771" s="5">
        <v>45155</v>
      </c>
      <c r="H1771" s="16">
        <v>2267</v>
      </c>
      <c r="I1771" s="5">
        <v>45155</v>
      </c>
      <c r="J1771" s="5">
        <v>43818</v>
      </c>
      <c r="K1771" s="16">
        <v>930</v>
      </c>
      <c r="L1771" s="13">
        <v>70329.84</v>
      </c>
      <c r="M1771" s="15">
        <v>1242.6979894239914</v>
      </c>
      <c r="N1771" s="13">
        <v>70329.84</v>
      </c>
      <c r="O1771" s="13">
        <v>53500</v>
      </c>
      <c r="P1771" s="11">
        <v>1</v>
      </c>
    </row>
    <row r="1772" spans="1:16" ht="15" thickBot="1" x14ac:dyDescent="0.3">
      <c r="A1772" s="3" t="s">
        <v>11</v>
      </c>
      <c r="B1772" s="4">
        <v>682129</v>
      </c>
      <c r="C1772" s="3" t="s">
        <v>9</v>
      </c>
      <c r="D1772" s="18">
        <v>7.4999999999999997E-2</v>
      </c>
      <c r="E1772" s="21">
        <v>6.0449190242917172E-3</v>
      </c>
      <c r="F1772" s="5">
        <v>42888</v>
      </c>
      <c r="G1772" s="5">
        <v>45537</v>
      </c>
      <c r="H1772" s="16">
        <v>2649</v>
      </c>
      <c r="I1772" s="5">
        <v>45537</v>
      </c>
      <c r="J1772" s="5">
        <v>43664</v>
      </c>
      <c r="K1772" s="16">
        <v>776</v>
      </c>
      <c r="L1772" s="13">
        <v>17074.68</v>
      </c>
      <c r="M1772" s="15">
        <v>250.1184133973309</v>
      </c>
      <c r="N1772" s="13">
        <v>12469.3</v>
      </c>
      <c r="O1772" s="13">
        <v>0</v>
      </c>
      <c r="P1772" s="11">
        <v>1</v>
      </c>
    </row>
    <row r="1773" spans="1:16" ht="15" thickBot="1" x14ac:dyDescent="0.3">
      <c r="A1773" s="3" t="s">
        <v>11</v>
      </c>
      <c r="B1773" s="4">
        <v>831397</v>
      </c>
      <c r="C1773" s="3" t="s">
        <v>9</v>
      </c>
      <c r="D1773" s="18">
        <v>0.1</v>
      </c>
      <c r="E1773" s="21">
        <v>7.9741404289037643E-3</v>
      </c>
      <c r="F1773" s="5">
        <v>42891</v>
      </c>
      <c r="G1773" s="5">
        <v>45265</v>
      </c>
      <c r="H1773" s="16">
        <v>2374</v>
      </c>
      <c r="I1773" s="5">
        <v>45662</v>
      </c>
      <c r="J1773" s="5">
        <v>43822</v>
      </c>
      <c r="K1773" s="16">
        <v>931</v>
      </c>
      <c r="L1773" s="13">
        <v>28577.22</v>
      </c>
      <c r="M1773" s="15">
        <v>488.36241736014063</v>
      </c>
      <c r="N1773" s="13">
        <v>17336.55</v>
      </c>
      <c r="O1773" s="13">
        <v>17336.55</v>
      </c>
      <c r="P1773" s="11">
        <v>1</v>
      </c>
    </row>
    <row r="1774" spans="1:16" ht="15" thickBot="1" x14ac:dyDescent="0.3">
      <c r="A1774" s="3" t="s">
        <v>11</v>
      </c>
      <c r="B1774" s="4">
        <v>131115</v>
      </c>
      <c r="C1774" s="3" t="s">
        <v>9</v>
      </c>
      <c r="D1774" s="18">
        <v>0.1</v>
      </c>
      <c r="E1774" s="21">
        <v>7.9741404289037643E-3</v>
      </c>
      <c r="F1774" s="5">
        <v>42893</v>
      </c>
      <c r="G1774" s="5">
        <v>45176</v>
      </c>
      <c r="H1774" s="16">
        <v>2283</v>
      </c>
      <c r="I1774" s="5">
        <v>45176</v>
      </c>
      <c r="J1774" s="5">
        <v>43371</v>
      </c>
      <c r="K1774" s="16">
        <v>478</v>
      </c>
      <c r="L1774" s="13">
        <v>30729.88</v>
      </c>
      <c r="M1774" s="15">
        <v>540.20735485533328</v>
      </c>
      <c r="N1774" s="13">
        <v>28657.69</v>
      </c>
      <c r="O1774" s="13">
        <v>0</v>
      </c>
      <c r="P1774" s="11">
        <v>1</v>
      </c>
    </row>
    <row r="1775" spans="1:16" ht="15" thickBot="1" x14ac:dyDescent="0.3">
      <c r="A1775" s="3" t="s">
        <v>11</v>
      </c>
      <c r="B1775" s="4">
        <v>533054</v>
      </c>
      <c r="C1775" s="3" t="s">
        <v>9</v>
      </c>
      <c r="D1775" s="18">
        <v>0.1</v>
      </c>
      <c r="E1775" s="21">
        <v>7.9741404289037643E-3</v>
      </c>
      <c r="F1775" s="5">
        <v>42898</v>
      </c>
      <c r="G1775" s="5">
        <v>45089</v>
      </c>
      <c r="H1775" s="16">
        <v>2191</v>
      </c>
      <c r="I1775" s="5">
        <v>45150</v>
      </c>
      <c r="J1775" s="5">
        <v>43782</v>
      </c>
      <c r="K1775" s="16">
        <v>884</v>
      </c>
      <c r="L1775" s="13">
        <v>11783.47</v>
      </c>
      <c r="M1775" s="15">
        <v>213.48449651580793</v>
      </c>
      <c r="N1775" s="13">
        <v>4380.33</v>
      </c>
      <c r="O1775" s="13">
        <v>0</v>
      </c>
      <c r="P1775" s="11">
        <v>1</v>
      </c>
    </row>
    <row r="1776" spans="1:16" ht="15" thickBot="1" x14ac:dyDescent="0.3">
      <c r="A1776" s="3" t="s">
        <v>11</v>
      </c>
      <c r="B1776" s="4">
        <v>784941</v>
      </c>
      <c r="C1776" s="3" t="s">
        <v>9</v>
      </c>
      <c r="D1776" s="18">
        <v>0.1</v>
      </c>
      <c r="E1776" s="21">
        <v>7.9741404289037643E-3</v>
      </c>
      <c r="F1776" s="5">
        <v>42899</v>
      </c>
      <c r="G1776" s="5">
        <v>43629</v>
      </c>
      <c r="H1776" s="16">
        <v>730</v>
      </c>
      <c r="I1776" s="5">
        <v>43629</v>
      </c>
      <c r="J1776" s="5">
        <v>43586</v>
      </c>
      <c r="K1776" s="16">
        <v>687</v>
      </c>
      <c r="L1776" s="13">
        <v>920.34</v>
      </c>
      <c r="M1776" s="15">
        <v>41.760376700045292</v>
      </c>
      <c r="N1776" s="13">
        <v>849.76</v>
      </c>
      <c r="O1776" s="13">
        <v>849.76</v>
      </c>
      <c r="P1776" s="11">
        <v>1</v>
      </c>
    </row>
    <row r="1777" spans="1:16" ht="15" thickBot="1" x14ac:dyDescent="0.3">
      <c r="A1777" s="3" t="s">
        <v>11</v>
      </c>
      <c r="B1777" s="4">
        <v>488613</v>
      </c>
      <c r="C1777" s="3" t="s">
        <v>9</v>
      </c>
      <c r="D1777" s="18">
        <v>0.12</v>
      </c>
      <c r="E1777" s="21">
        <v>9.4887929345830457E-3</v>
      </c>
      <c r="F1777" s="5">
        <v>42902</v>
      </c>
      <c r="G1777" s="5">
        <v>44090</v>
      </c>
      <c r="H1777" s="16">
        <v>1188</v>
      </c>
      <c r="I1777" s="5">
        <v>44090</v>
      </c>
      <c r="J1777" s="5">
        <v>43644</v>
      </c>
      <c r="K1777" s="16">
        <v>742</v>
      </c>
      <c r="L1777" s="13">
        <v>4084.16</v>
      </c>
      <c r="M1777" s="15">
        <v>124.20574218756761</v>
      </c>
      <c r="N1777" s="13">
        <v>4084.16</v>
      </c>
      <c r="O1777" s="13">
        <v>0</v>
      </c>
      <c r="P1777" s="11">
        <v>1</v>
      </c>
    </row>
    <row r="1778" spans="1:16" ht="15" thickBot="1" x14ac:dyDescent="0.3">
      <c r="A1778" s="3" t="s">
        <v>11</v>
      </c>
      <c r="B1778" s="4">
        <v>325190</v>
      </c>
      <c r="C1778" s="3" t="s">
        <v>19</v>
      </c>
      <c r="D1778" s="18">
        <v>0.09</v>
      </c>
      <c r="E1778" s="21">
        <v>7.2073233161367156E-3</v>
      </c>
      <c r="F1778" s="5">
        <v>42905</v>
      </c>
      <c r="G1778" s="5">
        <v>45188</v>
      </c>
      <c r="H1778" s="16">
        <v>2283</v>
      </c>
      <c r="I1778" s="5">
        <v>45188</v>
      </c>
      <c r="J1778" s="5">
        <v>43644</v>
      </c>
      <c r="K1778" s="16">
        <v>739</v>
      </c>
      <c r="L1778" s="13">
        <v>4858.75</v>
      </c>
      <c r="M1778" s="15">
        <v>83.172961876292362</v>
      </c>
      <c r="N1778" s="13">
        <v>4858.75</v>
      </c>
      <c r="O1778" s="13">
        <v>0</v>
      </c>
      <c r="P1778" s="11">
        <v>1</v>
      </c>
    </row>
    <row r="1779" spans="1:16" ht="15" thickBot="1" x14ac:dyDescent="0.3">
      <c r="A1779" s="3" t="s">
        <v>11</v>
      </c>
      <c r="B1779" s="4">
        <v>579829</v>
      </c>
      <c r="C1779" s="3" t="s">
        <v>9</v>
      </c>
      <c r="D1779" s="18">
        <v>0.1</v>
      </c>
      <c r="E1779" s="21">
        <v>7.9741404289037643E-3</v>
      </c>
      <c r="F1779" s="5">
        <v>42912</v>
      </c>
      <c r="G1779" s="5">
        <v>44738</v>
      </c>
      <c r="H1779" s="16">
        <v>1826</v>
      </c>
      <c r="I1779" s="5">
        <v>44738</v>
      </c>
      <c r="J1779" s="5">
        <v>43657</v>
      </c>
      <c r="K1779" s="16">
        <v>745</v>
      </c>
      <c r="L1779" s="13">
        <v>11113.95</v>
      </c>
      <c r="M1779" s="15">
        <v>231.19067309554231</v>
      </c>
      <c r="N1779" s="13">
        <v>10658.95</v>
      </c>
      <c r="O1779" s="13">
        <v>10658.95</v>
      </c>
      <c r="P1779" s="11">
        <v>1</v>
      </c>
    </row>
    <row r="1780" spans="1:16" ht="15" thickBot="1" x14ac:dyDescent="0.3">
      <c r="A1780" s="3" t="s">
        <v>11</v>
      </c>
      <c r="B1780" s="4">
        <v>79350</v>
      </c>
      <c r="C1780" s="3" t="s">
        <v>9</v>
      </c>
      <c r="D1780" s="18">
        <v>0.1</v>
      </c>
      <c r="E1780" s="21">
        <v>7.9741404289037643E-3</v>
      </c>
      <c r="F1780" s="5">
        <v>42916</v>
      </c>
      <c r="G1780" s="5">
        <v>45107</v>
      </c>
      <c r="H1780" s="16">
        <v>2191</v>
      </c>
      <c r="I1780" s="5">
        <v>45626</v>
      </c>
      <c r="J1780" s="5">
        <v>45720</v>
      </c>
      <c r="K1780" s="16">
        <v>2804</v>
      </c>
      <c r="L1780" s="13">
        <v>62556.89</v>
      </c>
      <c r="M1780" s="15">
        <v>1133.361069807517</v>
      </c>
      <c r="N1780" s="13">
        <v>50663.58</v>
      </c>
      <c r="O1780" s="13">
        <v>0</v>
      </c>
      <c r="P1780" s="11">
        <v>1</v>
      </c>
    </row>
    <row r="1781" spans="1:16" ht="15" thickBot="1" x14ac:dyDescent="0.3">
      <c r="A1781" s="3" t="s">
        <v>11</v>
      </c>
      <c r="B1781" s="4">
        <v>52091</v>
      </c>
      <c r="C1781" s="3" t="s">
        <v>9</v>
      </c>
      <c r="D1781" s="18">
        <v>0.09</v>
      </c>
      <c r="E1781" s="21">
        <v>7.2073233161367156E-3</v>
      </c>
      <c r="F1781" s="5">
        <v>42916</v>
      </c>
      <c r="G1781" s="5">
        <v>43464</v>
      </c>
      <c r="H1781" s="16">
        <v>548</v>
      </c>
      <c r="I1781" s="5">
        <v>43464</v>
      </c>
      <c r="J1781" s="5">
        <v>43179</v>
      </c>
      <c r="K1781" s="16">
        <v>263</v>
      </c>
      <c r="L1781" s="13">
        <v>30000</v>
      </c>
      <c r="M1781" s="15">
        <v>1758.7199477098168</v>
      </c>
      <c r="N1781" s="13">
        <v>30000</v>
      </c>
      <c r="O1781" s="13">
        <v>0</v>
      </c>
      <c r="P1781" s="11">
        <v>1</v>
      </c>
    </row>
    <row r="1782" spans="1:16" ht="15" thickBot="1" x14ac:dyDescent="0.3">
      <c r="A1782" s="3" t="s">
        <v>11</v>
      </c>
      <c r="B1782" s="4">
        <v>110997</v>
      </c>
      <c r="C1782" s="3" t="s">
        <v>9</v>
      </c>
      <c r="D1782" s="18">
        <v>0.1</v>
      </c>
      <c r="E1782" s="21">
        <v>7.9741404289037643E-3</v>
      </c>
      <c r="F1782" s="5">
        <v>42921</v>
      </c>
      <c r="G1782" s="5">
        <v>45112</v>
      </c>
      <c r="H1782" s="16">
        <v>2191</v>
      </c>
      <c r="I1782" s="5">
        <v>45143</v>
      </c>
      <c r="J1782" s="5">
        <v>43818</v>
      </c>
      <c r="K1782" s="16">
        <v>897</v>
      </c>
      <c r="L1782" s="13">
        <v>31060.91</v>
      </c>
      <c r="M1782" s="15">
        <v>562.73939108537843</v>
      </c>
      <c r="N1782" s="13">
        <v>25213.18</v>
      </c>
      <c r="O1782" s="13">
        <v>3008.77</v>
      </c>
      <c r="P1782" s="11">
        <v>1</v>
      </c>
    </row>
    <row r="1783" spans="1:16" ht="15" thickBot="1" x14ac:dyDescent="0.3">
      <c r="A1783" s="3" t="s">
        <v>11</v>
      </c>
      <c r="B1783" s="4">
        <v>738065</v>
      </c>
      <c r="C1783" s="3" t="s">
        <v>9</v>
      </c>
      <c r="D1783" s="18">
        <v>0.1</v>
      </c>
      <c r="E1783" s="21">
        <v>7.9741404289037643E-3</v>
      </c>
      <c r="F1783" s="5">
        <v>42921</v>
      </c>
      <c r="G1783" s="5">
        <v>45112</v>
      </c>
      <c r="H1783" s="16">
        <v>2191</v>
      </c>
      <c r="I1783" s="5">
        <v>45112</v>
      </c>
      <c r="J1783" s="5">
        <v>43810</v>
      </c>
      <c r="K1783" s="16">
        <v>889</v>
      </c>
      <c r="L1783" s="13">
        <v>18576.400000000001</v>
      </c>
      <c r="M1783" s="15">
        <v>336.55395236515687</v>
      </c>
      <c r="N1783" s="13">
        <v>8109.09</v>
      </c>
      <c r="O1783" s="13">
        <v>0</v>
      </c>
      <c r="P1783" s="11">
        <v>1</v>
      </c>
    </row>
    <row r="1784" spans="1:16" ht="15" thickBot="1" x14ac:dyDescent="0.3">
      <c r="A1784" s="3" t="s">
        <v>11</v>
      </c>
      <c r="B1784" s="4">
        <v>241993</v>
      </c>
      <c r="C1784" s="3" t="s">
        <v>9</v>
      </c>
      <c r="D1784" s="18">
        <v>0.1</v>
      </c>
      <c r="E1784" s="21">
        <v>7.9741404289037643E-3</v>
      </c>
      <c r="F1784" s="5">
        <v>42926</v>
      </c>
      <c r="G1784" s="5">
        <v>45117</v>
      </c>
      <c r="H1784" s="16">
        <v>2191</v>
      </c>
      <c r="I1784" s="5">
        <v>46708</v>
      </c>
      <c r="J1784" s="5">
        <v>44924</v>
      </c>
      <c r="K1784" s="16">
        <v>1998</v>
      </c>
      <c r="L1784" s="13">
        <v>36458.379999999997</v>
      </c>
      <c r="M1784" s="15">
        <v>660.52689895947469</v>
      </c>
      <c r="N1784" s="13">
        <v>23206.74</v>
      </c>
      <c r="O1784" s="13">
        <v>0</v>
      </c>
      <c r="P1784" s="11">
        <v>1</v>
      </c>
    </row>
    <row r="1785" spans="1:16" ht="15" thickBot="1" x14ac:dyDescent="0.3">
      <c r="A1785" s="3" t="s">
        <v>11</v>
      </c>
      <c r="B1785" s="4">
        <v>566150</v>
      </c>
      <c r="C1785" s="3" t="s">
        <v>9</v>
      </c>
      <c r="D1785" s="18">
        <v>9.5000000000000001E-2</v>
      </c>
      <c r="E1785" s="21">
        <v>7.5915342905825689E-3</v>
      </c>
      <c r="F1785" s="5">
        <v>42926</v>
      </c>
      <c r="G1785" s="5">
        <v>45117</v>
      </c>
      <c r="H1785" s="16">
        <v>2191</v>
      </c>
      <c r="I1785" s="5">
        <v>47082</v>
      </c>
      <c r="J1785" s="5">
        <v>45467</v>
      </c>
      <c r="K1785" s="16">
        <v>2541</v>
      </c>
      <c r="L1785" s="13">
        <v>44250</v>
      </c>
      <c r="M1785" s="15">
        <v>791.53139320251717</v>
      </c>
      <c r="N1785" s="13">
        <v>31750</v>
      </c>
      <c r="O1785" s="13">
        <v>3699.65</v>
      </c>
      <c r="P1785" s="11">
        <v>1</v>
      </c>
    </row>
    <row r="1786" spans="1:16" ht="15" thickBot="1" x14ac:dyDescent="0.3">
      <c r="A1786" s="3" t="s">
        <v>11</v>
      </c>
      <c r="B1786" s="4">
        <v>481144</v>
      </c>
      <c r="C1786" s="3" t="s">
        <v>12</v>
      </c>
      <c r="D1786" s="18">
        <v>0.1</v>
      </c>
      <c r="E1786" s="21">
        <v>7.9741404289037643E-3</v>
      </c>
      <c r="F1786" s="5">
        <v>42933</v>
      </c>
      <c r="G1786" s="5">
        <v>43907</v>
      </c>
      <c r="H1786" s="16">
        <v>974</v>
      </c>
      <c r="I1786" s="5">
        <v>44029</v>
      </c>
      <c r="J1786" s="5">
        <v>43920</v>
      </c>
      <c r="K1786" s="16">
        <v>987</v>
      </c>
      <c r="L1786" s="13">
        <v>5500</v>
      </c>
      <c r="M1786" s="15">
        <v>192.94935037487517</v>
      </c>
      <c r="N1786" s="13">
        <v>1213.78</v>
      </c>
      <c r="O1786" s="13">
        <v>0</v>
      </c>
      <c r="P1786" s="11">
        <v>1</v>
      </c>
    </row>
    <row r="1787" spans="1:16" ht="15" thickBot="1" x14ac:dyDescent="0.3">
      <c r="A1787" s="3" t="s">
        <v>11</v>
      </c>
      <c r="B1787" s="4">
        <v>258602</v>
      </c>
      <c r="C1787" s="3" t="s">
        <v>12</v>
      </c>
      <c r="D1787" s="18">
        <v>0.08</v>
      </c>
      <c r="E1787" s="21">
        <v>6.4340301100034303E-3</v>
      </c>
      <c r="F1787" s="5">
        <v>42937</v>
      </c>
      <c r="G1787" s="5">
        <v>45132</v>
      </c>
      <c r="H1787" s="16">
        <v>2195</v>
      </c>
      <c r="I1787" s="5">
        <v>45132</v>
      </c>
      <c r="J1787" s="5">
        <v>43787</v>
      </c>
      <c r="K1787" s="16">
        <v>850</v>
      </c>
      <c r="L1787" s="13">
        <v>17383.05</v>
      </c>
      <c r="M1787" s="15">
        <v>298.62411889401437</v>
      </c>
      <c r="N1787" s="13">
        <v>10237.99</v>
      </c>
      <c r="O1787" s="13">
        <v>0</v>
      </c>
      <c r="P1787" s="11">
        <v>1</v>
      </c>
    </row>
    <row r="1788" spans="1:16" ht="15" thickBot="1" x14ac:dyDescent="0.3">
      <c r="A1788" s="3" t="s">
        <v>11</v>
      </c>
      <c r="B1788" s="4">
        <v>654677</v>
      </c>
      <c r="C1788" s="3" t="s">
        <v>2</v>
      </c>
      <c r="D1788" s="18">
        <v>0.1</v>
      </c>
      <c r="E1788" s="21">
        <v>7.9741404289037643E-3</v>
      </c>
      <c r="F1788" s="5">
        <v>42937</v>
      </c>
      <c r="G1788" s="5">
        <v>45190</v>
      </c>
      <c r="H1788" s="16">
        <v>2253</v>
      </c>
      <c r="I1788" s="5">
        <v>45190</v>
      </c>
      <c r="J1788" s="5">
        <v>43818</v>
      </c>
      <c r="K1788" s="16">
        <v>881</v>
      </c>
      <c r="L1788" s="13">
        <v>70775.64</v>
      </c>
      <c r="M1788" s="15">
        <v>1256.2469775194782</v>
      </c>
      <c r="N1788" s="13">
        <v>70775.64</v>
      </c>
      <c r="O1788" s="13">
        <v>0</v>
      </c>
      <c r="P1788" s="11">
        <v>1</v>
      </c>
    </row>
    <row r="1789" spans="1:16" ht="15" thickBot="1" x14ac:dyDescent="0.3">
      <c r="A1789" s="3" t="s">
        <v>11</v>
      </c>
      <c r="B1789" s="4">
        <v>279546</v>
      </c>
      <c r="C1789" s="3" t="s">
        <v>9</v>
      </c>
      <c r="D1789" s="18">
        <v>0.09</v>
      </c>
      <c r="E1789" s="21">
        <v>7.2073233161367156E-3</v>
      </c>
      <c r="F1789" s="5">
        <v>42941</v>
      </c>
      <c r="G1789" s="5">
        <v>45224</v>
      </c>
      <c r="H1789" s="16">
        <v>2283</v>
      </c>
      <c r="I1789" s="5">
        <v>45224</v>
      </c>
      <c r="J1789" s="5">
        <v>43644</v>
      </c>
      <c r="K1789" s="16">
        <v>703</v>
      </c>
      <c r="L1789" s="13">
        <v>29046.2</v>
      </c>
      <c r="M1789" s="15">
        <v>497.2181086187112</v>
      </c>
      <c r="N1789" s="13">
        <v>29046.2</v>
      </c>
      <c r="O1789" s="13">
        <v>0</v>
      </c>
      <c r="P1789" s="11">
        <v>1</v>
      </c>
    </row>
    <row r="1790" spans="1:16" ht="15" thickBot="1" x14ac:dyDescent="0.3">
      <c r="A1790" s="3" t="s">
        <v>11</v>
      </c>
      <c r="B1790" s="4">
        <v>236082</v>
      </c>
      <c r="C1790" s="3" t="s">
        <v>9</v>
      </c>
      <c r="D1790" s="18">
        <v>0.1</v>
      </c>
      <c r="E1790" s="21">
        <v>7.9741404289037643E-3</v>
      </c>
      <c r="F1790" s="5">
        <v>42944</v>
      </c>
      <c r="G1790" s="5">
        <v>44770</v>
      </c>
      <c r="H1790" s="16">
        <v>1826</v>
      </c>
      <c r="I1790" s="5">
        <v>44770</v>
      </c>
      <c r="J1790" s="5">
        <v>43636</v>
      </c>
      <c r="K1790" s="16">
        <v>692</v>
      </c>
      <c r="L1790" s="13">
        <v>5315.06</v>
      </c>
      <c r="M1790" s="15">
        <v>110.56305804355725</v>
      </c>
      <c r="N1790" s="13">
        <v>4907.7299999999996</v>
      </c>
      <c r="O1790" s="13">
        <v>4907.7299999999996</v>
      </c>
      <c r="P1790" s="11">
        <v>1</v>
      </c>
    </row>
    <row r="1791" spans="1:16" ht="15" thickBot="1" x14ac:dyDescent="0.3">
      <c r="A1791" s="3" t="s">
        <v>11</v>
      </c>
      <c r="B1791" s="4">
        <v>954251</v>
      </c>
      <c r="C1791" s="3" t="s">
        <v>19</v>
      </c>
      <c r="D1791" s="18">
        <v>0.1</v>
      </c>
      <c r="E1791" s="21">
        <v>7.9741404289037643E-3</v>
      </c>
      <c r="F1791" s="5">
        <v>42950</v>
      </c>
      <c r="G1791" s="5">
        <v>45071</v>
      </c>
      <c r="H1791" s="16">
        <v>2121</v>
      </c>
      <c r="I1791" s="5">
        <v>45071</v>
      </c>
      <c r="J1791" s="5">
        <v>43371</v>
      </c>
      <c r="K1791" s="16">
        <v>421</v>
      </c>
      <c r="L1791" s="13">
        <v>12408.69</v>
      </c>
      <c r="M1791" s="15">
        <v>230.29116571903353</v>
      </c>
      <c r="N1791" s="13">
        <v>12408.69</v>
      </c>
      <c r="O1791" s="13">
        <v>12408.69</v>
      </c>
      <c r="P1791" s="11">
        <v>1</v>
      </c>
    </row>
    <row r="1792" spans="1:16" ht="15" thickBot="1" x14ac:dyDescent="0.3">
      <c r="A1792" s="3" t="s">
        <v>11</v>
      </c>
      <c r="B1792" s="4">
        <v>16932</v>
      </c>
      <c r="C1792" s="3" t="s">
        <v>9</v>
      </c>
      <c r="D1792" s="18">
        <v>0.09</v>
      </c>
      <c r="E1792" s="21">
        <v>7.2073233161367156E-3</v>
      </c>
      <c r="F1792" s="5">
        <v>42950</v>
      </c>
      <c r="G1792" s="5">
        <v>43802</v>
      </c>
      <c r="H1792" s="16">
        <v>852</v>
      </c>
      <c r="I1792" s="5">
        <v>43833</v>
      </c>
      <c r="J1792" s="5">
        <v>43818</v>
      </c>
      <c r="K1792" s="16">
        <v>868</v>
      </c>
      <c r="L1792" s="13">
        <v>5590.71</v>
      </c>
      <c r="M1792" s="15">
        <v>218.39593620468452</v>
      </c>
      <c r="N1792" s="13">
        <v>3159.06</v>
      </c>
      <c r="O1792" s="13">
        <v>3159.06</v>
      </c>
      <c r="P1792" s="11">
        <v>1</v>
      </c>
    </row>
    <row r="1793" spans="1:16" ht="15" thickBot="1" x14ac:dyDescent="0.3">
      <c r="A1793" s="3" t="s">
        <v>11</v>
      </c>
      <c r="B1793" s="4">
        <v>158665</v>
      </c>
      <c r="C1793" s="3" t="s">
        <v>9</v>
      </c>
      <c r="D1793" s="18">
        <v>0.12</v>
      </c>
      <c r="E1793" s="21">
        <v>9.4887929345830457E-3</v>
      </c>
      <c r="F1793" s="5">
        <v>42950</v>
      </c>
      <c r="G1793" s="5">
        <v>44459</v>
      </c>
      <c r="H1793" s="16">
        <v>1509</v>
      </c>
      <c r="I1793" s="5">
        <v>44459</v>
      </c>
      <c r="J1793" s="5">
        <v>44179</v>
      </c>
      <c r="K1793" s="16">
        <v>1229</v>
      </c>
      <c r="L1793" s="13">
        <v>1321.9</v>
      </c>
      <c r="M1793" s="15">
        <v>33.171107042278784</v>
      </c>
      <c r="N1793" s="13">
        <v>1321.9</v>
      </c>
      <c r="O1793" s="13">
        <v>0</v>
      </c>
      <c r="P1793" s="11">
        <v>1</v>
      </c>
    </row>
    <row r="1794" spans="1:16" ht="15" thickBot="1" x14ac:dyDescent="0.3">
      <c r="A1794" s="3" t="s">
        <v>11</v>
      </c>
      <c r="B1794" s="4">
        <v>207333</v>
      </c>
      <c r="C1794" s="3" t="s">
        <v>9</v>
      </c>
      <c r="D1794" s="18">
        <v>0.1</v>
      </c>
      <c r="E1794" s="21">
        <v>7.9741404289037643E-3</v>
      </c>
      <c r="F1794" s="5">
        <v>42951</v>
      </c>
      <c r="G1794" s="5">
        <v>45184</v>
      </c>
      <c r="H1794" s="16">
        <v>2233</v>
      </c>
      <c r="I1794" s="5">
        <v>45184</v>
      </c>
      <c r="J1794" s="5">
        <v>43718</v>
      </c>
      <c r="K1794" s="16">
        <v>767</v>
      </c>
      <c r="L1794" s="13">
        <v>25513</v>
      </c>
      <c r="M1794" s="15">
        <v>455.81494511351519</v>
      </c>
      <c r="N1794" s="13">
        <v>25163</v>
      </c>
      <c r="O1794" s="13">
        <v>10604.24</v>
      </c>
      <c r="P1794" s="11">
        <v>1</v>
      </c>
    </row>
    <row r="1795" spans="1:16" ht="15" thickBot="1" x14ac:dyDescent="0.3">
      <c r="A1795" s="3" t="s">
        <v>11</v>
      </c>
      <c r="B1795" s="4">
        <v>57406</v>
      </c>
      <c r="C1795" s="3" t="s">
        <v>9</v>
      </c>
      <c r="D1795" s="18">
        <v>0.1</v>
      </c>
      <c r="E1795" s="21">
        <v>7.9741404289037643E-3</v>
      </c>
      <c r="F1795" s="5">
        <v>42954</v>
      </c>
      <c r="G1795" s="5">
        <v>45145</v>
      </c>
      <c r="H1795" s="16">
        <v>2191</v>
      </c>
      <c r="I1795" s="5">
        <v>45237</v>
      </c>
      <c r="J1795" s="5">
        <v>44187</v>
      </c>
      <c r="K1795" s="16">
        <v>1233</v>
      </c>
      <c r="L1795" s="13">
        <v>18483.41</v>
      </c>
      <c r="M1795" s="15">
        <v>334.86922593643891</v>
      </c>
      <c r="N1795" s="13">
        <v>2240.9499999999998</v>
      </c>
      <c r="O1795" s="13">
        <v>0</v>
      </c>
      <c r="P1795" s="11">
        <v>1</v>
      </c>
    </row>
    <row r="1796" spans="1:16" ht="15" thickBot="1" x14ac:dyDescent="0.3">
      <c r="A1796" s="3" t="s">
        <v>11</v>
      </c>
      <c r="B1796" s="4">
        <v>360085</v>
      </c>
      <c r="C1796" s="3" t="s">
        <v>9</v>
      </c>
      <c r="D1796" s="18">
        <v>0.1</v>
      </c>
      <c r="E1796" s="21">
        <v>7.9741404289037643E-3</v>
      </c>
      <c r="F1796" s="5">
        <v>42954</v>
      </c>
      <c r="G1796" s="5">
        <v>44058</v>
      </c>
      <c r="H1796" s="16">
        <v>1104</v>
      </c>
      <c r="I1796" s="5">
        <v>44058</v>
      </c>
      <c r="J1796" s="5">
        <v>43920</v>
      </c>
      <c r="K1796" s="16">
        <v>966</v>
      </c>
      <c r="L1796" s="13">
        <v>4081</v>
      </c>
      <c r="M1796" s="15">
        <v>128.4010525290586</v>
      </c>
      <c r="N1796" s="13">
        <v>1264.22</v>
      </c>
      <c r="O1796" s="13">
        <v>0</v>
      </c>
      <c r="P1796" s="11">
        <v>1</v>
      </c>
    </row>
    <row r="1797" spans="1:16" ht="15" thickBot="1" x14ac:dyDescent="0.3">
      <c r="A1797" s="3" t="s">
        <v>11</v>
      </c>
      <c r="B1797" s="4">
        <v>382774</v>
      </c>
      <c r="C1797" s="3" t="s">
        <v>2</v>
      </c>
      <c r="D1797" s="18">
        <v>0.1</v>
      </c>
      <c r="E1797" s="21">
        <v>7.9741404289037643E-3</v>
      </c>
      <c r="F1797" s="5">
        <v>42955</v>
      </c>
      <c r="G1797" s="5">
        <v>45523</v>
      </c>
      <c r="H1797" s="16">
        <v>2568</v>
      </c>
      <c r="I1797" s="5">
        <v>45523</v>
      </c>
      <c r="J1797" s="5">
        <v>43704</v>
      </c>
      <c r="K1797" s="16">
        <v>749</v>
      </c>
      <c r="L1797" s="13">
        <v>39000.51</v>
      </c>
      <c r="M1797" s="15">
        <v>630.41105065835893</v>
      </c>
      <c r="N1797" s="13">
        <v>37226.400000000001</v>
      </c>
      <c r="O1797" s="13">
        <v>0</v>
      </c>
      <c r="P1797" s="11">
        <v>1</v>
      </c>
    </row>
    <row r="1798" spans="1:16" ht="15" thickBot="1" x14ac:dyDescent="0.3">
      <c r="A1798" s="3" t="s">
        <v>11</v>
      </c>
      <c r="B1798" s="4">
        <v>893069</v>
      </c>
      <c r="C1798" s="3" t="s">
        <v>9</v>
      </c>
      <c r="D1798" s="18">
        <v>0.14000000000000001</v>
      </c>
      <c r="E1798" s="21">
        <v>1.0978851950173452E-2</v>
      </c>
      <c r="F1798" s="5">
        <v>42957</v>
      </c>
      <c r="G1798" s="5">
        <v>44053</v>
      </c>
      <c r="H1798" s="16">
        <v>1096</v>
      </c>
      <c r="I1798" s="5">
        <v>44084</v>
      </c>
      <c r="J1798" s="5">
        <v>43810</v>
      </c>
      <c r="K1798" s="16">
        <v>853</v>
      </c>
      <c r="L1798" s="13">
        <v>5889.53</v>
      </c>
      <c r="M1798" s="15">
        <v>196.56702114471287</v>
      </c>
      <c r="N1798" s="13">
        <v>2800.59</v>
      </c>
      <c r="O1798" s="13">
        <v>0</v>
      </c>
      <c r="P1798" s="11">
        <v>1</v>
      </c>
    </row>
    <row r="1799" spans="1:16" ht="15" thickBot="1" x14ac:dyDescent="0.3">
      <c r="A1799" s="3" t="s">
        <v>11</v>
      </c>
      <c r="B1799" s="4">
        <v>531148</v>
      </c>
      <c r="C1799" s="3" t="s">
        <v>9</v>
      </c>
      <c r="D1799" s="18">
        <v>0.1</v>
      </c>
      <c r="E1799" s="21">
        <v>7.9741404289037643E-3</v>
      </c>
      <c r="F1799" s="5">
        <v>42958</v>
      </c>
      <c r="G1799" s="5">
        <v>44413</v>
      </c>
      <c r="H1799" s="16">
        <v>1455</v>
      </c>
      <c r="I1799" s="5">
        <v>44413</v>
      </c>
      <c r="J1799" s="5">
        <v>43725</v>
      </c>
      <c r="K1799" s="16">
        <v>767</v>
      </c>
      <c r="L1799" s="13">
        <v>11627.42</v>
      </c>
      <c r="M1799" s="15">
        <v>290.02358298529168</v>
      </c>
      <c r="N1799" s="13">
        <v>6800</v>
      </c>
      <c r="O1799" s="13">
        <v>4827.42</v>
      </c>
      <c r="P1799" s="11">
        <v>1</v>
      </c>
    </row>
    <row r="1800" spans="1:16" ht="15" thickBot="1" x14ac:dyDescent="0.3">
      <c r="A1800" s="3" t="s">
        <v>11</v>
      </c>
      <c r="B1800" s="4">
        <v>694640</v>
      </c>
      <c r="C1800" s="3" t="s">
        <v>9</v>
      </c>
      <c r="D1800" s="18">
        <v>0.1</v>
      </c>
      <c r="E1800" s="21">
        <v>7.9741404289037643E-3</v>
      </c>
      <c r="F1800" s="5">
        <v>42962</v>
      </c>
      <c r="G1800" s="5">
        <v>44788</v>
      </c>
      <c r="H1800" s="16">
        <v>1826</v>
      </c>
      <c r="I1800" s="5">
        <v>44788</v>
      </c>
      <c r="J1800" s="5">
        <v>43371</v>
      </c>
      <c r="K1800" s="16">
        <v>409</v>
      </c>
      <c r="L1800" s="13">
        <v>11954.85</v>
      </c>
      <c r="M1800" s="15">
        <v>248.68294515057599</v>
      </c>
      <c r="N1800" s="13">
        <v>11114.85</v>
      </c>
      <c r="O1800" s="13">
        <v>0</v>
      </c>
      <c r="P1800" s="11">
        <v>1</v>
      </c>
    </row>
    <row r="1801" spans="1:16" ht="15" thickBot="1" x14ac:dyDescent="0.3">
      <c r="A1801" s="3" t="s">
        <v>11</v>
      </c>
      <c r="B1801" s="4">
        <v>518107</v>
      </c>
      <c r="C1801" s="3" t="s">
        <v>9</v>
      </c>
      <c r="D1801" s="18">
        <v>8.5000000000000006E-2</v>
      </c>
      <c r="E1801" s="21">
        <v>6.8214933659622723E-3</v>
      </c>
      <c r="F1801" s="5">
        <v>42965</v>
      </c>
      <c r="G1801" s="5">
        <v>45522</v>
      </c>
      <c r="H1801" s="16">
        <v>2557</v>
      </c>
      <c r="I1801" s="5">
        <v>45522</v>
      </c>
      <c r="J1801" s="5">
        <v>43502</v>
      </c>
      <c r="K1801" s="16">
        <v>537</v>
      </c>
      <c r="L1801" s="13">
        <v>19049.72</v>
      </c>
      <c r="M1801" s="15">
        <v>295.47597904925311</v>
      </c>
      <c r="N1801" s="13">
        <v>19049.72</v>
      </c>
      <c r="O1801" s="13">
        <v>0</v>
      </c>
      <c r="P1801" s="11">
        <v>1</v>
      </c>
    </row>
    <row r="1802" spans="1:16" ht="15" thickBot="1" x14ac:dyDescent="0.3">
      <c r="A1802" s="3" t="s">
        <v>11</v>
      </c>
      <c r="B1802" s="4">
        <v>855581</v>
      </c>
      <c r="C1802" s="3" t="s">
        <v>9</v>
      </c>
      <c r="D1802" s="18">
        <v>9.5000000000000001E-2</v>
      </c>
      <c r="E1802" s="21">
        <v>7.5915342905825689E-3</v>
      </c>
      <c r="F1802" s="5">
        <v>42968</v>
      </c>
      <c r="G1802" s="5">
        <v>43263</v>
      </c>
      <c r="H1802" s="16">
        <v>295</v>
      </c>
      <c r="I1802" s="5">
        <v>43263</v>
      </c>
      <c r="J1802" s="5">
        <v>43496</v>
      </c>
      <c r="K1802" s="16">
        <v>528</v>
      </c>
      <c r="L1802" s="13">
        <v>6618.31</v>
      </c>
      <c r="M1802" s="15">
        <v>701.0328987106534</v>
      </c>
      <c r="N1802" s="13">
        <v>6618.31</v>
      </c>
      <c r="O1802" s="13">
        <v>0</v>
      </c>
      <c r="P1802" s="11">
        <v>1</v>
      </c>
    </row>
    <row r="1803" spans="1:16" ht="15" thickBot="1" x14ac:dyDescent="0.3">
      <c r="A1803" s="3" t="s">
        <v>11</v>
      </c>
      <c r="B1803" s="4">
        <v>950016</v>
      </c>
      <c r="C1803" s="3" t="s">
        <v>9</v>
      </c>
      <c r="D1803" s="18">
        <v>9.5000000000000001E-2</v>
      </c>
      <c r="E1803" s="21">
        <v>7.5915342905825689E-3</v>
      </c>
      <c r="F1803" s="5">
        <v>42969</v>
      </c>
      <c r="G1803" s="5">
        <v>44076</v>
      </c>
      <c r="H1803" s="16">
        <v>1107</v>
      </c>
      <c r="I1803" s="5">
        <v>44410</v>
      </c>
      <c r="J1803" s="5">
        <v>44182</v>
      </c>
      <c r="K1803" s="16">
        <v>1213</v>
      </c>
      <c r="L1803" s="13">
        <v>8045.18</v>
      </c>
      <c r="M1803" s="15">
        <v>250.80923725585697</v>
      </c>
      <c r="N1803" s="13">
        <v>3984.05</v>
      </c>
      <c r="O1803" s="13">
        <v>3984.05</v>
      </c>
      <c r="P1803" s="11">
        <v>1</v>
      </c>
    </row>
    <row r="1804" spans="1:16" ht="15" thickBot="1" x14ac:dyDescent="0.3">
      <c r="A1804" s="3" t="s">
        <v>11</v>
      </c>
      <c r="B1804" s="4">
        <v>584234</v>
      </c>
      <c r="C1804" s="3" t="s">
        <v>9</v>
      </c>
      <c r="D1804" s="18">
        <v>0.1</v>
      </c>
      <c r="E1804" s="21">
        <v>7.9741404289037643E-3</v>
      </c>
      <c r="F1804" s="5">
        <v>42970</v>
      </c>
      <c r="G1804" s="5">
        <v>44066</v>
      </c>
      <c r="H1804" s="16">
        <v>1096</v>
      </c>
      <c r="I1804" s="5">
        <v>44066</v>
      </c>
      <c r="J1804" s="5">
        <v>43644</v>
      </c>
      <c r="K1804" s="16">
        <v>674</v>
      </c>
      <c r="L1804" s="13">
        <v>7199.61</v>
      </c>
      <c r="M1804" s="15">
        <v>227.94593557820659</v>
      </c>
      <c r="N1804" s="13">
        <v>7199.61</v>
      </c>
      <c r="O1804" s="13">
        <v>0</v>
      </c>
      <c r="P1804" s="11">
        <v>1</v>
      </c>
    </row>
    <row r="1805" spans="1:16" ht="15" thickBot="1" x14ac:dyDescent="0.3">
      <c r="A1805" s="3" t="s">
        <v>11</v>
      </c>
      <c r="B1805" s="4">
        <v>482529</v>
      </c>
      <c r="C1805" s="3" t="s">
        <v>9</v>
      </c>
      <c r="D1805" s="18">
        <v>9.5000000000000001E-2</v>
      </c>
      <c r="E1805" s="21">
        <v>7.5915342905825689E-3</v>
      </c>
      <c r="F1805" s="5">
        <v>42984</v>
      </c>
      <c r="G1805" s="5">
        <v>45535</v>
      </c>
      <c r="H1805" s="16">
        <v>2551</v>
      </c>
      <c r="I1805" s="5">
        <v>45595</v>
      </c>
      <c r="J1805" s="5">
        <v>43664</v>
      </c>
      <c r="K1805" s="16">
        <v>680</v>
      </c>
      <c r="L1805" s="13">
        <v>52013.43</v>
      </c>
      <c r="M1805" s="15">
        <v>832.4492892428226</v>
      </c>
      <c r="N1805" s="13">
        <v>17551.91</v>
      </c>
      <c r="O1805" s="13">
        <v>297.08</v>
      </c>
      <c r="P1805" s="11">
        <v>1</v>
      </c>
    </row>
    <row r="1806" spans="1:16" ht="15" thickBot="1" x14ac:dyDescent="0.3">
      <c r="A1806" s="3" t="s">
        <v>11</v>
      </c>
      <c r="B1806" s="4">
        <v>859850</v>
      </c>
      <c r="C1806" s="3" t="s">
        <v>19</v>
      </c>
      <c r="D1806" s="18">
        <v>0.15</v>
      </c>
      <c r="E1806" s="21">
        <v>1.171491691985338E-2</v>
      </c>
      <c r="F1806" s="5">
        <v>42989</v>
      </c>
      <c r="G1806" s="5">
        <v>43354</v>
      </c>
      <c r="H1806" s="16">
        <v>365</v>
      </c>
      <c r="I1806" s="5">
        <v>43354</v>
      </c>
      <c r="J1806" s="5">
        <v>43371</v>
      </c>
      <c r="K1806" s="16">
        <v>382</v>
      </c>
      <c r="L1806" s="13">
        <v>316.57</v>
      </c>
      <c r="M1806" s="15">
        <v>28.069638279707053</v>
      </c>
      <c r="N1806" s="13">
        <v>316.57</v>
      </c>
      <c r="O1806" s="13">
        <v>0</v>
      </c>
      <c r="P1806" s="11">
        <v>1</v>
      </c>
    </row>
    <row r="1807" spans="1:16" ht="15" thickBot="1" x14ac:dyDescent="0.3">
      <c r="A1807" s="3" t="s">
        <v>11</v>
      </c>
      <c r="B1807" s="4">
        <v>959422</v>
      </c>
      <c r="C1807" s="3" t="s">
        <v>9</v>
      </c>
      <c r="D1807" s="18">
        <v>0.1</v>
      </c>
      <c r="E1807" s="21">
        <v>7.9741404289037643E-3</v>
      </c>
      <c r="F1807" s="5">
        <v>42990</v>
      </c>
      <c r="G1807" s="5">
        <v>44816</v>
      </c>
      <c r="H1807" s="16">
        <v>1826</v>
      </c>
      <c r="I1807" s="5">
        <v>44816</v>
      </c>
      <c r="J1807" s="5">
        <v>44102</v>
      </c>
      <c r="K1807" s="16">
        <v>1112</v>
      </c>
      <c r="L1807" s="13">
        <v>10848.18</v>
      </c>
      <c r="M1807" s="15">
        <v>225.66216656198742</v>
      </c>
      <c r="N1807" s="13">
        <v>5804.26</v>
      </c>
      <c r="O1807" s="13">
        <v>1207.47</v>
      </c>
      <c r="P1807" s="11">
        <v>1</v>
      </c>
    </row>
    <row r="1808" spans="1:16" ht="15" thickBot="1" x14ac:dyDescent="0.3">
      <c r="A1808" s="3" t="s">
        <v>11</v>
      </c>
      <c r="B1808" s="4">
        <v>176851</v>
      </c>
      <c r="C1808" s="3" t="s">
        <v>9</v>
      </c>
      <c r="D1808" s="18">
        <v>0.1</v>
      </c>
      <c r="E1808" s="21">
        <v>7.9741404289037643E-3</v>
      </c>
      <c r="F1808" s="5">
        <v>42990</v>
      </c>
      <c r="G1808" s="5">
        <v>44451</v>
      </c>
      <c r="H1808" s="16">
        <v>1461</v>
      </c>
      <c r="I1808" s="5">
        <v>44451</v>
      </c>
      <c r="J1808" s="5">
        <v>43496</v>
      </c>
      <c r="K1808" s="16">
        <v>506</v>
      </c>
      <c r="L1808" s="13">
        <v>6510.85</v>
      </c>
      <c r="M1808" s="15">
        <v>161.85392042195178</v>
      </c>
      <c r="N1808" s="13">
        <v>5742.31</v>
      </c>
      <c r="O1808" s="13">
        <v>5742.31</v>
      </c>
      <c r="P1808" s="11">
        <v>1</v>
      </c>
    </row>
    <row r="1809" spans="1:16" ht="15" thickBot="1" x14ac:dyDescent="0.3">
      <c r="A1809" s="3" t="s">
        <v>11</v>
      </c>
      <c r="B1809" s="4">
        <v>26599</v>
      </c>
      <c r="C1809" s="3" t="s">
        <v>9</v>
      </c>
      <c r="D1809" s="18">
        <v>0.1</v>
      </c>
      <c r="E1809" s="21">
        <v>7.9741404289037643E-3</v>
      </c>
      <c r="F1809" s="5">
        <v>42993</v>
      </c>
      <c r="G1809" s="5">
        <v>45184</v>
      </c>
      <c r="H1809" s="16">
        <v>2191</v>
      </c>
      <c r="I1809" s="5">
        <v>45184</v>
      </c>
      <c r="J1809" s="5">
        <v>43823</v>
      </c>
      <c r="K1809" s="16">
        <v>830</v>
      </c>
      <c r="L1809" s="13">
        <v>8887.4699999999993</v>
      </c>
      <c r="M1809" s="15">
        <v>161.01683614837967</v>
      </c>
      <c r="N1809" s="13">
        <v>7186.84</v>
      </c>
      <c r="O1809" s="13">
        <v>4763.1499999999996</v>
      </c>
      <c r="P1809" s="11">
        <v>1</v>
      </c>
    </row>
    <row r="1810" spans="1:16" ht="15" thickBot="1" x14ac:dyDescent="0.3">
      <c r="A1810" s="3" t="s">
        <v>11</v>
      </c>
      <c r="B1810" s="4">
        <v>428932</v>
      </c>
      <c r="C1810" s="3" t="s">
        <v>9</v>
      </c>
      <c r="D1810" s="18">
        <v>0.09</v>
      </c>
      <c r="E1810" s="21">
        <v>7.2073233161367156E-3</v>
      </c>
      <c r="F1810" s="5">
        <v>42997</v>
      </c>
      <c r="G1810" s="5">
        <v>45554</v>
      </c>
      <c r="H1810" s="16">
        <v>2557</v>
      </c>
      <c r="I1810" s="5">
        <v>45554</v>
      </c>
      <c r="J1810" s="5">
        <v>43447</v>
      </c>
      <c r="K1810" s="16">
        <v>450</v>
      </c>
      <c r="L1810" s="13">
        <v>35226.86</v>
      </c>
      <c r="M1810" s="15">
        <v>554.60283519856307</v>
      </c>
      <c r="N1810" s="13">
        <v>34302.92</v>
      </c>
      <c r="O1810" s="13">
        <v>0</v>
      </c>
      <c r="P1810" s="11">
        <v>1</v>
      </c>
    </row>
    <row r="1811" spans="1:16" ht="15" thickBot="1" x14ac:dyDescent="0.3">
      <c r="A1811" s="3" t="s">
        <v>11</v>
      </c>
      <c r="B1811" s="4">
        <v>905373</v>
      </c>
      <c r="C1811" s="3" t="s">
        <v>9</v>
      </c>
      <c r="D1811" s="18">
        <v>0.1</v>
      </c>
      <c r="E1811" s="21">
        <v>7.9741404289037643E-3</v>
      </c>
      <c r="F1811" s="5">
        <v>43000</v>
      </c>
      <c r="G1811" s="5">
        <v>43728</v>
      </c>
      <c r="H1811" s="16">
        <v>728</v>
      </c>
      <c r="I1811" s="5">
        <v>43728</v>
      </c>
      <c r="J1811" s="5">
        <v>43210</v>
      </c>
      <c r="K1811" s="16">
        <v>210</v>
      </c>
      <c r="L1811" s="13">
        <v>16381.72</v>
      </c>
      <c r="M1811" s="15">
        <v>745.1707610529412</v>
      </c>
      <c r="N1811" s="13">
        <v>16381.72</v>
      </c>
      <c r="O1811" s="13">
        <v>0</v>
      </c>
      <c r="P1811" s="11">
        <v>1</v>
      </c>
    </row>
    <row r="1812" spans="1:16" ht="15" thickBot="1" x14ac:dyDescent="0.3">
      <c r="A1812" s="3" t="s">
        <v>11</v>
      </c>
      <c r="B1812" s="4">
        <v>165099</v>
      </c>
      <c r="C1812" s="3" t="s">
        <v>9</v>
      </c>
      <c r="D1812" s="18">
        <v>0.1</v>
      </c>
      <c r="E1812" s="21">
        <v>7.9741404289037643E-3</v>
      </c>
      <c r="F1812" s="5">
        <v>42997</v>
      </c>
      <c r="G1812" s="5">
        <v>44884</v>
      </c>
      <c r="H1812" s="16">
        <v>1887</v>
      </c>
      <c r="I1812" s="5">
        <v>44884</v>
      </c>
      <c r="J1812" s="5">
        <v>43644</v>
      </c>
      <c r="K1812" s="16">
        <v>647</v>
      </c>
      <c r="L1812" s="13">
        <v>4175.95</v>
      </c>
      <c r="M1812" s="15">
        <v>84.685057578539769</v>
      </c>
      <c r="N1812" s="13">
        <v>4175.95</v>
      </c>
      <c r="O1812" s="13">
        <v>0</v>
      </c>
      <c r="P1812" s="11">
        <v>1</v>
      </c>
    </row>
    <row r="1813" spans="1:16" ht="15" thickBot="1" x14ac:dyDescent="0.3">
      <c r="A1813" s="3" t="s">
        <v>11</v>
      </c>
      <c r="B1813" s="4">
        <v>291003</v>
      </c>
      <c r="C1813" s="3" t="s">
        <v>19</v>
      </c>
      <c r="D1813" s="18">
        <v>0.1</v>
      </c>
      <c r="E1813" s="21">
        <v>7.9741404289037643E-3</v>
      </c>
      <c r="F1813" s="5">
        <v>42998</v>
      </c>
      <c r="G1813" s="5">
        <v>44824</v>
      </c>
      <c r="H1813" s="16">
        <v>1826</v>
      </c>
      <c r="I1813" s="5">
        <v>44824</v>
      </c>
      <c r="J1813" s="5">
        <v>43725</v>
      </c>
      <c r="K1813" s="16">
        <v>727</v>
      </c>
      <c r="L1813" s="13">
        <v>21626.52</v>
      </c>
      <c r="M1813" s="15">
        <v>449.87153221979651</v>
      </c>
      <c r="N1813" s="13">
        <v>21626.52</v>
      </c>
      <c r="O1813" s="13">
        <v>0</v>
      </c>
      <c r="P1813" s="11">
        <v>1</v>
      </c>
    </row>
    <row r="1814" spans="1:16" ht="15" thickBot="1" x14ac:dyDescent="0.3">
      <c r="A1814" s="3" t="s">
        <v>11</v>
      </c>
      <c r="B1814" s="4">
        <v>598077</v>
      </c>
      <c r="C1814" s="3" t="s">
        <v>9</v>
      </c>
      <c r="D1814" s="18">
        <v>0.1</v>
      </c>
      <c r="E1814" s="21">
        <v>7.9741404289037643E-3</v>
      </c>
      <c r="F1814" s="5">
        <v>42998</v>
      </c>
      <c r="G1814" s="5">
        <v>45189</v>
      </c>
      <c r="H1814" s="16">
        <v>2191</v>
      </c>
      <c r="I1814" s="5">
        <v>45189</v>
      </c>
      <c r="J1814" s="5">
        <v>43630</v>
      </c>
      <c r="K1814" s="16">
        <v>632</v>
      </c>
      <c r="L1814" s="13">
        <v>14340.33</v>
      </c>
      <c r="M1814" s="15">
        <v>259.80786049614727</v>
      </c>
      <c r="N1814" s="13">
        <v>14340.33</v>
      </c>
      <c r="O1814" s="13">
        <v>0</v>
      </c>
      <c r="P1814" s="11">
        <v>1</v>
      </c>
    </row>
    <row r="1815" spans="1:16" ht="15" thickBot="1" x14ac:dyDescent="0.3">
      <c r="A1815" s="3" t="s">
        <v>11</v>
      </c>
      <c r="B1815" s="4">
        <v>894694</v>
      </c>
      <c r="C1815" s="3" t="s">
        <v>9</v>
      </c>
      <c r="D1815" s="18">
        <v>0.09</v>
      </c>
      <c r="E1815" s="21">
        <v>7.2073233161367156E-3</v>
      </c>
      <c r="F1815" s="5">
        <v>42999</v>
      </c>
      <c r="G1815" s="5">
        <v>45709</v>
      </c>
      <c r="H1815" s="16">
        <v>2710</v>
      </c>
      <c r="I1815" s="5">
        <v>45709</v>
      </c>
      <c r="J1815" s="5">
        <v>43371</v>
      </c>
      <c r="K1815" s="16">
        <v>372</v>
      </c>
      <c r="L1815" s="13">
        <v>27001.5</v>
      </c>
      <c r="M1815" s="15">
        <v>407.73732684099053</v>
      </c>
      <c r="N1815" s="13">
        <v>23997.83</v>
      </c>
      <c r="O1815" s="13">
        <v>23997.83</v>
      </c>
      <c r="P1815" s="11">
        <v>1</v>
      </c>
    </row>
    <row r="1816" spans="1:16" ht="15" thickBot="1" x14ac:dyDescent="0.3">
      <c r="A1816" s="3" t="s">
        <v>11</v>
      </c>
      <c r="B1816" s="4">
        <v>880615</v>
      </c>
      <c r="C1816" s="3" t="s">
        <v>12</v>
      </c>
      <c r="D1816" s="18">
        <v>0.1</v>
      </c>
      <c r="E1816" s="21">
        <v>7.9741404289037643E-3</v>
      </c>
      <c r="F1816" s="5">
        <v>43003</v>
      </c>
      <c r="G1816" s="5">
        <v>44475</v>
      </c>
      <c r="H1816" s="16">
        <v>1472</v>
      </c>
      <c r="I1816" s="5">
        <v>44475</v>
      </c>
      <c r="J1816" s="5">
        <v>44179</v>
      </c>
      <c r="K1816" s="16">
        <v>1176</v>
      </c>
      <c r="L1816" s="13">
        <v>6542.65</v>
      </c>
      <c r="M1816" s="15">
        <v>161.64906493591741</v>
      </c>
      <c r="N1816" s="13">
        <v>2369.7399999999998</v>
      </c>
      <c r="O1816" s="13">
        <v>0</v>
      </c>
      <c r="P1816" s="11">
        <v>1</v>
      </c>
    </row>
    <row r="1817" spans="1:16" ht="15" thickBot="1" x14ac:dyDescent="0.3">
      <c r="A1817" s="3" t="s">
        <v>11</v>
      </c>
      <c r="B1817" s="4">
        <v>745314</v>
      </c>
      <c r="C1817" s="3" t="s">
        <v>9</v>
      </c>
      <c r="D1817" s="18">
        <v>0.1</v>
      </c>
      <c r="E1817" s="21">
        <v>7.9741404289037643E-3</v>
      </c>
      <c r="F1817" s="5">
        <v>43006</v>
      </c>
      <c r="G1817" s="5">
        <v>44467</v>
      </c>
      <c r="H1817" s="16">
        <v>1461</v>
      </c>
      <c r="I1817" s="5">
        <v>44467</v>
      </c>
      <c r="J1817" s="5">
        <v>44543</v>
      </c>
      <c r="K1817" s="16">
        <v>1537</v>
      </c>
      <c r="L1817" s="13">
        <v>6518.18</v>
      </c>
      <c r="M1817" s="15">
        <v>162.0361376803271</v>
      </c>
      <c r="N1817" s="13">
        <v>100.6</v>
      </c>
      <c r="O1817" s="13">
        <v>0</v>
      </c>
      <c r="P1817" s="11">
        <v>1</v>
      </c>
    </row>
    <row r="1818" spans="1:16" ht="15" thickBot="1" x14ac:dyDescent="0.3">
      <c r="A1818" s="3" t="s">
        <v>11</v>
      </c>
      <c r="B1818" s="4">
        <v>786855</v>
      </c>
      <c r="C1818" s="3" t="s">
        <v>9</v>
      </c>
      <c r="D1818" s="18">
        <v>0.09</v>
      </c>
      <c r="E1818" s="21">
        <v>7.2073233161367156E-3</v>
      </c>
      <c r="F1818" s="5">
        <v>43010</v>
      </c>
      <c r="G1818" s="5">
        <v>43266</v>
      </c>
      <c r="H1818" s="16">
        <v>256</v>
      </c>
      <c r="I1818" s="5">
        <v>43266</v>
      </c>
      <c r="J1818" s="5">
        <v>43088</v>
      </c>
      <c r="K1818" s="16">
        <v>78</v>
      </c>
      <c r="L1818" s="13">
        <v>4000</v>
      </c>
      <c r="M1818" s="15">
        <v>484.99905817505095</v>
      </c>
      <c r="N1818" s="13">
        <v>4000</v>
      </c>
      <c r="O1818" s="13">
        <v>0</v>
      </c>
      <c r="P1818" s="11">
        <v>1</v>
      </c>
    </row>
    <row r="1819" spans="1:16" ht="15" thickBot="1" x14ac:dyDescent="0.3">
      <c r="A1819" s="3" t="s">
        <v>11</v>
      </c>
      <c r="B1819" s="4">
        <v>223795</v>
      </c>
      <c r="C1819" s="3" t="s">
        <v>9</v>
      </c>
      <c r="D1819" s="18">
        <v>0.11</v>
      </c>
      <c r="E1819" s="21">
        <v>8.7345938235519061E-3</v>
      </c>
      <c r="F1819" s="5">
        <v>43012</v>
      </c>
      <c r="G1819" s="5">
        <v>43377</v>
      </c>
      <c r="H1819" s="16">
        <v>365</v>
      </c>
      <c r="I1819" s="5">
        <v>43377</v>
      </c>
      <c r="J1819" s="5">
        <v>43279</v>
      </c>
      <c r="K1819" s="16">
        <v>267</v>
      </c>
      <c r="L1819" s="13">
        <v>848.29</v>
      </c>
      <c r="M1819" s="15">
        <v>73.796577875070597</v>
      </c>
      <c r="N1819" s="13">
        <v>848.29</v>
      </c>
      <c r="O1819" s="13">
        <v>0</v>
      </c>
      <c r="P1819" s="11">
        <v>1</v>
      </c>
    </row>
    <row r="1820" spans="1:16" ht="15" thickBot="1" x14ac:dyDescent="0.3">
      <c r="A1820" s="3" t="s">
        <v>11</v>
      </c>
      <c r="B1820" s="4">
        <v>897359</v>
      </c>
      <c r="C1820" s="3" t="s">
        <v>12</v>
      </c>
      <c r="D1820" s="18">
        <v>0.1</v>
      </c>
      <c r="E1820" s="21">
        <v>7.9741404289037643E-3</v>
      </c>
      <c r="F1820" s="5">
        <v>43014</v>
      </c>
      <c r="G1820" s="5">
        <v>44475</v>
      </c>
      <c r="H1820" s="16">
        <v>1461</v>
      </c>
      <c r="I1820" s="5">
        <v>44567</v>
      </c>
      <c r="J1820" s="5">
        <v>44005</v>
      </c>
      <c r="K1820" s="16">
        <v>991</v>
      </c>
      <c r="L1820" s="13">
        <v>6323.13</v>
      </c>
      <c r="M1820" s="15">
        <v>157.18736875179982</v>
      </c>
      <c r="N1820" s="13">
        <v>2813.83</v>
      </c>
      <c r="O1820" s="13">
        <v>2813.83</v>
      </c>
      <c r="P1820" s="11">
        <v>1</v>
      </c>
    </row>
    <row r="1821" spans="1:16" ht="15" thickBot="1" x14ac:dyDescent="0.3">
      <c r="A1821" s="3" t="s">
        <v>11</v>
      </c>
      <c r="B1821" s="4">
        <v>372688</v>
      </c>
      <c r="C1821" s="3" t="s">
        <v>9</v>
      </c>
      <c r="D1821" s="18">
        <v>0.09</v>
      </c>
      <c r="E1821" s="21">
        <v>7.2073233161367156E-3</v>
      </c>
      <c r="F1821" s="5">
        <v>43020</v>
      </c>
      <c r="G1821" s="5">
        <v>44542</v>
      </c>
      <c r="H1821" s="16">
        <v>1522</v>
      </c>
      <c r="I1821" s="5">
        <v>44542</v>
      </c>
      <c r="J1821" s="5">
        <v>43371</v>
      </c>
      <c r="K1821" s="16">
        <v>351</v>
      </c>
      <c r="L1821" s="13">
        <v>10701.52</v>
      </c>
      <c r="M1821" s="15">
        <v>252.59716501552685</v>
      </c>
      <c r="N1821" s="13">
        <v>10701.52</v>
      </c>
      <c r="O1821" s="13">
        <v>1539.96</v>
      </c>
      <c r="P1821" s="11">
        <v>1</v>
      </c>
    </row>
    <row r="1822" spans="1:16" ht="15" thickBot="1" x14ac:dyDescent="0.3">
      <c r="A1822" s="3" t="s">
        <v>11</v>
      </c>
      <c r="B1822" s="4">
        <v>280412</v>
      </c>
      <c r="C1822" s="3" t="s">
        <v>9</v>
      </c>
      <c r="D1822" s="18">
        <v>0.1</v>
      </c>
      <c r="E1822" s="21">
        <v>7.9741404289037643E-3</v>
      </c>
      <c r="F1822" s="5">
        <v>43020</v>
      </c>
      <c r="G1822" s="5">
        <v>44520</v>
      </c>
      <c r="H1822" s="16">
        <v>1500</v>
      </c>
      <c r="I1822" s="5">
        <v>44520</v>
      </c>
      <c r="J1822" s="5">
        <v>43496</v>
      </c>
      <c r="K1822" s="16">
        <v>476</v>
      </c>
      <c r="L1822" s="13">
        <v>7909.08</v>
      </c>
      <c r="M1822" s="15">
        <v>192.4272023744353</v>
      </c>
      <c r="N1822" s="13">
        <v>7909.08</v>
      </c>
      <c r="O1822" s="13">
        <v>1000</v>
      </c>
      <c r="P1822" s="11">
        <v>1</v>
      </c>
    </row>
    <row r="1823" spans="1:16" ht="15" thickBot="1" x14ac:dyDescent="0.3">
      <c r="A1823" s="3" t="s">
        <v>11</v>
      </c>
      <c r="B1823" s="4">
        <v>146201</v>
      </c>
      <c r="C1823" s="3" t="s">
        <v>9</v>
      </c>
      <c r="D1823" s="18">
        <v>0.09</v>
      </c>
      <c r="E1823" s="21">
        <v>7.2073233161367156E-3</v>
      </c>
      <c r="F1823" s="5">
        <v>43021</v>
      </c>
      <c r="G1823" s="5">
        <v>44117</v>
      </c>
      <c r="H1823" s="16">
        <v>1096</v>
      </c>
      <c r="I1823" s="5">
        <v>45790</v>
      </c>
      <c r="J1823" s="5">
        <v>43818</v>
      </c>
      <c r="K1823" s="16">
        <v>797</v>
      </c>
      <c r="L1823" s="13">
        <v>68396.539999999994</v>
      </c>
      <c r="M1823" s="15">
        <v>2136.1500877233866</v>
      </c>
      <c r="N1823" s="13">
        <v>45767.24</v>
      </c>
      <c r="O1823" s="13">
        <v>22869.14</v>
      </c>
      <c r="P1823" s="11">
        <v>1</v>
      </c>
    </row>
    <row r="1824" spans="1:16" ht="15" thickBot="1" x14ac:dyDescent="0.3">
      <c r="A1824" s="3" t="s">
        <v>11</v>
      </c>
      <c r="B1824" s="4">
        <v>128763</v>
      </c>
      <c r="C1824" s="3" t="s">
        <v>9</v>
      </c>
      <c r="D1824" s="18">
        <v>0.1</v>
      </c>
      <c r="E1824" s="21">
        <v>7.9741404289037643E-3</v>
      </c>
      <c r="F1824" s="5">
        <v>43025</v>
      </c>
      <c r="G1824" s="5">
        <v>45216</v>
      </c>
      <c r="H1824" s="16">
        <v>2191</v>
      </c>
      <c r="I1824" s="5">
        <v>45216</v>
      </c>
      <c r="J1824" s="5">
        <v>43496</v>
      </c>
      <c r="K1824" s="16">
        <v>471</v>
      </c>
      <c r="L1824" s="13">
        <v>9350</v>
      </c>
      <c r="M1824" s="15">
        <v>169.39662445975625</v>
      </c>
      <c r="N1824" s="13">
        <v>9350</v>
      </c>
      <c r="O1824" s="13">
        <v>0</v>
      </c>
      <c r="P1824" s="11">
        <v>1</v>
      </c>
    </row>
    <row r="1825" spans="1:16" ht="15" thickBot="1" x14ac:dyDescent="0.3">
      <c r="A1825" s="3" t="s">
        <v>11</v>
      </c>
      <c r="B1825" s="4">
        <v>650958</v>
      </c>
      <c r="C1825" s="3" t="s">
        <v>9</v>
      </c>
      <c r="D1825" s="18">
        <v>0.1</v>
      </c>
      <c r="E1825" s="21">
        <v>7.9741404289037643E-3</v>
      </c>
      <c r="F1825" s="5">
        <v>43032</v>
      </c>
      <c r="G1825" s="5">
        <v>43762</v>
      </c>
      <c r="H1825" s="16">
        <v>730</v>
      </c>
      <c r="I1825" s="5">
        <v>43762</v>
      </c>
      <c r="J1825" s="5">
        <v>43644</v>
      </c>
      <c r="K1825" s="16">
        <v>612</v>
      </c>
      <c r="L1825" s="13">
        <v>2973.39</v>
      </c>
      <c r="M1825" s="15">
        <v>134.91740712796101</v>
      </c>
      <c r="N1825" s="13">
        <v>2973.39</v>
      </c>
      <c r="O1825" s="13">
        <v>75</v>
      </c>
      <c r="P1825" s="11">
        <v>1</v>
      </c>
    </row>
    <row r="1826" spans="1:16" ht="15" thickBot="1" x14ac:dyDescent="0.3">
      <c r="A1826" s="3" t="s">
        <v>11</v>
      </c>
      <c r="B1826" s="4">
        <v>858438</v>
      </c>
      <c r="C1826" s="3" t="s">
        <v>12</v>
      </c>
      <c r="D1826" s="18">
        <v>8.5000000000000006E-2</v>
      </c>
      <c r="E1826" s="21">
        <v>6.8214933659622723E-3</v>
      </c>
      <c r="F1826" s="5">
        <v>43035</v>
      </c>
      <c r="G1826" s="5">
        <v>44123</v>
      </c>
      <c r="H1826" s="16">
        <v>1088</v>
      </c>
      <c r="I1826" s="5">
        <v>44123</v>
      </c>
      <c r="J1826" s="5">
        <v>44179</v>
      </c>
      <c r="K1826" s="16">
        <v>1144</v>
      </c>
      <c r="L1826" s="13">
        <v>4023.72</v>
      </c>
      <c r="M1826" s="15">
        <v>125.61341220542155</v>
      </c>
      <c r="N1826" s="13">
        <v>2055.67</v>
      </c>
      <c r="O1826" s="13">
        <v>0</v>
      </c>
      <c r="P1826" s="11">
        <v>1</v>
      </c>
    </row>
    <row r="1827" spans="1:16" ht="15" thickBot="1" x14ac:dyDescent="0.3">
      <c r="A1827" s="3" t="s">
        <v>11</v>
      </c>
      <c r="B1827" s="4">
        <v>694263</v>
      </c>
      <c r="C1827" s="3" t="s">
        <v>3</v>
      </c>
      <c r="D1827" s="18">
        <v>7.4999999999999997E-2</v>
      </c>
      <c r="E1827" s="21">
        <v>6.0449190242917172E-3</v>
      </c>
      <c r="F1827" s="5">
        <v>43042</v>
      </c>
      <c r="G1827" s="5">
        <v>43407</v>
      </c>
      <c r="H1827" s="16">
        <v>365</v>
      </c>
      <c r="I1827" s="5">
        <v>43407</v>
      </c>
      <c r="J1827" s="5">
        <v>43888</v>
      </c>
      <c r="K1827" s="16">
        <v>846</v>
      </c>
      <c r="L1827" s="13">
        <v>173250</v>
      </c>
      <c r="M1827" s="15">
        <v>14812.761670033347</v>
      </c>
      <c r="N1827" s="13">
        <v>157066.99</v>
      </c>
      <c r="O1827" s="13">
        <v>35000</v>
      </c>
      <c r="P1827" s="11">
        <v>1</v>
      </c>
    </row>
    <row r="1828" spans="1:16" ht="15" thickBot="1" x14ac:dyDescent="0.3">
      <c r="A1828" s="3" t="s">
        <v>11</v>
      </c>
      <c r="B1828" s="4">
        <v>306669</v>
      </c>
      <c r="C1828" s="3" t="s">
        <v>9</v>
      </c>
      <c r="D1828" s="18">
        <v>0.08</v>
      </c>
      <c r="E1828" s="21">
        <v>6.4340301100034303E-3</v>
      </c>
      <c r="F1828" s="5">
        <v>43048</v>
      </c>
      <c r="G1828" s="5">
        <v>45239</v>
      </c>
      <c r="H1828" s="16">
        <v>2191</v>
      </c>
      <c r="I1828" s="5">
        <v>45239</v>
      </c>
      <c r="J1828" s="5">
        <v>43826</v>
      </c>
      <c r="K1828" s="16">
        <v>778</v>
      </c>
      <c r="L1828" s="13">
        <v>26668.45</v>
      </c>
      <c r="M1828" s="15">
        <v>458.79385497627862</v>
      </c>
      <c r="N1828" s="13">
        <v>22318.98</v>
      </c>
      <c r="O1828" s="13">
        <v>10865</v>
      </c>
      <c r="P1828" s="11">
        <v>1</v>
      </c>
    </row>
    <row r="1829" spans="1:16" ht="15" thickBot="1" x14ac:dyDescent="0.3">
      <c r="A1829" s="3" t="s">
        <v>11</v>
      </c>
      <c r="B1829" s="4">
        <v>685519</v>
      </c>
      <c r="C1829" s="3" t="s">
        <v>2</v>
      </c>
      <c r="D1829" s="18">
        <v>0.1</v>
      </c>
      <c r="E1829" s="21">
        <v>7.9741404289037643E-3</v>
      </c>
      <c r="F1829" s="5">
        <v>43048</v>
      </c>
      <c r="G1829" s="5">
        <v>44935</v>
      </c>
      <c r="H1829" s="16">
        <v>1887</v>
      </c>
      <c r="I1829" s="5">
        <v>44935</v>
      </c>
      <c r="J1829" s="5">
        <v>43725</v>
      </c>
      <c r="K1829" s="16">
        <v>677</v>
      </c>
      <c r="L1829" s="13">
        <v>1094.49</v>
      </c>
      <c r="M1829" s="15">
        <v>22.195416293091633</v>
      </c>
      <c r="N1829" s="13">
        <v>1094.49</v>
      </c>
      <c r="O1829" s="13">
        <v>496.83</v>
      </c>
      <c r="P1829" s="11">
        <v>1</v>
      </c>
    </row>
    <row r="1830" spans="1:16" ht="15" thickBot="1" x14ac:dyDescent="0.3">
      <c r="A1830" s="3" t="s">
        <v>11</v>
      </c>
      <c r="B1830" s="4">
        <v>806346</v>
      </c>
      <c r="C1830" s="3" t="s">
        <v>9</v>
      </c>
      <c r="D1830" s="18">
        <v>0.1</v>
      </c>
      <c r="E1830" s="21">
        <v>7.9741404289037643E-3</v>
      </c>
      <c r="F1830" s="5">
        <v>43054</v>
      </c>
      <c r="G1830" s="5">
        <v>45245</v>
      </c>
      <c r="H1830" s="16">
        <v>2191</v>
      </c>
      <c r="I1830" s="5">
        <v>45245</v>
      </c>
      <c r="J1830" s="5">
        <v>43496</v>
      </c>
      <c r="K1830" s="16">
        <v>442</v>
      </c>
      <c r="L1830" s="13">
        <v>39859.629999999997</v>
      </c>
      <c r="M1830" s="15">
        <v>722.14831809784334</v>
      </c>
      <c r="N1830" s="13">
        <v>37859.629999999997</v>
      </c>
      <c r="O1830" s="13">
        <v>470.4</v>
      </c>
      <c r="P1830" s="11">
        <v>1</v>
      </c>
    </row>
    <row r="1831" spans="1:16" ht="15" thickBot="1" x14ac:dyDescent="0.3">
      <c r="A1831" s="3" t="s">
        <v>11</v>
      </c>
      <c r="B1831" s="4">
        <v>876173</v>
      </c>
      <c r="C1831" s="3" t="s">
        <v>9</v>
      </c>
      <c r="D1831" s="18">
        <v>0.1</v>
      </c>
      <c r="E1831" s="21">
        <v>7.9741404289037643E-3</v>
      </c>
      <c r="F1831" s="5">
        <v>43060</v>
      </c>
      <c r="G1831" s="5">
        <v>44248</v>
      </c>
      <c r="H1831" s="16">
        <v>1188</v>
      </c>
      <c r="I1831" s="5">
        <v>44248</v>
      </c>
      <c r="J1831" s="5">
        <v>43501</v>
      </c>
      <c r="K1831" s="16">
        <v>441</v>
      </c>
      <c r="L1831" s="13">
        <v>4969.67</v>
      </c>
      <c r="M1831" s="15">
        <v>146.84781769425993</v>
      </c>
      <c r="N1831" s="13">
        <v>4161.07</v>
      </c>
      <c r="O1831" s="13">
        <v>4161.07</v>
      </c>
      <c r="P1831" s="11">
        <v>1</v>
      </c>
    </row>
    <row r="1832" spans="1:16" ht="15" thickBot="1" x14ac:dyDescent="0.3">
      <c r="A1832" s="3" t="s">
        <v>11</v>
      </c>
      <c r="B1832" s="4">
        <v>727574</v>
      </c>
      <c r="C1832" s="3" t="s">
        <v>9</v>
      </c>
      <c r="D1832" s="18">
        <v>0.1</v>
      </c>
      <c r="E1832" s="21">
        <v>7.9741404289037643E-3</v>
      </c>
      <c r="F1832" s="5">
        <v>43066</v>
      </c>
      <c r="G1832" s="5">
        <v>44157</v>
      </c>
      <c r="H1832" s="16">
        <v>1091</v>
      </c>
      <c r="I1832" s="5">
        <v>44157</v>
      </c>
      <c r="J1832" s="5">
        <v>43644</v>
      </c>
      <c r="K1832" s="16">
        <v>578</v>
      </c>
      <c r="L1832" s="13">
        <v>1594.02</v>
      </c>
      <c r="M1832" s="15">
        <v>50.667427199383965</v>
      </c>
      <c r="N1832" s="13">
        <v>1594.02</v>
      </c>
      <c r="O1832" s="13">
        <v>0</v>
      </c>
      <c r="P1832" s="11">
        <v>1</v>
      </c>
    </row>
    <row r="1833" spans="1:16" ht="15" thickBot="1" x14ac:dyDescent="0.3">
      <c r="A1833" s="3" t="s">
        <v>11</v>
      </c>
      <c r="B1833" s="4">
        <v>115094</v>
      </c>
      <c r="C1833" s="3" t="s">
        <v>9</v>
      </c>
      <c r="D1833" s="18">
        <v>0.08</v>
      </c>
      <c r="E1833" s="21">
        <v>6.4340301100034303E-3</v>
      </c>
      <c r="F1833" s="5">
        <v>43061</v>
      </c>
      <c r="G1833" s="5">
        <v>43791</v>
      </c>
      <c r="H1833" s="16">
        <v>730</v>
      </c>
      <c r="I1833" s="5">
        <v>43791</v>
      </c>
      <c r="J1833" s="5">
        <v>43802</v>
      </c>
      <c r="K1833" s="16">
        <v>741</v>
      </c>
      <c r="L1833" s="13">
        <v>2200</v>
      </c>
      <c r="M1833" s="15">
        <v>97.962943773109984</v>
      </c>
      <c r="N1833" s="13">
        <v>1463.53</v>
      </c>
      <c r="O1833" s="13">
        <v>0</v>
      </c>
      <c r="P1833" s="11">
        <v>1</v>
      </c>
    </row>
    <row r="1834" spans="1:16" ht="15" thickBot="1" x14ac:dyDescent="0.3">
      <c r="A1834" s="3" t="s">
        <v>11</v>
      </c>
      <c r="B1834" s="4">
        <v>350690</v>
      </c>
      <c r="C1834" s="3" t="s">
        <v>2</v>
      </c>
      <c r="D1834" s="18">
        <v>0.1</v>
      </c>
      <c r="E1834" s="21">
        <v>7.9741404289037643E-3</v>
      </c>
      <c r="F1834" s="5">
        <v>43066</v>
      </c>
      <c r="G1834" s="5">
        <v>44282</v>
      </c>
      <c r="H1834" s="16">
        <v>1216</v>
      </c>
      <c r="I1834" s="5">
        <v>44282</v>
      </c>
      <c r="J1834" s="5">
        <v>43818</v>
      </c>
      <c r="K1834" s="16">
        <v>752</v>
      </c>
      <c r="L1834" s="13">
        <v>35454.39</v>
      </c>
      <c r="M1834" s="15">
        <v>1027.1108371898206</v>
      </c>
      <c r="N1834" s="13">
        <v>35454.39</v>
      </c>
      <c r="O1834" s="13">
        <v>800</v>
      </c>
      <c r="P1834" s="11">
        <v>1</v>
      </c>
    </row>
    <row r="1835" spans="1:16" ht="15" thickBot="1" x14ac:dyDescent="0.3">
      <c r="A1835" s="3" t="s">
        <v>11</v>
      </c>
      <c r="B1835" s="4">
        <v>229829</v>
      </c>
      <c r="C1835" s="3" t="s">
        <v>9</v>
      </c>
      <c r="D1835" s="18">
        <v>0.05</v>
      </c>
      <c r="E1835" s="21">
        <v>4.0741237836483535E-3</v>
      </c>
      <c r="F1835" s="5">
        <v>43066</v>
      </c>
      <c r="G1835" s="5">
        <v>45275</v>
      </c>
      <c r="H1835" s="16">
        <v>2209</v>
      </c>
      <c r="I1835" s="5">
        <v>45287</v>
      </c>
      <c r="J1835" s="5">
        <v>43818</v>
      </c>
      <c r="K1835" s="16">
        <v>752</v>
      </c>
      <c r="L1835" s="13">
        <v>30434.1</v>
      </c>
      <c r="M1835" s="15">
        <v>479.24594313105172</v>
      </c>
      <c r="N1835" s="13">
        <v>28264.82</v>
      </c>
      <c r="O1835" s="13">
        <v>28264.82</v>
      </c>
      <c r="P1835" s="11">
        <v>1</v>
      </c>
    </row>
    <row r="1836" spans="1:16" ht="15" thickBot="1" x14ac:dyDescent="0.3">
      <c r="A1836" s="3" t="s">
        <v>11</v>
      </c>
      <c r="B1836" s="4">
        <v>130496</v>
      </c>
      <c r="C1836" s="3" t="s">
        <v>9</v>
      </c>
      <c r="D1836" s="18">
        <v>0.1</v>
      </c>
      <c r="E1836" s="21">
        <v>7.9741404289037643E-3</v>
      </c>
      <c r="F1836" s="5">
        <v>43066</v>
      </c>
      <c r="G1836" s="5">
        <v>45257</v>
      </c>
      <c r="H1836" s="16">
        <v>2191</v>
      </c>
      <c r="I1836" s="5">
        <v>45257</v>
      </c>
      <c r="J1836" s="5">
        <v>43371</v>
      </c>
      <c r="K1836" s="16">
        <v>305</v>
      </c>
      <c r="L1836" s="13">
        <v>12635.38</v>
      </c>
      <c r="M1836" s="15">
        <v>228.91879366484653</v>
      </c>
      <c r="N1836" s="13">
        <v>12635.38</v>
      </c>
      <c r="O1836" s="13">
        <v>0</v>
      </c>
      <c r="P1836" s="11">
        <v>1</v>
      </c>
    </row>
    <row r="1837" spans="1:16" ht="15" thickBot="1" x14ac:dyDescent="0.3">
      <c r="A1837" s="3" t="s">
        <v>11</v>
      </c>
      <c r="B1837" s="4">
        <v>684522</v>
      </c>
      <c r="C1837" s="3" t="s">
        <v>9</v>
      </c>
      <c r="D1837" s="18">
        <v>0.1</v>
      </c>
      <c r="E1837" s="21">
        <v>7.9741404289037643E-3</v>
      </c>
      <c r="F1837" s="5">
        <v>43068</v>
      </c>
      <c r="G1837" s="5">
        <v>44406</v>
      </c>
      <c r="H1837" s="16">
        <v>1338</v>
      </c>
      <c r="I1837" s="5">
        <v>44406</v>
      </c>
      <c r="J1837" s="5">
        <v>43371</v>
      </c>
      <c r="K1837" s="16">
        <v>303</v>
      </c>
      <c r="L1837" s="13">
        <v>3826.59</v>
      </c>
      <c r="M1837" s="15">
        <v>102.29537323027152</v>
      </c>
      <c r="N1837" s="13">
        <v>3826.59</v>
      </c>
      <c r="O1837" s="13">
        <v>0</v>
      </c>
      <c r="P1837" s="11">
        <v>1</v>
      </c>
    </row>
    <row r="1838" spans="1:16" ht="15" thickBot="1" x14ac:dyDescent="0.3">
      <c r="A1838" s="3" t="s">
        <v>11</v>
      </c>
      <c r="B1838" s="4">
        <v>556445</v>
      </c>
      <c r="C1838" s="3" t="s">
        <v>9</v>
      </c>
      <c r="D1838" s="18">
        <v>8.5000000000000006E-2</v>
      </c>
      <c r="E1838" s="21">
        <v>6.8214933659622723E-3</v>
      </c>
      <c r="F1838" s="5">
        <v>43068</v>
      </c>
      <c r="G1838" s="5">
        <v>45259</v>
      </c>
      <c r="H1838" s="16">
        <v>2191</v>
      </c>
      <c r="I1838" s="5">
        <v>45259</v>
      </c>
      <c r="J1838" s="5">
        <v>43371</v>
      </c>
      <c r="K1838" s="16">
        <v>303</v>
      </c>
      <c r="L1838" s="13">
        <v>6649.07</v>
      </c>
      <c r="M1838" s="15">
        <v>115.89902228797054</v>
      </c>
      <c r="N1838" s="13">
        <v>6403.61</v>
      </c>
      <c r="O1838" s="13">
        <v>4124.42</v>
      </c>
      <c r="P1838" s="11">
        <v>1</v>
      </c>
    </row>
    <row r="1839" spans="1:16" ht="15" thickBot="1" x14ac:dyDescent="0.3">
      <c r="A1839" s="3" t="s">
        <v>11</v>
      </c>
      <c r="B1839" s="4">
        <v>414487</v>
      </c>
      <c r="C1839" s="3" t="s">
        <v>9</v>
      </c>
      <c r="D1839" s="18">
        <v>0.14000000000000001</v>
      </c>
      <c r="E1839" s="21">
        <v>1.0978851950173452E-2</v>
      </c>
      <c r="F1839" s="5">
        <v>43068</v>
      </c>
      <c r="G1839" s="5">
        <v>43980</v>
      </c>
      <c r="H1839" s="16">
        <v>912</v>
      </c>
      <c r="I1839" s="5">
        <v>43980</v>
      </c>
      <c r="J1839" s="5">
        <v>43747</v>
      </c>
      <c r="K1839" s="16">
        <v>679</v>
      </c>
      <c r="L1839" s="13">
        <v>5091.6899999999996</v>
      </c>
      <c r="M1839" s="15">
        <v>197.90147974697888</v>
      </c>
      <c r="N1839" s="13">
        <v>3654.33</v>
      </c>
      <c r="O1839" s="13">
        <v>0</v>
      </c>
      <c r="P1839" s="11">
        <v>1</v>
      </c>
    </row>
    <row r="1840" spans="1:16" ht="15" thickBot="1" x14ac:dyDescent="0.3">
      <c r="A1840" s="3" t="s">
        <v>11</v>
      </c>
      <c r="B1840" s="4">
        <v>822205</v>
      </c>
      <c r="C1840" s="3" t="s">
        <v>9</v>
      </c>
      <c r="D1840" s="18">
        <v>0.1</v>
      </c>
      <c r="E1840" s="21">
        <v>7.9741404289037643E-3</v>
      </c>
      <c r="F1840" s="5">
        <v>43069</v>
      </c>
      <c r="G1840" s="5">
        <v>45260</v>
      </c>
      <c r="H1840" s="16">
        <v>2191</v>
      </c>
      <c r="I1840" s="5">
        <v>46027</v>
      </c>
      <c r="J1840" s="5">
        <v>43818</v>
      </c>
      <c r="K1840" s="16">
        <v>749</v>
      </c>
      <c r="L1840" s="13">
        <v>21789.47</v>
      </c>
      <c r="M1840" s="15">
        <v>394.76606061680491</v>
      </c>
      <c r="N1840" s="13">
        <v>18828.18</v>
      </c>
      <c r="O1840" s="13">
        <v>11961.73</v>
      </c>
      <c r="P1840" s="11">
        <v>1</v>
      </c>
    </row>
    <row r="1841" spans="1:16" ht="15" thickBot="1" x14ac:dyDescent="0.3">
      <c r="A1841" s="3" t="s">
        <v>11</v>
      </c>
      <c r="B1841" s="4">
        <v>842167</v>
      </c>
      <c r="C1841" s="3" t="s">
        <v>9</v>
      </c>
      <c r="D1841" s="18">
        <v>9.5000000000000001E-2</v>
      </c>
      <c r="E1841" s="21">
        <v>7.5915342905825689E-3</v>
      </c>
      <c r="F1841" s="5">
        <v>43070</v>
      </c>
      <c r="G1841" s="5">
        <v>45352</v>
      </c>
      <c r="H1841" s="16">
        <v>2282</v>
      </c>
      <c r="I1841" s="5">
        <v>45352</v>
      </c>
      <c r="J1841" s="5">
        <v>43817</v>
      </c>
      <c r="K1841" s="16">
        <v>747</v>
      </c>
      <c r="L1841" s="13">
        <v>39376.83</v>
      </c>
      <c r="M1841" s="15">
        <v>683.34216833535095</v>
      </c>
      <c r="N1841" s="13">
        <v>30352.73</v>
      </c>
      <c r="O1841" s="13">
        <v>0</v>
      </c>
      <c r="P1841" s="11">
        <v>1</v>
      </c>
    </row>
    <row r="1842" spans="1:16" ht="15" thickBot="1" x14ac:dyDescent="0.3">
      <c r="A1842" s="3" t="s">
        <v>11</v>
      </c>
      <c r="B1842" s="4">
        <v>318707</v>
      </c>
      <c r="C1842" s="3" t="s">
        <v>9</v>
      </c>
      <c r="D1842" s="18">
        <v>0.09</v>
      </c>
      <c r="E1842" s="21">
        <v>7.2073233161367156E-3</v>
      </c>
      <c r="F1842" s="5">
        <v>43073</v>
      </c>
      <c r="G1842" s="5">
        <v>44550</v>
      </c>
      <c r="H1842" s="16">
        <v>1477</v>
      </c>
      <c r="I1842" s="5">
        <v>44550</v>
      </c>
      <c r="J1842" s="5">
        <v>43822</v>
      </c>
      <c r="K1842" s="16">
        <v>749</v>
      </c>
      <c r="L1842" s="13">
        <v>17865.71</v>
      </c>
      <c r="M1842" s="15">
        <v>432.35245327411798</v>
      </c>
      <c r="N1842" s="13">
        <v>7023.95</v>
      </c>
      <c r="O1842" s="13">
        <v>3676.39</v>
      </c>
      <c r="P1842" s="11">
        <v>1</v>
      </c>
    </row>
    <row r="1843" spans="1:16" ht="15" thickBot="1" x14ac:dyDescent="0.3">
      <c r="A1843" s="3" t="s">
        <v>11</v>
      </c>
      <c r="B1843" s="4">
        <v>853769</v>
      </c>
      <c r="C1843" s="3" t="s">
        <v>9</v>
      </c>
      <c r="D1843" s="18">
        <v>0.1</v>
      </c>
      <c r="E1843" s="21">
        <v>7.9741404289037643E-3</v>
      </c>
      <c r="F1843" s="5">
        <v>43070</v>
      </c>
      <c r="G1843" s="5">
        <v>44896</v>
      </c>
      <c r="H1843" s="16">
        <v>1826</v>
      </c>
      <c r="I1843" s="5">
        <v>45017</v>
      </c>
      <c r="J1843" s="5">
        <v>44182</v>
      </c>
      <c r="K1843" s="16">
        <v>1112</v>
      </c>
      <c r="L1843" s="13">
        <v>7546.65</v>
      </c>
      <c r="M1843" s="15">
        <v>156.98424890488747</v>
      </c>
      <c r="N1843" s="13">
        <v>3947.88</v>
      </c>
      <c r="O1843" s="13">
        <v>1018.92</v>
      </c>
      <c r="P1843" s="11">
        <v>1</v>
      </c>
    </row>
    <row r="1844" spans="1:16" ht="15" thickBot="1" x14ac:dyDescent="0.3">
      <c r="A1844" s="3" t="s">
        <v>11</v>
      </c>
      <c r="B1844" s="4">
        <v>858247</v>
      </c>
      <c r="C1844" s="3" t="s">
        <v>9</v>
      </c>
      <c r="D1844" s="18">
        <v>0.1</v>
      </c>
      <c r="E1844" s="21">
        <v>7.9741404289037643E-3</v>
      </c>
      <c r="F1844" s="5">
        <v>43080</v>
      </c>
      <c r="G1844" s="5">
        <v>43476</v>
      </c>
      <c r="H1844" s="16">
        <v>396</v>
      </c>
      <c r="I1844" s="5">
        <v>43476</v>
      </c>
      <c r="J1844" s="5">
        <v>43496</v>
      </c>
      <c r="K1844" s="16">
        <v>416</v>
      </c>
      <c r="L1844" s="13">
        <v>907.34</v>
      </c>
      <c r="M1844" s="15">
        <v>72.692408204456243</v>
      </c>
      <c r="N1844" s="13">
        <v>856.72</v>
      </c>
      <c r="O1844" s="13">
        <v>856.72</v>
      </c>
      <c r="P1844" s="11">
        <v>1</v>
      </c>
    </row>
    <row r="1845" spans="1:16" ht="15" thickBot="1" x14ac:dyDescent="0.3">
      <c r="A1845" s="3" t="s">
        <v>11</v>
      </c>
      <c r="B1845" s="4">
        <v>630342</v>
      </c>
      <c r="C1845" s="3" t="s">
        <v>9</v>
      </c>
      <c r="D1845" s="18">
        <v>0.12</v>
      </c>
      <c r="E1845" s="21">
        <v>9.4887929345830457E-3</v>
      </c>
      <c r="F1845" s="5">
        <v>43087</v>
      </c>
      <c r="G1845" s="5">
        <v>43817</v>
      </c>
      <c r="H1845" s="16">
        <v>730</v>
      </c>
      <c r="I1845" s="5">
        <v>43817</v>
      </c>
      <c r="J1845" s="5">
        <v>43829</v>
      </c>
      <c r="K1845" s="16">
        <v>742</v>
      </c>
      <c r="L1845" s="13">
        <v>5723.53</v>
      </c>
      <c r="M1845" s="15">
        <v>264.52158199398082</v>
      </c>
      <c r="N1845" s="13">
        <v>1484.45</v>
      </c>
      <c r="O1845" s="13">
        <v>1484.45</v>
      </c>
      <c r="P1845" s="11">
        <v>1</v>
      </c>
    </row>
    <row r="1846" spans="1:16" ht="15" thickBot="1" x14ac:dyDescent="0.3">
      <c r="A1846" s="3" t="s">
        <v>11</v>
      </c>
      <c r="B1846" s="4">
        <v>533265</v>
      </c>
      <c r="C1846" s="3" t="s">
        <v>9</v>
      </c>
      <c r="D1846" s="18">
        <v>0.1</v>
      </c>
      <c r="E1846" s="21">
        <v>7.9741404289037643E-3</v>
      </c>
      <c r="F1846" s="5">
        <v>43084</v>
      </c>
      <c r="G1846" s="5">
        <v>45275</v>
      </c>
      <c r="H1846" s="16">
        <v>2191</v>
      </c>
      <c r="I1846" s="5">
        <v>45245</v>
      </c>
      <c r="J1846" s="5">
        <v>43760</v>
      </c>
      <c r="K1846" s="16">
        <v>676</v>
      </c>
      <c r="L1846" s="13">
        <v>19573.490000000002</v>
      </c>
      <c r="M1846" s="15">
        <v>354.61851710126155</v>
      </c>
      <c r="N1846" s="13">
        <v>9375</v>
      </c>
      <c r="O1846" s="13">
        <v>750</v>
      </c>
      <c r="P1846" s="11">
        <v>1</v>
      </c>
    </row>
    <row r="1847" spans="1:16" ht="15" thickBot="1" x14ac:dyDescent="0.3">
      <c r="A1847" s="3" t="s">
        <v>11</v>
      </c>
      <c r="B1847" s="4">
        <v>340548</v>
      </c>
      <c r="C1847" s="3" t="s">
        <v>9</v>
      </c>
      <c r="D1847" s="18">
        <v>0.14000000000000001</v>
      </c>
      <c r="E1847" s="21">
        <v>1.0978851950173452E-2</v>
      </c>
      <c r="F1847" s="5">
        <v>43087</v>
      </c>
      <c r="G1847" s="5">
        <v>43634</v>
      </c>
      <c r="H1847" s="16">
        <v>547</v>
      </c>
      <c r="I1847" s="5">
        <v>43636</v>
      </c>
      <c r="J1847" s="5">
        <v>43773</v>
      </c>
      <c r="K1847" s="16">
        <v>686</v>
      </c>
      <c r="L1847" s="13">
        <v>2525.5300000000002</v>
      </c>
      <c r="M1847" s="15">
        <v>153.594093955792</v>
      </c>
      <c r="N1847" s="13">
        <v>1598.1</v>
      </c>
      <c r="O1847" s="13">
        <v>0</v>
      </c>
      <c r="P1847" s="11">
        <v>1</v>
      </c>
    </row>
    <row r="1848" spans="1:16" ht="15" thickBot="1" x14ac:dyDescent="0.3">
      <c r="A1848" s="3" t="s">
        <v>11</v>
      </c>
      <c r="B1848" s="4">
        <v>672961</v>
      </c>
      <c r="C1848" s="3" t="s">
        <v>9</v>
      </c>
      <c r="D1848" s="18">
        <v>0.1</v>
      </c>
      <c r="E1848" s="21">
        <v>7.9741404289037643E-3</v>
      </c>
      <c r="F1848" s="5">
        <v>43088</v>
      </c>
      <c r="G1848" s="5">
        <v>44914</v>
      </c>
      <c r="H1848" s="16">
        <v>1826</v>
      </c>
      <c r="I1848" s="5">
        <v>44914</v>
      </c>
      <c r="J1848" s="5">
        <v>43664</v>
      </c>
      <c r="K1848" s="16">
        <v>576</v>
      </c>
      <c r="L1848" s="13">
        <v>6600</v>
      </c>
      <c r="M1848" s="15">
        <v>137.29218166633638</v>
      </c>
      <c r="N1848" s="13">
        <v>4785.1400000000003</v>
      </c>
      <c r="O1848" s="13">
        <v>0</v>
      </c>
      <c r="P1848" s="11">
        <v>1</v>
      </c>
    </row>
    <row r="1849" spans="1:16" ht="15" thickBot="1" x14ac:dyDescent="0.3">
      <c r="A1849" s="3" t="s">
        <v>11</v>
      </c>
      <c r="B1849" s="4">
        <v>75646</v>
      </c>
      <c r="C1849" s="3" t="s">
        <v>19</v>
      </c>
      <c r="D1849" s="18">
        <v>0.1</v>
      </c>
      <c r="E1849" s="21">
        <v>7.9741404289037643E-3</v>
      </c>
      <c r="F1849" s="5">
        <v>43090</v>
      </c>
      <c r="G1849" s="5">
        <v>44916</v>
      </c>
      <c r="H1849" s="16">
        <v>1826</v>
      </c>
      <c r="I1849" s="5">
        <v>44916</v>
      </c>
      <c r="J1849" s="5">
        <v>43726</v>
      </c>
      <c r="K1849" s="16">
        <v>636</v>
      </c>
      <c r="L1849" s="13">
        <v>1294.17</v>
      </c>
      <c r="M1849" s="15">
        <v>26.921124658654932</v>
      </c>
      <c r="N1849" s="13">
        <v>73000</v>
      </c>
      <c r="O1849" s="13">
        <v>32994.76</v>
      </c>
      <c r="P1849" s="11">
        <v>1</v>
      </c>
    </row>
    <row r="1850" spans="1:16" ht="15" thickBot="1" x14ac:dyDescent="0.3">
      <c r="A1850" s="3" t="s">
        <v>11</v>
      </c>
      <c r="B1850" s="4">
        <v>698922</v>
      </c>
      <c r="C1850" s="3" t="s">
        <v>9</v>
      </c>
      <c r="D1850" s="18">
        <v>0.08</v>
      </c>
      <c r="E1850" s="21">
        <v>6.4340301100034303E-3</v>
      </c>
      <c r="F1850" s="5">
        <v>43095</v>
      </c>
      <c r="G1850" s="5">
        <v>43460</v>
      </c>
      <c r="H1850" s="16">
        <v>365</v>
      </c>
      <c r="I1850" s="5">
        <v>43460</v>
      </c>
      <c r="J1850" s="5">
        <v>43644</v>
      </c>
      <c r="K1850" s="16">
        <v>549</v>
      </c>
      <c r="L1850" s="13">
        <v>3529.26</v>
      </c>
      <c r="M1850" s="15">
        <v>302.50966840166319</v>
      </c>
      <c r="N1850" s="13">
        <v>908.49</v>
      </c>
      <c r="O1850" s="13">
        <v>0</v>
      </c>
      <c r="P1850" s="11">
        <v>1</v>
      </c>
    </row>
    <row r="1851" spans="1:16" ht="15" thickBot="1" x14ac:dyDescent="0.3">
      <c r="A1851" s="3" t="s">
        <v>11</v>
      </c>
      <c r="B1851" s="4">
        <v>703005</v>
      </c>
      <c r="C1851" s="3" t="s">
        <v>9</v>
      </c>
      <c r="D1851" s="18">
        <v>0.1</v>
      </c>
      <c r="E1851" s="21">
        <v>7.9741404289037643E-3</v>
      </c>
      <c r="F1851" s="5">
        <v>43096</v>
      </c>
      <c r="G1851" s="5">
        <v>44922</v>
      </c>
      <c r="H1851" s="16">
        <v>1826</v>
      </c>
      <c r="I1851" s="5">
        <v>45165</v>
      </c>
      <c r="J1851" s="5">
        <v>44643</v>
      </c>
      <c r="K1851" s="16">
        <v>1547</v>
      </c>
      <c r="L1851" s="13">
        <v>17875.93</v>
      </c>
      <c r="M1851" s="15">
        <v>371.85233772950187</v>
      </c>
      <c r="N1851" s="13">
        <v>8216</v>
      </c>
      <c r="O1851" s="13">
        <v>6941.19</v>
      </c>
      <c r="P1851" s="11">
        <v>1</v>
      </c>
    </row>
    <row r="1852" spans="1:16" ht="15" thickBot="1" x14ac:dyDescent="0.3">
      <c r="A1852" s="3" t="s">
        <v>11</v>
      </c>
      <c r="B1852" s="4">
        <v>448872</v>
      </c>
      <c r="C1852" s="3" t="s">
        <v>9</v>
      </c>
      <c r="D1852" s="18">
        <v>0.1</v>
      </c>
      <c r="E1852" s="21">
        <v>7.9741404289037643E-3</v>
      </c>
      <c r="F1852" s="5">
        <v>43096</v>
      </c>
      <c r="G1852" s="5">
        <v>45287</v>
      </c>
      <c r="H1852" s="16">
        <v>2191</v>
      </c>
      <c r="I1852" s="5">
        <v>45287</v>
      </c>
      <c r="J1852" s="5">
        <v>43371</v>
      </c>
      <c r="K1852" s="16">
        <v>275</v>
      </c>
      <c r="L1852" s="13">
        <v>12452.15</v>
      </c>
      <c r="M1852" s="15">
        <v>225.59916334401649</v>
      </c>
      <c r="N1852" s="13">
        <v>11852.15</v>
      </c>
      <c r="O1852" s="13">
        <v>0</v>
      </c>
      <c r="P1852" s="11">
        <v>1</v>
      </c>
    </row>
    <row r="1853" spans="1:16" ht="15" thickBot="1" x14ac:dyDescent="0.3">
      <c r="A1853" s="3" t="s">
        <v>11</v>
      </c>
      <c r="B1853" s="4">
        <v>199449</v>
      </c>
      <c r="C1853" s="3" t="s">
        <v>2</v>
      </c>
      <c r="D1853" s="18">
        <v>9.5000000000000001E-2</v>
      </c>
      <c r="E1853" s="21">
        <v>7.5915342905825689E-3</v>
      </c>
      <c r="F1853" s="5">
        <v>43098</v>
      </c>
      <c r="G1853" s="5">
        <v>45289</v>
      </c>
      <c r="H1853" s="16">
        <v>2191</v>
      </c>
      <c r="I1853" s="5">
        <v>45289</v>
      </c>
      <c r="J1853" s="5">
        <v>43844</v>
      </c>
      <c r="K1853" s="16">
        <v>746</v>
      </c>
      <c r="L1853" s="13">
        <v>29097.3</v>
      </c>
      <c r="M1853" s="15">
        <v>520.48421259732436</v>
      </c>
      <c r="N1853" s="13">
        <v>15538.52</v>
      </c>
      <c r="O1853" s="13">
        <v>0</v>
      </c>
      <c r="P1853" s="11">
        <v>1</v>
      </c>
    </row>
    <row r="1854" spans="1:16" ht="15" thickBot="1" x14ac:dyDescent="0.3">
      <c r="A1854" s="3" t="s">
        <v>11</v>
      </c>
      <c r="B1854" s="4">
        <v>205870</v>
      </c>
      <c r="C1854" s="3" t="s">
        <v>9</v>
      </c>
      <c r="D1854" s="18">
        <v>0.12</v>
      </c>
      <c r="E1854" s="21">
        <v>9.4887929345830457E-3</v>
      </c>
      <c r="F1854" s="5">
        <v>43102</v>
      </c>
      <c r="G1854" s="5">
        <v>43831</v>
      </c>
      <c r="H1854" s="16">
        <v>729</v>
      </c>
      <c r="I1854" s="5">
        <v>43859</v>
      </c>
      <c r="J1854" s="5">
        <v>43893</v>
      </c>
      <c r="K1854" s="16">
        <v>791</v>
      </c>
      <c r="L1854" s="13">
        <v>3805.14</v>
      </c>
      <c r="M1854" s="15">
        <v>176.07486962691726</v>
      </c>
      <c r="N1854" s="13">
        <v>746.69</v>
      </c>
      <c r="O1854" s="13">
        <v>0</v>
      </c>
      <c r="P1854" s="11">
        <v>1</v>
      </c>
    </row>
    <row r="1855" spans="1:16" ht="15" thickBot="1" x14ac:dyDescent="0.3">
      <c r="A1855" s="3" t="s">
        <v>11</v>
      </c>
      <c r="B1855" s="4">
        <v>153961</v>
      </c>
      <c r="C1855" s="3" t="s">
        <v>9</v>
      </c>
      <c r="D1855" s="18">
        <v>0.11</v>
      </c>
      <c r="E1855" s="21">
        <v>8.7345938235519061E-3</v>
      </c>
      <c r="F1855" s="5">
        <v>43105</v>
      </c>
      <c r="G1855" s="5">
        <v>44109</v>
      </c>
      <c r="H1855" s="16">
        <v>1004</v>
      </c>
      <c r="I1855" s="5">
        <v>44260</v>
      </c>
      <c r="J1855" s="5">
        <v>43829</v>
      </c>
      <c r="K1855" s="16">
        <v>724</v>
      </c>
      <c r="L1855" s="13">
        <v>6725</v>
      </c>
      <c r="M1855" s="15">
        <v>232.61528510888243</v>
      </c>
      <c r="N1855" s="13">
        <v>3024.11</v>
      </c>
      <c r="O1855" s="13">
        <v>3024.11</v>
      </c>
      <c r="P1855" s="11">
        <v>1</v>
      </c>
    </row>
    <row r="1856" spans="1:16" ht="15" thickBot="1" x14ac:dyDescent="0.3">
      <c r="A1856" s="3" t="s">
        <v>11</v>
      </c>
      <c r="B1856" s="4">
        <v>3106</v>
      </c>
      <c r="C1856" s="3" t="s">
        <v>9</v>
      </c>
      <c r="D1856" s="18">
        <v>0.1</v>
      </c>
      <c r="E1856" s="21">
        <v>7.9741404289037643E-3</v>
      </c>
      <c r="F1856" s="5">
        <v>43109</v>
      </c>
      <c r="G1856" s="5">
        <v>45300</v>
      </c>
      <c r="H1856" s="16">
        <v>2191</v>
      </c>
      <c r="I1856" s="5">
        <v>45331</v>
      </c>
      <c r="J1856" s="5">
        <v>43983</v>
      </c>
      <c r="K1856" s="16">
        <v>874</v>
      </c>
      <c r="L1856" s="13">
        <v>13746.2</v>
      </c>
      <c r="M1856" s="15">
        <v>249.04383734210714</v>
      </c>
      <c r="N1856" s="13">
        <v>8014.37</v>
      </c>
      <c r="O1856" s="13">
        <v>0</v>
      </c>
      <c r="P1856" s="11">
        <v>1</v>
      </c>
    </row>
    <row r="1857" spans="1:16" ht="15" thickBot="1" x14ac:dyDescent="0.3">
      <c r="A1857" s="3" t="s">
        <v>11</v>
      </c>
      <c r="B1857" s="4">
        <v>991461</v>
      </c>
      <c r="C1857" s="3" t="s">
        <v>19</v>
      </c>
      <c r="D1857" s="18">
        <v>0.1</v>
      </c>
      <c r="E1857" s="21">
        <v>7.9741404289037643E-3</v>
      </c>
      <c r="F1857" s="5">
        <v>43111</v>
      </c>
      <c r="G1857" s="5">
        <v>43231</v>
      </c>
      <c r="H1857" s="16">
        <v>120</v>
      </c>
      <c r="I1857" s="5">
        <v>43231</v>
      </c>
      <c r="J1857" s="5">
        <v>43371</v>
      </c>
      <c r="K1857" s="16">
        <v>260</v>
      </c>
      <c r="L1857" s="13">
        <v>400</v>
      </c>
      <c r="M1857" s="15">
        <v>102.00145180695617</v>
      </c>
      <c r="N1857" s="13">
        <v>400</v>
      </c>
      <c r="O1857" s="13">
        <v>0</v>
      </c>
      <c r="P1857" s="11">
        <v>1</v>
      </c>
    </row>
    <row r="1858" spans="1:16" ht="15" thickBot="1" x14ac:dyDescent="0.3">
      <c r="A1858" s="3" t="s">
        <v>11</v>
      </c>
      <c r="B1858" s="4">
        <v>816677</v>
      </c>
      <c r="C1858" s="3" t="s">
        <v>9</v>
      </c>
      <c r="D1858" s="18">
        <v>0.09</v>
      </c>
      <c r="E1858" s="21">
        <v>7.2073233161367156E-3</v>
      </c>
      <c r="F1858" s="5">
        <v>43117</v>
      </c>
      <c r="G1858" s="5">
        <v>45674</v>
      </c>
      <c r="H1858" s="16">
        <v>2557</v>
      </c>
      <c r="I1858" s="5">
        <v>45764</v>
      </c>
      <c r="J1858" s="5">
        <v>44643</v>
      </c>
      <c r="K1858" s="16">
        <v>1526</v>
      </c>
      <c r="L1858" s="13">
        <v>27891.49</v>
      </c>
      <c r="M1858" s="15">
        <v>439.11661249150137</v>
      </c>
      <c r="N1858" s="13">
        <v>16793.7</v>
      </c>
      <c r="O1858" s="13">
        <v>500</v>
      </c>
      <c r="P1858" s="11">
        <v>1</v>
      </c>
    </row>
    <row r="1859" spans="1:16" ht="15" thickBot="1" x14ac:dyDescent="0.3">
      <c r="A1859" s="3" t="s">
        <v>11</v>
      </c>
      <c r="B1859" s="4">
        <v>175363</v>
      </c>
      <c r="C1859" s="3" t="s">
        <v>9</v>
      </c>
      <c r="D1859" s="18">
        <v>0.1</v>
      </c>
      <c r="E1859" s="21">
        <v>7.9741404289037643E-3</v>
      </c>
      <c r="F1859" s="5">
        <v>43119</v>
      </c>
      <c r="G1859" s="5">
        <v>45935</v>
      </c>
      <c r="H1859" s="16">
        <v>2816</v>
      </c>
      <c r="I1859" s="5">
        <v>45935</v>
      </c>
      <c r="J1859" s="5">
        <v>43644</v>
      </c>
      <c r="K1859" s="16">
        <v>525</v>
      </c>
      <c r="L1859" s="13">
        <v>12212.54</v>
      </c>
      <c r="M1859" s="15">
        <v>185.3104900098846</v>
      </c>
      <c r="N1859" s="13">
        <v>11612.54</v>
      </c>
      <c r="O1859" s="13">
        <v>1577.66</v>
      </c>
      <c r="P1859" s="11">
        <v>1</v>
      </c>
    </row>
    <row r="1860" spans="1:16" ht="15" thickBot="1" x14ac:dyDescent="0.3">
      <c r="A1860" s="3" t="s">
        <v>11</v>
      </c>
      <c r="B1860" s="4">
        <v>105119</v>
      </c>
      <c r="C1860" s="3" t="s">
        <v>2</v>
      </c>
      <c r="D1860" s="18">
        <v>0.1</v>
      </c>
      <c r="E1860" s="21">
        <v>7.9741404289037643E-3</v>
      </c>
      <c r="F1860" s="5">
        <v>43123</v>
      </c>
      <c r="G1860" s="5">
        <v>44597</v>
      </c>
      <c r="H1860" s="16">
        <v>1474</v>
      </c>
      <c r="I1860" s="5">
        <v>44597</v>
      </c>
      <c r="J1860" s="5">
        <v>43741</v>
      </c>
      <c r="K1860" s="16">
        <v>618</v>
      </c>
      <c r="L1860" s="13">
        <v>49524.22</v>
      </c>
      <c r="M1860" s="15">
        <v>1222.2358116807604</v>
      </c>
      <c r="N1860" s="13">
        <v>45000</v>
      </c>
      <c r="O1860" s="13">
        <v>1700</v>
      </c>
      <c r="P1860" s="11">
        <v>1</v>
      </c>
    </row>
    <row r="1861" spans="1:16" ht="15" thickBot="1" x14ac:dyDescent="0.3">
      <c r="A1861" s="3" t="s">
        <v>11</v>
      </c>
      <c r="B1861" s="4">
        <v>278702</v>
      </c>
      <c r="C1861" s="3" t="s">
        <v>9</v>
      </c>
      <c r="D1861" s="18">
        <v>0.1</v>
      </c>
      <c r="E1861" s="21">
        <v>7.9741404289037643E-3</v>
      </c>
      <c r="F1861" s="5">
        <v>43124</v>
      </c>
      <c r="G1861" s="5">
        <v>44950</v>
      </c>
      <c r="H1861" s="16">
        <v>1826</v>
      </c>
      <c r="I1861" s="5">
        <v>45040</v>
      </c>
      <c r="J1861" s="5">
        <v>44281</v>
      </c>
      <c r="K1861" s="16">
        <v>1157</v>
      </c>
      <c r="L1861" s="13">
        <v>13327.64</v>
      </c>
      <c r="M1861" s="15">
        <v>277.23951091871686</v>
      </c>
      <c r="N1861" s="13">
        <v>7653.61</v>
      </c>
      <c r="O1861" s="13">
        <v>4800</v>
      </c>
      <c r="P1861" s="11">
        <v>1</v>
      </c>
    </row>
    <row r="1862" spans="1:16" ht="15" thickBot="1" x14ac:dyDescent="0.3">
      <c r="A1862" s="3" t="s">
        <v>11</v>
      </c>
      <c r="B1862" s="4">
        <v>616036</v>
      </c>
      <c r="C1862" s="3" t="s">
        <v>9</v>
      </c>
      <c r="D1862" s="18">
        <v>0.1</v>
      </c>
      <c r="E1862" s="21">
        <v>7.9741404289037643E-3</v>
      </c>
      <c r="F1862" s="5">
        <v>43131</v>
      </c>
      <c r="G1862" s="5">
        <v>44592</v>
      </c>
      <c r="H1862" s="16">
        <v>1461</v>
      </c>
      <c r="I1862" s="5">
        <v>44592</v>
      </c>
      <c r="J1862" s="5">
        <v>43725</v>
      </c>
      <c r="K1862" s="16">
        <v>594</v>
      </c>
      <c r="L1862" s="13">
        <v>3055.07</v>
      </c>
      <c r="M1862" s="15">
        <v>75.946313716871416</v>
      </c>
      <c r="N1862" s="13">
        <v>3055.07</v>
      </c>
      <c r="O1862" s="13">
        <v>3055.07</v>
      </c>
      <c r="P1862" s="11">
        <v>1</v>
      </c>
    </row>
    <row r="1863" spans="1:16" ht="15" thickBot="1" x14ac:dyDescent="0.3">
      <c r="A1863" s="3" t="s">
        <v>11</v>
      </c>
      <c r="B1863" s="4">
        <v>841696</v>
      </c>
      <c r="C1863" s="3" t="s">
        <v>9</v>
      </c>
      <c r="D1863" s="18">
        <v>0.1</v>
      </c>
      <c r="E1863" s="21">
        <v>7.9741404289037643E-3</v>
      </c>
      <c r="F1863" s="5">
        <v>43130</v>
      </c>
      <c r="G1863" s="5">
        <v>44895</v>
      </c>
      <c r="H1863" s="16">
        <v>1765</v>
      </c>
      <c r="I1863" s="5">
        <v>44895</v>
      </c>
      <c r="J1863" s="5">
        <v>43644</v>
      </c>
      <c r="K1863" s="16">
        <v>514</v>
      </c>
      <c r="L1863" s="13">
        <v>11048.07</v>
      </c>
      <c r="M1863" s="15">
        <v>236.00123101093902</v>
      </c>
      <c r="N1863" s="13">
        <v>11048.07</v>
      </c>
      <c r="O1863" s="13">
        <v>0</v>
      </c>
      <c r="P1863" s="11">
        <v>1</v>
      </c>
    </row>
    <row r="1864" spans="1:16" ht="15" thickBot="1" x14ac:dyDescent="0.3">
      <c r="A1864" s="3" t="s">
        <v>11</v>
      </c>
      <c r="B1864" s="4">
        <v>39851</v>
      </c>
      <c r="C1864" s="3" t="s">
        <v>9</v>
      </c>
      <c r="D1864" s="18">
        <v>0.1</v>
      </c>
      <c r="E1864" s="21">
        <v>7.9741404289037643E-3</v>
      </c>
      <c r="F1864" s="5">
        <v>43133</v>
      </c>
      <c r="G1864" s="5">
        <v>44229</v>
      </c>
      <c r="H1864" s="16">
        <v>1096</v>
      </c>
      <c r="I1864" s="5">
        <v>44229</v>
      </c>
      <c r="J1864" s="5">
        <v>43815</v>
      </c>
      <c r="K1864" s="16">
        <v>682</v>
      </c>
      <c r="L1864" s="13">
        <v>3000</v>
      </c>
      <c r="M1864" s="15">
        <v>94.982618049397104</v>
      </c>
      <c r="N1864" s="13">
        <v>1530.05</v>
      </c>
      <c r="O1864" s="13">
        <v>0</v>
      </c>
      <c r="P1864" s="11">
        <v>1</v>
      </c>
    </row>
    <row r="1865" spans="1:16" ht="15" thickBot="1" x14ac:dyDescent="0.3">
      <c r="A1865" s="3" t="s">
        <v>11</v>
      </c>
      <c r="B1865" s="4">
        <v>286782</v>
      </c>
      <c r="C1865" s="3" t="s">
        <v>12</v>
      </c>
      <c r="D1865" s="18">
        <v>0.1</v>
      </c>
      <c r="E1865" s="21">
        <v>7.9741404289037643E-3</v>
      </c>
      <c r="F1865" s="5">
        <v>43136</v>
      </c>
      <c r="G1865" s="5">
        <v>44962</v>
      </c>
      <c r="H1865" s="16">
        <v>1826</v>
      </c>
      <c r="I1865" s="5">
        <v>44962</v>
      </c>
      <c r="J1865" s="5">
        <v>44831</v>
      </c>
      <c r="K1865" s="16">
        <v>1695</v>
      </c>
      <c r="L1865" s="13">
        <v>9454.5300000000007</v>
      </c>
      <c r="M1865" s="15">
        <v>196.67167429239808</v>
      </c>
      <c r="N1865" s="13">
        <v>718.59</v>
      </c>
      <c r="O1865" s="13">
        <v>0</v>
      </c>
      <c r="P1865" s="11">
        <v>1</v>
      </c>
    </row>
    <row r="1866" spans="1:16" ht="15" thickBot="1" x14ac:dyDescent="0.3">
      <c r="A1866" s="3" t="s">
        <v>11</v>
      </c>
      <c r="B1866" s="4">
        <v>243619</v>
      </c>
      <c r="C1866" s="3" t="s">
        <v>9</v>
      </c>
      <c r="D1866" s="18">
        <v>0.1</v>
      </c>
      <c r="E1866" s="21">
        <v>7.9741404289037643E-3</v>
      </c>
      <c r="F1866" s="5">
        <v>43137</v>
      </c>
      <c r="G1866" s="5">
        <v>44963</v>
      </c>
      <c r="H1866" s="16">
        <v>1826</v>
      </c>
      <c r="I1866" s="5">
        <v>44963</v>
      </c>
      <c r="J1866" s="5">
        <v>43622</v>
      </c>
      <c r="K1866" s="16">
        <v>485</v>
      </c>
      <c r="L1866" s="13">
        <v>16955.009999999998</v>
      </c>
      <c r="M1866" s="15">
        <v>352.69550198099239</v>
      </c>
      <c r="N1866" s="13">
        <v>15683.12</v>
      </c>
      <c r="O1866" s="13">
        <v>15683.12</v>
      </c>
      <c r="P1866" s="11">
        <v>1</v>
      </c>
    </row>
    <row r="1867" spans="1:16" ht="15" thickBot="1" x14ac:dyDescent="0.3">
      <c r="A1867" s="3" t="s">
        <v>11</v>
      </c>
      <c r="B1867" s="4">
        <v>751546</v>
      </c>
      <c r="C1867" s="3" t="s">
        <v>9</v>
      </c>
      <c r="D1867" s="18">
        <v>0.1</v>
      </c>
      <c r="E1867" s="21">
        <v>7.9741404289037643E-3</v>
      </c>
      <c r="F1867" s="5">
        <v>43140</v>
      </c>
      <c r="G1867" s="5">
        <v>44966</v>
      </c>
      <c r="H1867" s="16">
        <v>1826</v>
      </c>
      <c r="I1867" s="5">
        <v>44966</v>
      </c>
      <c r="J1867" s="5">
        <v>43644</v>
      </c>
      <c r="K1867" s="16">
        <v>504</v>
      </c>
      <c r="L1867" s="13">
        <v>9263.07</v>
      </c>
      <c r="M1867" s="15">
        <v>192.68895291333189</v>
      </c>
      <c r="N1867" s="13">
        <v>8457.69</v>
      </c>
      <c r="O1867" s="13">
        <v>0</v>
      </c>
      <c r="P1867" s="11">
        <v>1</v>
      </c>
    </row>
    <row r="1868" spans="1:16" ht="15" thickBot="1" x14ac:dyDescent="0.3">
      <c r="A1868" s="3" t="s">
        <v>11</v>
      </c>
      <c r="B1868" s="4">
        <v>896790</v>
      </c>
      <c r="C1868" s="3" t="s">
        <v>9</v>
      </c>
      <c r="D1868" s="18">
        <v>0.09</v>
      </c>
      <c r="E1868" s="21">
        <v>7.2073233161367156E-3</v>
      </c>
      <c r="F1868" s="5">
        <v>43144</v>
      </c>
      <c r="G1868" s="5">
        <v>44605</v>
      </c>
      <c r="H1868" s="16">
        <v>1461</v>
      </c>
      <c r="I1868" s="5">
        <v>44605</v>
      </c>
      <c r="J1868" s="5">
        <v>43809</v>
      </c>
      <c r="K1868" s="16">
        <v>665</v>
      </c>
      <c r="L1868" s="13">
        <v>7035.29</v>
      </c>
      <c r="M1868" s="15">
        <v>171.80938202995387</v>
      </c>
      <c r="N1868" s="13">
        <v>5371.08</v>
      </c>
      <c r="O1868" s="13">
        <v>0</v>
      </c>
      <c r="P1868" s="11">
        <v>1</v>
      </c>
    </row>
    <row r="1869" spans="1:16" ht="15" thickBot="1" x14ac:dyDescent="0.3">
      <c r="A1869" s="3" t="s">
        <v>11</v>
      </c>
      <c r="B1869" s="4">
        <v>782260</v>
      </c>
      <c r="C1869" s="3" t="s">
        <v>9</v>
      </c>
      <c r="D1869" s="18">
        <v>0.1</v>
      </c>
      <c r="E1869" s="21">
        <v>7.9741404289037643E-3</v>
      </c>
      <c r="F1869" s="5">
        <v>43152</v>
      </c>
      <c r="G1869" s="5">
        <v>44978</v>
      </c>
      <c r="H1869" s="16">
        <v>1826</v>
      </c>
      <c r="I1869" s="5">
        <v>45037</v>
      </c>
      <c r="J1869" s="5">
        <v>44063</v>
      </c>
      <c r="K1869" s="16">
        <v>911</v>
      </c>
      <c r="L1869" s="13">
        <v>6559.58</v>
      </c>
      <c r="M1869" s="15">
        <v>136.45137106285861</v>
      </c>
      <c r="N1869" s="13">
        <v>2048.75</v>
      </c>
      <c r="O1869" s="13">
        <v>0</v>
      </c>
      <c r="P1869" s="11">
        <v>1</v>
      </c>
    </row>
    <row r="1870" spans="1:16" ht="15" thickBot="1" x14ac:dyDescent="0.3">
      <c r="A1870" s="3" t="s">
        <v>11</v>
      </c>
      <c r="B1870" s="4">
        <v>100739</v>
      </c>
      <c r="C1870" s="3" t="s">
        <v>19</v>
      </c>
      <c r="D1870" s="18">
        <v>0.1</v>
      </c>
      <c r="E1870" s="21">
        <v>7.9741404289037643E-3</v>
      </c>
      <c r="F1870" s="5">
        <v>43154</v>
      </c>
      <c r="G1870" s="5">
        <v>43274</v>
      </c>
      <c r="H1870" s="16">
        <v>120</v>
      </c>
      <c r="I1870" s="5">
        <v>43274</v>
      </c>
      <c r="J1870" s="5">
        <v>43371</v>
      </c>
      <c r="K1870" s="16">
        <v>217</v>
      </c>
      <c r="L1870" s="13">
        <v>745.75</v>
      </c>
      <c r="M1870" s="15">
        <v>190.16895671259391</v>
      </c>
      <c r="N1870" s="13">
        <v>745.75</v>
      </c>
      <c r="O1870" s="13">
        <v>745.75</v>
      </c>
      <c r="P1870" s="11">
        <v>1</v>
      </c>
    </row>
    <row r="1871" spans="1:16" ht="15" thickBot="1" x14ac:dyDescent="0.3">
      <c r="A1871" s="3" t="s">
        <v>11</v>
      </c>
      <c r="B1871" s="4">
        <v>66868</v>
      </c>
      <c r="C1871" s="3" t="s">
        <v>9</v>
      </c>
      <c r="D1871" s="18">
        <v>0.1</v>
      </c>
      <c r="E1871" s="21">
        <v>7.9741404289037643E-3</v>
      </c>
      <c r="F1871" s="5">
        <v>43154</v>
      </c>
      <c r="G1871" s="5">
        <v>45345</v>
      </c>
      <c r="H1871" s="16">
        <v>2191</v>
      </c>
      <c r="I1871" s="5">
        <v>45527</v>
      </c>
      <c r="J1871" s="5">
        <v>44182</v>
      </c>
      <c r="K1871" s="16">
        <v>1028</v>
      </c>
      <c r="L1871" s="13">
        <v>14970.81</v>
      </c>
      <c r="M1871" s="15">
        <v>271.23044699768593</v>
      </c>
      <c r="N1871" s="13">
        <v>10378.6</v>
      </c>
      <c r="O1871" s="13">
        <v>10378.6</v>
      </c>
      <c r="P1871" s="11">
        <v>1</v>
      </c>
    </row>
    <row r="1872" spans="1:16" ht="15" thickBot="1" x14ac:dyDescent="0.3">
      <c r="A1872" s="3" t="s">
        <v>11</v>
      </c>
      <c r="B1872" s="4">
        <v>987793</v>
      </c>
      <c r="C1872" s="3" t="s">
        <v>9</v>
      </c>
      <c r="D1872" s="18">
        <v>0.11</v>
      </c>
      <c r="E1872" s="21">
        <v>8.7345938235519061E-3</v>
      </c>
      <c r="F1872" s="5">
        <v>43164</v>
      </c>
      <c r="G1872" s="5">
        <v>44990</v>
      </c>
      <c r="H1872" s="16">
        <v>1826</v>
      </c>
      <c r="I1872" s="5">
        <v>44990</v>
      </c>
      <c r="J1872" s="5">
        <v>44543</v>
      </c>
      <c r="K1872" s="16">
        <v>1379</v>
      </c>
      <c r="L1872" s="13">
        <v>7516.41</v>
      </c>
      <c r="M1872" s="15">
        <v>159.73729168971391</v>
      </c>
      <c r="N1872" s="13">
        <v>1870.05</v>
      </c>
      <c r="O1872" s="13">
        <v>0</v>
      </c>
      <c r="P1872" s="11">
        <v>1</v>
      </c>
    </row>
    <row r="1873" spans="1:16" ht="15" thickBot="1" x14ac:dyDescent="0.3">
      <c r="A1873" s="3" t="s">
        <v>11</v>
      </c>
      <c r="B1873" s="4">
        <v>213562</v>
      </c>
      <c r="C1873" s="3" t="s">
        <v>9</v>
      </c>
      <c r="D1873" s="18">
        <v>0.14000000000000001</v>
      </c>
      <c r="E1873" s="21">
        <v>1.0978851950173452E-2</v>
      </c>
      <c r="F1873" s="5">
        <v>43168</v>
      </c>
      <c r="G1873" s="5">
        <v>43930</v>
      </c>
      <c r="H1873" s="16">
        <v>762</v>
      </c>
      <c r="I1873" s="5">
        <v>43930</v>
      </c>
      <c r="J1873" s="5">
        <v>43644</v>
      </c>
      <c r="K1873" s="16">
        <v>476</v>
      </c>
      <c r="L1873" s="13">
        <v>3269.91</v>
      </c>
      <c r="M1873" s="15">
        <v>148.22060036571062</v>
      </c>
      <c r="N1873" s="13">
        <v>3269.91</v>
      </c>
      <c r="O1873" s="13">
        <v>0</v>
      </c>
      <c r="P1873" s="11">
        <v>1</v>
      </c>
    </row>
    <row r="1874" spans="1:16" ht="15" thickBot="1" x14ac:dyDescent="0.3">
      <c r="A1874" s="3" t="s">
        <v>11</v>
      </c>
      <c r="B1874" s="4">
        <v>860732</v>
      </c>
      <c r="C1874" s="3" t="s">
        <v>9</v>
      </c>
      <c r="D1874" s="18">
        <v>0.1</v>
      </c>
      <c r="E1874" s="21">
        <v>7.9741404289037643E-3</v>
      </c>
      <c r="F1874" s="5">
        <v>43171</v>
      </c>
      <c r="G1874" s="5">
        <v>45363</v>
      </c>
      <c r="H1874" s="16">
        <v>2192</v>
      </c>
      <c r="I1874" s="5">
        <v>45363</v>
      </c>
      <c r="J1874" s="5">
        <v>43971</v>
      </c>
      <c r="K1874" s="16">
        <v>800</v>
      </c>
      <c r="L1874" s="13">
        <v>14221.05</v>
      </c>
      <c r="M1874" s="15">
        <v>257.56010514516788</v>
      </c>
      <c r="N1874" s="13">
        <v>9115.9</v>
      </c>
      <c r="O1874" s="13">
        <v>0</v>
      </c>
      <c r="P1874" s="11">
        <v>1</v>
      </c>
    </row>
    <row r="1875" spans="1:16" ht="15" thickBot="1" x14ac:dyDescent="0.3">
      <c r="A1875" s="3" t="s">
        <v>11</v>
      </c>
      <c r="B1875" s="4">
        <v>202631</v>
      </c>
      <c r="C1875" s="3" t="s">
        <v>9</v>
      </c>
      <c r="D1875" s="18">
        <v>0.14000000000000001</v>
      </c>
      <c r="E1875" s="21">
        <v>1.0978851950173452E-2</v>
      </c>
      <c r="F1875" s="5">
        <v>43175</v>
      </c>
      <c r="G1875" s="5">
        <v>44090</v>
      </c>
      <c r="H1875" s="16">
        <v>915</v>
      </c>
      <c r="I1875" s="5">
        <v>44090</v>
      </c>
      <c r="J1875" s="5">
        <v>43371</v>
      </c>
      <c r="K1875" s="16">
        <v>196</v>
      </c>
      <c r="L1875" s="13">
        <v>3559.05</v>
      </c>
      <c r="M1875" s="15">
        <v>137.94911209933434</v>
      </c>
      <c r="N1875" s="13">
        <v>2775.48</v>
      </c>
      <c r="O1875" s="13">
        <v>2775.48</v>
      </c>
      <c r="P1875" s="11">
        <v>1</v>
      </c>
    </row>
    <row r="1876" spans="1:16" ht="15" thickBot="1" x14ac:dyDescent="0.3">
      <c r="A1876" s="3" t="s">
        <v>11</v>
      </c>
      <c r="B1876" s="4">
        <v>68735</v>
      </c>
      <c r="C1876" s="3" t="s">
        <v>9</v>
      </c>
      <c r="D1876" s="18">
        <v>0.1</v>
      </c>
      <c r="E1876" s="21">
        <v>7.9741404289037643E-3</v>
      </c>
      <c r="F1876" s="5">
        <v>43178</v>
      </c>
      <c r="G1876" s="5">
        <v>43661</v>
      </c>
      <c r="H1876" s="16">
        <v>483</v>
      </c>
      <c r="I1876" s="5">
        <v>43661</v>
      </c>
      <c r="J1876" s="5">
        <v>43725</v>
      </c>
      <c r="K1876" s="16">
        <v>547</v>
      </c>
      <c r="L1876" s="13">
        <v>2000</v>
      </c>
      <c r="M1876" s="15">
        <v>132.86227739397336</v>
      </c>
      <c r="N1876" s="13">
        <v>2000</v>
      </c>
      <c r="O1876" s="13">
        <v>0</v>
      </c>
      <c r="P1876" s="11">
        <v>1</v>
      </c>
    </row>
    <row r="1877" spans="1:16" ht="15" thickBot="1" x14ac:dyDescent="0.3">
      <c r="A1877" s="3" t="s">
        <v>11</v>
      </c>
      <c r="B1877" s="4">
        <v>366300</v>
      </c>
      <c r="C1877" s="3" t="s">
        <v>3</v>
      </c>
      <c r="D1877" s="18">
        <v>0.08</v>
      </c>
      <c r="E1877" s="21">
        <v>6.4340301100034303E-3</v>
      </c>
      <c r="F1877" s="5">
        <v>43179</v>
      </c>
      <c r="G1877" s="5">
        <v>45005</v>
      </c>
      <c r="H1877" s="16">
        <v>1826</v>
      </c>
      <c r="I1877" s="5">
        <v>43921</v>
      </c>
      <c r="J1877" s="5">
        <v>44011</v>
      </c>
      <c r="K1877" s="16">
        <v>832</v>
      </c>
      <c r="L1877" s="13">
        <v>125000</v>
      </c>
      <c r="M1877" s="15">
        <v>2488.4921310963209</v>
      </c>
      <c r="N1877" s="13">
        <v>11660</v>
      </c>
      <c r="O1877" s="13">
        <v>0</v>
      </c>
      <c r="P1877" s="11">
        <v>1</v>
      </c>
    </row>
    <row r="1878" spans="1:16" ht="15" thickBot="1" x14ac:dyDescent="0.3">
      <c r="A1878" s="3" t="s">
        <v>11</v>
      </c>
      <c r="B1878" s="4">
        <v>593345</v>
      </c>
      <c r="C1878" s="3" t="s">
        <v>19</v>
      </c>
      <c r="D1878" s="18">
        <v>0.1</v>
      </c>
      <c r="E1878" s="21">
        <v>7.9741404289037643E-3</v>
      </c>
      <c r="F1878" s="5">
        <v>43181</v>
      </c>
      <c r="G1878" s="5">
        <v>43546</v>
      </c>
      <c r="H1878" s="16">
        <v>365</v>
      </c>
      <c r="I1878" s="5">
        <v>43546</v>
      </c>
      <c r="J1878" s="5">
        <v>43644</v>
      </c>
      <c r="K1878" s="16">
        <v>463</v>
      </c>
      <c r="L1878" s="13">
        <v>719.12</v>
      </c>
      <c r="M1878" s="15">
        <v>62.254452851498513</v>
      </c>
      <c r="N1878" s="13">
        <v>719.12</v>
      </c>
      <c r="O1878" s="13">
        <v>0</v>
      </c>
      <c r="P1878" s="11">
        <v>1</v>
      </c>
    </row>
    <row r="1879" spans="1:16" ht="15" thickBot="1" x14ac:dyDescent="0.3">
      <c r="A1879" s="3" t="s">
        <v>11</v>
      </c>
      <c r="B1879" s="4">
        <v>937722</v>
      </c>
      <c r="C1879" s="3" t="s">
        <v>9</v>
      </c>
      <c r="D1879" s="18">
        <v>0.1</v>
      </c>
      <c r="E1879" s="21">
        <v>7.9741404289037643E-3</v>
      </c>
      <c r="F1879" s="5">
        <v>43182</v>
      </c>
      <c r="G1879" s="5">
        <v>45374</v>
      </c>
      <c r="H1879" s="16">
        <v>2192</v>
      </c>
      <c r="I1879" s="5">
        <v>45374</v>
      </c>
      <c r="J1879" s="5">
        <v>43644</v>
      </c>
      <c r="K1879" s="16">
        <v>462</v>
      </c>
      <c r="L1879" s="13">
        <v>13577.59</v>
      </c>
      <c r="M1879" s="15">
        <v>245.90628033921405</v>
      </c>
      <c r="N1879" s="13">
        <v>11413.53</v>
      </c>
      <c r="O1879" s="13">
        <v>0</v>
      </c>
      <c r="P1879" s="11">
        <v>1</v>
      </c>
    </row>
    <row r="1880" spans="1:16" ht="15" thickBot="1" x14ac:dyDescent="0.3">
      <c r="A1880" s="3" t="s">
        <v>11</v>
      </c>
      <c r="B1880" s="4">
        <v>498457</v>
      </c>
      <c r="C1880" s="3" t="s">
        <v>2</v>
      </c>
      <c r="D1880" s="18">
        <v>0.08</v>
      </c>
      <c r="E1880" s="21">
        <v>6.4340301100034303E-3</v>
      </c>
      <c r="F1880" s="5">
        <v>43182</v>
      </c>
      <c r="G1880" s="5">
        <v>45008</v>
      </c>
      <c r="H1880" s="16">
        <v>1826</v>
      </c>
      <c r="I1880" s="5">
        <v>45008</v>
      </c>
      <c r="J1880" s="5">
        <v>43734</v>
      </c>
      <c r="K1880" s="16">
        <v>552</v>
      </c>
      <c r="L1880" s="13">
        <v>70000</v>
      </c>
      <c r="M1880" s="15">
        <v>1393.55559341394</v>
      </c>
      <c r="N1880" s="13">
        <v>70000</v>
      </c>
      <c r="O1880" s="13">
        <v>0</v>
      </c>
      <c r="P1880" s="11">
        <v>1</v>
      </c>
    </row>
    <row r="1881" spans="1:16" ht="15" thickBot="1" x14ac:dyDescent="0.3">
      <c r="A1881" s="3" t="s">
        <v>11</v>
      </c>
      <c r="B1881" s="4">
        <v>4467</v>
      </c>
      <c r="C1881" s="3" t="s">
        <v>9</v>
      </c>
      <c r="D1881" s="18">
        <v>0.1</v>
      </c>
      <c r="E1881" s="21">
        <v>7.9741404289037643E-3</v>
      </c>
      <c r="F1881" s="5">
        <v>43182</v>
      </c>
      <c r="G1881" s="5">
        <v>44827</v>
      </c>
      <c r="H1881" s="16">
        <v>1645</v>
      </c>
      <c r="I1881" s="5">
        <v>44827</v>
      </c>
      <c r="J1881" s="5">
        <v>43644</v>
      </c>
      <c r="K1881" s="16">
        <v>462</v>
      </c>
      <c r="L1881" s="13">
        <v>16524.560000000001</v>
      </c>
      <c r="M1881" s="15">
        <v>373.21152242298876</v>
      </c>
      <c r="N1881" s="13">
        <v>16042.67</v>
      </c>
      <c r="O1881" s="13">
        <v>0</v>
      </c>
      <c r="P1881" s="11">
        <v>1</v>
      </c>
    </row>
    <row r="1882" spans="1:16" ht="15" thickBot="1" x14ac:dyDescent="0.3">
      <c r="A1882" s="3" t="s">
        <v>11</v>
      </c>
      <c r="B1882" s="4">
        <v>92454</v>
      </c>
      <c r="C1882" s="3" t="s">
        <v>9</v>
      </c>
      <c r="D1882" s="18">
        <v>9.5000000000000001E-2</v>
      </c>
      <c r="E1882" s="21">
        <v>7.5915342905825689E-3</v>
      </c>
      <c r="F1882" s="5">
        <v>43186</v>
      </c>
      <c r="G1882" s="5">
        <v>43910</v>
      </c>
      <c r="H1882" s="16">
        <v>724</v>
      </c>
      <c r="I1882" s="5">
        <v>43910</v>
      </c>
      <c r="J1882" s="5">
        <v>43644</v>
      </c>
      <c r="K1882" s="16">
        <v>458</v>
      </c>
      <c r="L1882" s="13">
        <v>5928.18</v>
      </c>
      <c r="M1882" s="15">
        <v>269.76015619924664</v>
      </c>
      <c r="N1882" s="13">
        <v>5928.18</v>
      </c>
      <c r="O1882" s="13">
        <v>0</v>
      </c>
      <c r="P1882" s="11">
        <v>1</v>
      </c>
    </row>
    <row r="1883" spans="1:16" ht="15" thickBot="1" x14ac:dyDescent="0.3">
      <c r="A1883" s="3" t="s">
        <v>11</v>
      </c>
      <c r="B1883" s="4">
        <v>860081</v>
      </c>
      <c r="C1883" s="3" t="s">
        <v>9</v>
      </c>
      <c r="D1883" s="18">
        <v>0.1</v>
      </c>
      <c r="E1883" s="21">
        <v>7.9741404289037643E-3</v>
      </c>
      <c r="F1883" s="5">
        <v>43193</v>
      </c>
      <c r="G1883" s="5">
        <v>45750</v>
      </c>
      <c r="H1883" s="16">
        <v>2557</v>
      </c>
      <c r="I1883" s="5">
        <v>45694</v>
      </c>
      <c r="J1883" s="5">
        <v>44361</v>
      </c>
      <c r="K1883" s="16">
        <v>1168</v>
      </c>
      <c r="L1883" s="13">
        <v>48388.75</v>
      </c>
      <c r="M1883" s="15">
        <v>784.51418320363712</v>
      </c>
      <c r="N1883" s="13">
        <v>46703.66</v>
      </c>
      <c r="O1883" s="13">
        <v>0</v>
      </c>
      <c r="P1883" s="11">
        <v>1</v>
      </c>
    </row>
    <row r="1884" spans="1:16" ht="15" thickBot="1" x14ac:dyDescent="0.3">
      <c r="A1884" s="3" t="s">
        <v>11</v>
      </c>
      <c r="B1884" s="4">
        <v>89211</v>
      </c>
      <c r="C1884" s="3" t="s">
        <v>9</v>
      </c>
      <c r="D1884" s="18">
        <v>8.5000000000000006E-2</v>
      </c>
      <c r="E1884" s="21">
        <v>6.8214933659622723E-3</v>
      </c>
      <c r="F1884" s="5">
        <v>43199</v>
      </c>
      <c r="G1884" s="5">
        <v>45756</v>
      </c>
      <c r="H1884" s="16">
        <v>2557</v>
      </c>
      <c r="I1884" s="5">
        <v>45756</v>
      </c>
      <c r="J1884" s="5">
        <v>43815</v>
      </c>
      <c r="K1884" s="16">
        <v>616</v>
      </c>
      <c r="L1884" s="13">
        <v>36360.57</v>
      </c>
      <c r="M1884" s="15">
        <v>563.98073145111312</v>
      </c>
      <c r="N1884" s="13">
        <v>17505.61</v>
      </c>
      <c r="O1884" s="13">
        <v>3600.07</v>
      </c>
      <c r="P1884" s="11">
        <v>1</v>
      </c>
    </row>
    <row r="1885" spans="1:16" ht="15" thickBot="1" x14ac:dyDescent="0.3">
      <c r="A1885" s="3" t="s">
        <v>11</v>
      </c>
      <c r="B1885" s="4">
        <v>874174</v>
      </c>
      <c r="C1885" s="3" t="s">
        <v>9</v>
      </c>
      <c r="D1885" s="18">
        <v>0.1</v>
      </c>
      <c r="E1885" s="21">
        <v>7.9741404289037643E-3</v>
      </c>
      <c r="F1885" s="5">
        <v>43200</v>
      </c>
      <c r="G1885" s="5">
        <v>45392</v>
      </c>
      <c r="H1885" s="16">
        <v>2192</v>
      </c>
      <c r="I1885" s="5">
        <v>45483</v>
      </c>
      <c r="J1885" s="5">
        <v>44833</v>
      </c>
      <c r="K1885" s="16">
        <v>1633</v>
      </c>
      <c r="L1885" s="13">
        <v>32745.47</v>
      </c>
      <c r="M1885" s="15">
        <v>593.05935189229638</v>
      </c>
      <c r="N1885" s="13">
        <v>14606.52</v>
      </c>
      <c r="O1885" s="13">
        <v>783.37</v>
      </c>
      <c r="P1885" s="11">
        <v>1</v>
      </c>
    </row>
    <row r="1886" spans="1:16" ht="15" thickBot="1" x14ac:dyDescent="0.3">
      <c r="A1886" s="3" t="s">
        <v>11</v>
      </c>
      <c r="B1886" s="4">
        <v>810407</v>
      </c>
      <c r="C1886" s="3" t="s">
        <v>12</v>
      </c>
      <c r="D1886" s="18">
        <v>0.09</v>
      </c>
      <c r="E1886" s="21">
        <v>7.2073233161367156E-3</v>
      </c>
      <c r="F1886" s="5">
        <v>43205</v>
      </c>
      <c r="G1886" s="5">
        <v>45214</v>
      </c>
      <c r="H1886" s="16">
        <v>2009</v>
      </c>
      <c r="I1886" s="5">
        <v>46157</v>
      </c>
      <c r="J1886" s="5">
        <v>43818</v>
      </c>
      <c r="K1886" s="16">
        <v>613</v>
      </c>
      <c r="L1886" s="13">
        <v>26000</v>
      </c>
      <c r="M1886" s="15">
        <v>490.82670597455729</v>
      </c>
      <c r="N1886" s="13">
        <v>23080.84</v>
      </c>
      <c r="O1886" s="13">
        <v>14000</v>
      </c>
      <c r="P1886" s="11">
        <v>1</v>
      </c>
    </row>
    <row r="1887" spans="1:16" ht="15" thickBot="1" x14ac:dyDescent="0.3">
      <c r="A1887" s="3" t="s">
        <v>11</v>
      </c>
      <c r="B1887" s="4">
        <v>726921</v>
      </c>
      <c r="C1887" s="3" t="s">
        <v>19</v>
      </c>
      <c r="D1887" s="18">
        <v>0.1</v>
      </c>
      <c r="E1887" s="21">
        <v>7.9741404289037643E-3</v>
      </c>
      <c r="F1887" s="5">
        <v>43210</v>
      </c>
      <c r="G1887" s="5">
        <v>44671</v>
      </c>
      <c r="H1887" s="16">
        <v>1461</v>
      </c>
      <c r="I1887" s="5">
        <v>44671</v>
      </c>
      <c r="J1887" s="5">
        <v>43644</v>
      </c>
      <c r="K1887" s="16">
        <v>434</v>
      </c>
      <c r="L1887" s="13">
        <v>3805.89</v>
      </c>
      <c r="M1887" s="15">
        <v>94.611028851025921</v>
      </c>
      <c r="N1887" s="13">
        <v>3705.89</v>
      </c>
      <c r="O1887" s="13">
        <v>0</v>
      </c>
      <c r="P1887" s="11">
        <v>1</v>
      </c>
    </row>
    <row r="1888" spans="1:16" ht="15" thickBot="1" x14ac:dyDescent="0.3">
      <c r="A1888" s="3" t="s">
        <v>11</v>
      </c>
      <c r="B1888" s="4">
        <v>376911</v>
      </c>
      <c r="C1888" s="3" t="s">
        <v>9</v>
      </c>
      <c r="D1888" s="18">
        <v>0.1</v>
      </c>
      <c r="E1888" s="21">
        <v>7.9741404289037643E-3</v>
      </c>
      <c r="F1888" s="5">
        <v>43216</v>
      </c>
      <c r="G1888" s="5">
        <v>45042</v>
      </c>
      <c r="H1888" s="16">
        <v>1826</v>
      </c>
      <c r="I1888" s="5">
        <v>45042</v>
      </c>
      <c r="J1888" s="5">
        <v>43818</v>
      </c>
      <c r="K1888" s="16">
        <v>602</v>
      </c>
      <c r="L1888" s="13">
        <v>10152.25</v>
      </c>
      <c r="M1888" s="15">
        <v>211.18553807910052</v>
      </c>
      <c r="N1888" s="13">
        <v>8127.2</v>
      </c>
      <c r="O1888" s="13">
        <v>0</v>
      </c>
      <c r="P1888" s="11">
        <v>1</v>
      </c>
    </row>
    <row r="1889" spans="1:16" ht="15" thickBot="1" x14ac:dyDescent="0.3">
      <c r="A1889" s="3" t="s">
        <v>11</v>
      </c>
      <c r="B1889" s="4">
        <v>203194</v>
      </c>
      <c r="C1889" s="3" t="s">
        <v>19</v>
      </c>
      <c r="D1889" s="18">
        <v>0.1</v>
      </c>
      <c r="E1889" s="21">
        <v>7.9741404289037643E-3</v>
      </c>
      <c r="F1889" s="5">
        <v>43220</v>
      </c>
      <c r="G1889" s="5">
        <v>44711</v>
      </c>
      <c r="H1889" s="16">
        <v>1491</v>
      </c>
      <c r="I1889" s="5">
        <v>44711</v>
      </c>
      <c r="J1889" s="5">
        <v>43644</v>
      </c>
      <c r="K1889" s="16">
        <v>424</v>
      </c>
      <c r="L1889" s="13">
        <v>4616.76</v>
      </c>
      <c r="M1889" s="15">
        <v>112.87767551967833</v>
      </c>
      <c r="N1889" s="13">
        <v>4616.76</v>
      </c>
      <c r="O1889" s="13">
        <v>30</v>
      </c>
      <c r="P1889" s="11">
        <v>1</v>
      </c>
    </row>
    <row r="1890" spans="1:16" ht="15" thickBot="1" x14ac:dyDescent="0.3">
      <c r="A1890" s="3" t="s">
        <v>11</v>
      </c>
      <c r="B1890" s="4">
        <v>674432</v>
      </c>
      <c r="C1890" s="3" t="s">
        <v>9</v>
      </c>
      <c r="D1890" s="18">
        <v>0.1</v>
      </c>
      <c r="E1890" s="21">
        <v>7.9741404289037643E-3</v>
      </c>
      <c r="F1890" s="5">
        <v>43222</v>
      </c>
      <c r="G1890" s="5">
        <v>45414</v>
      </c>
      <c r="H1890" s="16">
        <v>2192</v>
      </c>
      <c r="I1890" s="5">
        <v>45414</v>
      </c>
      <c r="J1890" s="5">
        <v>43644</v>
      </c>
      <c r="K1890" s="16">
        <v>422</v>
      </c>
      <c r="L1890" s="13">
        <v>21036.05</v>
      </c>
      <c r="M1890" s="15">
        <v>380.98784898717105</v>
      </c>
      <c r="N1890" s="13">
        <v>19609.05</v>
      </c>
      <c r="O1890" s="13">
        <v>0</v>
      </c>
      <c r="P1890" s="11">
        <v>1</v>
      </c>
    </row>
    <row r="1891" spans="1:16" ht="15" thickBot="1" x14ac:dyDescent="0.3">
      <c r="A1891" s="3" t="s">
        <v>11</v>
      </c>
      <c r="B1891" s="4">
        <v>337189</v>
      </c>
      <c r="C1891" s="3" t="s">
        <v>3</v>
      </c>
      <c r="D1891" s="18">
        <v>0.09</v>
      </c>
      <c r="E1891" s="21">
        <v>7.2073233161367156E-3</v>
      </c>
      <c r="F1891" s="5">
        <v>43222</v>
      </c>
      <c r="G1891" s="5">
        <v>45048</v>
      </c>
      <c r="H1891" s="16">
        <v>1826</v>
      </c>
      <c r="I1891" s="5">
        <v>45048</v>
      </c>
      <c r="J1891" s="5">
        <v>43810</v>
      </c>
      <c r="K1891" s="16">
        <v>588</v>
      </c>
      <c r="L1891" s="13">
        <v>20000</v>
      </c>
      <c r="M1891" s="15">
        <v>407.07704753637324</v>
      </c>
      <c r="N1891" s="13">
        <v>17000</v>
      </c>
      <c r="O1891" s="13">
        <v>0</v>
      </c>
      <c r="P1891" s="11">
        <v>1</v>
      </c>
    </row>
    <row r="1892" spans="1:16" ht="15" thickBot="1" x14ac:dyDescent="0.3">
      <c r="A1892" s="3" t="s">
        <v>11</v>
      </c>
      <c r="B1892" s="4">
        <v>19418</v>
      </c>
      <c r="C1892" s="3" t="s">
        <v>9</v>
      </c>
      <c r="D1892" s="18">
        <v>0.1</v>
      </c>
      <c r="E1892" s="21">
        <v>7.9741404289037643E-3</v>
      </c>
      <c r="F1892" s="5">
        <v>43199</v>
      </c>
      <c r="G1892" s="5">
        <v>45458</v>
      </c>
      <c r="H1892" s="16">
        <v>2259</v>
      </c>
      <c r="I1892" s="5">
        <v>45458</v>
      </c>
      <c r="J1892" s="5">
        <v>43822</v>
      </c>
      <c r="K1892" s="16">
        <v>623</v>
      </c>
      <c r="L1892" s="13">
        <v>12736.81</v>
      </c>
      <c r="M1892" s="15">
        <v>225.63561957929835</v>
      </c>
      <c r="N1892" s="13">
        <v>8100.7</v>
      </c>
      <c r="O1892" s="13">
        <v>0</v>
      </c>
      <c r="P1892" s="11">
        <v>1</v>
      </c>
    </row>
    <row r="1893" spans="1:16" ht="15" thickBot="1" x14ac:dyDescent="0.3">
      <c r="A1893" s="3" t="s">
        <v>11</v>
      </c>
      <c r="B1893" s="4">
        <v>771897</v>
      </c>
      <c r="C1893" s="3" t="s">
        <v>12</v>
      </c>
      <c r="D1893" s="18">
        <v>0.08</v>
      </c>
      <c r="E1893" s="21">
        <v>6.4340301100034303E-3</v>
      </c>
      <c r="F1893" s="5">
        <v>43230</v>
      </c>
      <c r="G1893" s="5">
        <v>45422</v>
      </c>
      <c r="H1893" s="16">
        <v>2192</v>
      </c>
      <c r="I1893" s="5">
        <v>45422</v>
      </c>
      <c r="J1893" s="5">
        <v>43826</v>
      </c>
      <c r="K1893" s="16">
        <v>596</v>
      </c>
      <c r="L1893" s="13">
        <v>14000</v>
      </c>
      <c r="M1893" s="15">
        <v>240.7645218814682</v>
      </c>
      <c r="N1893" s="13">
        <v>14000</v>
      </c>
      <c r="O1893" s="13">
        <v>0</v>
      </c>
      <c r="P1893" s="11">
        <v>1</v>
      </c>
    </row>
    <row r="1894" spans="1:16" ht="15" thickBot="1" x14ac:dyDescent="0.3">
      <c r="A1894" s="3" t="s">
        <v>11</v>
      </c>
      <c r="B1894" s="4">
        <v>537551</v>
      </c>
      <c r="C1894" s="3" t="s">
        <v>9</v>
      </c>
      <c r="D1894" s="18">
        <v>0.1</v>
      </c>
      <c r="E1894" s="21">
        <v>7.9741404289037643E-3</v>
      </c>
      <c r="F1894" s="5">
        <v>43236</v>
      </c>
      <c r="G1894" s="5">
        <v>45428</v>
      </c>
      <c r="H1894" s="16">
        <v>2192</v>
      </c>
      <c r="I1894" s="5">
        <v>45656</v>
      </c>
      <c r="J1894" s="5">
        <v>45160</v>
      </c>
      <c r="K1894" s="16">
        <v>1924</v>
      </c>
      <c r="L1894" s="13">
        <v>17077.5</v>
      </c>
      <c r="M1894" s="15">
        <v>309.29380711105051</v>
      </c>
      <c r="N1894" s="13">
        <v>14328.91</v>
      </c>
      <c r="O1894" s="13">
        <v>0</v>
      </c>
      <c r="P1894" s="11">
        <v>1</v>
      </c>
    </row>
    <row r="1895" spans="1:16" ht="15" thickBot="1" x14ac:dyDescent="0.3">
      <c r="A1895" s="3" t="s">
        <v>11</v>
      </c>
      <c r="B1895" s="4">
        <v>462009</v>
      </c>
      <c r="C1895" s="3" t="s">
        <v>9</v>
      </c>
      <c r="D1895" s="18">
        <v>0.1</v>
      </c>
      <c r="E1895" s="21">
        <v>7.9741404289037643E-3</v>
      </c>
      <c r="F1895" s="5">
        <v>43236</v>
      </c>
      <c r="G1895" s="5">
        <v>45559</v>
      </c>
      <c r="H1895" s="16">
        <v>2323</v>
      </c>
      <c r="I1895" s="5">
        <v>45559</v>
      </c>
      <c r="J1895" s="5">
        <v>43818</v>
      </c>
      <c r="K1895" s="16">
        <v>582</v>
      </c>
      <c r="L1895" s="13">
        <v>19311.650000000001</v>
      </c>
      <c r="M1895" s="15">
        <v>335.23013808807332</v>
      </c>
      <c r="N1895" s="13">
        <v>19311.650000000001</v>
      </c>
      <c r="O1895" s="13">
        <v>19311.650000000001</v>
      </c>
      <c r="P1895" s="11">
        <v>1</v>
      </c>
    </row>
    <row r="1896" spans="1:16" ht="15" thickBot="1" x14ac:dyDescent="0.3">
      <c r="A1896" s="3" t="s">
        <v>11</v>
      </c>
      <c r="B1896" s="4">
        <v>564338</v>
      </c>
      <c r="C1896" s="3" t="s">
        <v>9</v>
      </c>
      <c r="D1896" s="18">
        <v>0.1</v>
      </c>
      <c r="E1896" s="21">
        <v>7.9741404289037643E-3</v>
      </c>
      <c r="F1896" s="5">
        <v>43243</v>
      </c>
      <c r="G1896" s="5">
        <v>45435</v>
      </c>
      <c r="H1896" s="16">
        <v>2192</v>
      </c>
      <c r="I1896" s="5">
        <v>45435</v>
      </c>
      <c r="J1896" s="5">
        <v>43725</v>
      </c>
      <c r="K1896" s="16">
        <v>482</v>
      </c>
      <c r="L1896" s="13">
        <v>13410</v>
      </c>
      <c r="M1896" s="15">
        <v>242.87102640077219</v>
      </c>
      <c r="N1896" s="13">
        <v>9363.7999999999993</v>
      </c>
      <c r="O1896" s="13">
        <v>0</v>
      </c>
      <c r="P1896" s="11">
        <v>1</v>
      </c>
    </row>
    <row r="1897" spans="1:16" ht="15" thickBot="1" x14ac:dyDescent="0.3">
      <c r="A1897" s="3" t="s">
        <v>11</v>
      </c>
      <c r="B1897" s="4">
        <v>142256</v>
      </c>
      <c r="C1897" s="3" t="s">
        <v>3</v>
      </c>
      <c r="D1897" s="18">
        <v>9.5000000000000001E-2</v>
      </c>
      <c r="E1897" s="21">
        <v>7.5915342905825689E-3</v>
      </c>
      <c r="F1897" s="5">
        <v>43279</v>
      </c>
      <c r="G1897" s="5">
        <v>44740</v>
      </c>
      <c r="H1897" s="16">
        <v>1461</v>
      </c>
      <c r="I1897" s="5">
        <v>44740</v>
      </c>
      <c r="J1897" s="5">
        <v>43818</v>
      </c>
      <c r="K1897" s="16">
        <v>539</v>
      </c>
      <c r="L1897" s="13">
        <v>43500</v>
      </c>
      <c r="M1897" s="15">
        <v>1071.8387221081989</v>
      </c>
      <c r="N1897" s="13">
        <v>21579.55</v>
      </c>
      <c r="O1897" s="13">
        <v>0</v>
      </c>
      <c r="P1897" s="11">
        <v>1</v>
      </c>
    </row>
    <row r="1898" spans="1:16" ht="15" thickBot="1" x14ac:dyDescent="0.3">
      <c r="A1898" s="3" t="s">
        <v>11</v>
      </c>
      <c r="B1898" s="4">
        <v>162934</v>
      </c>
      <c r="C1898" s="3" t="s">
        <v>9</v>
      </c>
      <c r="D1898" s="18">
        <v>0.1</v>
      </c>
      <c r="E1898" s="21">
        <v>7.9741404289037643E-3</v>
      </c>
      <c r="F1898" s="5">
        <v>43298</v>
      </c>
      <c r="G1898" s="5">
        <v>45490</v>
      </c>
      <c r="H1898" s="16">
        <v>2192</v>
      </c>
      <c r="I1898" s="5">
        <v>45490</v>
      </c>
      <c r="J1898" s="5">
        <v>44011</v>
      </c>
      <c r="K1898" s="16">
        <v>713</v>
      </c>
      <c r="L1898" s="13">
        <v>13302.81</v>
      </c>
      <c r="M1898" s="15">
        <v>240.92968819645458</v>
      </c>
      <c r="N1898" s="13">
        <v>10354.200000000001</v>
      </c>
      <c r="O1898" s="13">
        <v>2000</v>
      </c>
      <c r="P1898" s="11">
        <v>1</v>
      </c>
    </row>
    <row r="1899" spans="1:16" ht="15" thickBot="1" x14ac:dyDescent="0.3">
      <c r="A1899" s="3" t="s">
        <v>11</v>
      </c>
      <c r="B1899" s="4">
        <v>88204</v>
      </c>
      <c r="C1899" s="3" t="s">
        <v>9</v>
      </c>
      <c r="D1899" s="18">
        <v>0.09</v>
      </c>
      <c r="E1899" s="21">
        <v>7.2073233161367156E-3</v>
      </c>
      <c r="F1899" s="5">
        <v>43308</v>
      </c>
      <c r="G1899" s="5">
        <v>45500</v>
      </c>
      <c r="H1899" s="16">
        <v>2192</v>
      </c>
      <c r="I1899" s="5">
        <v>45743</v>
      </c>
      <c r="J1899" s="5">
        <v>44460</v>
      </c>
      <c r="K1899" s="16">
        <v>1152</v>
      </c>
      <c r="L1899" s="13">
        <v>45073.73</v>
      </c>
      <c r="M1899" s="15">
        <v>795.67634445463784</v>
      </c>
      <c r="N1899" s="13">
        <v>27184.76</v>
      </c>
      <c r="O1899" s="13">
        <v>27184.76</v>
      </c>
      <c r="P1899" s="11">
        <v>1</v>
      </c>
    </row>
    <row r="1900" spans="1:16" ht="15" thickBot="1" x14ac:dyDescent="0.3">
      <c r="A1900" s="3" t="s">
        <v>11</v>
      </c>
      <c r="B1900" s="4">
        <v>171872</v>
      </c>
      <c r="C1900" s="3" t="s">
        <v>9</v>
      </c>
      <c r="D1900" s="18">
        <v>0.09</v>
      </c>
      <c r="E1900" s="21">
        <v>7.2073233161367156E-3</v>
      </c>
      <c r="F1900" s="5">
        <v>43312</v>
      </c>
      <c r="G1900" s="5">
        <v>44043</v>
      </c>
      <c r="H1900" s="16">
        <v>731</v>
      </c>
      <c r="I1900" s="5">
        <v>44043</v>
      </c>
      <c r="J1900" s="5">
        <v>43644</v>
      </c>
      <c r="K1900" s="16">
        <v>332</v>
      </c>
      <c r="L1900" s="13">
        <v>2893.26</v>
      </c>
      <c r="M1900" s="15">
        <v>129.89607804661048</v>
      </c>
      <c r="N1900" s="13">
        <v>2893.26</v>
      </c>
      <c r="O1900" s="13">
        <v>0</v>
      </c>
      <c r="P1900" s="11">
        <v>1</v>
      </c>
    </row>
    <row r="1901" spans="1:16" ht="15" thickBot="1" x14ac:dyDescent="0.3">
      <c r="A1901" s="3" t="s">
        <v>11</v>
      </c>
      <c r="B1901" s="4">
        <v>758918</v>
      </c>
      <c r="C1901" s="3" t="s">
        <v>9</v>
      </c>
      <c r="D1901" s="18">
        <v>0.11</v>
      </c>
      <c r="E1901" s="21">
        <v>8.7345938235519061E-3</v>
      </c>
      <c r="F1901" s="5">
        <v>43325</v>
      </c>
      <c r="G1901" s="5">
        <v>45151</v>
      </c>
      <c r="H1901" s="16">
        <v>1826</v>
      </c>
      <c r="I1901" s="5">
        <v>45243</v>
      </c>
      <c r="J1901" s="5">
        <v>44102</v>
      </c>
      <c r="K1901" s="16">
        <v>777</v>
      </c>
      <c r="L1901" s="13">
        <v>12769.81</v>
      </c>
      <c r="M1901" s="15">
        <v>271.38153251249275</v>
      </c>
      <c r="N1901" s="13">
        <v>9348.31</v>
      </c>
      <c r="O1901" s="13">
        <v>5000</v>
      </c>
      <c r="P1901" s="11">
        <v>1</v>
      </c>
    </row>
    <row r="1902" spans="1:16" ht="15" thickBot="1" x14ac:dyDescent="0.3">
      <c r="A1902" s="3" t="s">
        <v>11</v>
      </c>
      <c r="B1902" s="4">
        <v>682735</v>
      </c>
      <c r="C1902" s="3" t="s">
        <v>9</v>
      </c>
      <c r="D1902" s="18">
        <v>0.09</v>
      </c>
      <c r="E1902" s="21">
        <v>7.2073233161367156E-3</v>
      </c>
      <c r="F1902" s="5">
        <v>43333</v>
      </c>
      <c r="G1902" s="5">
        <v>45163</v>
      </c>
      <c r="H1902" s="16">
        <v>1830</v>
      </c>
      <c r="I1902" s="5">
        <v>45163</v>
      </c>
      <c r="J1902" s="5">
        <v>43829</v>
      </c>
      <c r="K1902" s="16">
        <v>496</v>
      </c>
      <c r="L1902" s="13">
        <v>6438.25</v>
      </c>
      <c r="M1902" s="15">
        <v>130.81482034872374</v>
      </c>
      <c r="N1902" s="13">
        <v>5242.7299999999996</v>
      </c>
      <c r="O1902" s="13">
        <v>900</v>
      </c>
      <c r="P1902" s="11">
        <v>1</v>
      </c>
    </row>
    <row r="1903" spans="1:16" ht="15" thickBot="1" x14ac:dyDescent="0.3">
      <c r="A1903" s="3" t="s">
        <v>11</v>
      </c>
      <c r="B1903" s="4">
        <v>125435</v>
      </c>
      <c r="C1903" s="3" t="s">
        <v>9</v>
      </c>
      <c r="D1903" s="18">
        <v>0.1</v>
      </c>
      <c r="E1903" s="21">
        <v>7.9741404289037643E-3</v>
      </c>
      <c r="F1903" s="5">
        <v>43335</v>
      </c>
      <c r="G1903" s="5">
        <v>44158</v>
      </c>
      <c r="H1903" s="16">
        <v>823</v>
      </c>
      <c r="I1903" s="5">
        <v>44158</v>
      </c>
      <c r="J1903" s="5">
        <v>44179</v>
      </c>
      <c r="K1903" s="16">
        <v>844</v>
      </c>
      <c r="L1903" s="13">
        <v>2480.14</v>
      </c>
      <c r="M1903" s="15">
        <v>101.01336209032731</v>
      </c>
      <c r="N1903" s="13">
        <v>688.64</v>
      </c>
      <c r="O1903" s="13">
        <v>0</v>
      </c>
      <c r="P1903" s="11">
        <v>1</v>
      </c>
    </row>
    <row r="1904" spans="1:16" ht="15" thickBot="1" x14ac:dyDescent="0.3">
      <c r="A1904" s="3" t="s">
        <v>11</v>
      </c>
      <c r="B1904" s="4">
        <v>555407</v>
      </c>
      <c r="C1904" s="3" t="s">
        <v>9</v>
      </c>
      <c r="D1904" s="18">
        <v>0.11</v>
      </c>
      <c r="E1904" s="21">
        <v>8.7345938235519061E-3</v>
      </c>
      <c r="F1904" s="5">
        <v>43342</v>
      </c>
      <c r="G1904" s="5">
        <v>44804</v>
      </c>
      <c r="H1904" s="16">
        <v>1462</v>
      </c>
      <c r="I1904" s="5">
        <v>45229</v>
      </c>
      <c r="J1904" s="5">
        <v>43829</v>
      </c>
      <c r="K1904" s="16">
        <v>487</v>
      </c>
      <c r="L1904" s="13">
        <v>6244.81</v>
      </c>
      <c r="M1904" s="15">
        <v>157.8949566052151</v>
      </c>
      <c r="N1904" s="13">
        <v>5552.42</v>
      </c>
      <c r="O1904" s="13">
        <v>2263.0300000000002</v>
      </c>
      <c r="P1904" s="11">
        <v>1</v>
      </c>
    </row>
    <row r="1905" spans="1:16" ht="15" thickBot="1" x14ac:dyDescent="0.3">
      <c r="A1905" s="3" t="s">
        <v>11</v>
      </c>
      <c r="B1905" s="4">
        <v>26417</v>
      </c>
      <c r="C1905" s="3" t="s">
        <v>9</v>
      </c>
      <c r="D1905" s="18">
        <v>0.1</v>
      </c>
      <c r="E1905" s="21">
        <v>7.9741404289037643E-3</v>
      </c>
      <c r="F1905" s="5">
        <v>43347</v>
      </c>
      <c r="G1905" s="5">
        <v>43705</v>
      </c>
      <c r="H1905" s="16">
        <v>358</v>
      </c>
      <c r="I1905" s="5">
        <v>43797</v>
      </c>
      <c r="J1905" s="5">
        <v>43809</v>
      </c>
      <c r="K1905" s="16">
        <v>462</v>
      </c>
      <c r="L1905" s="13">
        <v>3500</v>
      </c>
      <c r="M1905" s="15">
        <v>308.63908630189582</v>
      </c>
      <c r="N1905" s="13">
        <v>1334.87</v>
      </c>
      <c r="O1905" s="13">
        <v>1334.87</v>
      </c>
      <c r="P1905" s="11">
        <v>1</v>
      </c>
    </row>
    <row r="1906" spans="1:16" ht="15" thickBot="1" x14ac:dyDescent="0.3">
      <c r="A1906" s="3" t="s">
        <v>11</v>
      </c>
      <c r="B1906" s="4">
        <v>94774</v>
      </c>
      <c r="C1906" s="3" t="s">
        <v>9</v>
      </c>
      <c r="D1906" s="18">
        <v>0.1</v>
      </c>
      <c r="E1906" s="21">
        <v>7.9741404289037643E-3</v>
      </c>
      <c r="F1906" s="5">
        <v>43347</v>
      </c>
      <c r="G1906" s="5">
        <v>45904</v>
      </c>
      <c r="H1906" s="16">
        <v>2557</v>
      </c>
      <c r="I1906" s="5">
        <v>45904</v>
      </c>
      <c r="J1906" s="5">
        <v>44182</v>
      </c>
      <c r="K1906" s="16">
        <v>835</v>
      </c>
      <c r="L1906" s="13">
        <v>32394.81</v>
      </c>
      <c r="M1906" s="15">
        <v>525.20860545451194</v>
      </c>
      <c r="N1906" s="13">
        <v>25726.89</v>
      </c>
      <c r="O1906" s="13">
        <v>25726.89</v>
      </c>
      <c r="P1906" s="11">
        <v>1</v>
      </c>
    </row>
    <row r="1907" spans="1:16" ht="15" thickBot="1" x14ac:dyDescent="0.3">
      <c r="A1907" s="3" t="s">
        <v>11</v>
      </c>
      <c r="B1907" s="4">
        <v>39302</v>
      </c>
      <c r="C1907" s="3" t="s">
        <v>9</v>
      </c>
      <c r="D1907" s="18">
        <v>0.1</v>
      </c>
      <c r="E1907" s="21">
        <v>7.9741404289037643E-3</v>
      </c>
      <c r="F1907" s="5">
        <v>43347</v>
      </c>
      <c r="G1907" s="5">
        <v>43729</v>
      </c>
      <c r="H1907" s="16">
        <v>382</v>
      </c>
      <c r="I1907" s="5">
        <v>43729</v>
      </c>
      <c r="J1907" s="5">
        <v>43725</v>
      </c>
      <c r="K1907" s="16">
        <v>378</v>
      </c>
      <c r="L1907" s="13">
        <v>885.81</v>
      </c>
      <c r="M1907" s="15">
        <v>73.434536194971542</v>
      </c>
      <c r="N1907" s="13">
        <v>885.81</v>
      </c>
      <c r="O1907" s="13">
        <v>200</v>
      </c>
      <c r="P1907" s="11">
        <v>1</v>
      </c>
    </row>
    <row r="1908" spans="1:16" ht="15" thickBot="1" x14ac:dyDescent="0.3">
      <c r="A1908" s="3" t="s">
        <v>11</v>
      </c>
      <c r="B1908" s="4">
        <v>581709</v>
      </c>
      <c r="C1908" s="3" t="s">
        <v>9</v>
      </c>
      <c r="D1908" s="18">
        <v>0.1</v>
      </c>
      <c r="E1908" s="21">
        <v>7.9741404289037643E-3</v>
      </c>
      <c r="F1908" s="5">
        <v>43353</v>
      </c>
      <c r="G1908" s="5">
        <v>45179</v>
      </c>
      <c r="H1908" s="16">
        <v>1826</v>
      </c>
      <c r="I1908" s="5">
        <v>45179</v>
      </c>
      <c r="J1908" s="5">
        <v>44179</v>
      </c>
      <c r="K1908" s="16">
        <v>826</v>
      </c>
      <c r="L1908" s="13">
        <v>7150.91</v>
      </c>
      <c r="M1908" s="15">
        <v>148.75212648479112</v>
      </c>
      <c r="N1908" s="13">
        <v>1723.3</v>
      </c>
      <c r="O1908" s="13">
        <v>1723.3</v>
      </c>
      <c r="P1908" s="11">
        <v>1</v>
      </c>
    </row>
    <row r="1909" spans="1:16" ht="15" thickBot="1" x14ac:dyDescent="0.3">
      <c r="A1909" s="3" t="s">
        <v>11</v>
      </c>
      <c r="B1909" s="4">
        <v>962171</v>
      </c>
      <c r="C1909" s="3" t="s">
        <v>9</v>
      </c>
      <c r="D1909" s="18">
        <v>0.08</v>
      </c>
      <c r="E1909" s="21">
        <v>6.4340301100034303E-3</v>
      </c>
      <c r="F1909" s="5">
        <v>43361</v>
      </c>
      <c r="G1909" s="5">
        <v>45905</v>
      </c>
      <c r="H1909" s="16">
        <v>2544</v>
      </c>
      <c r="I1909" s="5">
        <v>45905</v>
      </c>
      <c r="J1909" s="5">
        <v>43644</v>
      </c>
      <c r="K1909" s="16">
        <v>283</v>
      </c>
      <c r="L1909" s="13">
        <v>18118.099999999999</v>
      </c>
      <c r="M1909" s="15">
        <v>277.88701630741559</v>
      </c>
      <c r="N1909" s="13">
        <v>7620.4</v>
      </c>
      <c r="O1909" s="13">
        <v>0</v>
      </c>
      <c r="P1909" s="11">
        <v>1</v>
      </c>
    </row>
    <row r="1910" spans="1:16" ht="15" thickBot="1" x14ac:dyDescent="0.3">
      <c r="A1910" s="3" t="s">
        <v>11</v>
      </c>
      <c r="B1910" s="4">
        <v>87514</v>
      </c>
      <c r="C1910" s="3" t="s">
        <v>19</v>
      </c>
      <c r="D1910" s="18">
        <v>9.5000000000000001E-2</v>
      </c>
      <c r="E1910" s="21">
        <v>7.5915342905825689E-3</v>
      </c>
      <c r="F1910" s="5">
        <v>43360</v>
      </c>
      <c r="G1910" s="5">
        <v>43663</v>
      </c>
      <c r="H1910" s="16">
        <v>303</v>
      </c>
      <c r="I1910" s="5">
        <v>43663</v>
      </c>
      <c r="J1910" s="5">
        <v>43735</v>
      </c>
      <c r="K1910" s="16">
        <v>375</v>
      </c>
      <c r="L1910" s="13">
        <v>1000</v>
      </c>
      <c r="M1910" s="15">
        <v>103.22933148567923</v>
      </c>
      <c r="N1910" s="13">
        <v>286.5</v>
      </c>
      <c r="O1910" s="13">
        <v>0</v>
      </c>
      <c r="P1910" s="11">
        <v>1</v>
      </c>
    </row>
    <row r="1911" spans="1:16" ht="15" thickBot="1" x14ac:dyDescent="0.3">
      <c r="A1911" s="3" t="s">
        <v>11</v>
      </c>
      <c r="B1911" s="4">
        <v>86334</v>
      </c>
      <c r="C1911" s="3" t="s">
        <v>9</v>
      </c>
      <c r="D1911" s="18">
        <v>0.09</v>
      </c>
      <c r="E1911" s="21">
        <v>7.2073233161367156E-3</v>
      </c>
      <c r="F1911" s="5">
        <v>43364</v>
      </c>
      <c r="G1911" s="5">
        <v>44825</v>
      </c>
      <c r="H1911" s="16">
        <v>1461</v>
      </c>
      <c r="I1911" s="5">
        <v>44855</v>
      </c>
      <c r="J1911" s="5">
        <v>43809</v>
      </c>
      <c r="K1911" s="16">
        <v>445</v>
      </c>
      <c r="L1911" s="13">
        <v>4739.2700000000004</v>
      </c>
      <c r="M1911" s="15">
        <v>115.73809323753528</v>
      </c>
      <c r="N1911" s="13">
        <v>4354.3</v>
      </c>
      <c r="O1911" s="13">
        <v>0</v>
      </c>
      <c r="P1911" s="11">
        <v>1</v>
      </c>
    </row>
    <row r="1912" spans="1:16" ht="15" thickBot="1" x14ac:dyDescent="0.3">
      <c r="A1912" s="3" t="s">
        <v>11</v>
      </c>
      <c r="B1912" s="4">
        <v>425998</v>
      </c>
      <c r="C1912" s="3" t="s">
        <v>9</v>
      </c>
      <c r="D1912" s="18">
        <v>0.1</v>
      </c>
      <c r="E1912" s="21">
        <v>7.9741404289037643E-3</v>
      </c>
      <c r="F1912" s="5">
        <v>43371</v>
      </c>
      <c r="G1912" s="5">
        <v>45204</v>
      </c>
      <c r="H1912" s="16">
        <v>1833</v>
      </c>
      <c r="I1912" s="5">
        <v>45204</v>
      </c>
      <c r="J1912" s="5">
        <v>43817</v>
      </c>
      <c r="K1912" s="16">
        <v>446</v>
      </c>
      <c r="L1912" s="13">
        <v>17662.5</v>
      </c>
      <c r="M1912" s="15">
        <v>366.3215113028167</v>
      </c>
      <c r="N1912" s="13">
        <v>16514.68</v>
      </c>
      <c r="O1912" s="13">
        <v>12662.81</v>
      </c>
      <c r="P1912" s="11">
        <v>1</v>
      </c>
    </row>
    <row r="1913" spans="1:16" ht="15" thickBot="1" x14ac:dyDescent="0.3">
      <c r="A1913" s="3" t="s">
        <v>11</v>
      </c>
      <c r="B1913" s="4">
        <v>412362</v>
      </c>
      <c r="C1913" s="3" t="s">
        <v>9</v>
      </c>
      <c r="D1913" s="18">
        <v>0.12</v>
      </c>
      <c r="E1913" s="21">
        <v>9.4887929345830457E-3</v>
      </c>
      <c r="F1913" s="5">
        <v>43378</v>
      </c>
      <c r="G1913" s="5">
        <v>44109</v>
      </c>
      <c r="H1913" s="16">
        <v>731</v>
      </c>
      <c r="I1913" s="5">
        <v>44109</v>
      </c>
      <c r="J1913" s="5">
        <v>43809</v>
      </c>
      <c r="K1913" s="16">
        <v>431</v>
      </c>
      <c r="L1913" s="13">
        <v>5062.53</v>
      </c>
      <c r="M1913" s="15">
        <v>233.68776851432281</v>
      </c>
      <c r="N1913" s="13">
        <v>4125.8500000000004</v>
      </c>
      <c r="O1913" s="13">
        <v>3105.7</v>
      </c>
      <c r="P1913" s="11">
        <v>1</v>
      </c>
    </row>
    <row r="1914" spans="1:16" ht="15" thickBot="1" x14ac:dyDescent="0.3">
      <c r="A1914" s="3" t="s">
        <v>11</v>
      </c>
      <c r="B1914" s="4">
        <v>956314</v>
      </c>
      <c r="C1914" s="3" t="s">
        <v>9</v>
      </c>
      <c r="D1914" s="18">
        <v>0.1</v>
      </c>
      <c r="E1914" s="21">
        <v>7.9741404289037643E-3</v>
      </c>
      <c r="F1914" s="5">
        <v>43378</v>
      </c>
      <c r="G1914" s="5">
        <v>45570</v>
      </c>
      <c r="H1914" s="16">
        <v>2192</v>
      </c>
      <c r="I1914" s="5">
        <v>45570</v>
      </c>
      <c r="J1914" s="5">
        <v>45190</v>
      </c>
      <c r="K1914" s="16">
        <v>1812</v>
      </c>
      <c r="L1914" s="13">
        <v>15931.77</v>
      </c>
      <c r="M1914" s="15">
        <v>288.5432760835966</v>
      </c>
      <c r="N1914" s="13">
        <v>4158.1000000000004</v>
      </c>
      <c r="O1914" s="13">
        <v>4158.1000000000004</v>
      </c>
      <c r="P1914" s="11">
        <v>1</v>
      </c>
    </row>
    <row r="1915" spans="1:16" ht="15" thickBot="1" x14ac:dyDescent="0.3">
      <c r="A1915" s="3" t="s">
        <v>11</v>
      </c>
      <c r="B1915" s="4">
        <v>906721</v>
      </c>
      <c r="C1915" s="3" t="s">
        <v>9</v>
      </c>
      <c r="D1915" s="18">
        <v>0.1</v>
      </c>
      <c r="E1915" s="21">
        <v>7.9741404289037643E-3</v>
      </c>
      <c r="F1915" s="5">
        <v>43385</v>
      </c>
      <c r="G1915" s="5">
        <v>43750</v>
      </c>
      <c r="H1915" s="16">
        <v>365</v>
      </c>
      <c r="I1915" s="5">
        <v>43873</v>
      </c>
      <c r="J1915" s="5">
        <v>43810</v>
      </c>
      <c r="K1915" s="16">
        <v>425</v>
      </c>
      <c r="L1915" s="13">
        <v>3000</v>
      </c>
      <c r="M1915" s="15">
        <v>259.71097807667087</v>
      </c>
      <c r="N1915" s="13">
        <v>1582.57</v>
      </c>
      <c r="O1915" s="13">
        <v>1582.57</v>
      </c>
      <c r="P1915" s="11">
        <v>1</v>
      </c>
    </row>
    <row r="1916" spans="1:16" ht="15" thickBot="1" x14ac:dyDescent="0.3">
      <c r="A1916" s="3" t="s">
        <v>11</v>
      </c>
      <c r="B1916" s="4">
        <v>616971</v>
      </c>
      <c r="C1916" s="3" t="s">
        <v>9</v>
      </c>
      <c r="D1916" s="18">
        <v>0.1</v>
      </c>
      <c r="E1916" s="21">
        <v>7.9741404289037643E-3</v>
      </c>
      <c r="F1916" s="5">
        <v>43392</v>
      </c>
      <c r="G1916" s="5">
        <v>45584</v>
      </c>
      <c r="H1916" s="16">
        <v>2192</v>
      </c>
      <c r="I1916" s="5">
        <v>45584</v>
      </c>
      <c r="J1916" s="5">
        <v>44011</v>
      </c>
      <c r="K1916" s="16">
        <v>619</v>
      </c>
      <c r="L1916" s="13">
        <v>16384.8</v>
      </c>
      <c r="M1916" s="15">
        <v>296.74818742515828</v>
      </c>
      <c r="N1916" s="13">
        <v>12704.92</v>
      </c>
      <c r="O1916" s="13">
        <v>11738.87</v>
      </c>
      <c r="P1916" s="11">
        <v>1</v>
      </c>
    </row>
    <row r="1917" spans="1:16" ht="15" thickBot="1" x14ac:dyDescent="0.3">
      <c r="A1917" s="3" t="s">
        <v>11</v>
      </c>
      <c r="B1917" s="4">
        <v>493675</v>
      </c>
      <c r="C1917" s="3" t="s">
        <v>9</v>
      </c>
      <c r="D1917" s="18">
        <v>0.09</v>
      </c>
      <c r="E1917" s="21">
        <v>7.2073233161367156E-3</v>
      </c>
      <c r="F1917" s="5">
        <v>43405</v>
      </c>
      <c r="G1917" s="5">
        <v>44136</v>
      </c>
      <c r="H1917" s="16">
        <v>731</v>
      </c>
      <c r="I1917" s="5">
        <v>44136</v>
      </c>
      <c r="J1917" s="5">
        <v>43738</v>
      </c>
      <c r="K1917" s="16">
        <v>333</v>
      </c>
      <c r="L1917" s="13">
        <v>2500</v>
      </c>
      <c r="M1917" s="15">
        <v>112.24023942422257</v>
      </c>
      <c r="N1917" s="13">
        <v>1970.89</v>
      </c>
      <c r="O1917" s="13">
        <v>0</v>
      </c>
      <c r="P1917" s="11">
        <v>1</v>
      </c>
    </row>
    <row r="1918" spans="1:16" ht="15" thickBot="1" x14ac:dyDescent="0.3">
      <c r="A1918" s="3" t="s">
        <v>11</v>
      </c>
      <c r="B1918" s="4">
        <v>953135</v>
      </c>
      <c r="C1918" s="3" t="s">
        <v>19</v>
      </c>
      <c r="D1918" s="18">
        <v>0.1</v>
      </c>
      <c r="E1918" s="21">
        <v>7.9741404289037643E-3</v>
      </c>
      <c r="F1918" s="5">
        <v>43406</v>
      </c>
      <c r="G1918" s="5">
        <v>43771</v>
      </c>
      <c r="H1918" s="16">
        <v>365</v>
      </c>
      <c r="I1918" s="5">
        <v>43832</v>
      </c>
      <c r="J1918" s="5">
        <v>43916</v>
      </c>
      <c r="K1918" s="16">
        <v>510</v>
      </c>
      <c r="L1918" s="13">
        <v>1500</v>
      </c>
      <c r="M1918" s="15">
        <v>129.85548903833543</v>
      </c>
      <c r="N1918" s="13">
        <v>164.63</v>
      </c>
      <c r="O1918" s="13">
        <v>0</v>
      </c>
      <c r="P1918" s="11">
        <v>1</v>
      </c>
    </row>
    <row r="1919" spans="1:16" ht="15" thickBot="1" x14ac:dyDescent="0.3">
      <c r="A1919" s="3" t="s">
        <v>11</v>
      </c>
      <c r="B1919" s="4">
        <v>945672</v>
      </c>
      <c r="C1919" s="3" t="s">
        <v>9</v>
      </c>
      <c r="D1919" s="18">
        <v>0.1</v>
      </c>
      <c r="E1919" s="21">
        <v>7.9741404289037643E-3</v>
      </c>
      <c r="F1919" s="5">
        <v>43417</v>
      </c>
      <c r="G1919" s="5">
        <v>45243</v>
      </c>
      <c r="H1919" s="16">
        <v>1826</v>
      </c>
      <c r="I1919" s="5">
        <v>45335</v>
      </c>
      <c r="J1919" s="5">
        <v>44182</v>
      </c>
      <c r="K1919" s="16">
        <v>765</v>
      </c>
      <c r="L1919" s="13">
        <v>13826.38</v>
      </c>
      <c r="M1919" s="15">
        <v>287.61422344663629</v>
      </c>
      <c r="N1919" s="13">
        <v>9715.83</v>
      </c>
      <c r="O1919" s="13">
        <v>6800</v>
      </c>
      <c r="P1919" s="11">
        <v>1</v>
      </c>
    </row>
    <row r="1920" spans="1:16" ht="15" thickBot="1" x14ac:dyDescent="0.3">
      <c r="A1920" s="3" t="s">
        <v>11</v>
      </c>
      <c r="B1920" s="4">
        <v>524868</v>
      </c>
      <c r="C1920" s="3" t="s">
        <v>9</v>
      </c>
      <c r="D1920" s="18">
        <v>0.1</v>
      </c>
      <c r="E1920" s="21">
        <v>7.9741404289037643E-3</v>
      </c>
      <c r="F1920" s="5">
        <v>43412</v>
      </c>
      <c r="G1920" s="5">
        <v>45604</v>
      </c>
      <c r="H1920" s="16">
        <v>2192</v>
      </c>
      <c r="I1920" s="5">
        <v>45604</v>
      </c>
      <c r="J1920" s="5">
        <v>43826</v>
      </c>
      <c r="K1920" s="16">
        <v>414</v>
      </c>
      <c r="L1920" s="13">
        <v>30165.97</v>
      </c>
      <c r="M1920" s="15">
        <v>546.34154334637594</v>
      </c>
      <c r="N1920" s="13">
        <v>27635.56</v>
      </c>
      <c r="O1920" s="13">
        <v>10500</v>
      </c>
      <c r="P1920" s="11">
        <v>1</v>
      </c>
    </row>
    <row r="1921" spans="1:16" ht="15" thickBot="1" x14ac:dyDescent="0.3">
      <c r="A1921" s="3" t="s">
        <v>11</v>
      </c>
      <c r="B1921" s="4">
        <v>635480</v>
      </c>
      <c r="C1921" s="3" t="s">
        <v>16</v>
      </c>
      <c r="D1921" s="18">
        <v>0.1</v>
      </c>
      <c r="E1921" s="21">
        <v>7.9741404289037643E-3</v>
      </c>
      <c r="F1921" s="5">
        <v>43424</v>
      </c>
      <c r="G1921" s="5">
        <v>43789</v>
      </c>
      <c r="H1921" s="16">
        <v>365</v>
      </c>
      <c r="I1921" s="5">
        <v>43789</v>
      </c>
      <c r="J1921" s="5">
        <v>43810</v>
      </c>
      <c r="K1921" s="16">
        <v>386</v>
      </c>
      <c r="L1921" s="13">
        <v>2000</v>
      </c>
      <c r="M1921" s="15">
        <v>173.14065205111393</v>
      </c>
      <c r="N1921" s="13">
        <v>432.72</v>
      </c>
      <c r="O1921" s="13">
        <v>432.72</v>
      </c>
      <c r="P1921" s="11">
        <v>1</v>
      </c>
    </row>
    <row r="1922" spans="1:16" ht="15" thickBot="1" x14ac:dyDescent="0.3">
      <c r="A1922" s="3" t="s">
        <v>11</v>
      </c>
      <c r="B1922" s="4">
        <v>858644</v>
      </c>
      <c r="C1922" s="3" t="s">
        <v>9</v>
      </c>
      <c r="D1922" s="18">
        <v>0.1</v>
      </c>
      <c r="E1922" s="21">
        <v>7.9741404289037643E-3</v>
      </c>
      <c r="F1922" s="5">
        <v>43425</v>
      </c>
      <c r="G1922" s="5">
        <v>44887</v>
      </c>
      <c r="H1922" s="16">
        <v>1462</v>
      </c>
      <c r="I1922" s="5">
        <v>45526</v>
      </c>
      <c r="J1922" s="5">
        <v>44643</v>
      </c>
      <c r="K1922" s="16">
        <v>1218</v>
      </c>
      <c r="L1922" s="13">
        <v>56373.3</v>
      </c>
      <c r="M1922" s="15">
        <v>1400.6048526947329</v>
      </c>
      <c r="N1922" s="13">
        <v>29316.14</v>
      </c>
      <c r="O1922" s="13">
        <v>100</v>
      </c>
      <c r="P1922" s="11">
        <v>1</v>
      </c>
    </row>
    <row r="1923" spans="1:16" ht="15" thickBot="1" x14ac:dyDescent="0.3">
      <c r="A1923" s="3" t="s">
        <v>11</v>
      </c>
      <c r="B1923" s="4">
        <v>970218</v>
      </c>
      <c r="C1923" s="3" t="s">
        <v>19</v>
      </c>
      <c r="D1923" s="18">
        <v>0.1</v>
      </c>
      <c r="E1923" s="21">
        <v>7.9741404289037643E-3</v>
      </c>
      <c r="F1923" s="5">
        <v>43433</v>
      </c>
      <c r="G1923" s="5">
        <v>43779</v>
      </c>
      <c r="H1923" s="16">
        <v>346</v>
      </c>
      <c r="I1923" s="5">
        <v>43779</v>
      </c>
      <c r="J1923" s="5">
        <v>43810</v>
      </c>
      <c r="K1923" s="16">
        <v>377</v>
      </c>
      <c r="L1923" s="13">
        <v>1500</v>
      </c>
      <c r="M1923" s="15">
        <v>136.64756675533584</v>
      </c>
      <c r="N1923" s="13">
        <v>514.52</v>
      </c>
      <c r="O1923" s="13">
        <v>0</v>
      </c>
      <c r="P1923" s="11">
        <v>1</v>
      </c>
    </row>
    <row r="1924" spans="1:16" ht="15" thickBot="1" x14ac:dyDescent="0.3">
      <c r="A1924" s="3" t="s">
        <v>11</v>
      </c>
      <c r="B1924" s="4">
        <v>615723</v>
      </c>
      <c r="C1924" s="3" t="s">
        <v>2</v>
      </c>
      <c r="D1924" s="18">
        <v>0.09</v>
      </c>
      <c r="E1924" s="21">
        <v>7.2073233161367156E-3</v>
      </c>
      <c r="F1924" s="5">
        <v>43434</v>
      </c>
      <c r="G1924" s="5">
        <v>45626</v>
      </c>
      <c r="H1924" s="16">
        <v>2192</v>
      </c>
      <c r="I1924" s="5">
        <v>45626</v>
      </c>
      <c r="J1924" s="5">
        <v>43818</v>
      </c>
      <c r="K1924" s="16">
        <v>384</v>
      </c>
      <c r="L1924" s="13">
        <v>212139.73</v>
      </c>
      <c r="M1924" s="15">
        <v>3744.8545944609837</v>
      </c>
      <c r="N1924" s="13">
        <v>212139.73</v>
      </c>
      <c r="O1924" s="13">
        <v>53727.38</v>
      </c>
      <c r="P1924" s="11">
        <v>1</v>
      </c>
    </row>
    <row r="1925" spans="1:16" ht="15" thickBot="1" x14ac:dyDescent="0.3">
      <c r="A1925" s="3" t="s">
        <v>11</v>
      </c>
      <c r="B1925" s="4">
        <v>49163</v>
      </c>
      <c r="C1925" s="3" t="s">
        <v>9</v>
      </c>
      <c r="D1925" s="18">
        <v>0.11</v>
      </c>
      <c r="E1925" s="21">
        <v>8.7345938235519061E-3</v>
      </c>
      <c r="F1925" s="5">
        <v>43446</v>
      </c>
      <c r="G1925" s="5">
        <v>45638</v>
      </c>
      <c r="H1925" s="16">
        <v>2192</v>
      </c>
      <c r="I1925" s="5">
        <v>45638</v>
      </c>
      <c r="J1925" s="5">
        <v>43815</v>
      </c>
      <c r="K1925" s="16">
        <v>369</v>
      </c>
      <c r="L1925" s="13">
        <v>22800.81</v>
      </c>
      <c r="M1925" s="15">
        <v>423.46926131751809</v>
      </c>
      <c r="N1925" s="13">
        <v>22627.57</v>
      </c>
      <c r="O1925" s="13">
        <v>14800</v>
      </c>
      <c r="P1925" s="11">
        <v>1</v>
      </c>
    </row>
    <row r="1926" spans="1:16" ht="15" thickBot="1" x14ac:dyDescent="0.3">
      <c r="A1926" s="3" t="s">
        <v>11</v>
      </c>
      <c r="B1926" s="4">
        <v>856189</v>
      </c>
      <c r="C1926" s="3" t="s">
        <v>9</v>
      </c>
      <c r="D1926" s="18">
        <v>0.1</v>
      </c>
      <c r="E1926" s="21">
        <v>7.9741404289037643E-3</v>
      </c>
      <c r="F1926" s="5">
        <v>43447</v>
      </c>
      <c r="G1926" s="5">
        <v>43810</v>
      </c>
      <c r="H1926" s="16">
        <v>363</v>
      </c>
      <c r="I1926" s="5">
        <v>43872</v>
      </c>
      <c r="J1926" s="5">
        <v>43809</v>
      </c>
      <c r="K1926" s="16">
        <v>362</v>
      </c>
      <c r="L1926" s="13">
        <v>2765.56</v>
      </c>
      <c r="M1926" s="15">
        <v>240.67182122455696</v>
      </c>
      <c r="N1926" s="13">
        <v>1675.94</v>
      </c>
      <c r="O1926" s="13">
        <v>1675.94</v>
      </c>
      <c r="P1926" s="11">
        <v>1</v>
      </c>
    </row>
    <row r="1927" spans="1:16" ht="15" thickBot="1" x14ac:dyDescent="0.3">
      <c r="A1927" s="3" t="s">
        <v>11</v>
      </c>
      <c r="B1927" s="4">
        <v>661140</v>
      </c>
      <c r="C1927" s="3" t="s">
        <v>9</v>
      </c>
      <c r="D1927" s="18">
        <v>0.1</v>
      </c>
      <c r="E1927" s="21">
        <v>7.9741404289037643E-3</v>
      </c>
      <c r="F1927" s="5">
        <v>43448</v>
      </c>
      <c r="G1927" s="5">
        <v>45640</v>
      </c>
      <c r="H1927" s="16">
        <v>2192</v>
      </c>
      <c r="I1927" s="5">
        <v>45640</v>
      </c>
      <c r="J1927" s="5">
        <v>43644</v>
      </c>
      <c r="K1927" s="16">
        <v>196</v>
      </c>
      <c r="L1927" s="13">
        <v>26309</v>
      </c>
      <c r="M1927" s="15">
        <v>476.48723591185052</v>
      </c>
      <c r="N1927" s="13">
        <v>16951.63</v>
      </c>
      <c r="O1927" s="13">
        <v>0</v>
      </c>
      <c r="P1927" s="11">
        <v>1</v>
      </c>
    </row>
    <row r="1928" spans="1:16" ht="15" thickBot="1" x14ac:dyDescent="0.3">
      <c r="A1928" s="3" t="s">
        <v>11</v>
      </c>
      <c r="B1928" s="4">
        <v>428980</v>
      </c>
      <c r="C1928" s="3" t="s">
        <v>9</v>
      </c>
      <c r="D1928" s="18">
        <v>0.1</v>
      </c>
      <c r="E1928" s="21">
        <v>7.9741404289037643E-3</v>
      </c>
      <c r="F1928" s="5">
        <v>43451</v>
      </c>
      <c r="G1928" s="5">
        <v>45643</v>
      </c>
      <c r="H1928" s="16">
        <v>2192</v>
      </c>
      <c r="I1928" s="5">
        <v>45643</v>
      </c>
      <c r="J1928" s="5">
        <v>43747</v>
      </c>
      <c r="K1928" s="16">
        <v>296</v>
      </c>
      <c r="L1928" s="13">
        <v>12835.81</v>
      </c>
      <c r="M1928" s="15">
        <v>232.47176356340756</v>
      </c>
      <c r="N1928" s="13">
        <v>8299.2099999999991</v>
      </c>
      <c r="O1928" s="13">
        <v>0</v>
      </c>
      <c r="P1928" s="11">
        <v>1</v>
      </c>
    </row>
    <row r="1929" spans="1:16" ht="15" thickBot="1" x14ac:dyDescent="0.3">
      <c r="A1929" s="3" t="s">
        <v>11</v>
      </c>
      <c r="B1929" s="4">
        <v>633989</v>
      </c>
      <c r="C1929" s="3" t="s">
        <v>9</v>
      </c>
      <c r="D1929" s="18">
        <v>0.1</v>
      </c>
      <c r="E1929" s="21">
        <v>7.9741404289037643E-3</v>
      </c>
      <c r="F1929" s="5">
        <v>43451</v>
      </c>
      <c r="G1929" s="5">
        <v>43786</v>
      </c>
      <c r="H1929" s="16">
        <v>335</v>
      </c>
      <c r="I1929" s="5">
        <v>43847</v>
      </c>
      <c r="J1929" s="5">
        <v>43810</v>
      </c>
      <c r="K1929" s="16">
        <v>359</v>
      </c>
      <c r="L1929" s="13">
        <v>3000</v>
      </c>
      <c r="M1929" s="15">
        <v>281.86444859124686</v>
      </c>
      <c r="N1929" s="13">
        <v>1085.7</v>
      </c>
      <c r="O1929" s="13">
        <v>1085.7</v>
      </c>
      <c r="P1929" s="11">
        <v>1</v>
      </c>
    </row>
    <row r="1930" spans="1:16" ht="15" thickBot="1" x14ac:dyDescent="0.3">
      <c r="A1930" s="3" t="s">
        <v>11</v>
      </c>
      <c r="B1930" s="4">
        <v>696397</v>
      </c>
      <c r="C1930" s="3" t="s">
        <v>9</v>
      </c>
      <c r="D1930" s="18">
        <v>0.14000000000000001</v>
      </c>
      <c r="E1930" s="21">
        <v>1.0978851950173452E-2</v>
      </c>
      <c r="F1930" s="5">
        <v>43454</v>
      </c>
      <c r="G1930" s="5">
        <v>44185</v>
      </c>
      <c r="H1930" s="16">
        <v>731</v>
      </c>
      <c r="I1930" s="5">
        <v>44185</v>
      </c>
      <c r="J1930" s="5">
        <v>43810</v>
      </c>
      <c r="K1930" s="16">
        <v>356</v>
      </c>
      <c r="L1930" s="13">
        <v>2522.38</v>
      </c>
      <c r="M1930" s="15">
        <v>118.54455723623433</v>
      </c>
      <c r="N1930" s="13">
        <v>1855.22</v>
      </c>
      <c r="O1930" s="13">
        <v>1855.22</v>
      </c>
      <c r="P1930" s="11">
        <v>1</v>
      </c>
    </row>
    <row r="1931" spans="1:16" ht="15" thickBot="1" x14ac:dyDescent="0.3">
      <c r="A1931" s="3" t="s">
        <v>11</v>
      </c>
      <c r="B1931" s="4">
        <v>263681</v>
      </c>
      <c r="C1931" s="3" t="s">
        <v>9</v>
      </c>
      <c r="D1931" s="18">
        <v>0.1</v>
      </c>
      <c r="E1931" s="21">
        <v>7.9741404289037643E-3</v>
      </c>
      <c r="F1931" s="5">
        <v>43455</v>
      </c>
      <c r="G1931" s="5">
        <v>43820</v>
      </c>
      <c r="H1931" s="16">
        <v>365</v>
      </c>
      <c r="I1931" s="5">
        <v>43820</v>
      </c>
      <c r="J1931" s="5">
        <v>43810</v>
      </c>
      <c r="K1931" s="16">
        <v>355</v>
      </c>
      <c r="L1931" s="13">
        <v>4000</v>
      </c>
      <c r="M1931" s="15">
        <v>346.28130410222786</v>
      </c>
      <c r="N1931" s="13">
        <v>2346.9499999999998</v>
      </c>
      <c r="O1931" s="13">
        <v>163.69999999999999</v>
      </c>
      <c r="P1931" s="11">
        <v>1</v>
      </c>
    </row>
    <row r="1932" spans="1:16" ht="15" thickBot="1" x14ac:dyDescent="0.3">
      <c r="A1932" s="3" t="s">
        <v>11</v>
      </c>
      <c r="B1932" s="4">
        <v>734686</v>
      </c>
      <c r="C1932" s="3" t="s">
        <v>9</v>
      </c>
      <c r="D1932" s="18">
        <v>0.1</v>
      </c>
      <c r="E1932" s="21">
        <v>7.9741404289037643E-3</v>
      </c>
      <c r="F1932" s="5">
        <v>43461</v>
      </c>
      <c r="G1932" s="5">
        <v>44557</v>
      </c>
      <c r="H1932" s="16">
        <v>1096</v>
      </c>
      <c r="I1932" s="5">
        <v>44557</v>
      </c>
      <c r="J1932" s="5">
        <v>43773</v>
      </c>
      <c r="K1932" s="16">
        <v>312</v>
      </c>
      <c r="L1932" s="13">
        <v>4000</v>
      </c>
      <c r="M1932" s="15">
        <v>126.64349073252947</v>
      </c>
      <c r="N1932" s="13">
        <v>3542.74</v>
      </c>
      <c r="O1932" s="13">
        <v>0</v>
      </c>
      <c r="P1932" s="11">
        <v>1</v>
      </c>
    </row>
    <row r="1933" spans="1:16" ht="15" thickBot="1" x14ac:dyDescent="0.3">
      <c r="A1933" s="3" t="s">
        <v>11</v>
      </c>
      <c r="B1933" s="4">
        <v>12811</v>
      </c>
      <c r="C1933" s="3" t="s">
        <v>9</v>
      </c>
      <c r="D1933" s="18">
        <v>0.1</v>
      </c>
      <c r="E1933" s="21">
        <v>7.9741404289037643E-3</v>
      </c>
      <c r="F1933" s="5">
        <v>43468</v>
      </c>
      <c r="G1933" s="5">
        <v>43833</v>
      </c>
      <c r="H1933" s="16">
        <v>365</v>
      </c>
      <c r="I1933" s="5">
        <v>43833</v>
      </c>
      <c r="J1933" s="5">
        <v>43738</v>
      </c>
      <c r="K1933" s="16">
        <v>270</v>
      </c>
      <c r="L1933" s="13">
        <v>1000</v>
      </c>
      <c r="M1933" s="15">
        <v>86.570326025556966</v>
      </c>
      <c r="N1933" s="13">
        <v>471.92</v>
      </c>
      <c r="O1933" s="13">
        <v>471.92</v>
      </c>
      <c r="P1933" s="11">
        <v>1</v>
      </c>
    </row>
    <row r="1934" spans="1:16" ht="15" thickBot="1" x14ac:dyDescent="0.3">
      <c r="A1934" s="3" t="s">
        <v>11</v>
      </c>
      <c r="B1934" s="4">
        <v>274344</v>
      </c>
      <c r="C1934" s="3" t="s">
        <v>9</v>
      </c>
      <c r="D1934" s="18">
        <v>0.1</v>
      </c>
      <c r="E1934" s="21">
        <v>7.9741404289037643E-3</v>
      </c>
      <c r="F1934" s="5">
        <v>43469</v>
      </c>
      <c r="G1934" s="5">
        <v>45661</v>
      </c>
      <c r="H1934" s="16">
        <v>2192</v>
      </c>
      <c r="I1934" s="5">
        <v>45661</v>
      </c>
      <c r="J1934" s="5">
        <v>43829</v>
      </c>
      <c r="K1934" s="16">
        <v>360</v>
      </c>
      <c r="L1934" s="13">
        <v>6916.34</v>
      </c>
      <c r="M1934" s="15">
        <v>125.26313159856203</v>
      </c>
      <c r="N1934" s="13">
        <v>6498.22</v>
      </c>
      <c r="O1934" s="13">
        <v>54.26</v>
      </c>
      <c r="P1934" s="11">
        <v>1</v>
      </c>
    </row>
    <row r="1935" spans="1:16" ht="15" thickBot="1" x14ac:dyDescent="0.3">
      <c r="A1935" s="3" t="s">
        <v>11</v>
      </c>
      <c r="B1935" s="4">
        <v>517191</v>
      </c>
      <c r="C1935" s="3" t="s">
        <v>9</v>
      </c>
      <c r="D1935" s="18">
        <v>0.1</v>
      </c>
      <c r="E1935" s="21">
        <v>7.9741404289037643E-3</v>
      </c>
      <c r="F1935" s="5">
        <v>43479</v>
      </c>
      <c r="G1935" s="5">
        <v>45671</v>
      </c>
      <c r="H1935" s="16">
        <v>2192</v>
      </c>
      <c r="I1935" s="5">
        <v>45866</v>
      </c>
      <c r="J1935" s="5">
        <v>44742</v>
      </c>
      <c r="K1935" s="16">
        <v>1263</v>
      </c>
      <c r="L1935" s="13">
        <v>20411.810000000001</v>
      </c>
      <c r="M1935" s="15">
        <v>369.68212120787069</v>
      </c>
      <c r="N1935" s="13">
        <v>14685.61</v>
      </c>
      <c r="O1935" s="13">
        <v>6600</v>
      </c>
      <c r="P1935" s="11">
        <v>1</v>
      </c>
    </row>
    <row r="1936" spans="1:16" ht="15" thickBot="1" x14ac:dyDescent="0.3">
      <c r="A1936" s="3" t="s">
        <v>11</v>
      </c>
      <c r="B1936" s="4">
        <v>271772</v>
      </c>
      <c r="C1936" s="3" t="s">
        <v>9</v>
      </c>
      <c r="D1936" s="18">
        <v>0.1</v>
      </c>
      <c r="E1936" s="21">
        <v>7.9741404289037643E-3</v>
      </c>
      <c r="F1936" s="5">
        <v>42556</v>
      </c>
      <c r="G1936" s="5">
        <v>44747</v>
      </c>
      <c r="H1936" s="16">
        <v>2191</v>
      </c>
      <c r="I1936" s="5">
        <v>44778</v>
      </c>
      <c r="J1936" s="5">
        <v>43787</v>
      </c>
      <c r="K1936" s="16">
        <v>1231</v>
      </c>
      <c r="L1936" s="13">
        <v>17387.91</v>
      </c>
      <c r="M1936" s="15">
        <v>315.02173908128782</v>
      </c>
      <c r="N1936" s="13">
        <v>6006.95</v>
      </c>
      <c r="O1936" s="13">
        <v>0</v>
      </c>
      <c r="P1936" s="11">
        <v>1</v>
      </c>
    </row>
    <row r="1937" spans="1:16" ht="15" thickBot="1" x14ac:dyDescent="0.3">
      <c r="A1937" s="3" t="s">
        <v>11</v>
      </c>
      <c r="B1937" s="4">
        <v>24920</v>
      </c>
      <c r="C1937" s="3" t="s">
        <v>9</v>
      </c>
      <c r="D1937" s="18">
        <v>0.11</v>
      </c>
      <c r="E1937" s="21">
        <v>8.7345938235519061E-3</v>
      </c>
      <c r="F1937" s="5">
        <v>35409</v>
      </c>
      <c r="G1937" s="5">
        <v>36692</v>
      </c>
      <c r="H1937" s="16">
        <v>1283</v>
      </c>
      <c r="I1937" s="5">
        <v>36784</v>
      </c>
      <c r="J1937" s="5">
        <v>36164</v>
      </c>
      <c r="K1937" s="16">
        <v>755</v>
      </c>
      <c r="L1937" s="13">
        <v>7670</v>
      </c>
      <c r="M1937" s="15">
        <v>215.69621876354134</v>
      </c>
      <c r="N1937" s="13">
        <v>3324.92</v>
      </c>
      <c r="O1937" s="13">
        <v>0</v>
      </c>
      <c r="P1937" s="11">
        <v>0</v>
      </c>
    </row>
    <row r="1938" spans="1:16" ht="15" thickBot="1" x14ac:dyDescent="0.3">
      <c r="A1938" s="3" t="s">
        <v>11</v>
      </c>
      <c r="B1938" s="4">
        <v>618248</v>
      </c>
      <c r="C1938" s="3" t="s">
        <v>9</v>
      </c>
      <c r="D1938" s="18">
        <v>9.7500000000000003E-2</v>
      </c>
      <c r="E1938" s="21">
        <v>7.7830370878799737E-3</v>
      </c>
      <c r="F1938" s="5">
        <v>35507</v>
      </c>
      <c r="G1938" s="5">
        <v>36239</v>
      </c>
      <c r="H1938" s="16">
        <v>732</v>
      </c>
      <c r="I1938" s="5">
        <v>36239</v>
      </c>
      <c r="J1938" s="5">
        <v>36201</v>
      </c>
      <c r="K1938" s="16">
        <v>694</v>
      </c>
      <c r="L1938" s="13">
        <v>2045</v>
      </c>
      <c r="M1938" s="15">
        <v>92.346122344830832</v>
      </c>
      <c r="N1938" s="13">
        <v>810.04</v>
      </c>
      <c r="O1938" s="13">
        <v>0</v>
      </c>
      <c r="P1938" s="11">
        <v>0</v>
      </c>
    </row>
    <row r="1939" spans="1:16" ht="15" thickBot="1" x14ac:dyDescent="0.3">
      <c r="A1939" s="3" t="s">
        <v>11</v>
      </c>
      <c r="B1939" s="4">
        <v>896900</v>
      </c>
      <c r="C1939" s="3" t="s">
        <v>9</v>
      </c>
      <c r="D1939" s="18">
        <v>0.1</v>
      </c>
      <c r="E1939" s="21">
        <v>7.9741404289037643E-3</v>
      </c>
      <c r="F1939" s="5">
        <v>36314</v>
      </c>
      <c r="G1939" s="5">
        <v>38141</v>
      </c>
      <c r="H1939" s="16">
        <v>1827</v>
      </c>
      <c r="I1939" s="5">
        <v>38645</v>
      </c>
      <c r="J1939" s="5">
        <v>37609</v>
      </c>
      <c r="K1939" s="16">
        <v>1295</v>
      </c>
      <c r="L1939" s="13">
        <v>9610.16</v>
      </c>
      <c r="M1939" s="15">
        <v>199.82397290277044</v>
      </c>
      <c r="N1939" s="13">
        <v>4217.08</v>
      </c>
      <c r="O1939" s="13">
        <v>1460</v>
      </c>
      <c r="P1939" s="11">
        <v>0</v>
      </c>
    </row>
    <row r="1940" spans="1:16" ht="15" thickBot="1" x14ac:dyDescent="0.3">
      <c r="A1940" s="3" t="s">
        <v>11</v>
      </c>
      <c r="B1940" s="4">
        <v>886500</v>
      </c>
      <c r="C1940" s="3" t="s">
        <v>9</v>
      </c>
      <c r="D1940" s="18">
        <v>8.2500000000000004E-2</v>
      </c>
      <c r="E1940" s="21">
        <v>6.6279668043680573E-3</v>
      </c>
      <c r="F1940" s="5">
        <v>36329</v>
      </c>
      <c r="G1940" s="5">
        <v>37787</v>
      </c>
      <c r="H1940" s="16">
        <v>1458</v>
      </c>
      <c r="I1940" s="5">
        <v>37848</v>
      </c>
      <c r="J1940" s="5">
        <v>36795</v>
      </c>
      <c r="K1940" s="16">
        <v>466</v>
      </c>
      <c r="L1940" s="13">
        <v>9210.36</v>
      </c>
      <c r="M1940" s="15">
        <v>222.29438104718406</v>
      </c>
      <c r="N1940" s="13">
        <v>7200</v>
      </c>
      <c r="O1940" s="13">
        <v>0</v>
      </c>
      <c r="P1940" s="11">
        <v>0</v>
      </c>
    </row>
    <row r="1941" spans="1:16" ht="15" thickBot="1" x14ac:dyDescent="0.3">
      <c r="A1941" s="3" t="s">
        <v>11</v>
      </c>
      <c r="B1941" s="4">
        <v>349313</v>
      </c>
      <c r="C1941" s="3" t="s">
        <v>2</v>
      </c>
      <c r="D1941" s="18">
        <v>9.2499999999999999E-2</v>
      </c>
      <c r="E1941" s="21">
        <v>7.3996302871768282E-3</v>
      </c>
      <c r="F1941" s="5">
        <v>36453</v>
      </c>
      <c r="G1941" s="5">
        <v>38280</v>
      </c>
      <c r="H1941" s="16">
        <v>1827</v>
      </c>
      <c r="I1941" s="5">
        <v>39309</v>
      </c>
      <c r="J1941" s="5">
        <v>39351</v>
      </c>
      <c r="K1941" s="16">
        <v>2898</v>
      </c>
      <c r="L1941" s="13">
        <v>76000</v>
      </c>
      <c r="M1941" s="15">
        <v>1554.7156226230834</v>
      </c>
      <c r="N1941" s="13">
        <v>42427.63</v>
      </c>
      <c r="O1941" s="13">
        <v>0</v>
      </c>
      <c r="P1941" s="11">
        <v>0</v>
      </c>
    </row>
    <row r="1942" spans="1:16" ht="15" thickBot="1" x14ac:dyDescent="0.3">
      <c r="A1942" s="3" t="s">
        <v>11</v>
      </c>
      <c r="B1942" s="4">
        <v>469561</v>
      </c>
      <c r="C1942" s="3" t="s">
        <v>9</v>
      </c>
      <c r="D1942" s="18">
        <v>8.2500000000000004E-2</v>
      </c>
      <c r="E1942" s="21">
        <v>6.6279668043680573E-3</v>
      </c>
      <c r="F1942" s="5">
        <v>36446</v>
      </c>
      <c r="G1942" s="5">
        <v>38645</v>
      </c>
      <c r="H1942" s="16">
        <v>2199</v>
      </c>
      <c r="I1942" s="5">
        <v>38676</v>
      </c>
      <c r="J1942" s="5">
        <v>37237</v>
      </c>
      <c r="K1942" s="16">
        <v>791</v>
      </c>
      <c r="L1942" s="13">
        <v>24828.78</v>
      </c>
      <c r="M1942" s="15">
        <v>428.74644317274522</v>
      </c>
      <c r="N1942" s="13">
        <v>13000</v>
      </c>
      <c r="O1942" s="13">
        <v>0</v>
      </c>
      <c r="P1942" s="11">
        <v>0</v>
      </c>
    </row>
    <row r="1943" spans="1:16" ht="15" thickBot="1" x14ac:dyDescent="0.3">
      <c r="A1943" s="3" t="s">
        <v>11</v>
      </c>
      <c r="B1943" s="4">
        <v>791548</v>
      </c>
      <c r="C1943" s="3" t="s">
        <v>9</v>
      </c>
      <c r="D1943" s="18">
        <v>0.09</v>
      </c>
      <c r="E1943" s="21">
        <v>7.2073233161367156E-3</v>
      </c>
      <c r="F1943" s="5">
        <v>36447</v>
      </c>
      <c r="G1943" s="5">
        <v>37914</v>
      </c>
      <c r="H1943" s="16">
        <v>1467</v>
      </c>
      <c r="I1943" s="5">
        <v>37975</v>
      </c>
      <c r="J1943" s="5">
        <v>37663</v>
      </c>
      <c r="K1943" s="16">
        <v>1216</v>
      </c>
      <c r="L1943" s="13">
        <v>7056</v>
      </c>
      <c r="M1943" s="15">
        <v>171.72647424031211</v>
      </c>
      <c r="N1943" s="13">
        <v>1155.99</v>
      </c>
      <c r="O1943" s="13">
        <v>0</v>
      </c>
      <c r="P1943" s="11">
        <v>0</v>
      </c>
    </row>
    <row r="1944" spans="1:16" ht="15" thickBot="1" x14ac:dyDescent="0.3">
      <c r="A1944" s="3" t="s">
        <v>11</v>
      </c>
      <c r="B1944" s="4">
        <v>362889</v>
      </c>
      <c r="C1944" s="3" t="s">
        <v>9</v>
      </c>
      <c r="D1944" s="18">
        <v>8.2500000000000004E-2</v>
      </c>
      <c r="E1944" s="21">
        <v>6.6279668043680573E-3</v>
      </c>
      <c r="F1944" s="5">
        <v>36465</v>
      </c>
      <c r="G1944" s="5">
        <v>38285</v>
      </c>
      <c r="H1944" s="16">
        <v>1820</v>
      </c>
      <c r="I1944" s="5">
        <v>38408</v>
      </c>
      <c r="J1944" s="5">
        <v>38237</v>
      </c>
      <c r="K1944" s="16">
        <v>1772</v>
      </c>
      <c r="L1944" s="13">
        <v>15219.84</v>
      </c>
      <c r="M1944" s="15">
        <v>305.5053072459703</v>
      </c>
      <c r="N1944" s="13">
        <v>3297.88</v>
      </c>
      <c r="O1944" s="13">
        <v>200</v>
      </c>
      <c r="P1944" s="11">
        <v>0</v>
      </c>
    </row>
    <row r="1945" spans="1:16" ht="15" thickBot="1" x14ac:dyDescent="0.3">
      <c r="A1945" s="3" t="s">
        <v>11</v>
      </c>
      <c r="B1945" s="4">
        <v>107562</v>
      </c>
      <c r="C1945" s="3" t="s">
        <v>9</v>
      </c>
      <c r="D1945" s="18">
        <v>8.5000000000000006E-2</v>
      </c>
      <c r="E1945" s="21">
        <v>6.8214933659622723E-3</v>
      </c>
      <c r="F1945" s="5">
        <v>36570</v>
      </c>
      <c r="G1945" s="5">
        <v>38051</v>
      </c>
      <c r="H1945" s="16">
        <v>1481</v>
      </c>
      <c r="I1945" s="5">
        <v>40071</v>
      </c>
      <c r="J1945" s="5">
        <v>38329</v>
      </c>
      <c r="K1945" s="16">
        <v>1759</v>
      </c>
      <c r="L1945" s="13">
        <v>14850</v>
      </c>
      <c r="M1945" s="15">
        <v>355.31246567368618</v>
      </c>
      <c r="N1945" s="13">
        <v>8125.68</v>
      </c>
      <c r="O1945" s="13">
        <v>1441.71</v>
      </c>
      <c r="P1945" s="11">
        <v>0</v>
      </c>
    </row>
    <row r="1946" spans="1:16" ht="15" thickBot="1" x14ac:dyDescent="0.3">
      <c r="A1946" s="3" t="s">
        <v>11</v>
      </c>
      <c r="B1946" s="4">
        <v>770446</v>
      </c>
      <c r="C1946" s="3" t="s">
        <v>9</v>
      </c>
      <c r="D1946" s="18">
        <v>4.58E-2</v>
      </c>
      <c r="E1946" s="21">
        <v>3.7388172355212745E-3</v>
      </c>
      <c r="F1946" s="5">
        <v>36720</v>
      </c>
      <c r="G1946" s="5">
        <v>38188</v>
      </c>
      <c r="H1946" s="16">
        <v>1468</v>
      </c>
      <c r="I1946" s="5">
        <v>40653</v>
      </c>
      <c r="J1946" s="5">
        <v>37413</v>
      </c>
      <c r="K1946" s="16">
        <v>693</v>
      </c>
      <c r="L1946" s="13">
        <v>10056</v>
      </c>
      <c r="M1946" s="15">
        <v>225.25862043846055</v>
      </c>
      <c r="N1946" s="13">
        <v>6171.23</v>
      </c>
      <c r="O1946" s="13">
        <v>0</v>
      </c>
      <c r="P1946" s="11">
        <v>0</v>
      </c>
    </row>
    <row r="1947" spans="1:16" ht="15" thickBot="1" x14ac:dyDescent="0.3">
      <c r="A1947" s="3" t="s">
        <v>11</v>
      </c>
      <c r="B1947" s="4">
        <v>781207</v>
      </c>
      <c r="C1947" s="3" t="s">
        <v>16</v>
      </c>
      <c r="D1947" s="18">
        <v>0.105</v>
      </c>
      <c r="E1947" s="21">
        <v>8.355155683635207E-3</v>
      </c>
      <c r="F1947" s="5">
        <v>36775</v>
      </c>
      <c r="G1947" s="5">
        <v>37516</v>
      </c>
      <c r="H1947" s="16">
        <v>741</v>
      </c>
      <c r="I1947" s="5">
        <v>37516</v>
      </c>
      <c r="J1947" s="5">
        <v>37413</v>
      </c>
      <c r="K1947" s="16">
        <v>638</v>
      </c>
      <c r="L1947" s="13">
        <v>1650</v>
      </c>
      <c r="M1947" s="15">
        <v>74.209241384992723</v>
      </c>
      <c r="N1947" s="13">
        <v>650.75</v>
      </c>
      <c r="O1947" s="13">
        <v>0</v>
      </c>
      <c r="P1947" s="11">
        <v>0</v>
      </c>
    </row>
    <row r="1948" spans="1:16" ht="15" thickBot="1" x14ac:dyDescent="0.3">
      <c r="A1948" s="3" t="s">
        <v>11</v>
      </c>
      <c r="B1948" s="4">
        <v>219383</v>
      </c>
      <c r="C1948" s="3" t="s">
        <v>12</v>
      </c>
      <c r="D1948" s="18">
        <v>0.14249999999999999</v>
      </c>
      <c r="E1948" s="21">
        <v>1.1163421416801933E-2</v>
      </c>
      <c r="F1948" s="5">
        <v>36999</v>
      </c>
      <c r="G1948" s="5">
        <v>37726</v>
      </c>
      <c r="H1948" s="16">
        <v>727</v>
      </c>
      <c r="I1948" s="5">
        <v>37756</v>
      </c>
      <c r="J1948" s="5">
        <v>37413</v>
      </c>
      <c r="K1948" s="16">
        <v>414</v>
      </c>
      <c r="L1948" s="13">
        <v>1998.1</v>
      </c>
      <c r="M1948" s="15">
        <v>94.564203475745629</v>
      </c>
      <c r="N1948" s="13">
        <v>1472.87</v>
      </c>
      <c r="O1948" s="13">
        <v>3.46</v>
      </c>
      <c r="P1948" s="11">
        <v>0</v>
      </c>
    </row>
    <row r="1949" spans="1:16" ht="15" thickBot="1" x14ac:dyDescent="0.3">
      <c r="A1949" s="3" t="s">
        <v>11</v>
      </c>
      <c r="B1949" s="4">
        <v>754631</v>
      </c>
      <c r="C1949" s="3" t="s">
        <v>9</v>
      </c>
      <c r="D1949" s="18">
        <v>8.5000000000000006E-2</v>
      </c>
      <c r="E1949" s="21">
        <v>6.8214933659622723E-3</v>
      </c>
      <c r="F1949" s="5">
        <v>37575</v>
      </c>
      <c r="G1949" s="5">
        <v>39406</v>
      </c>
      <c r="H1949" s="16">
        <v>1831</v>
      </c>
      <c r="I1949" s="5">
        <v>39436</v>
      </c>
      <c r="J1949" s="5">
        <v>38142</v>
      </c>
      <c r="K1949" s="16">
        <v>567</v>
      </c>
      <c r="L1949" s="13">
        <v>11028.08</v>
      </c>
      <c r="M1949" s="15">
        <v>221.51276420640704</v>
      </c>
      <c r="N1949" s="13">
        <v>5746.55</v>
      </c>
      <c r="O1949" s="13">
        <v>1760.81</v>
      </c>
      <c r="P1949" s="11">
        <v>0</v>
      </c>
    </row>
    <row r="1950" spans="1:16" ht="15" thickBot="1" x14ac:dyDescent="0.3">
      <c r="A1950" s="3" t="s">
        <v>11</v>
      </c>
      <c r="B1950" s="4">
        <v>574224</v>
      </c>
      <c r="C1950" s="3" t="s">
        <v>9</v>
      </c>
      <c r="D1950" s="18">
        <v>7.7499999999999999E-2</v>
      </c>
      <c r="E1950" s="21">
        <v>6.2396814612857288E-3</v>
      </c>
      <c r="F1950" s="5">
        <v>38006</v>
      </c>
      <c r="G1950" s="5">
        <v>39833</v>
      </c>
      <c r="H1950" s="16">
        <v>1827</v>
      </c>
      <c r="I1950" s="5">
        <v>39864</v>
      </c>
      <c r="J1950" s="5">
        <v>38496</v>
      </c>
      <c r="K1950" s="16">
        <v>490</v>
      </c>
      <c r="L1950" s="13">
        <v>13065</v>
      </c>
      <c r="M1950" s="15">
        <v>258.5286853457967</v>
      </c>
      <c r="N1950" s="13">
        <v>2180.5300000000002</v>
      </c>
      <c r="O1950" s="13">
        <v>0.05</v>
      </c>
      <c r="P1950" s="11">
        <v>0</v>
      </c>
    </row>
    <row r="1951" spans="1:16" ht="15" thickBot="1" x14ac:dyDescent="0.3">
      <c r="A1951" s="3" t="s">
        <v>11</v>
      </c>
      <c r="B1951" s="4">
        <v>421210</v>
      </c>
      <c r="C1951" s="3" t="s">
        <v>9</v>
      </c>
      <c r="D1951" s="18">
        <v>0.129</v>
      </c>
      <c r="E1951" s="21">
        <v>1.0162312880815705E-2</v>
      </c>
      <c r="F1951" s="5">
        <v>38250</v>
      </c>
      <c r="G1951" s="5">
        <v>38289</v>
      </c>
      <c r="H1951" s="16">
        <v>39</v>
      </c>
      <c r="I1951" s="5">
        <v>39161</v>
      </c>
      <c r="J1951" s="5">
        <v>38617</v>
      </c>
      <c r="K1951" s="16">
        <v>367</v>
      </c>
      <c r="L1951" s="13">
        <v>17100</v>
      </c>
      <c r="M1951" s="15">
        <v>13307.648394338059</v>
      </c>
      <c r="N1951" s="13">
        <v>17100</v>
      </c>
      <c r="O1951" s="13">
        <v>0</v>
      </c>
      <c r="P1951" s="11">
        <v>0</v>
      </c>
    </row>
    <row r="1952" spans="1:16" ht="15" thickBot="1" x14ac:dyDescent="0.3">
      <c r="A1952" s="3" t="s">
        <v>11</v>
      </c>
      <c r="B1952" s="4">
        <v>556570</v>
      </c>
      <c r="C1952" s="3" t="s">
        <v>9</v>
      </c>
      <c r="D1952" s="18">
        <v>8.5000000000000006E-2</v>
      </c>
      <c r="E1952" s="21">
        <v>6.8214933659622723E-3</v>
      </c>
      <c r="F1952" s="5">
        <v>38432</v>
      </c>
      <c r="G1952" s="5">
        <v>39893</v>
      </c>
      <c r="H1952" s="16">
        <v>1461</v>
      </c>
      <c r="I1952" s="5">
        <v>39893</v>
      </c>
      <c r="J1952" s="5">
        <v>38916</v>
      </c>
      <c r="K1952" s="16">
        <v>484</v>
      </c>
      <c r="L1952" s="13">
        <v>15875</v>
      </c>
      <c r="M1952" s="15">
        <v>384.21382190015407</v>
      </c>
      <c r="N1952" s="13">
        <v>7500</v>
      </c>
      <c r="O1952" s="13">
        <v>0</v>
      </c>
      <c r="P1952" s="11">
        <v>0</v>
      </c>
    </row>
    <row r="1953" spans="1:16" ht="15" thickBot="1" x14ac:dyDescent="0.3">
      <c r="A1953" s="3" t="s">
        <v>11</v>
      </c>
      <c r="B1953" s="4">
        <v>145912</v>
      </c>
      <c r="C1953" s="3" t="s">
        <v>9</v>
      </c>
      <c r="D1953" s="18">
        <v>9.6500000000000002E-2</v>
      </c>
      <c r="E1953" s="21">
        <v>7.706484001444025E-3</v>
      </c>
      <c r="F1953" s="5">
        <v>38770</v>
      </c>
      <c r="G1953" s="5">
        <v>40596</v>
      </c>
      <c r="H1953" s="16">
        <v>1826</v>
      </c>
      <c r="I1953" s="5">
        <v>41174</v>
      </c>
      <c r="J1953" s="5">
        <v>40442</v>
      </c>
      <c r="K1953" s="16">
        <v>1672</v>
      </c>
      <c r="L1953" s="13">
        <v>33863.69</v>
      </c>
      <c r="M1953" s="15">
        <v>699.10973796306519</v>
      </c>
      <c r="N1953" s="13">
        <v>12104</v>
      </c>
      <c r="O1953" s="13">
        <v>4289.5200000000004</v>
      </c>
      <c r="P1953" s="11">
        <v>0</v>
      </c>
    </row>
    <row r="1954" spans="1:16" ht="15" thickBot="1" x14ac:dyDescent="0.3">
      <c r="A1954" s="3" t="s">
        <v>11</v>
      </c>
      <c r="B1954" s="4">
        <v>356560</v>
      </c>
      <c r="C1954" s="3" t="s">
        <v>9</v>
      </c>
      <c r="D1954" s="18">
        <v>0.11899999999999999</v>
      </c>
      <c r="E1954" s="21">
        <v>9.4136514064584453E-3</v>
      </c>
      <c r="F1954" s="5">
        <v>38868</v>
      </c>
      <c r="G1954" s="5">
        <v>39963</v>
      </c>
      <c r="H1954" s="16">
        <v>1095</v>
      </c>
      <c r="I1954" s="5">
        <v>39963</v>
      </c>
      <c r="J1954" s="5">
        <v>39504</v>
      </c>
      <c r="K1954" s="16">
        <v>636</v>
      </c>
      <c r="L1954" s="13">
        <v>4406.25</v>
      </c>
      <c r="M1954" s="15">
        <v>143.2057656776565</v>
      </c>
      <c r="N1954" s="13">
        <v>3031.46</v>
      </c>
      <c r="O1954" s="13">
        <v>3232.32</v>
      </c>
      <c r="P1954" s="11">
        <v>0</v>
      </c>
    </row>
    <row r="1955" spans="1:16" ht="15" thickBot="1" x14ac:dyDescent="0.3">
      <c r="A1955" s="3" t="s">
        <v>11</v>
      </c>
      <c r="B1955" s="4">
        <v>882131</v>
      </c>
      <c r="C1955" s="3" t="s">
        <v>5</v>
      </c>
      <c r="D1955" s="18">
        <v>0.08</v>
      </c>
      <c r="E1955" s="21">
        <v>6.4340301100034303E-3</v>
      </c>
      <c r="F1955" s="5">
        <v>38915</v>
      </c>
      <c r="G1955" s="5">
        <v>39280</v>
      </c>
      <c r="H1955" s="16">
        <v>365</v>
      </c>
      <c r="I1955" s="5">
        <v>40560</v>
      </c>
      <c r="J1955" s="5">
        <v>40561</v>
      </c>
      <c r="K1955" s="16">
        <v>1646</v>
      </c>
      <c r="L1955" s="13">
        <v>1209043</v>
      </c>
      <c r="M1955" s="15">
        <v>103632.82869875045</v>
      </c>
      <c r="N1955" s="13">
        <v>718730.1</v>
      </c>
      <c r="O1955" s="13">
        <v>0</v>
      </c>
      <c r="P1955" s="11">
        <v>0</v>
      </c>
    </row>
    <row r="1956" spans="1:16" ht="15" thickBot="1" x14ac:dyDescent="0.3">
      <c r="A1956" s="3" t="s">
        <v>11</v>
      </c>
      <c r="B1956" s="4">
        <v>175737</v>
      </c>
      <c r="C1956" s="3" t="s">
        <v>9</v>
      </c>
      <c r="D1956" s="18">
        <v>9.6500000000000002E-2</v>
      </c>
      <c r="E1956" s="21">
        <v>7.706484001444025E-3</v>
      </c>
      <c r="F1956" s="5">
        <v>38982</v>
      </c>
      <c r="G1956" s="5">
        <v>40811</v>
      </c>
      <c r="H1956" s="16">
        <v>1829</v>
      </c>
      <c r="I1956" s="5">
        <v>40902</v>
      </c>
      <c r="J1956" s="5">
        <v>40084</v>
      </c>
      <c r="K1956" s="16">
        <v>1102</v>
      </c>
      <c r="L1956" s="13">
        <v>21182.44</v>
      </c>
      <c r="M1956" s="15">
        <v>436.74493884588674</v>
      </c>
      <c r="N1956" s="13">
        <v>10000</v>
      </c>
      <c r="O1956" s="13">
        <v>0</v>
      </c>
      <c r="P1956" s="11">
        <v>0</v>
      </c>
    </row>
    <row r="1957" spans="1:16" ht="15" thickBot="1" x14ac:dyDescent="0.3">
      <c r="A1957" s="3" t="s">
        <v>11</v>
      </c>
      <c r="B1957" s="4">
        <v>741625</v>
      </c>
      <c r="C1957" s="3" t="s">
        <v>9</v>
      </c>
      <c r="D1957" s="18">
        <v>6.8900000000000003E-2</v>
      </c>
      <c r="E1957" s="21">
        <v>5.5679505949390862E-3</v>
      </c>
      <c r="F1957" s="5">
        <v>38996</v>
      </c>
      <c r="G1957" s="5">
        <v>40457</v>
      </c>
      <c r="H1957" s="16">
        <v>1461</v>
      </c>
      <c r="I1957" s="5">
        <v>40700</v>
      </c>
      <c r="J1957" s="5">
        <v>40721</v>
      </c>
      <c r="K1957" s="16">
        <v>1725</v>
      </c>
      <c r="L1957" s="13">
        <v>29095.05</v>
      </c>
      <c r="M1957" s="15">
        <v>683.74194532434387</v>
      </c>
      <c r="N1957" s="13">
        <v>12300</v>
      </c>
      <c r="O1957" s="13">
        <v>0</v>
      </c>
      <c r="P1957" s="11">
        <v>0</v>
      </c>
    </row>
    <row r="1958" spans="1:16" ht="15" thickBot="1" x14ac:dyDescent="0.3">
      <c r="A1958" s="3" t="s">
        <v>11</v>
      </c>
      <c r="B1958" s="4">
        <v>182609</v>
      </c>
      <c r="C1958" s="3" t="s">
        <v>9</v>
      </c>
      <c r="D1958" s="18">
        <v>6.8900000000000003E-2</v>
      </c>
      <c r="E1958" s="21">
        <v>5.5679505949390862E-3</v>
      </c>
      <c r="F1958" s="5">
        <v>39115</v>
      </c>
      <c r="G1958" s="5">
        <v>40954</v>
      </c>
      <c r="H1958" s="16">
        <v>1839</v>
      </c>
      <c r="I1958" s="5">
        <v>40983</v>
      </c>
      <c r="J1958" s="5">
        <v>40358</v>
      </c>
      <c r="K1958" s="16">
        <v>1243</v>
      </c>
      <c r="L1958" s="13">
        <v>37677.58</v>
      </c>
      <c r="M1958" s="15">
        <v>727.18438185228524</v>
      </c>
      <c r="N1958" s="13">
        <v>15559.63</v>
      </c>
      <c r="O1958" s="13">
        <v>0</v>
      </c>
      <c r="P1958" s="11">
        <v>0</v>
      </c>
    </row>
    <row r="1959" spans="1:16" ht="15" thickBot="1" x14ac:dyDescent="0.3">
      <c r="A1959" s="3" t="s">
        <v>11</v>
      </c>
      <c r="B1959" s="4">
        <v>72407</v>
      </c>
      <c r="C1959" s="3" t="s">
        <v>7</v>
      </c>
      <c r="D1959" s="18">
        <v>5.2690000000000001E-2</v>
      </c>
      <c r="E1959" s="21">
        <v>4.28823434639658E-3</v>
      </c>
      <c r="F1959" s="5">
        <v>39149</v>
      </c>
      <c r="G1959" s="5">
        <v>40247</v>
      </c>
      <c r="H1959" s="16">
        <v>1098</v>
      </c>
      <c r="I1959" s="5">
        <v>41713</v>
      </c>
      <c r="J1959" s="5">
        <v>40900</v>
      </c>
      <c r="K1959" s="16">
        <v>1751</v>
      </c>
      <c r="L1959" s="13">
        <v>329662</v>
      </c>
      <c r="M1959" s="15">
        <v>9751.733511661816</v>
      </c>
      <c r="N1959" s="13">
        <v>247876.56</v>
      </c>
      <c r="O1959" s="13">
        <v>0</v>
      </c>
      <c r="P1959" s="11">
        <v>0</v>
      </c>
    </row>
    <row r="1960" spans="1:16" ht="15" thickBot="1" x14ac:dyDescent="0.3">
      <c r="A1960" s="3" t="s">
        <v>11</v>
      </c>
      <c r="B1960" s="4">
        <v>352036</v>
      </c>
      <c r="C1960" s="3" t="s">
        <v>9</v>
      </c>
      <c r="D1960" s="18">
        <v>0.114</v>
      </c>
      <c r="E1960" s="21">
        <v>9.0370179501075842E-3</v>
      </c>
      <c r="F1960" s="5">
        <v>39213</v>
      </c>
      <c r="G1960" s="5">
        <v>39763</v>
      </c>
      <c r="H1960" s="16">
        <v>550</v>
      </c>
      <c r="I1960" s="5">
        <v>39763</v>
      </c>
      <c r="J1960" s="5">
        <v>39429</v>
      </c>
      <c r="K1960" s="16">
        <v>216</v>
      </c>
      <c r="L1960" s="13">
        <v>1318.75</v>
      </c>
      <c r="M1960" s="15">
        <v>78.378866421691967</v>
      </c>
      <c r="N1960" s="13">
        <v>1226.4100000000001</v>
      </c>
      <c r="O1960" s="13">
        <v>0</v>
      </c>
      <c r="P1960" s="11">
        <v>0</v>
      </c>
    </row>
    <row r="1961" spans="1:16" ht="15" thickBot="1" x14ac:dyDescent="0.3">
      <c r="A1961" s="3" t="s">
        <v>11</v>
      </c>
      <c r="B1961" s="4">
        <v>698318</v>
      </c>
      <c r="C1961" s="3" t="s">
        <v>9</v>
      </c>
      <c r="D1961" s="18">
        <v>9.4E-2</v>
      </c>
      <c r="E1961" s="21">
        <v>7.5148209323356863E-3</v>
      </c>
      <c r="F1961" s="5">
        <v>39232</v>
      </c>
      <c r="G1961" s="5">
        <v>40688</v>
      </c>
      <c r="H1961" s="16">
        <v>1456</v>
      </c>
      <c r="I1961" s="5">
        <v>40933</v>
      </c>
      <c r="J1961" s="5">
        <v>40015</v>
      </c>
      <c r="K1961" s="16">
        <v>783</v>
      </c>
      <c r="L1961" s="13">
        <v>17080</v>
      </c>
      <c r="M1961" s="15">
        <v>421.29827943283351</v>
      </c>
      <c r="N1961" s="13">
        <v>7333</v>
      </c>
      <c r="O1961" s="13">
        <v>100</v>
      </c>
      <c r="P1961" s="11">
        <v>0</v>
      </c>
    </row>
    <row r="1962" spans="1:16" ht="15" thickBot="1" x14ac:dyDescent="0.3">
      <c r="A1962" s="3" t="s">
        <v>11</v>
      </c>
      <c r="B1962" s="4">
        <v>428269</v>
      </c>
      <c r="C1962" s="3" t="s">
        <v>5</v>
      </c>
      <c r="D1962" s="18">
        <v>0.08</v>
      </c>
      <c r="E1962" s="21">
        <v>6.4340301100034303E-3</v>
      </c>
      <c r="F1962" s="5">
        <v>39273</v>
      </c>
      <c r="G1962" s="5">
        <v>39823</v>
      </c>
      <c r="H1962" s="16">
        <v>550</v>
      </c>
      <c r="I1962" s="5">
        <v>42634</v>
      </c>
      <c r="J1962" s="5">
        <v>42534</v>
      </c>
      <c r="K1962" s="16">
        <v>3261</v>
      </c>
      <c r="L1962" s="13">
        <v>1800368</v>
      </c>
      <c r="M1962" s="15">
        <v>104422.7545823445</v>
      </c>
      <c r="N1962" s="13">
        <v>867119.14</v>
      </c>
      <c r="O1962" s="13">
        <v>108224.65</v>
      </c>
      <c r="P1962" s="11">
        <v>0</v>
      </c>
    </row>
    <row r="1963" spans="1:16" ht="15" thickBot="1" x14ac:dyDescent="0.3">
      <c r="A1963" s="3" t="s">
        <v>11</v>
      </c>
      <c r="B1963" s="4">
        <v>137162</v>
      </c>
      <c r="C1963" s="3" t="s">
        <v>9</v>
      </c>
      <c r="D1963" s="18">
        <v>0.11899999999999999</v>
      </c>
      <c r="E1963" s="21">
        <v>9.4136514064584453E-3</v>
      </c>
      <c r="F1963" s="5">
        <v>39303</v>
      </c>
      <c r="G1963" s="5">
        <v>41130</v>
      </c>
      <c r="H1963" s="16">
        <v>1827</v>
      </c>
      <c r="I1963" s="5">
        <v>41130</v>
      </c>
      <c r="J1963" s="5">
        <v>40668</v>
      </c>
      <c r="K1963" s="16">
        <v>1365</v>
      </c>
      <c r="L1963" s="13">
        <v>23060</v>
      </c>
      <c r="M1963" s="15">
        <v>499.2390944092495</v>
      </c>
      <c r="N1963" s="13">
        <v>8701.25</v>
      </c>
      <c r="O1963" s="13">
        <v>10000</v>
      </c>
      <c r="P1963" s="11">
        <v>0</v>
      </c>
    </row>
    <row r="1964" spans="1:16" ht="15" thickBot="1" x14ac:dyDescent="0.3">
      <c r="A1964" s="3" t="s">
        <v>11</v>
      </c>
      <c r="B1964" s="4">
        <v>100930</v>
      </c>
      <c r="C1964" s="3" t="s">
        <v>9</v>
      </c>
      <c r="D1964" s="18">
        <v>9.4E-2</v>
      </c>
      <c r="E1964" s="21">
        <v>7.5148209323356863E-3</v>
      </c>
      <c r="F1964" s="5">
        <v>39374</v>
      </c>
      <c r="G1964" s="5">
        <v>41201</v>
      </c>
      <c r="H1964" s="16">
        <v>1827</v>
      </c>
      <c r="I1964" s="5">
        <v>41201</v>
      </c>
      <c r="J1964" s="5">
        <v>39926</v>
      </c>
      <c r="K1964" s="16">
        <v>552</v>
      </c>
      <c r="L1964" s="13">
        <v>11252.16</v>
      </c>
      <c r="M1964" s="15">
        <v>230.93860017195567</v>
      </c>
      <c r="N1964" s="13">
        <v>5957.51</v>
      </c>
      <c r="O1964" s="13">
        <v>0.67</v>
      </c>
      <c r="P1964" s="11">
        <v>0</v>
      </c>
    </row>
    <row r="1965" spans="1:16" ht="15" thickBot="1" x14ac:dyDescent="0.3">
      <c r="A1965" s="3" t="s">
        <v>11</v>
      </c>
      <c r="B1965" s="4">
        <v>915657</v>
      </c>
      <c r="C1965" s="3" t="s">
        <v>9</v>
      </c>
      <c r="D1965" s="18">
        <v>7.9000000000000001E-2</v>
      </c>
      <c r="E1965" s="21">
        <v>6.356340187460896E-3</v>
      </c>
      <c r="F1965" s="5">
        <v>39458</v>
      </c>
      <c r="G1965" s="5">
        <v>41661</v>
      </c>
      <c r="H1965" s="16">
        <v>2203</v>
      </c>
      <c r="I1965" s="5">
        <v>41661</v>
      </c>
      <c r="J1965" s="5">
        <v>40631</v>
      </c>
      <c r="K1965" s="16">
        <v>1173</v>
      </c>
      <c r="L1965" s="13">
        <v>25239</v>
      </c>
      <c r="M1965" s="15">
        <v>431.20263748731679</v>
      </c>
      <c r="N1965" s="13">
        <v>8625</v>
      </c>
      <c r="O1965" s="13">
        <v>4230.96</v>
      </c>
      <c r="P1965" s="11">
        <v>0</v>
      </c>
    </row>
    <row r="1966" spans="1:16" ht="15" thickBot="1" x14ac:dyDescent="0.3">
      <c r="A1966" s="3" t="s">
        <v>11</v>
      </c>
      <c r="B1966" s="4">
        <v>311153</v>
      </c>
      <c r="C1966" s="3" t="s">
        <v>9</v>
      </c>
      <c r="D1966" s="18">
        <v>9.4E-2</v>
      </c>
      <c r="E1966" s="21">
        <v>7.5148209323356863E-3</v>
      </c>
      <c r="F1966" s="5">
        <v>39498</v>
      </c>
      <c r="G1966" s="5">
        <v>41325</v>
      </c>
      <c r="H1966" s="16">
        <v>1827</v>
      </c>
      <c r="I1966" s="5">
        <v>41325</v>
      </c>
      <c r="J1966" s="5">
        <v>40074</v>
      </c>
      <c r="K1966" s="16">
        <v>576</v>
      </c>
      <c r="L1966" s="13">
        <v>10858.62</v>
      </c>
      <c r="M1966" s="15">
        <v>222.86161080176618</v>
      </c>
      <c r="N1966" s="13">
        <v>6381.14</v>
      </c>
      <c r="O1966" s="13">
        <v>288.39</v>
      </c>
      <c r="P1966" s="11">
        <v>0</v>
      </c>
    </row>
    <row r="1967" spans="1:16" ht="15" thickBot="1" x14ac:dyDescent="0.3">
      <c r="A1967" s="3" t="s">
        <v>11</v>
      </c>
      <c r="B1967" s="4">
        <v>833245</v>
      </c>
      <c r="C1967" s="3" t="s">
        <v>9</v>
      </c>
      <c r="D1967" s="18">
        <v>0.114</v>
      </c>
      <c r="E1967" s="21">
        <v>9.0370179501075842E-3</v>
      </c>
      <c r="F1967" s="5">
        <v>39561</v>
      </c>
      <c r="G1967" s="5">
        <v>40656</v>
      </c>
      <c r="H1967" s="16">
        <v>1095</v>
      </c>
      <c r="I1967" s="5">
        <v>40656</v>
      </c>
      <c r="J1967" s="5">
        <v>39897</v>
      </c>
      <c r="K1967" s="16">
        <v>336</v>
      </c>
      <c r="L1967" s="13">
        <v>8488.39</v>
      </c>
      <c r="M1967" s="15">
        <v>274.05807214961919</v>
      </c>
      <c r="N1967" s="13">
        <v>7547.16</v>
      </c>
      <c r="O1967" s="13">
        <v>4752.51</v>
      </c>
      <c r="P1967" s="11">
        <v>0</v>
      </c>
    </row>
    <row r="1968" spans="1:16" ht="15" thickBot="1" x14ac:dyDescent="0.3">
      <c r="A1968" s="3" t="s">
        <v>11</v>
      </c>
      <c r="B1968" s="4">
        <v>222780</v>
      </c>
      <c r="C1968" s="3" t="s">
        <v>9</v>
      </c>
      <c r="D1968" s="18">
        <v>8.4000000000000005E-2</v>
      </c>
      <c r="E1968" s="21">
        <v>6.7441318411856077E-3</v>
      </c>
      <c r="F1968" s="5">
        <v>39583</v>
      </c>
      <c r="G1968" s="5">
        <v>41044</v>
      </c>
      <c r="H1968" s="16">
        <v>1461</v>
      </c>
      <c r="I1968" s="5">
        <v>41075</v>
      </c>
      <c r="J1968" s="5">
        <v>39926</v>
      </c>
      <c r="K1968" s="16">
        <v>343</v>
      </c>
      <c r="L1968" s="13">
        <v>10584.17</v>
      </c>
      <c r="M1968" s="15">
        <v>255.70031653948283</v>
      </c>
      <c r="N1968" s="13">
        <v>5709.13</v>
      </c>
      <c r="O1968" s="13">
        <v>3311.79</v>
      </c>
      <c r="P1968" s="11">
        <v>0</v>
      </c>
    </row>
    <row r="1969" spans="1:16" ht="15" thickBot="1" x14ac:dyDescent="0.3">
      <c r="A1969" s="3" t="s">
        <v>11</v>
      </c>
      <c r="B1969" s="4">
        <v>429927</v>
      </c>
      <c r="C1969" s="3" t="s">
        <v>9</v>
      </c>
      <c r="D1969" s="18">
        <v>8.4000000000000005E-2</v>
      </c>
      <c r="E1969" s="21">
        <v>6.7441318411856077E-3</v>
      </c>
      <c r="F1969" s="5">
        <v>39583</v>
      </c>
      <c r="G1969" s="5">
        <v>41409</v>
      </c>
      <c r="H1969" s="16">
        <v>1826</v>
      </c>
      <c r="I1969" s="5">
        <v>41470</v>
      </c>
      <c r="J1969" s="5">
        <v>40627</v>
      </c>
      <c r="K1969" s="16">
        <v>1044</v>
      </c>
      <c r="L1969" s="13">
        <v>14095.14</v>
      </c>
      <c r="M1969" s="15">
        <v>283.11563975766558</v>
      </c>
      <c r="N1969" s="13">
        <v>6283.59</v>
      </c>
      <c r="O1969" s="13">
        <v>20</v>
      </c>
      <c r="P1969" s="11">
        <v>0</v>
      </c>
    </row>
    <row r="1970" spans="1:16" ht="15" thickBot="1" x14ac:dyDescent="0.3">
      <c r="A1970" s="3" t="s">
        <v>11</v>
      </c>
      <c r="B1970" s="4">
        <v>370130</v>
      </c>
      <c r="C1970" s="3" t="s">
        <v>9</v>
      </c>
      <c r="D1970" s="18">
        <v>0.105</v>
      </c>
      <c r="E1970" s="21">
        <v>8.355155683635207E-3</v>
      </c>
      <c r="F1970" s="5">
        <v>39615</v>
      </c>
      <c r="G1970" s="5">
        <v>40710</v>
      </c>
      <c r="H1970" s="16">
        <v>1095</v>
      </c>
      <c r="I1970" s="5">
        <v>40710</v>
      </c>
      <c r="J1970" s="5">
        <v>40148</v>
      </c>
      <c r="K1970" s="16">
        <v>533</v>
      </c>
      <c r="L1970" s="13">
        <v>3603.2</v>
      </c>
      <c r="M1970" s="15">
        <v>114.94302293201602</v>
      </c>
      <c r="N1970" s="13">
        <v>1800</v>
      </c>
      <c r="O1970" s="13">
        <v>0</v>
      </c>
      <c r="P1970" s="11">
        <v>0</v>
      </c>
    </row>
    <row r="1971" spans="1:16" ht="15" thickBot="1" x14ac:dyDescent="0.3">
      <c r="A1971" s="3" t="s">
        <v>11</v>
      </c>
      <c r="B1971" s="4">
        <v>512808</v>
      </c>
      <c r="C1971" s="3" t="s">
        <v>12</v>
      </c>
      <c r="D1971" s="18">
        <v>0.14399999999999999</v>
      </c>
      <c r="E1971" s="21">
        <v>1.1273985471853543E-2</v>
      </c>
      <c r="F1971" s="5">
        <v>39629</v>
      </c>
      <c r="G1971" s="5">
        <v>40724</v>
      </c>
      <c r="H1971" s="16">
        <v>1095</v>
      </c>
      <c r="I1971" s="5">
        <v>40724</v>
      </c>
      <c r="J1971" s="5">
        <v>39897</v>
      </c>
      <c r="K1971" s="16">
        <v>268</v>
      </c>
      <c r="L1971" s="13">
        <v>4144.01</v>
      </c>
      <c r="M1971" s="15">
        <v>139.12177191866874</v>
      </c>
      <c r="N1971" s="13">
        <v>3876.92</v>
      </c>
      <c r="O1971" s="13">
        <v>0</v>
      </c>
      <c r="P1971" s="11">
        <v>0</v>
      </c>
    </row>
    <row r="1972" spans="1:16" ht="15" thickBot="1" x14ac:dyDescent="0.3">
      <c r="A1972" s="3" t="s">
        <v>11</v>
      </c>
      <c r="B1972" s="4">
        <v>983950</v>
      </c>
      <c r="C1972" s="3" t="s">
        <v>9</v>
      </c>
      <c r="D1972" s="18">
        <v>0.104</v>
      </c>
      <c r="E1972" s="21">
        <v>8.2790792398550472E-3</v>
      </c>
      <c r="F1972" s="5">
        <v>39674</v>
      </c>
      <c r="G1972" s="5">
        <v>41136</v>
      </c>
      <c r="H1972" s="16">
        <v>1462</v>
      </c>
      <c r="I1972" s="5">
        <v>41136</v>
      </c>
      <c r="J1972" s="5">
        <v>39897</v>
      </c>
      <c r="K1972" s="16">
        <v>223</v>
      </c>
      <c r="L1972" s="13">
        <v>8790.32</v>
      </c>
      <c r="M1972" s="15">
        <v>219.93972867344604</v>
      </c>
      <c r="N1972" s="13">
        <v>5100</v>
      </c>
      <c r="O1972" s="13">
        <v>0</v>
      </c>
      <c r="P1972" s="11">
        <v>0</v>
      </c>
    </row>
    <row r="1973" spans="1:16" ht="15" thickBot="1" x14ac:dyDescent="0.3">
      <c r="A1973" s="3" t="s">
        <v>11</v>
      </c>
      <c r="B1973" s="4">
        <v>298522</v>
      </c>
      <c r="C1973" s="3" t="s">
        <v>9</v>
      </c>
      <c r="D1973" s="18">
        <v>0.104</v>
      </c>
      <c r="E1973" s="21">
        <v>8.2790792398550472E-3</v>
      </c>
      <c r="F1973" s="5">
        <v>39657</v>
      </c>
      <c r="G1973" s="5">
        <v>41118</v>
      </c>
      <c r="H1973" s="16">
        <v>1461</v>
      </c>
      <c r="I1973" s="5">
        <v>41210</v>
      </c>
      <c r="J1973" s="5">
        <v>40168</v>
      </c>
      <c r="K1973" s="16">
        <v>511</v>
      </c>
      <c r="L1973" s="13">
        <v>10144.43</v>
      </c>
      <c r="M1973" s="15">
        <v>253.96163320526824</v>
      </c>
      <c r="N1973" s="13">
        <v>8863.41</v>
      </c>
      <c r="O1973" s="13">
        <v>2186.9299999999998</v>
      </c>
      <c r="P1973" s="11">
        <v>0</v>
      </c>
    </row>
    <row r="1974" spans="1:16" ht="15" thickBot="1" x14ac:dyDescent="0.3">
      <c r="A1974" s="3" t="s">
        <v>11</v>
      </c>
      <c r="B1974" s="4">
        <v>742572</v>
      </c>
      <c r="C1974" s="3" t="s">
        <v>9</v>
      </c>
      <c r="D1974" s="18">
        <v>6.6500000000000004E-2</v>
      </c>
      <c r="E1974" s="21">
        <v>5.3796066408242638E-3</v>
      </c>
      <c r="F1974" s="5">
        <v>39713</v>
      </c>
      <c r="G1974" s="5">
        <v>41174</v>
      </c>
      <c r="H1974" s="16">
        <v>1461</v>
      </c>
      <c r="I1974" s="5">
        <v>41174</v>
      </c>
      <c r="J1974" s="5">
        <v>40389</v>
      </c>
      <c r="K1974" s="16">
        <v>676</v>
      </c>
      <c r="L1974" s="13">
        <v>11898.12</v>
      </c>
      <c r="M1974" s="15">
        <v>278.36684419974171</v>
      </c>
      <c r="N1974" s="13">
        <v>1400.05</v>
      </c>
      <c r="O1974" s="13">
        <v>0</v>
      </c>
      <c r="P1974" s="11">
        <v>0</v>
      </c>
    </row>
    <row r="1975" spans="1:16" ht="15" thickBot="1" x14ac:dyDescent="0.3">
      <c r="A1975" s="3" t="s">
        <v>11</v>
      </c>
      <c r="B1975" s="4">
        <v>340212</v>
      </c>
      <c r="C1975" s="3" t="s">
        <v>9</v>
      </c>
      <c r="D1975" s="18">
        <v>8.4000000000000005E-2</v>
      </c>
      <c r="E1975" s="21">
        <v>6.7441318411856077E-3</v>
      </c>
      <c r="F1975" s="5">
        <v>39744</v>
      </c>
      <c r="G1975" s="5">
        <v>41571</v>
      </c>
      <c r="H1975" s="16">
        <v>1827</v>
      </c>
      <c r="I1975" s="5">
        <v>42045</v>
      </c>
      <c r="J1975" s="5">
        <v>40814</v>
      </c>
      <c r="K1975" s="16">
        <v>1070</v>
      </c>
      <c r="L1975" s="13">
        <v>10970.55</v>
      </c>
      <c r="M1975" s="15">
        <v>220.25736381894757</v>
      </c>
      <c r="N1975" s="13">
        <v>7356.97</v>
      </c>
      <c r="O1975" s="13">
        <v>7346.01</v>
      </c>
      <c r="P1975" s="11">
        <v>0</v>
      </c>
    </row>
    <row r="1976" spans="1:16" ht="15" thickBot="1" x14ac:dyDescent="0.3">
      <c r="A1976" s="3" t="s">
        <v>11</v>
      </c>
      <c r="B1976" s="4">
        <v>154960</v>
      </c>
      <c r="C1976" s="3" t="s">
        <v>9</v>
      </c>
      <c r="D1976" s="18">
        <v>8.4000000000000005E-2</v>
      </c>
      <c r="E1976" s="21">
        <v>6.7441318411856077E-3</v>
      </c>
      <c r="F1976" s="5">
        <v>39744</v>
      </c>
      <c r="G1976" s="5">
        <v>41205</v>
      </c>
      <c r="H1976" s="16">
        <v>1461</v>
      </c>
      <c r="I1976" s="5">
        <v>41266</v>
      </c>
      <c r="J1976" s="5">
        <v>40228</v>
      </c>
      <c r="K1976" s="16">
        <v>484</v>
      </c>
      <c r="L1976" s="13">
        <v>8221.49</v>
      </c>
      <c r="M1976" s="15">
        <v>198.62092118949266</v>
      </c>
      <c r="N1976" s="13">
        <v>3941.6</v>
      </c>
      <c r="O1976" s="13">
        <v>0</v>
      </c>
      <c r="P1976" s="11">
        <v>0</v>
      </c>
    </row>
    <row r="1977" spans="1:16" ht="15" thickBot="1" x14ac:dyDescent="0.3">
      <c r="A1977" s="3" t="s">
        <v>11</v>
      </c>
      <c r="B1977" s="4">
        <v>410028</v>
      </c>
      <c r="C1977" s="3" t="s">
        <v>9</v>
      </c>
      <c r="D1977" s="18">
        <v>0.109</v>
      </c>
      <c r="E1977" s="21">
        <v>8.6588317099438594E-3</v>
      </c>
      <c r="F1977" s="5">
        <v>39784</v>
      </c>
      <c r="G1977" s="5">
        <v>41245</v>
      </c>
      <c r="H1977" s="16">
        <v>1461</v>
      </c>
      <c r="I1977" s="5">
        <v>41335</v>
      </c>
      <c r="J1977" s="5">
        <v>40900</v>
      </c>
      <c r="K1977" s="16">
        <v>1116</v>
      </c>
      <c r="L1977" s="13">
        <v>8360.41</v>
      </c>
      <c r="M1977" s="15">
        <v>211.13502756107368</v>
      </c>
      <c r="N1977" s="13">
        <v>3976.58</v>
      </c>
      <c r="O1977" s="13">
        <v>4682.01</v>
      </c>
      <c r="P1977" s="11">
        <v>0</v>
      </c>
    </row>
    <row r="1978" spans="1:16" ht="15" thickBot="1" x14ac:dyDescent="0.3">
      <c r="A1978" s="3" t="s">
        <v>11</v>
      </c>
      <c r="B1978" s="4">
        <v>371819</v>
      </c>
      <c r="C1978" s="3" t="s">
        <v>12</v>
      </c>
      <c r="D1978" s="18">
        <v>8.5000000000000006E-2</v>
      </c>
      <c r="E1978" s="21">
        <v>6.8214933659622723E-3</v>
      </c>
      <c r="F1978" s="5">
        <v>39867</v>
      </c>
      <c r="G1978" s="5">
        <v>41698</v>
      </c>
      <c r="H1978" s="16">
        <v>1831</v>
      </c>
      <c r="I1978" s="5">
        <v>41698</v>
      </c>
      <c r="J1978" s="5">
        <v>40484</v>
      </c>
      <c r="K1978" s="16">
        <v>617</v>
      </c>
      <c r="L1978" s="13">
        <v>11487.6</v>
      </c>
      <c r="M1978" s="15">
        <v>230.74279748582902</v>
      </c>
      <c r="N1978" s="13">
        <v>412.64</v>
      </c>
      <c r="O1978" s="13">
        <v>0</v>
      </c>
      <c r="P1978" s="11">
        <v>0</v>
      </c>
    </row>
    <row r="1979" spans="1:16" ht="15" thickBot="1" x14ac:dyDescent="0.3">
      <c r="A1979" s="3" t="s">
        <v>11</v>
      </c>
      <c r="B1979" s="4">
        <v>478251</v>
      </c>
      <c r="C1979" s="3" t="s">
        <v>9</v>
      </c>
      <c r="D1979" s="18">
        <v>0.09</v>
      </c>
      <c r="E1979" s="21">
        <v>7.2073233161367156E-3</v>
      </c>
      <c r="F1979" s="5">
        <v>39974</v>
      </c>
      <c r="G1979" s="5">
        <v>41800</v>
      </c>
      <c r="H1979" s="16">
        <v>1826</v>
      </c>
      <c r="I1979" s="5">
        <v>41800</v>
      </c>
      <c r="J1979" s="5">
        <v>40668</v>
      </c>
      <c r="K1979" s="16">
        <v>694</v>
      </c>
      <c r="L1979" s="13">
        <v>22402</v>
      </c>
      <c r="M1979" s="15">
        <v>455.96700094549163</v>
      </c>
      <c r="N1979" s="13">
        <v>10202.030000000001</v>
      </c>
      <c r="O1979" s="13">
        <v>0</v>
      </c>
      <c r="P1979" s="11">
        <v>0</v>
      </c>
    </row>
    <row r="1980" spans="1:16" ht="15" thickBot="1" x14ac:dyDescent="0.3">
      <c r="A1980" s="3" t="s">
        <v>11</v>
      </c>
      <c r="B1980" s="4">
        <v>886310</v>
      </c>
      <c r="C1980" s="3" t="s">
        <v>4</v>
      </c>
      <c r="D1980" s="18">
        <v>9.35E-2</v>
      </c>
      <c r="E1980" s="21">
        <v>7.4764401457467766E-3</v>
      </c>
      <c r="F1980" s="5">
        <v>42923</v>
      </c>
      <c r="G1980" s="5">
        <v>45480</v>
      </c>
      <c r="H1980" s="16">
        <v>2557</v>
      </c>
      <c r="I1980" s="5">
        <v>45480</v>
      </c>
      <c r="J1980" s="5">
        <v>45201</v>
      </c>
      <c r="K1980" s="16">
        <v>2278</v>
      </c>
      <c r="L1980" s="13">
        <v>33600</v>
      </c>
      <c r="M1980" s="15">
        <v>534.48997250731406</v>
      </c>
      <c r="N1980" s="13">
        <v>8345.99</v>
      </c>
      <c r="O1980" s="13">
        <v>0</v>
      </c>
      <c r="P1980" s="11">
        <v>1</v>
      </c>
    </row>
    <row r="1981" spans="1:16" ht="15" thickBot="1" x14ac:dyDescent="0.3">
      <c r="A1981" s="3" t="s">
        <v>11</v>
      </c>
      <c r="B1981" s="4">
        <v>253684</v>
      </c>
      <c r="C1981" s="3" t="s">
        <v>4</v>
      </c>
      <c r="D1981" s="18">
        <v>7.7499999999999999E-2</v>
      </c>
      <c r="E1981" s="21">
        <v>6.2396814612857288E-3</v>
      </c>
      <c r="F1981" s="5">
        <v>43446</v>
      </c>
      <c r="G1981" s="5">
        <v>46003</v>
      </c>
      <c r="H1981" s="16">
        <v>2557</v>
      </c>
      <c r="I1981" s="5">
        <v>46154</v>
      </c>
      <c r="J1981" s="5">
        <v>45743</v>
      </c>
      <c r="K1981" s="16">
        <v>2297</v>
      </c>
      <c r="L1981" s="13">
        <v>82000</v>
      </c>
      <c r="M1981" s="15">
        <v>1243.3906108012395</v>
      </c>
      <c r="N1981" s="13">
        <v>26589.919999999998</v>
      </c>
      <c r="O1981" s="13">
        <v>0</v>
      </c>
      <c r="P1981" s="11">
        <v>1</v>
      </c>
    </row>
    <row r="1982" spans="1:16" ht="15" thickBot="1" x14ac:dyDescent="0.3">
      <c r="A1982" s="3" t="s">
        <v>11</v>
      </c>
      <c r="B1982" s="4">
        <v>672003</v>
      </c>
      <c r="C1982" s="3" t="s">
        <v>9</v>
      </c>
      <c r="D1982" s="18">
        <v>0.10605000000000001</v>
      </c>
      <c r="E1982" s="21">
        <v>8.4349680573945207E-3</v>
      </c>
      <c r="F1982" s="5">
        <v>43893</v>
      </c>
      <c r="G1982" s="5">
        <v>44868</v>
      </c>
      <c r="H1982" s="16">
        <v>975</v>
      </c>
      <c r="I1982" s="5">
        <v>44898</v>
      </c>
      <c r="J1982" s="5">
        <v>44460</v>
      </c>
      <c r="K1982" s="16">
        <v>567</v>
      </c>
      <c r="L1982" s="13">
        <v>5809.18</v>
      </c>
      <c r="M1982" s="15">
        <v>205.11023801485794</v>
      </c>
      <c r="N1982" s="13">
        <v>3764.67</v>
      </c>
      <c r="O1982" s="13">
        <v>3764.67</v>
      </c>
      <c r="P1982" s="11">
        <v>1</v>
      </c>
    </row>
    <row r="1983" spans="1:16" ht="15" thickBot="1" x14ac:dyDescent="0.3">
      <c r="A1983" s="3" t="s">
        <v>11</v>
      </c>
      <c r="B1983" s="4">
        <v>184556</v>
      </c>
      <c r="C1983" s="3" t="s">
        <v>16</v>
      </c>
      <c r="D1983" s="18">
        <v>0.10249999999999999</v>
      </c>
      <c r="E1983" s="21">
        <v>8.1648460519010424E-3</v>
      </c>
      <c r="F1983" s="5">
        <v>35835</v>
      </c>
      <c r="G1983" s="5">
        <v>36571</v>
      </c>
      <c r="H1983" s="16">
        <v>736</v>
      </c>
      <c r="I1983" s="5">
        <v>36571</v>
      </c>
      <c r="J1983" s="5">
        <v>36138</v>
      </c>
      <c r="K1983" s="16">
        <v>303</v>
      </c>
      <c r="L1983" s="13">
        <v>3698.34</v>
      </c>
      <c r="M1983" s="15">
        <v>166.96199989417599</v>
      </c>
      <c r="N1983" s="13">
        <v>2643.24</v>
      </c>
      <c r="O1983" s="13">
        <v>0</v>
      </c>
      <c r="P1983" s="11">
        <v>0</v>
      </c>
    </row>
    <row r="1984" spans="1:16" ht="15" thickBot="1" x14ac:dyDescent="0.3">
      <c r="A1984" s="3" t="s">
        <v>11</v>
      </c>
      <c r="B1984" s="4">
        <v>69363</v>
      </c>
      <c r="C1984" s="3" t="s">
        <v>9</v>
      </c>
      <c r="D1984" s="18">
        <v>9.5000000000000001E-2</v>
      </c>
      <c r="E1984" s="21">
        <v>7.5915342905825689E-3</v>
      </c>
      <c r="F1984" s="5">
        <v>36845</v>
      </c>
      <c r="G1984" s="5">
        <v>39046</v>
      </c>
      <c r="H1984" s="16">
        <v>2201</v>
      </c>
      <c r="I1984" s="5">
        <v>39076</v>
      </c>
      <c r="J1984" s="5">
        <v>37609</v>
      </c>
      <c r="K1984" s="16">
        <v>764</v>
      </c>
      <c r="L1984" s="13">
        <v>29894.09</v>
      </c>
      <c r="M1984" s="15">
        <v>532.91716360558712</v>
      </c>
      <c r="N1984" s="13">
        <v>24087.07</v>
      </c>
      <c r="O1984" s="13">
        <v>0</v>
      </c>
      <c r="P1984" s="11">
        <v>0</v>
      </c>
    </row>
    <row r="1985" spans="1:16" ht="15" thickBot="1" x14ac:dyDescent="0.3">
      <c r="A1985" s="3" t="s">
        <v>11</v>
      </c>
      <c r="B1985" s="4">
        <v>156396</v>
      </c>
      <c r="C1985" s="3" t="s">
        <v>9</v>
      </c>
      <c r="D1985" s="18">
        <v>0.1075</v>
      </c>
      <c r="E1985" s="21">
        <v>8.5450710394860963E-3</v>
      </c>
      <c r="F1985" s="5">
        <v>36934</v>
      </c>
      <c r="G1985" s="5">
        <v>37664</v>
      </c>
      <c r="H1985" s="16">
        <v>730</v>
      </c>
      <c r="I1985" s="5">
        <v>37664</v>
      </c>
      <c r="J1985" s="5">
        <v>37375</v>
      </c>
      <c r="K1985" s="16">
        <v>441</v>
      </c>
      <c r="L1985" s="13">
        <v>2056</v>
      </c>
      <c r="M1985" s="15">
        <v>93.940883265658229</v>
      </c>
      <c r="N1985" s="13">
        <v>950</v>
      </c>
      <c r="O1985" s="13">
        <v>166.76</v>
      </c>
      <c r="P1985" s="11">
        <v>0</v>
      </c>
    </row>
    <row r="1986" spans="1:16" ht="15" thickBot="1" x14ac:dyDescent="0.3">
      <c r="A1986" s="3" t="s">
        <v>11</v>
      </c>
      <c r="B1986" s="4">
        <v>374403</v>
      </c>
      <c r="C1986" s="3" t="s">
        <v>9</v>
      </c>
      <c r="D1986" s="18">
        <v>0.10249999999999999</v>
      </c>
      <c r="E1986" s="21">
        <v>8.1648460519010424E-3</v>
      </c>
      <c r="F1986" s="5">
        <v>37280</v>
      </c>
      <c r="G1986" s="5">
        <v>38574</v>
      </c>
      <c r="H1986" s="16">
        <v>1294</v>
      </c>
      <c r="I1986" s="5">
        <v>38635</v>
      </c>
      <c r="J1986" s="5">
        <v>38609</v>
      </c>
      <c r="K1986" s="16">
        <v>1329</v>
      </c>
      <c r="L1986" s="13">
        <v>11539.47</v>
      </c>
      <c r="M1986" s="15">
        <v>318.47816616736606</v>
      </c>
      <c r="N1986" s="13">
        <v>3787.97</v>
      </c>
      <c r="O1986" s="13">
        <v>1296.69</v>
      </c>
      <c r="P1986" s="11">
        <v>0</v>
      </c>
    </row>
    <row r="1987" spans="1:16" ht="15" thickBot="1" x14ac:dyDescent="0.3">
      <c r="A1987" s="3" t="s">
        <v>11</v>
      </c>
      <c r="B1987" s="4">
        <v>111138</v>
      </c>
      <c r="C1987" s="3" t="s">
        <v>9</v>
      </c>
      <c r="D1987" s="18">
        <v>9.2499999999999999E-2</v>
      </c>
      <c r="E1987" s="21">
        <v>7.3996302871768282E-3</v>
      </c>
      <c r="F1987" s="5">
        <v>37348</v>
      </c>
      <c r="G1987" s="5">
        <v>39553</v>
      </c>
      <c r="H1987" s="16">
        <v>2205</v>
      </c>
      <c r="I1987" s="5">
        <v>39675</v>
      </c>
      <c r="J1987" s="5">
        <v>38474</v>
      </c>
      <c r="K1987" s="16">
        <v>1126</v>
      </c>
      <c r="L1987" s="13">
        <v>25570.880000000001</v>
      </c>
      <c r="M1987" s="15">
        <v>452.29890235258404</v>
      </c>
      <c r="N1987" s="13">
        <v>18858.93</v>
      </c>
      <c r="O1987" s="13">
        <v>16400</v>
      </c>
      <c r="P1987" s="11">
        <v>0</v>
      </c>
    </row>
    <row r="1988" spans="1:16" ht="15" thickBot="1" x14ac:dyDescent="0.3">
      <c r="A1988" s="3" t="s">
        <v>11</v>
      </c>
      <c r="B1988" s="4">
        <v>248744</v>
      </c>
      <c r="C1988" s="3" t="s">
        <v>16</v>
      </c>
      <c r="D1988" s="18">
        <v>0.13500000000000001</v>
      </c>
      <c r="E1988" s="21">
        <v>1.0608597246586804E-2</v>
      </c>
      <c r="F1988" s="5">
        <v>37426</v>
      </c>
      <c r="G1988" s="5">
        <v>38163</v>
      </c>
      <c r="H1988" s="16">
        <v>737</v>
      </c>
      <c r="I1988" s="5">
        <v>38255</v>
      </c>
      <c r="J1988" s="5">
        <v>38062</v>
      </c>
      <c r="K1988" s="16">
        <v>636</v>
      </c>
      <c r="L1988" s="13">
        <v>2732.84</v>
      </c>
      <c r="M1988" s="15">
        <v>126.95223961836278</v>
      </c>
      <c r="N1988" s="13">
        <v>1074.3599999999999</v>
      </c>
      <c r="O1988" s="13">
        <v>131</v>
      </c>
      <c r="P1988" s="11">
        <v>0</v>
      </c>
    </row>
    <row r="1989" spans="1:16" ht="15" thickBot="1" x14ac:dyDescent="0.3">
      <c r="A1989" s="3" t="s">
        <v>11</v>
      </c>
      <c r="B1989" s="4">
        <v>221532</v>
      </c>
      <c r="C1989" s="3" t="s">
        <v>16</v>
      </c>
      <c r="D1989" s="18">
        <v>0.13500000000000001</v>
      </c>
      <c r="E1989" s="21">
        <v>1.0608597246586804E-2</v>
      </c>
      <c r="F1989" s="5">
        <v>37568</v>
      </c>
      <c r="G1989" s="5">
        <v>38316</v>
      </c>
      <c r="H1989" s="16">
        <v>748</v>
      </c>
      <c r="I1989" s="5">
        <v>38497</v>
      </c>
      <c r="J1989" s="5">
        <v>38062</v>
      </c>
      <c r="K1989" s="16">
        <v>494</v>
      </c>
      <c r="L1989" s="13">
        <v>6315.44</v>
      </c>
      <c r="M1989" s="15">
        <v>289.60052586671475</v>
      </c>
      <c r="N1989" s="13">
        <v>5594.98</v>
      </c>
      <c r="O1989" s="13">
        <v>0</v>
      </c>
      <c r="P1989" s="11">
        <v>0</v>
      </c>
    </row>
    <row r="1990" spans="1:16" ht="15" thickBot="1" x14ac:dyDescent="0.3">
      <c r="A1990" s="3" t="s">
        <v>11</v>
      </c>
      <c r="B1990" s="4">
        <v>20539</v>
      </c>
      <c r="C1990" s="3" t="s">
        <v>16</v>
      </c>
      <c r="D1990" s="18">
        <v>0.1</v>
      </c>
      <c r="E1990" s="21">
        <v>7.9741404289037643E-3</v>
      </c>
      <c r="F1990" s="5">
        <v>37649</v>
      </c>
      <c r="G1990" s="5">
        <v>38384</v>
      </c>
      <c r="H1990" s="16">
        <v>735</v>
      </c>
      <c r="I1990" s="5">
        <v>38412</v>
      </c>
      <c r="J1990" s="5">
        <v>38329</v>
      </c>
      <c r="K1990" s="16">
        <v>680</v>
      </c>
      <c r="L1990" s="13">
        <v>6050</v>
      </c>
      <c r="M1990" s="15">
        <v>272.82563181627734</v>
      </c>
      <c r="N1990" s="13">
        <v>1969.96</v>
      </c>
      <c r="O1990" s="13">
        <v>0</v>
      </c>
      <c r="P1990" s="11">
        <v>0</v>
      </c>
    </row>
    <row r="1991" spans="1:16" ht="15" thickBot="1" x14ac:dyDescent="0.3">
      <c r="A1991" s="3" t="s">
        <v>11</v>
      </c>
      <c r="B1991" s="4">
        <v>376315</v>
      </c>
      <c r="C1991" s="3" t="s">
        <v>9</v>
      </c>
      <c r="D1991" s="18">
        <v>0.13500000000000001</v>
      </c>
      <c r="E1991" s="21">
        <v>1.0608597246586804E-2</v>
      </c>
      <c r="F1991" s="5">
        <v>37586</v>
      </c>
      <c r="G1991" s="5">
        <v>38331</v>
      </c>
      <c r="H1991" s="16">
        <v>745</v>
      </c>
      <c r="I1991" s="5">
        <v>38331</v>
      </c>
      <c r="J1991" s="5">
        <v>37978</v>
      </c>
      <c r="K1991" s="16">
        <v>392</v>
      </c>
      <c r="L1991" s="13">
        <v>5750</v>
      </c>
      <c r="M1991" s="15">
        <v>264.59995753100242</v>
      </c>
      <c r="N1991" s="13">
        <v>4701.78</v>
      </c>
      <c r="O1991" s="13">
        <v>3350.75</v>
      </c>
      <c r="P1991" s="11">
        <v>0</v>
      </c>
    </row>
    <row r="1992" spans="1:16" ht="15" thickBot="1" x14ac:dyDescent="0.3">
      <c r="A1992" s="3" t="s">
        <v>11</v>
      </c>
      <c r="B1992" s="4">
        <v>749255</v>
      </c>
      <c r="C1992" s="3" t="s">
        <v>9</v>
      </c>
      <c r="D1992" s="18">
        <v>0.105</v>
      </c>
      <c r="E1992" s="21">
        <v>8.355155683635207E-3</v>
      </c>
      <c r="F1992" s="5">
        <v>37594</v>
      </c>
      <c r="G1992" s="5">
        <v>39603</v>
      </c>
      <c r="H1992" s="16">
        <v>2009</v>
      </c>
      <c r="I1992" s="5">
        <v>39633</v>
      </c>
      <c r="J1992" s="5">
        <v>38230</v>
      </c>
      <c r="K1992" s="16">
        <v>636</v>
      </c>
      <c r="L1992" s="13">
        <v>30096.95</v>
      </c>
      <c r="M1992" s="15">
        <v>588.65530294131452</v>
      </c>
      <c r="N1992" s="13">
        <v>19500</v>
      </c>
      <c r="O1992" s="13">
        <v>897</v>
      </c>
      <c r="P1992" s="11">
        <v>0</v>
      </c>
    </row>
    <row r="1993" spans="1:16" ht="15" thickBot="1" x14ac:dyDescent="0.3">
      <c r="A1993" s="3" t="s">
        <v>11</v>
      </c>
      <c r="B1993" s="4">
        <v>488351</v>
      </c>
      <c r="C1993" s="3" t="s">
        <v>16</v>
      </c>
      <c r="D1993" s="18">
        <v>0.15</v>
      </c>
      <c r="E1993" s="21">
        <v>1.171491691985338E-2</v>
      </c>
      <c r="F1993" s="5">
        <v>37637</v>
      </c>
      <c r="G1993" s="5">
        <v>38368</v>
      </c>
      <c r="H1993" s="16">
        <v>731</v>
      </c>
      <c r="I1993" s="5">
        <v>38399</v>
      </c>
      <c r="J1993" s="5">
        <v>38042</v>
      </c>
      <c r="K1993" s="16">
        <v>405</v>
      </c>
      <c r="L1993" s="13">
        <v>3050</v>
      </c>
      <c r="M1993" s="15">
        <v>144.6118850847588</v>
      </c>
      <c r="N1993" s="13">
        <v>2173.7800000000002</v>
      </c>
      <c r="O1993" s="13">
        <v>0</v>
      </c>
      <c r="P1993" s="11">
        <v>0</v>
      </c>
    </row>
    <row r="1994" spans="1:16" ht="15" thickBot="1" x14ac:dyDescent="0.3">
      <c r="A1994" s="3" t="s">
        <v>11</v>
      </c>
      <c r="B1994" s="4">
        <v>337303</v>
      </c>
      <c r="C1994" s="3" t="s">
        <v>16</v>
      </c>
      <c r="D1994" s="18">
        <v>0.125</v>
      </c>
      <c r="E1994" s="21">
        <v>9.8635805532114595E-3</v>
      </c>
      <c r="F1994" s="5">
        <v>37645</v>
      </c>
      <c r="G1994" s="5">
        <v>38376</v>
      </c>
      <c r="H1994" s="16">
        <v>731</v>
      </c>
      <c r="I1994" s="5">
        <v>38376</v>
      </c>
      <c r="J1994" s="5">
        <v>37880</v>
      </c>
      <c r="K1994" s="16">
        <v>235</v>
      </c>
      <c r="L1994" s="13">
        <v>2550</v>
      </c>
      <c r="M1994" s="15">
        <v>118.24331646606889</v>
      </c>
      <c r="N1994" s="13">
        <v>2164.08</v>
      </c>
      <c r="O1994" s="13">
        <v>0</v>
      </c>
      <c r="P1994" s="11">
        <v>0</v>
      </c>
    </row>
    <row r="1995" spans="1:16" ht="15" thickBot="1" x14ac:dyDescent="0.3">
      <c r="A1995" s="3" t="s">
        <v>11</v>
      </c>
      <c r="B1995" s="4">
        <v>868111</v>
      </c>
      <c r="C1995" s="3" t="s">
        <v>9</v>
      </c>
      <c r="D1995" s="18">
        <v>4.99E-2</v>
      </c>
      <c r="E1995" s="21">
        <v>4.0661545935285481E-3</v>
      </c>
      <c r="F1995" s="5">
        <v>37672</v>
      </c>
      <c r="G1995" s="5">
        <v>39680</v>
      </c>
      <c r="H1995" s="16">
        <v>2008</v>
      </c>
      <c r="I1995" s="5">
        <v>39680</v>
      </c>
      <c r="J1995" s="5">
        <v>38246</v>
      </c>
      <c r="K1995" s="16">
        <v>574</v>
      </c>
      <c r="L1995" s="13">
        <v>36945.699999999997</v>
      </c>
      <c r="M1995" s="15">
        <v>631.6085887292478</v>
      </c>
      <c r="N1995" s="13">
        <v>33188.5</v>
      </c>
      <c r="O1995" s="13">
        <v>20000</v>
      </c>
      <c r="P1995" s="11">
        <v>0</v>
      </c>
    </row>
    <row r="1996" spans="1:16" ht="15" thickBot="1" x14ac:dyDescent="0.3">
      <c r="A1996" s="3" t="s">
        <v>11</v>
      </c>
      <c r="B1996" s="4">
        <v>952537</v>
      </c>
      <c r="C1996" s="3" t="s">
        <v>16</v>
      </c>
      <c r="D1996" s="18">
        <v>0.14249999999999999</v>
      </c>
      <c r="E1996" s="21">
        <v>1.1163421416801933E-2</v>
      </c>
      <c r="F1996" s="5">
        <v>37750</v>
      </c>
      <c r="G1996" s="5">
        <v>38482</v>
      </c>
      <c r="H1996" s="16">
        <v>732</v>
      </c>
      <c r="I1996" s="5">
        <v>38482</v>
      </c>
      <c r="J1996" s="5">
        <v>38002</v>
      </c>
      <c r="K1996" s="16">
        <v>252</v>
      </c>
      <c r="L1996" s="13">
        <v>3293</v>
      </c>
      <c r="M1996" s="15">
        <v>154.9203015712784</v>
      </c>
      <c r="N1996" s="13">
        <v>2651.31</v>
      </c>
      <c r="O1996" s="13">
        <v>0</v>
      </c>
      <c r="P1996" s="11">
        <v>0</v>
      </c>
    </row>
    <row r="1997" spans="1:16" ht="15" thickBot="1" x14ac:dyDescent="0.3">
      <c r="A1997" s="3" t="s">
        <v>11</v>
      </c>
      <c r="B1997" s="4">
        <v>470382</v>
      </c>
      <c r="C1997" s="3" t="s">
        <v>9</v>
      </c>
      <c r="D1997" s="18">
        <v>6.25E-2</v>
      </c>
      <c r="E1997" s="21">
        <v>5.0648349497708356E-3</v>
      </c>
      <c r="F1997" s="5">
        <v>37804</v>
      </c>
      <c r="G1997" s="5">
        <v>40004</v>
      </c>
      <c r="H1997" s="16">
        <v>2200</v>
      </c>
      <c r="I1997" s="5">
        <v>40035</v>
      </c>
      <c r="J1997" s="5">
        <v>38275</v>
      </c>
      <c r="K1997" s="16">
        <v>471</v>
      </c>
      <c r="L1997" s="13">
        <v>28668.69</v>
      </c>
      <c r="M1997" s="15">
        <v>468.99965412103086</v>
      </c>
      <c r="N1997" s="13">
        <v>21300</v>
      </c>
      <c r="O1997" s="13">
        <v>4500</v>
      </c>
      <c r="P1997" s="11">
        <v>0</v>
      </c>
    </row>
    <row r="1998" spans="1:16" ht="15" thickBot="1" x14ac:dyDescent="0.3">
      <c r="A1998" s="3" t="s">
        <v>11</v>
      </c>
      <c r="B1998" s="4">
        <v>997273</v>
      </c>
      <c r="C1998" s="3" t="s">
        <v>9</v>
      </c>
      <c r="D1998" s="18">
        <v>0.08</v>
      </c>
      <c r="E1998" s="21">
        <v>6.4340301100034303E-3</v>
      </c>
      <c r="F1998" s="5">
        <v>37854</v>
      </c>
      <c r="G1998" s="5">
        <v>39553</v>
      </c>
      <c r="H1998" s="16">
        <v>1699</v>
      </c>
      <c r="I1998" s="5">
        <v>39614</v>
      </c>
      <c r="J1998" s="5">
        <v>38694</v>
      </c>
      <c r="K1998" s="16">
        <v>840</v>
      </c>
      <c r="L1998" s="13">
        <v>12704.52</v>
      </c>
      <c r="M1998" s="15">
        <v>268.38960556700567</v>
      </c>
      <c r="N1998" s="13">
        <v>9773.68</v>
      </c>
      <c r="O1998" s="13">
        <v>3890</v>
      </c>
      <c r="P1998" s="11">
        <v>0</v>
      </c>
    </row>
    <row r="1999" spans="1:16" ht="15" thickBot="1" x14ac:dyDescent="0.3">
      <c r="A1999" s="3" t="s">
        <v>11</v>
      </c>
      <c r="B1999" s="4">
        <v>588811</v>
      </c>
      <c r="C1999" s="3" t="s">
        <v>16</v>
      </c>
      <c r="D1999" s="18">
        <v>0.13</v>
      </c>
      <c r="E1999" s="21">
        <v>1.02368443581764E-2</v>
      </c>
      <c r="F1999" s="5">
        <v>38429</v>
      </c>
      <c r="G1999" s="5">
        <v>38490</v>
      </c>
      <c r="H1999" s="16">
        <v>61</v>
      </c>
      <c r="I1999" s="5">
        <v>38521</v>
      </c>
      <c r="J1999" s="5">
        <v>38616</v>
      </c>
      <c r="K1999" s="16">
        <v>187</v>
      </c>
      <c r="L1999" s="13">
        <v>3550</v>
      </c>
      <c r="M1999" s="15">
        <v>1773.0558457516072</v>
      </c>
      <c r="N1999" s="13">
        <v>1502.71</v>
      </c>
      <c r="O1999" s="13">
        <v>50</v>
      </c>
      <c r="P1999" s="11">
        <v>0</v>
      </c>
    </row>
    <row r="2000" spans="1:16" ht="15" thickBot="1" x14ac:dyDescent="0.3">
      <c r="A2000" s="3" t="s">
        <v>11</v>
      </c>
      <c r="B2000" s="4">
        <v>236411</v>
      </c>
      <c r="C2000" s="3" t="s">
        <v>16</v>
      </c>
      <c r="D2000" s="18">
        <v>0.125</v>
      </c>
      <c r="E2000" s="21">
        <v>9.8635805532114595E-3</v>
      </c>
      <c r="F2000" s="5">
        <v>38128</v>
      </c>
      <c r="G2000" s="5">
        <v>38862</v>
      </c>
      <c r="H2000" s="16">
        <v>734</v>
      </c>
      <c r="I2000" s="5">
        <v>38862</v>
      </c>
      <c r="J2000" s="5">
        <v>38191</v>
      </c>
      <c r="K2000" s="16">
        <v>63</v>
      </c>
      <c r="L2000" s="13">
        <v>4571.4399999999996</v>
      </c>
      <c r="M2000" s="15">
        <v>211.21044585452364</v>
      </c>
      <c r="N2000" s="13">
        <v>4571.4399999999996</v>
      </c>
      <c r="O2000" s="13">
        <v>0</v>
      </c>
      <c r="P2000" s="11">
        <v>0</v>
      </c>
    </row>
    <row r="2001" spans="1:16" ht="15" thickBot="1" x14ac:dyDescent="0.3">
      <c r="A2001" s="3" t="s">
        <v>11</v>
      </c>
      <c r="B2001" s="4">
        <v>891888</v>
      </c>
      <c r="C2001" s="3" t="s">
        <v>9</v>
      </c>
      <c r="D2001" s="18">
        <v>9.4E-2</v>
      </c>
      <c r="E2001" s="21">
        <v>7.5148209323356863E-3</v>
      </c>
      <c r="F2001" s="5">
        <v>39120</v>
      </c>
      <c r="G2001" s="5">
        <v>40589</v>
      </c>
      <c r="H2001" s="16">
        <v>1469</v>
      </c>
      <c r="I2001" s="5">
        <v>40709</v>
      </c>
      <c r="J2001" s="5">
        <v>40260</v>
      </c>
      <c r="K2001" s="16">
        <v>1140</v>
      </c>
      <c r="L2001" s="13">
        <v>10584.19</v>
      </c>
      <c r="M2001" s="15">
        <v>259.15568889257946</v>
      </c>
      <c r="N2001" s="13">
        <v>5097.07</v>
      </c>
      <c r="O2001" s="13">
        <v>0.17</v>
      </c>
      <c r="P2001" s="11">
        <v>0</v>
      </c>
    </row>
    <row r="2002" spans="1:16" ht="15" thickBot="1" x14ac:dyDescent="0.3">
      <c r="A2002" s="3" t="s">
        <v>11</v>
      </c>
      <c r="B2002" s="4">
        <v>327668</v>
      </c>
      <c r="C2002" s="3" t="s">
        <v>9</v>
      </c>
      <c r="D2002" s="18">
        <v>8.4000000000000005E-2</v>
      </c>
      <c r="E2002" s="21">
        <v>6.7441318411856077E-3</v>
      </c>
      <c r="F2002" s="5">
        <v>39286</v>
      </c>
      <c r="G2002" s="5">
        <v>40749</v>
      </c>
      <c r="H2002" s="16">
        <v>1463</v>
      </c>
      <c r="I2002" s="5">
        <v>40811</v>
      </c>
      <c r="J2002" s="5">
        <v>39720</v>
      </c>
      <c r="K2002" s="16">
        <v>434</v>
      </c>
      <c r="L2002" s="13">
        <v>6710</v>
      </c>
      <c r="M2002" s="15">
        <v>161.91790267691098</v>
      </c>
      <c r="N2002" s="13">
        <v>3104.22</v>
      </c>
      <c r="O2002" s="13">
        <v>6.01</v>
      </c>
      <c r="P2002" s="11">
        <v>0</v>
      </c>
    </row>
    <row r="2003" spans="1:16" ht="15" thickBot="1" x14ac:dyDescent="0.3">
      <c r="A2003" s="3" t="s">
        <v>11</v>
      </c>
      <c r="B2003" s="4">
        <v>608537</v>
      </c>
      <c r="C2003" s="3" t="s">
        <v>9</v>
      </c>
      <c r="D2003" s="18">
        <v>0.14899999999999999</v>
      </c>
      <c r="E2003" s="21">
        <v>1.1641575009651461E-2</v>
      </c>
      <c r="F2003" s="5">
        <v>39392</v>
      </c>
      <c r="G2003" s="5">
        <v>40123</v>
      </c>
      <c r="H2003" s="16">
        <v>731</v>
      </c>
      <c r="I2003" s="5">
        <v>40153</v>
      </c>
      <c r="J2003" s="5">
        <v>39720</v>
      </c>
      <c r="K2003" s="16">
        <v>328</v>
      </c>
      <c r="L2003" s="13">
        <v>2760</v>
      </c>
      <c r="M2003" s="15">
        <v>130.74706128835604</v>
      </c>
      <c r="N2003" s="13">
        <v>1974.53</v>
      </c>
      <c r="O2003" s="13">
        <v>0</v>
      </c>
      <c r="P2003" s="11">
        <v>0</v>
      </c>
    </row>
    <row r="2004" spans="1:16" ht="15" thickBot="1" x14ac:dyDescent="0.3">
      <c r="A2004" s="3" t="s">
        <v>11</v>
      </c>
      <c r="B2004" s="4">
        <v>607110</v>
      </c>
      <c r="C2004" s="3" t="s">
        <v>9</v>
      </c>
      <c r="D2004" s="18">
        <v>0.14399999999999999</v>
      </c>
      <c r="E2004" s="21">
        <v>1.1273985471853543E-2</v>
      </c>
      <c r="F2004" s="5">
        <v>39413</v>
      </c>
      <c r="G2004" s="5">
        <v>40132</v>
      </c>
      <c r="H2004" s="16">
        <v>719</v>
      </c>
      <c r="I2004" s="5">
        <v>40162</v>
      </c>
      <c r="J2004" s="5">
        <v>39897</v>
      </c>
      <c r="K2004" s="16">
        <v>484</v>
      </c>
      <c r="L2004" s="13">
        <v>3360</v>
      </c>
      <c r="M2004" s="15">
        <v>160.77096363091292</v>
      </c>
      <c r="N2004" s="13">
        <v>1991.3</v>
      </c>
      <c r="O2004" s="13">
        <v>0</v>
      </c>
      <c r="P2004" s="11">
        <v>0</v>
      </c>
    </row>
    <row r="2005" spans="1:16" ht="15" thickBot="1" x14ac:dyDescent="0.3">
      <c r="A2005" s="3" t="s">
        <v>11</v>
      </c>
      <c r="B2005" s="4">
        <v>569142</v>
      </c>
      <c r="C2005" s="3" t="s">
        <v>9</v>
      </c>
      <c r="D2005" s="18">
        <v>8.4000000000000005E-2</v>
      </c>
      <c r="E2005" s="21">
        <v>6.7441318411856077E-3</v>
      </c>
      <c r="F2005" s="5">
        <v>39444</v>
      </c>
      <c r="G2005" s="5">
        <v>40537</v>
      </c>
      <c r="H2005" s="16">
        <v>1093</v>
      </c>
      <c r="I2005" s="5">
        <v>40537</v>
      </c>
      <c r="J2005" s="5">
        <v>39615</v>
      </c>
      <c r="K2005" s="16">
        <v>171</v>
      </c>
      <c r="L2005" s="13">
        <v>8658.44</v>
      </c>
      <c r="M2005" s="15">
        <v>268.83937222851262</v>
      </c>
      <c r="N2005" s="13">
        <v>6300</v>
      </c>
      <c r="O2005" s="13">
        <v>0</v>
      </c>
      <c r="P2005" s="11">
        <v>0</v>
      </c>
    </row>
    <row r="2006" spans="1:16" ht="15" thickBot="1" x14ac:dyDescent="0.3">
      <c r="A2006" s="3" t="s">
        <v>11</v>
      </c>
      <c r="B2006" s="4">
        <v>713894</v>
      </c>
      <c r="C2006" s="3" t="s">
        <v>9</v>
      </c>
      <c r="D2006" s="18">
        <v>9.4E-2</v>
      </c>
      <c r="E2006" s="21">
        <v>7.5148209323356863E-3</v>
      </c>
      <c r="F2006" s="5">
        <v>39461</v>
      </c>
      <c r="G2006" s="5">
        <v>41299</v>
      </c>
      <c r="H2006" s="16">
        <v>1838</v>
      </c>
      <c r="I2006" s="5">
        <v>41389</v>
      </c>
      <c r="J2006" s="5">
        <v>40813</v>
      </c>
      <c r="K2006" s="16">
        <v>1352</v>
      </c>
      <c r="L2006" s="13">
        <v>12980</v>
      </c>
      <c r="M2006" s="15">
        <v>265.14240077651823</v>
      </c>
      <c r="N2006" s="13">
        <v>6743.28</v>
      </c>
      <c r="O2006" s="13">
        <v>331.39</v>
      </c>
      <c r="P2006" s="11">
        <v>0</v>
      </c>
    </row>
    <row r="2007" spans="1:16" ht="15" thickBot="1" x14ac:dyDescent="0.3">
      <c r="A2007" s="3" t="s">
        <v>11</v>
      </c>
      <c r="B2007" s="4">
        <v>626946</v>
      </c>
      <c r="C2007" s="3" t="s">
        <v>9</v>
      </c>
      <c r="D2007" s="18">
        <v>0.124</v>
      </c>
      <c r="E2007" s="21">
        <v>9.7887453502294441E-3</v>
      </c>
      <c r="F2007" s="5">
        <v>39514</v>
      </c>
      <c r="G2007" s="5">
        <v>40623</v>
      </c>
      <c r="H2007" s="16">
        <v>1109</v>
      </c>
      <c r="I2007" s="5">
        <v>40623</v>
      </c>
      <c r="J2007" s="5">
        <v>39798</v>
      </c>
      <c r="K2007" s="16">
        <v>284</v>
      </c>
      <c r="L2007" s="13">
        <v>4810</v>
      </c>
      <c r="M2007" s="15">
        <v>155.70481869820583</v>
      </c>
      <c r="N2007" s="13">
        <v>4475.8100000000004</v>
      </c>
      <c r="O2007" s="13">
        <v>0.47</v>
      </c>
      <c r="P2007" s="11">
        <v>0</v>
      </c>
    </row>
    <row r="2008" spans="1:16" ht="15" thickBot="1" x14ac:dyDescent="0.3">
      <c r="A2008" s="3" t="s">
        <v>11</v>
      </c>
      <c r="B2008" s="4">
        <v>677169</v>
      </c>
      <c r="C2008" s="3" t="s">
        <v>9</v>
      </c>
      <c r="D2008" s="18">
        <v>6.6400000000000001E-2</v>
      </c>
      <c r="E2008" s="21">
        <v>5.3717505475605609E-3</v>
      </c>
      <c r="F2008" s="5">
        <v>39549</v>
      </c>
      <c r="G2008" s="5">
        <v>41739</v>
      </c>
      <c r="H2008" s="16">
        <v>2190</v>
      </c>
      <c r="I2008" s="5">
        <v>41830</v>
      </c>
      <c r="J2008" s="5">
        <v>40086</v>
      </c>
      <c r="K2008" s="16">
        <v>537</v>
      </c>
      <c r="L2008" s="13">
        <v>19778.63</v>
      </c>
      <c r="M2008" s="15">
        <v>328.24396349932181</v>
      </c>
      <c r="N2008" s="13">
        <v>12185.33</v>
      </c>
      <c r="O2008" s="13">
        <v>220.57</v>
      </c>
      <c r="P2008" s="11">
        <v>0</v>
      </c>
    </row>
    <row r="2009" spans="1:16" ht="15" thickBot="1" x14ac:dyDescent="0.3">
      <c r="A2009" s="3" t="s">
        <v>11</v>
      </c>
      <c r="B2009" s="4">
        <v>367654</v>
      </c>
      <c r="C2009" s="3" t="s">
        <v>16</v>
      </c>
      <c r="D2009" s="18">
        <v>0.159</v>
      </c>
      <c r="E2009" s="21">
        <v>1.2372376038205957E-2</v>
      </c>
      <c r="F2009" s="5">
        <v>39567</v>
      </c>
      <c r="G2009" s="5">
        <v>40298</v>
      </c>
      <c r="H2009" s="16">
        <v>731</v>
      </c>
      <c r="I2009" s="5">
        <v>40298</v>
      </c>
      <c r="J2009" s="5">
        <v>39798</v>
      </c>
      <c r="K2009" s="16">
        <v>231</v>
      </c>
      <c r="L2009" s="13">
        <v>2560</v>
      </c>
      <c r="M2009" s="15">
        <v>122.33645785739105</v>
      </c>
      <c r="N2009" s="13">
        <v>2273.9699999999998</v>
      </c>
      <c r="O2009" s="13">
        <v>15.34</v>
      </c>
      <c r="P2009" s="11">
        <v>0</v>
      </c>
    </row>
    <row r="2010" spans="1:16" ht="15" thickBot="1" x14ac:dyDescent="0.3">
      <c r="A2010" s="3" t="s">
        <v>11</v>
      </c>
      <c r="B2010" s="4">
        <v>46680</v>
      </c>
      <c r="C2010" s="3" t="s">
        <v>12</v>
      </c>
      <c r="D2010" s="18">
        <v>0.14399999999999999</v>
      </c>
      <c r="E2010" s="21">
        <v>1.1273985471853543E-2</v>
      </c>
      <c r="F2010" s="5">
        <v>39673</v>
      </c>
      <c r="G2010" s="5">
        <v>40785</v>
      </c>
      <c r="H2010" s="16">
        <v>1112</v>
      </c>
      <c r="I2010" s="5">
        <v>40846</v>
      </c>
      <c r="J2010" s="5">
        <v>39897</v>
      </c>
      <c r="K2010" s="16">
        <v>224</v>
      </c>
      <c r="L2010" s="13">
        <v>4060</v>
      </c>
      <c r="M2010" s="15">
        <v>134.61536408912741</v>
      </c>
      <c r="N2010" s="13">
        <v>4060</v>
      </c>
      <c r="O2010" s="13">
        <v>4320.22</v>
      </c>
      <c r="P2010" s="11">
        <v>0</v>
      </c>
    </row>
    <row r="2011" spans="1:16" ht="15" thickBot="1" x14ac:dyDescent="0.3">
      <c r="A2011" s="3" t="s">
        <v>11</v>
      </c>
      <c r="B2011" s="4">
        <v>41090</v>
      </c>
      <c r="C2011" s="3" t="s">
        <v>9</v>
      </c>
      <c r="D2011" s="18">
        <v>4.4999999999999998E-2</v>
      </c>
      <c r="E2011" s="21">
        <v>3.6748094004368514E-3</v>
      </c>
      <c r="F2011" s="5">
        <v>44475</v>
      </c>
      <c r="G2011" s="5">
        <v>45935</v>
      </c>
      <c r="H2011" s="16">
        <v>1460</v>
      </c>
      <c r="I2011" s="5">
        <v>45966</v>
      </c>
      <c r="J2011" s="5">
        <v>45106</v>
      </c>
      <c r="K2011" s="16">
        <v>631</v>
      </c>
      <c r="L2011" s="13">
        <v>15081</v>
      </c>
      <c r="M2011" s="15">
        <v>338.98648703887244</v>
      </c>
      <c r="N2011" s="13">
        <v>9663.6299999999992</v>
      </c>
      <c r="O2011" s="13">
        <v>6813.89</v>
      </c>
      <c r="P2011" s="11">
        <v>1</v>
      </c>
    </row>
    <row r="2012" spans="1:16" ht="15" thickBot="1" x14ac:dyDescent="0.3">
      <c r="A2012" s="3" t="s">
        <v>11</v>
      </c>
      <c r="B2012" s="4">
        <v>765000</v>
      </c>
      <c r="C2012" s="3" t="s">
        <v>16</v>
      </c>
      <c r="D2012" s="18">
        <v>0.115</v>
      </c>
      <c r="E2012" s="21">
        <v>9.1124684369046083E-3</v>
      </c>
      <c r="F2012" s="5">
        <v>45078</v>
      </c>
      <c r="G2012" s="5">
        <v>45992</v>
      </c>
      <c r="H2012" s="16">
        <v>914</v>
      </c>
      <c r="I2012" s="5">
        <v>45992</v>
      </c>
      <c r="J2012" s="5">
        <v>45467</v>
      </c>
      <c r="K2012" s="16">
        <v>389</v>
      </c>
      <c r="L2012" s="13">
        <v>3075</v>
      </c>
      <c r="M2012" s="15">
        <v>116.0440852141453</v>
      </c>
      <c r="N2012" s="13">
        <v>2146.2800000000002</v>
      </c>
      <c r="O2012" s="13">
        <v>0</v>
      </c>
      <c r="P2012" s="11">
        <v>1</v>
      </c>
    </row>
    <row r="2013" spans="1:16" ht="15" thickBot="1" x14ac:dyDescent="0.3">
      <c r="A2013" s="3" t="s">
        <v>11</v>
      </c>
      <c r="B2013" s="4">
        <v>321970</v>
      </c>
      <c r="C2013" s="3" t="s">
        <v>9</v>
      </c>
      <c r="D2013" s="18">
        <v>9.5000000000000001E-2</v>
      </c>
      <c r="E2013" s="21">
        <v>7.5915342905825689E-3</v>
      </c>
      <c r="F2013" s="5">
        <v>45125</v>
      </c>
      <c r="G2013" s="5">
        <v>46038</v>
      </c>
      <c r="H2013" s="16">
        <v>913</v>
      </c>
      <c r="I2013" s="5">
        <v>46069</v>
      </c>
      <c r="J2013" s="5">
        <v>45467</v>
      </c>
      <c r="K2013" s="16">
        <v>342</v>
      </c>
      <c r="L2013" s="13">
        <v>12105</v>
      </c>
      <c r="M2013" s="15">
        <v>446.9713232671873</v>
      </c>
      <c r="N2013" s="13">
        <v>9861.5</v>
      </c>
      <c r="O2013" s="13">
        <v>9861.5</v>
      </c>
      <c r="P2013" s="11">
        <v>1</v>
      </c>
    </row>
    <row r="2014" spans="1:16" ht="15" thickBot="1" x14ac:dyDescent="0.3">
      <c r="A2014" s="3" t="s">
        <v>11</v>
      </c>
      <c r="B2014" s="4">
        <v>562814</v>
      </c>
      <c r="C2014" s="3" t="s">
        <v>16</v>
      </c>
      <c r="D2014" s="18">
        <v>8.2500000000000004E-2</v>
      </c>
      <c r="E2014" s="21">
        <v>6.6279668043680573E-3</v>
      </c>
      <c r="F2014" s="5">
        <v>35632</v>
      </c>
      <c r="G2014" s="5">
        <v>36366</v>
      </c>
      <c r="H2014" s="16">
        <v>734</v>
      </c>
      <c r="I2014" s="5">
        <v>36397</v>
      </c>
      <c r="J2014" s="5">
        <v>36523</v>
      </c>
      <c r="K2014" s="16">
        <v>891</v>
      </c>
      <c r="L2014" s="13">
        <v>9392.68</v>
      </c>
      <c r="M2014" s="15">
        <v>417.13316143003567</v>
      </c>
      <c r="N2014" s="13">
        <v>1904.86</v>
      </c>
      <c r="O2014" s="13">
        <v>0</v>
      </c>
      <c r="P2014" s="11">
        <v>0</v>
      </c>
    </row>
    <row r="2015" spans="1:16" ht="15" thickBot="1" x14ac:dyDescent="0.3">
      <c r="A2015" s="3" t="s">
        <v>11</v>
      </c>
      <c r="B2015" s="4">
        <v>791965</v>
      </c>
      <c r="C2015" s="3" t="s">
        <v>9</v>
      </c>
      <c r="D2015" s="18">
        <v>0.10249999999999999</v>
      </c>
      <c r="E2015" s="21">
        <v>8.1648460519010424E-3</v>
      </c>
      <c r="F2015" s="5">
        <v>35969</v>
      </c>
      <c r="G2015" s="5">
        <v>36519</v>
      </c>
      <c r="H2015" s="16">
        <v>550</v>
      </c>
      <c r="I2015" s="5">
        <v>36519</v>
      </c>
      <c r="J2015" s="5">
        <v>36595</v>
      </c>
      <c r="K2015" s="16">
        <v>626</v>
      </c>
      <c r="L2015" s="13">
        <v>3146.88</v>
      </c>
      <c r="M2015" s="15">
        <v>185.51377203380142</v>
      </c>
      <c r="N2015" s="13">
        <v>914.35</v>
      </c>
      <c r="O2015" s="13">
        <v>0</v>
      </c>
      <c r="P2015" s="11">
        <v>0</v>
      </c>
    </row>
    <row r="2016" spans="1:16" ht="15" thickBot="1" x14ac:dyDescent="0.3">
      <c r="A2016" s="3" t="s">
        <v>11</v>
      </c>
      <c r="B2016" s="4">
        <v>554143</v>
      </c>
      <c r="C2016" s="3" t="s">
        <v>9</v>
      </c>
      <c r="D2016" s="18">
        <v>9.4E-2</v>
      </c>
      <c r="E2016" s="21">
        <v>7.5148209323356863E-3</v>
      </c>
      <c r="F2016" s="5">
        <v>38810</v>
      </c>
      <c r="G2016" s="5">
        <v>40648</v>
      </c>
      <c r="H2016" s="16">
        <v>1838</v>
      </c>
      <c r="I2016" s="5">
        <v>40678</v>
      </c>
      <c r="J2016" s="5">
        <v>39918</v>
      </c>
      <c r="K2016" s="16">
        <v>1108</v>
      </c>
      <c r="L2016" s="13">
        <v>8800.34</v>
      </c>
      <c r="M2016" s="15">
        <v>179.76450502693564</v>
      </c>
      <c r="N2016" s="13">
        <v>3500</v>
      </c>
      <c r="O2016" s="13">
        <v>79.86</v>
      </c>
      <c r="P2016" s="11">
        <v>0</v>
      </c>
    </row>
    <row r="2017" spans="1:16" ht="15" thickBot="1" x14ac:dyDescent="0.3">
      <c r="A2017" s="3" t="s">
        <v>11</v>
      </c>
      <c r="B2017" s="4">
        <v>241089</v>
      </c>
      <c r="C2017" s="3" t="s">
        <v>16</v>
      </c>
      <c r="D2017" s="18">
        <v>0.15</v>
      </c>
      <c r="E2017" s="21">
        <v>1.171491691985338E-2</v>
      </c>
      <c r="F2017" s="5">
        <v>39007</v>
      </c>
      <c r="G2017" s="5">
        <v>40106</v>
      </c>
      <c r="H2017" s="16">
        <v>1099</v>
      </c>
      <c r="I2017" s="5">
        <v>40257</v>
      </c>
      <c r="J2017" s="5">
        <v>39624</v>
      </c>
      <c r="K2017" s="16">
        <v>617</v>
      </c>
      <c r="L2017" s="13">
        <v>8672.0400000000009</v>
      </c>
      <c r="M2017" s="15">
        <v>292.50663623985747</v>
      </c>
      <c r="N2017" s="13">
        <v>7022.18</v>
      </c>
      <c r="O2017" s="13">
        <v>0</v>
      </c>
      <c r="P2017" s="11">
        <v>0</v>
      </c>
    </row>
    <row r="2018" spans="1:16" ht="15" thickBot="1" x14ac:dyDescent="0.3">
      <c r="A2018" s="3" t="s">
        <v>11</v>
      </c>
      <c r="B2018" s="4">
        <v>725606</v>
      </c>
      <c r="C2018" s="3" t="s">
        <v>9</v>
      </c>
      <c r="D2018" s="18">
        <v>0.10249999999999999</v>
      </c>
      <c r="E2018" s="21">
        <v>8.1648460519010424E-3</v>
      </c>
      <c r="F2018" s="5">
        <v>39559</v>
      </c>
      <c r="G2018" s="5">
        <v>41389</v>
      </c>
      <c r="H2018" s="16">
        <v>1830</v>
      </c>
      <c r="I2018" s="5">
        <v>41603</v>
      </c>
      <c r="J2018" s="5">
        <v>40436</v>
      </c>
      <c r="K2018" s="16">
        <v>877</v>
      </c>
      <c r="L2018" s="13">
        <v>20421.71</v>
      </c>
      <c r="M2018" s="15">
        <v>426.3813484992848</v>
      </c>
      <c r="N2018" s="13">
        <v>10722.68</v>
      </c>
      <c r="O2018" s="13">
        <v>0</v>
      </c>
      <c r="P2018" s="11">
        <v>0</v>
      </c>
    </row>
    <row r="2019" spans="1:16" ht="15" thickBot="1" x14ac:dyDescent="0.3">
      <c r="A2019" s="3" t="s">
        <v>11</v>
      </c>
      <c r="B2019" s="4">
        <v>756861</v>
      </c>
      <c r="C2019" s="3" t="s">
        <v>9</v>
      </c>
      <c r="D2019" s="18">
        <v>0.12</v>
      </c>
      <c r="E2019" s="21">
        <v>9.4887929345830457E-3</v>
      </c>
      <c r="F2019" s="5">
        <v>39913</v>
      </c>
      <c r="G2019" s="5">
        <v>41014</v>
      </c>
      <c r="H2019" s="16">
        <v>1101</v>
      </c>
      <c r="I2019" s="5">
        <v>41044</v>
      </c>
      <c r="J2019" s="5">
        <v>40451</v>
      </c>
      <c r="K2019" s="16">
        <v>538</v>
      </c>
      <c r="L2019" s="13">
        <v>6075</v>
      </c>
      <c r="M2019" s="15">
        <v>196.79927785076174</v>
      </c>
      <c r="N2019" s="13">
        <v>4344.04</v>
      </c>
      <c r="O2019" s="13">
        <v>2001</v>
      </c>
      <c r="P2019" s="11">
        <v>0</v>
      </c>
    </row>
    <row r="2020" spans="1:16" ht="15" thickBot="1" x14ac:dyDescent="0.3">
      <c r="A2020" s="3" t="s">
        <v>11</v>
      </c>
      <c r="B2020" s="4">
        <v>939878</v>
      </c>
      <c r="C2020" s="3" t="s">
        <v>16</v>
      </c>
      <c r="D2020" s="18">
        <v>0.14000000000000001</v>
      </c>
      <c r="E2020" s="21">
        <v>1.0978851950173452E-2</v>
      </c>
      <c r="F2020" s="5">
        <v>40148</v>
      </c>
      <c r="G2020" s="5">
        <v>40887</v>
      </c>
      <c r="H2020" s="16">
        <v>739</v>
      </c>
      <c r="I2020" s="5">
        <v>40887</v>
      </c>
      <c r="J2020" s="5">
        <v>40268</v>
      </c>
      <c r="K2020" s="16">
        <v>120</v>
      </c>
      <c r="L2020" s="13">
        <v>2075</v>
      </c>
      <c r="M2020" s="15">
        <v>96.597583755513313</v>
      </c>
      <c r="N2020" s="13">
        <v>2004.44</v>
      </c>
      <c r="O2020" s="13">
        <v>0</v>
      </c>
      <c r="P2020" s="11">
        <v>0</v>
      </c>
    </row>
    <row r="2021" spans="1:16" ht="15" thickBot="1" x14ac:dyDescent="0.3">
      <c r="A2021" s="3" t="s">
        <v>11</v>
      </c>
      <c r="B2021" s="4">
        <v>253056</v>
      </c>
      <c r="C2021" s="3" t="s">
        <v>9</v>
      </c>
      <c r="D2021" s="18">
        <v>7.0000000000000007E-2</v>
      </c>
      <c r="E2021" s="21">
        <v>5.6541453874052738E-3</v>
      </c>
      <c r="F2021" s="5">
        <v>40416</v>
      </c>
      <c r="G2021" s="5">
        <v>42241</v>
      </c>
      <c r="H2021" s="16">
        <v>1825</v>
      </c>
      <c r="I2021" s="5">
        <v>42241</v>
      </c>
      <c r="J2021" s="5">
        <v>40886</v>
      </c>
      <c r="K2021" s="16">
        <v>470</v>
      </c>
      <c r="L2021" s="13">
        <v>10075</v>
      </c>
      <c r="M2021" s="15">
        <v>196.19200707537814</v>
      </c>
      <c r="N2021" s="13">
        <v>8343.57</v>
      </c>
      <c r="O2021" s="13">
        <v>5727.02</v>
      </c>
      <c r="P2021" s="11">
        <v>1</v>
      </c>
    </row>
    <row r="2022" spans="1:16" ht="15" thickBot="1" x14ac:dyDescent="0.3">
      <c r="A2022" s="3" t="s">
        <v>11</v>
      </c>
      <c r="B2022" s="4">
        <v>705388</v>
      </c>
      <c r="C2022" s="3" t="s">
        <v>9</v>
      </c>
      <c r="D2022" s="18">
        <v>0.1225</v>
      </c>
      <c r="E2022" s="21">
        <v>9.6763780332134175E-3</v>
      </c>
      <c r="F2022" s="5">
        <v>41263</v>
      </c>
      <c r="G2022" s="5">
        <v>41793</v>
      </c>
      <c r="H2022" s="16">
        <v>530</v>
      </c>
      <c r="I2022" s="5">
        <v>41915</v>
      </c>
      <c r="J2022" s="5">
        <v>41787</v>
      </c>
      <c r="K2022" s="16">
        <v>524</v>
      </c>
      <c r="L2022" s="13">
        <v>1627.45</v>
      </c>
      <c r="M2022" s="15">
        <v>100.66185367667086</v>
      </c>
      <c r="N2022" s="13">
        <v>478.83</v>
      </c>
      <c r="O2022" s="13">
        <v>0</v>
      </c>
      <c r="P2022" s="11">
        <v>0</v>
      </c>
    </row>
    <row r="2023" spans="1:16" ht="15" thickBot="1" x14ac:dyDescent="0.3">
      <c r="A2023" s="3" t="s">
        <v>11</v>
      </c>
      <c r="B2023" s="4">
        <v>270764</v>
      </c>
      <c r="C2023" s="3" t="s">
        <v>9</v>
      </c>
      <c r="D2023" s="18">
        <v>0.10249999999999999</v>
      </c>
      <c r="E2023" s="21">
        <v>8.1648460519010424E-3</v>
      </c>
      <c r="F2023" s="5">
        <v>41858</v>
      </c>
      <c r="G2023" s="5">
        <v>43327</v>
      </c>
      <c r="H2023" s="16">
        <v>1469</v>
      </c>
      <c r="I2023" s="5">
        <v>43419</v>
      </c>
      <c r="J2023" s="5">
        <v>42998</v>
      </c>
      <c r="K2023" s="16">
        <v>1140</v>
      </c>
      <c r="L2023" s="13">
        <v>7075</v>
      </c>
      <c r="M2023" s="15">
        <v>175.86998657016568</v>
      </c>
      <c r="N2023" s="13">
        <v>3487.03</v>
      </c>
      <c r="O2023" s="13">
        <v>0</v>
      </c>
      <c r="P2023" s="11">
        <v>1</v>
      </c>
    </row>
    <row r="2024" spans="1:16" ht="15" thickBot="1" x14ac:dyDescent="0.3">
      <c r="A2024" s="3" t="s">
        <v>11</v>
      </c>
      <c r="B2024" s="4">
        <v>210986</v>
      </c>
      <c r="C2024" s="3" t="s">
        <v>9</v>
      </c>
      <c r="D2024" s="18">
        <v>0.1125</v>
      </c>
      <c r="E2024" s="21">
        <v>8.9237257287477778E-3</v>
      </c>
      <c r="F2024" s="5">
        <v>42916</v>
      </c>
      <c r="G2024" s="5">
        <v>43470</v>
      </c>
      <c r="H2024" s="16">
        <v>554</v>
      </c>
      <c r="I2024" s="5">
        <v>43470</v>
      </c>
      <c r="J2024" s="5">
        <v>43455</v>
      </c>
      <c r="K2024" s="16">
        <v>539</v>
      </c>
      <c r="L2024" s="13">
        <v>2450</v>
      </c>
      <c r="M2024" s="15">
        <v>144.49290197494145</v>
      </c>
      <c r="N2024" s="13">
        <v>860.82</v>
      </c>
      <c r="O2024" s="13">
        <v>0</v>
      </c>
      <c r="P2024" s="11">
        <v>1</v>
      </c>
    </row>
    <row r="2025" spans="1:16" ht="15" thickBot="1" x14ac:dyDescent="0.3">
      <c r="A2025" s="3" t="s">
        <v>11</v>
      </c>
      <c r="B2025" s="4">
        <v>622211</v>
      </c>
      <c r="C2025" s="3" t="s">
        <v>9</v>
      </c>
      <c r="D2025" s="18">
        <v>0.10249999999999999</v>
      </c>
      <c r="E2025" s="21">
        <v>8.1648460519010424E-3</v>
      </c>
      <c r="F2025" s="5">
        <v>43550</v>
      </c>
      <c r="G2025" s="5">
        <v>45376</v>
      </c>
      <c r="H2025" s="16">
        <v>1826</v>
      </c>
      <c r="I2025" s="5">
        <v>45498</v>
      </c>
      <c r="J2025" s="5">
        <v>44249</v>
      </c>
      <c r="K2025" s="16">
        <v>699</v>
      </c>
      <c r="L2025" s="13">
        <v>21025</v>
      </c>
      <c r="M2025" s="15">
        <v>439.72012440202843</v>
      </c>
      <c r="N2025" s="13">
        <v>12508.4</v>
      </c>
      <c r="O2025" s="13">
        <v>0</v>
      </c>
      <c r="P2025" s="11">
        <v>1</v>
      </c>
    </row>
    <row r="2026" spans="1:16" ht="15" thickBot="1" x14ac:dyDescent="0.3">
      <c r="A2026" s="3" t="s">
        <v>11</v>
      </c>
      <c r="B2026" s="4">
        <v>140953</v>
      </c>
      <c r="C2026" s="3" t="s">
        <v>16</v>
      </c>
      <c r="D2026" s="18">
        <v>0.11</v>
      </c>
      <c r="E2026" s="21">
        <v>8.7345938235519061E-3</v>
      </c>
      <c r="F2026" s="5">
        <v>38685</v>
      </c>
      <c r="G2026" s="5">
        <v>38866</v>
      </c>
      <c r="H2026" s="16">
        <v>181</v>
      </c>
      <c r="I2026" s="5">
        <v>39431</v>
      </c>
      <c r="J2026" s="5">
        <v>39520</v>
      </c>
      <c r="K2026" s="16">
        <v>835</v>
      </c>
      <c r="L2026" s="13">
        <v>20120.310000000001</v>
      </c>
      <c r="M2026" s="15">
        <v>3438.0409820667032</v>
      </c>
      <c r="N2026" s="13">
        <v>15710.28</v>
      </c>
      <c r="O2026" s="13">
        <v>0</v>
      </c>
      <c r="P2026" s="11">
        <v>0</v>
      </c>
    </row>
    <row r="2027" spans="1:16" ht="15" thickBot="1" x14ac:dyDescent="0.3">
      <c r="A2027" s="3" t="s">
        <v>11</v>
      </c>
      <c r="B2027" s="4">
        <v>99177</v>
      </c>
      <c r="C2027" s="3" t="s">
        <v>16</v>
      </c>
      <c r="D2027" s="18">
        <v>0.11</v>
      </c>
      <c r="E2027" s="21">
        <v>8.7345938235519061E-3</v>
      </c>
      <c r="F2027" s="5">
        <v>38750</v>
      </c>
      <c r="G2027" s="5">
        <v>38769</v>
      </c>
      <c r="H2027" s="16">
        <v>19</v>
      </c>
      <c r="I2027" s="5">
        <v>39431</v>
      </c>
      <c r="J2027" s="5">
        <v>39520</v>
      </c>
      <c r="K2027" s="16">
        <v>770</v>
      </c>
      <c r="L2027" s="13">
        <v>18060</v>
      </c>
      <c r="M2027" s="15">
        <v>28719.091670349659</v>
      </c>
      <c r="N2027" s="13">
        <v>16814.560000000001</v>
      </c>
      <c r="O2027" s="13">
        <v>0</v>
      </c>
      <c r="P2027" s="11">
        <v>0</v>
      </c>
    </row>
    <row r="2028" spans="1:16" ht="15" thickBot="1" x14ac:dyDescent="0.3">
      <c r="A2028" s="3" t="s">
        <v>11</v>
      </c>
      <c r="B2028" s="4">
        <v>652932</v>
      </c>
      <c r="C2028" s="3" t="s">
        <v>9</v>
      </c>
      <c r="D2028" s="18">
        <v>0.1</v>
      </c>
      <c r="E2028" s="21">
        <v>7.9741404289037643E-3</v>
      </c>
      <c r="F2028" s="5">
        <v>38810</v>
      </c>
      <c r="G2028" s="5">
        <v>38993</v>
      </c>
      <c r="H2028" s="16">
        <v>183</v>
      </c>
      <c r="I2028" s="5">
        <v>39358</v>
      </c>
      <c r="J2028" s="5">
        <v>39520</v>
      </c>
      <c r="K2028" s="16">
        <v>710</v>
      </c>
      <c r="L2028" s="13">
        <v>44213.68</v>
      </c>
      <c r="M2028" s="15">
        <v>7454.7113246597582</v>
      </c>
      <c r="N2028" s="13">
        <v>30878.61</v>
      </c>
      <c r="O2028" s="13">
        <v>267.82</v>
      </c>
      <c r="P2028" s="11">
        <v>0</v>
      </c>
    </row>
    <row r="2029" spans="1:16" ht="15" thickBot="1" x14ac:dyDescent="0.3">
      <c r="A2029" s="3" t="s">
        <v>11</v>
      </c>
      <c r="B2029" s="4">
        <v>67290</v>
      </c>
      <c r="C2029" s="3" t="s">
        <v>9</v>
      </c>
      <c r="D2029" s="18">
        <v>0.13500000000000001</v>
      </c>
      <c r="E2029" s="21">
        <v>1.0608597246586804E-2</v>
      </c>
      <c r="F2029" s="5">
        <v>45161</v>
      </c>
      <c r="G2029" s="5">
        <v>46076</v>
      </c>
      <c r="H2029" s="16">
        <v>915</v>
      </c>
      <c r="I2029" s="5">
        <v>46076</v>
      </c>
      <c r="J2029" s="5">
        <v>45833</v>
      </c>
      <c r="K2029" s="16">
        <v>672</v>
      </c>
      <c r="L2029" s="13">
        <v>3381</v>
      </c>
      <c r="M2029" s="15">
        <v>130.33362076370912</v>
      </c>
      <c r="N2029" s="13">
        <v>1550.04</v>
      </c>
      <c r="O2029" s="13">
        <v>718.02</v>
      </c>
      <c r="P2029" s="11">
        <v>1</v>
      </c>
    </row>
    <row r="2030" spans="1:16" ht="15" thickBot="1" x14ac:dyDescent="0.3">
      <c r="A2030" s="3" t="s">
        <v>11</v>
      </c>
      <c r="B2030" s="4">
        <v>368821</v>
      </c>
      <c r="C2030" s="3" t="s">
        <v>9</v>
      </c>
      <c r="D2030" s="18">
        <v>9.2499999999999999E-2</v>
      </c>
      <c r="E2030" s="21">
        <v>7.3996302871768282E-3</v>
      </c>
      <c r="F2030" s="5">
        <v>37489</v>
      </c>
      <c r="G2030" s="5">
        <v>38596</v>
      </c>
      <c r="H2030" s="16">
        <v>1107</v>
      </c>
      <c r="I2030" s="5">
        <v>38596</v>
      </c>
      <c r="J2030" s="5">
        <v>37973</v>
      </c>
      <c r="K2030" s="16">
        <v>484</v>
      </c>
      <c r="L2030" s="13">
        <v>11495.7</v>
      </c>
      <c r="M2030" s="15">
        <v>357.14579446580535</v>
      </c>
      <c r="N2030" s="13">
        <v>4234.62</v>
      </c>
      <c r="O2030" s="13">
        <v>636</v>
      </c>
      <c r="P2030" s="11">
        <v>0</v>
      </c>
    </row>
    <row r="2031" spans="1:16" ht="15" thickBot="1" x14ac:dyDescent="0.3">
      <c r="A2031" s="3" t="s">
        <v>11</v>
      </c>
      <c r="B2031" s="4">
        <v>699572</v>
      </c>
      <c r="C2031" s="3" t="s">
        <v>9</v>
      </c>
      <c r="D2031" s="18">
        <v>0.09</v>
      </c>
      <c r="E2031" s="21">
        <v>7.2073233161367156E-3</v>
      </c>
      <c r="F2031" s="5">
        <v>37495</v>
      </c>
      <c r="G2031" s="5">
        <v>38961</v>
      </c>
      <c r="H2031" s="16">
        <v>1466</v>
      </c>
      <c r="I2031" s="5">
        <v>38991</v>
      </c>
      <c r="J2031" s="5">
        <v>38785</v>
      </c>
      <c r="K2031" s="16">
        <v>1290</v>
      </c>
      <c r="L2031" s="13">
        <v>4905.6899999999996</v>
      </c>
      <c r="M2031" s="15">
        <v>119.46095424845245</v>
      </c>
      <c r="N2031" s="13">
        <v>834.58</v>
      </c>
      <c r="O2031" s="13">
        <v>75</v>
      </c>
      <c r="P2031" s="11">
        <v>0</v>
      </c>
    </row>
    <row r="2032" spans="1:16" ht="15" thickBot="1" x14ac:dyDescent="0.3">
      <c r="A2032" s="3" t="s">
        <v>11</v>
      </c>
      <c r="B2032" s="4">
        <v>984882</v>
      </c>
      <c r="C2032" s="3" t="s">
        <v>9</v>
      </c>
      <c r="D2032" s="18">
        <v>7.0000000000000007E-2</v>
      </c>
      <c r="E2032" s="21">
        <v>5.6541453874052738E-3</v>
      </c>
      <c r="F2032" s="5">
        <v>37565</v>
      </c>
      <c r="G2032" s="5">
        <v>39026</v>
      </c>
      <c r="H2032" s="16">
        <v>1461</v>
      </c>
      <c r="I2032" s="5">
        <v>39026</v>
      </c>
      <c r="J2032" s="5">
        <v>38873</v>
      </c>
      <c r="K2032" s="16">
        <v>1308</v>
      </c>
      <c r="L2032" s="13">
        <v>6725.7</v>
      </c>
      <c r="M2032" s="15">
        <v>158.37788960561014</v>
      </c>
      <c r="N2032" s="13">
        <v>1653.88</v>
      </c>
      <c r="O2032" s="13">
        <v>1734.27</v>
      </c>
      <c r="P2032" s="11">
        <v>0</v>
      </c>
    </row>
    <row r="2033" spans="1:16" ht="15" thickBot="1" x14ac:dyDescent="0.3">
      <c r="A2033" s="3" t="s">
        <v>11</v>
      </c>
      <c r="B2033" s="4">
        <v>981905</v>
      </c>
      <c r="C2033" s="3" t="s">
        <v>9</v>
      </c>
      <c r="D2033" s="18">
        <v>0.09</v>
      </c>
      <c r="E2033" s="21">
        <v>7.2073233161367156E-3</v>
      </c>
      <c r="F2033" s="5">
        <v>37596</v>
      </c>
      <c r="G2033" s="5">
        <v>39066</v>
      </c>
      <c r="H2033" s="16">
        <v>1470</v>
      </c>
      <c r="I2033" s="5">
        <v>39066</v>
      </c>
      <c r="J2033" s="5">
        <v>37963</v>
      </c>
      <c r="K2033" s="16">
        <v>367</v>
      </c>
      <c r="L2033" s="13">
        <v>6168.74</v>
      </c>
      <c r="M2033" s="15">
        <v>149.87691745457724</v>
      </c>
      <c r="N2033" s="13">
        <v>4120.2299999999996</v>
      </c>
      <c r="O2033" s="13">
        <v>345</v>
      </c>
      <c r="P2033" s="11">
        <v>0</v>
      </c>
    </row>
    <row r="2034" spans="1:16" ht="15" thickBot="1" x14ac:dyDescent="0.3">
      <c r="A2034" s="3" t="s">
        <v>11</v>
      </c>
      <c r="B2034" s="4">
        <v>400752</v>
      </c>
      <c r="C2034" s="3" t="s">
        <v>9</v>
      </c>
      <c r="D2034" s="18">
        <v>7.0000000000000007E-2</v>
      </c>
      <c r="E2034" s="21">
        <v>5.6541453874052738E-3</v>
      </c>
      <c r="F2034" s="5">
        <v>37607</v>
      </c>
      <c r="G2034" s="5">
        <v>39066</v>
      </c>
      <c r="H2034" s="16">
        <v>1459</v>
      </c>
      <c r="I2034" s="5">
        <v>39797</v>
      </c>
      <c r="J2034" s="5">
        <v>38342</v>
      </c>
      <c r="K2034" s="16">
        <v>735</v>
      </c>
      <c r="L2034" s="13">
        <v>15353.7</v>
      </c>
      <c r="M2034" s="15">
        <v>361.98213818409693</v>
      </c>
      <c r="N2034" s="13">
        <v>14967.55</v>
      </c>
      <c r="O2034" s="13">
        <v>6431.05</v>
      </c>
      <c r="P2034" s="11">
        <v>0</v>
      </c>
    </row>
    <row r="2035" spans="1:16" ht="15" thickBot="1" x14ac:dyDescent="0.3">
      <c r="A2035" s="3" t="s">
        <v>11</v>
      </c>
      <c r="B2035" s="4">
        <v>778482</v>
      </c>
      <c r="C2035" s="3" t="s">
        <v>9</v>
      </c>
      <c r="D2035" s="18">
        <v>7.4999999999999997E-2</v>
      </c>
      <c r="E2035" s="21">
        <v>6.0449190242917172E-3</v>
      </c>
      <c r="F2035" s="5">
        <v>37608</v>
      </c>
      <c r="G2035" s="5">
        <v>39441</v>
      </c>
      <c r="H2035" s="16">
        <v>1833</v>
      </c>
      <c r="I2035" s="5">
        <v>39441</v>
      </c>
      <c r="J2035" s="5">
        <v>38252</v>
      </c>
      <c r="K2035" s="16">
        <v>644</v>
      </c>
      <c r="L2035" s="13">
        <v>13965.7</v>
      </c>
      <c r="M2035" s="15">
        <v>274.0568390672903</v>
      </c>
      <c r="N2035" s="13">
        <v>8793.2099999999991</v>
      </c>
      <c r="O2035" s="13">
        <v>2150</v>
      </c>
      <c r="P2035" s="11">
        <v>0</v>
      </c>
    </row>
    <row r="2036" spans="1:16" ht="15" thickBot="1" x14ac:dyDescent="0.3">
      <c r="A2036" s="3" t="s">
        <v>11</v>
      </c>
      <c r="B2036" s="4">
        <v>489712</v>
      </c>
      <c r="C2036" s="3" t="s">
        <v>9</v>
      </c>
      <c r="D2036" s="18">
        <v>0.08</v>
      </c>
      <c r="E2036" s="21">
        <v>6.4340301100034303E-3</v>
      </c>
      <c r="F2036" s="5">
        <v>37620</v>
      </c>
      <c r="G2036" s="5">
        <v>39083</v>
      </c>
      <c r="H2036" s="16">
        <v>1463</v>
      </c>
      <c r="I2036" s="5">
        <v>39114</v>
      </c>
      <c r="J2036" s="5">
        <v>38608</v>
      </c>
      <c r="K2036" s="16">
        <v>988</v>
      </c>
      <c r="L2036" s="13">
        <v>10905.7</v>
      </c>
      <c r="M2036" s="15">
        <v>261.25849927357461</v>
      </c>
      <c r="N2036" s="13">
        <v>5793.06</v>
      </c>
      <c r="O2036" s="13">
        <v>4303</v>
      </c>
      <c r="P2036" s="11">
        <v>0</v>
      </c>
    </row>
    <row r="2037" spans="1:16" ht="15" thickBot="1" x14ac:dyDescent="0.3">
      <c r="A2037" s="3" t="s">
        <v>11</v>
      </c>
      <c r="B2037" s="4">
        <v>543223</v>
      </c>
      <c r="C2037" s="3" t="s">
        <v>9</v>
      </c>
      <c r="D2037" s="18">
        <v>9.5000000000000001E-2</v>
      </c>
      <c r="E2037" s="21">
        <v>7.5915342905825689E-3</v>
      </c>
      <c r="F2037" s="5">
        <v>37772</v>
      </c>
      <c r="G2037" s="5">
        <v>38869</v>
      </c>
      <c r="H2037" s="16">
        <v>1097</v>
      </c>
      <c r="I2037" s="5">
        <v>38899</v>
      </c>
      <c r="J2037" s="5">
        <v>38061</v>
      </c>
      <c r="K2037" s="16">
        <v>289</v>
      </c>
      <c r="L2037" s="13">
        <v>12250</v>
      </c>
      <c r="M2037" s="15">
        <v>384.91314219790797</v>
      </c>
      <c r="N2037" s="13">
        <v>13280.96</v>
      </c>
      <c r="O2037" s="13">
        <v>2462.94</v>
      </c>
      <c r="P2037" s="11">
        <v>0</v>
      </c>
    </row>
    <row r="2038" spans="1:16" ht="15" thickBot="1" x14ac:dyDescent="0.3">
      <c r="A2038" s="3" t="s">
        <v>11</v>
      </c>
      <c r="B2038" s="4">
        <v>735271</v>
      </c>
      <c r="C2038" s="3" t="s">
        <v>9</v>
      </c>
      <c r="D2038" s="18">
        <v>0.09</v>
      </c>
      <c r="E2038" s="21">
        <v>7.2073233161367156E-3</v>
      </c>
      <c r="F2038" s="5">
        <v>37788</v>
      </c>
      <c r="G2038" s="5">
        <v>39249</v>
      </c>
      <c r="H2038" s="16">
        <v>1461</v>
      </c>
      <c r="I2038" s="5">
        <v>39249</v>
      </c>
      <c r="J2038" s="5">
        <v>38146</v>
      </c>
      <c r="K2038" s="16">
        <v>358</v>
      </c>
      <c r="L2038" s="13">
        <v>16324</v>
      </c>
      <c r="M2038" s="15">
        <v>398.64971483150902</v>
      </c>
      <c r="N2038" s="13">
        <v>16812.39</v>
      </c>
      <c r="O2038" s="13">
        <v>6700</v>
      </c>
      <c r="P2038" s="11">
        <v>0</v>
      </c>
    </row>
    <row r="2039" spans="1:16" ht="15" thickBot="1" x14ac:dyDescent="0.3">
      <c r="A2039" s="3" t="s">
        <v>11</v>
      </c>
      <c r="B2039" s="4">
        <v>108637</v>
      </c>
      <c r="C2039" s="3" t="s">
        <v>9</v>
      </c>
      <c r="D2039" s="18">
        <v>0.08</v>
      </c>
      <c r="E2039" s="21">
        <v>6.4340301100034303E-3</v>
      </c>
      <c r="F2039" s="5">
        <v>37858</v>
      </c>
      <c r="G2039" s="5">
        <v>39685</v>
      </c>
      <c r="H2039" s="16">
        <v>1827</v>
      </c>
      <c r="I2039" s="5">
        <v>39685</v>
      </c>
      <c r="J2039" s="5">
        <v>38061</v>
      </c>
      <c r="K2039" s="16">
        <v>203</v>
      </c>
      <c r="L2039" s="13">
        <v>13698</v>
      </c>
      <c r="M2039" s="15">
        <v>272.576904362824</v>
      </c>
      <c r="N2039" s="13">
        <v>13698</v>
      </c>
      <c r="O2039" s="13">
        <v>5600</v>
      </c>
      <c r="P2039" s="11">
        <v>0</v>
      </c>
    </row>
    <row r="2040" spans="1:16" ht="15" thickBot="1" x14ac:dyDescent="0.3">
      <c r="A2040" s="3" t="s">
        <v>11</v>
      </c>
      <c r="B2040" s="4">
        <v>880376</v>
      </c>
      <c r="C2040" s="3" t="s">
        <v>9</v>
      </c>
      <c r="D2040" s="18">
        <v>9.5000000000000001E-2</v>
      </c>
      <c r="E2040" s="21">
        <v>7.5915342905825689E-3</v>
      </c>
      <c r="F2040" s="5">
        <v>38089</v>
      </c>
      <c r="G2040" s="5">
        <v>38822</v>
      </c>
      <c r="H2040" s="16">
        <v>733</v>
      </c>
      <c r="I2040" s="5">
        <v>38822</v>
      </c>
      <c r="J2040" s="5">
        <v>38687</v>
      </c>
      <c r="K2040" s="16">
        <v>598</v>
      </c>
      <c r="L2040" s="13">
        <v>6228.96</v>
      </c>
      <c r="M2040" s="15">
        <v>280.2748707454586</v>
      </c>
      <c r="N2040" s="13">
        <v>2236.75</v>
      </c>
      <c r="O2040" s="13">
        <v>0.05</v>
      </c>
      <c r="P2040" s="11">
        <v>0</v>
      </c>
    </row>
    <row r="2041" spans="1:16" ht="15" thickBot="1" x14ac:dyDescent="0.3">
      <c r="A2041" s="3" t="s">
        <v>11</v>
      </c>
      <c r="B2041" s="4">
        <v>863473</v>
      </c>
      <c r="C2041" s="3" t="s">
        <v>9</v>
      </c>
      <c r="D2041" s="18">
        <v>0.104</v>
      </c>
      <c r="E2041" s="21">
        <v>8.2790792398550472E-3</v>
      </c>
      <c r="F2041" s="5">
        <v>38688</v>
      </c>
      <c r="G2041" s="5">
        <v>39783</v>
      </c>
      <c r="H2041" s="16">
        <v>1095</v>
      </c>
      <c r="I2041" s="5">
        <v>39783</v>
      </c>
      <c r="J2041" s="5">
        <v>38867</v>
      </c>
      <c r="K2041" s="16">
        <v>179</v>
      </c>
      <c r="L2041" s="13">
        <v>4450</v>
      </c>
      <c r="M2041" s="15">
        <v>141.76529867914678</v>
      </c>
      <c r="N2041" s="13">
        <v>2070.11</v>
      </c>
      <c r="O2041" s="13">
        <v>361</v>
      </c>
      <c r="P2041" s="11">
        <v>0</v>
      </c>
    </row>
    <row r="2042" spans="1:16" ht="15" thickBot="1" x14ac:dyDescent="0.3">
      <c r="A2042" s="3" t="s">
        <v>11</v>
      </c>
      <c r="B2042" s="4">
        <v>172162</v>
      </c>
      <c r="C2042" s="3" t="s">
        <v>9</v>
      </c>
      <c r="D2042" s="18">
        <v>0.114</v>
      </c>
      <c r="E2042" s="21">
        <v>9.0370179501075842E-3</v>
      </c>
      <c r="F2042" s="5">
        <v>39372</v>
      </c>
      <c r="G2042" s="5">
        <v>40854</v>
      </c>
      <c r="H2042" s="16">
        <v>1482</v>
      </c>
      <c r="I2042" s="5">
        <v>40854</v>
      </c>
      <c r="J2042" s="5">
        <v>39447</v>
      </c>
      <c r="K2042" s="16">
        <v>75</v>
      </c>
      <c r="L2042" s="13">
        <v>10810</v>
      </c>
      <c r="M2042" s="15">
        <v>272.26440728188248</v>
      </c>
      <c r="N2042" s="13">
        <v>10810</v>
      </c>
      <c r="O2042" s="13">
        <v>1000</v>
      </c>
      <c r="P2042" s="11">
        <v>0</v>
      </c>
    </row>
    <row r="2043" spans="1:16" ht="15" thickBot="1" x14ac:dyDescent="0.3">
      <c r="A2043" s="3" t="s">
        <v>11</v>
      </c>
      <c r="B2043" s="4">
        <v>17879</v>
      </c>
      <c r="C2043" s="3" t="s">
        <v>16</v>
      </c>
      <c r="D2043" s="18">
        <v>0.14399999999999999</v>
      </c>
      <c r="E2043" s="21">
        <v>1.1273985471853543E-2</v>
      </c>
      <c r="F2043" s="5">
        <v>39378</v>
      </c>
      <c r="G2043" s="5">
        <v>40116</v>
      </c>
      <c r="H2043" s="16">
        <v>738</v>
      </c>
      <c r="I2043" s="5">
        <v>40116</v>
      </c>
      <c r="J2043" s="5">
        <v>39853</v>
      </c>
      <c r="K2043" s="16">
        <v>475</v>
      </c>
      <c r="L2043" s="13">
        <v>3560</v>
      </c>
      <c r="M2043" s="15">
        <v>166.51861578701664</v>
      </c>
      <c r="N2043" s="13">
        <v>2060.7399999999998</v>
      </c>
      <c r="O2043" s="13">
        <v>0.49</v>
      </c>
      <c r="P2043" s="11">
        <v>0</v>
      </c>
    </row>
    <row r="2044" spans="1:16" ht="15" thickBot="1" x14ac:dyDescent="0.3">
      <c r="A2044" s="3" t="s">
        <v>11</v>
      </c>
      <c r="B2044" s="4">
        <v>214014</v>
      </c>
      <c r="C2044" s="3" t="s">
        <v>12</v>
      </c>
      <c r="D2044" s="18">
        <v>7.4999999999999997E-2</v>
      </c>
      <c r="E2044" s="21">
        <v>6.0449190242917172E-3</v>
      </c>
      <c r="F2044" s="5">
        <v>40044</v>
      </c>
      <c r="G2044" s="5">
        <v>41167</v>
      </c>
      <c r="H2044" s="16">
        <v>1123</v>
      </c>
      <c r="I2044" s="5">
        <v>41167</v>
      </c>
      <c r="J2044" s="5">
        <v>40406</v>
      </c>
      <c r="K2044" s="16">
        <v>362</v>
      </c>
      <c r="L2044" s="13">
        <v>2875</v>
      </c>
      <c r="M2044" s="15">
        <v>86.051129680718731</v>
      </c>
      <c r="N2044" s="13">
        <v>374.44</v>
      </c>
      <c r="O2044" s="13">
        <v>0</v>
      </c>
      <c r="P2044" s="11">
        <v>0</v>
      </c>
    </row>
    <row r="2045" spans="1:16" ht="15" thickBot="1" x14ac:dyDescent="0.3">
      <c r="A2045" s="3" t="s">
        <v>11</v>
      </c>
      <c r="B2045" s="4">
        <v>311779</v>
      </c>
      <c r="C2045" s="3" t="s">
        <v>9</v>
      </c>
      <c r="D2045" s="18">
        <v>0.115</v>
      </c>
      <c r="E2045" s="21">
        <v>9.1124684369046083E-3</v>
      </c>
      <c r="F2045" s="5">
        <v>37454</v>
      </c>
      <c r="G2045" s="5">
        <v>38382</v>
      </c>
      <c r="H2045" s="16">
        <v>928</v>
      </c>
      <c r="I2045" s="5">
        <v>38411</v>
      </c>
      <c r="J2045" s="5">
        <v>38421</v>
      </c>
      <c r="K2045" s="16">
        <v>967</v>
      </c>
      <c r="L2045" s="13">
        <v>4750</v>
      </c>
      <c r="M2045" s="15">
        <v>176.90753914051788</v>
      </c>
      <c r="N2045" s="13">
        <v>1633.13</v>
      </c>
      <c r="O2045" s="13">
        <v>400</v>
      </c>
      <c r="P2045" s="11">
        <v>0</v>
      </c>
    </row>
    <row r="2046" spans="1:16" ht="15" thickBot="1" x14ac:dyDescent="0.3">
      <c r="A2046" s="3" t="s">
        <v>11</v>
      </c>
      <c r="B2046" s="4">
        <v>47813</v>
      </c>
      <c r="C2046" s="3" t="s">
        <v>12</v>
      </c>
      <c r="D2046" s="18">
        <v>0.1225</v>
      </c>
      <c r="E2046" s="21">
        <v>9.6763780332134175E-3</v>
      </c>
      <c r="F2046" s="5">
        <v>37488</v>
      </c>
      <c r="G2046" s="5">
        <v>38599</v>
      </c>
      <c r="H2046" s="16">
        <v>1111</v>
      </c>
      <c r="I2046" s="5">
        <v>38599</v>
      </c>
      <c r="J2046" s="5">
        <v>38146</v>
      </c>
      <c r="K2046" s="16">
        <v>658</v>
      </c>
      <c r="L2046" s="13">
        <v>14050</v>
      </c>
      <c r="M2046" s="15">
        <v>453.22892699696547</v>
      </c>
      <c r="N2046" s="13">
        <v>9231.1200000000008</v>
      </c>
      <c r="O2046" s="13">
        <v>1882.72</v>
      </c>
      <c r="P2046" s="11">
        <v>0</v>
      </c>
    </row>
    <row r="2047" spans="1:16" ht="15" thickBot="1" x14ac:dyDescent="0.3">
      <c r="A2047" s="3" t="s">
        <v>11</v>
      </c>
      <c r="B2047" s="4">
        <v>824941</v>
      </c>
      <c r="C2047" s="3" t="s">
        <v>9</v>
      </c>
      <c r="D2047" s="18">
        <v>6.5000000000000002E-2</v>
      </c>
      <c r="E2047" s="21">
        <v>5.2616942768477504E-3</v>
      </c>
      <c r="F2047" s="5">
        <v>37567</v>
      </c>
      <c r="G2047" s="5">
        <v>39041</v>
      </c>
      <c r="H2047" s="16">
        <v>1474</v>
      </c>
      <c r="I2047" s="5">
        <v>39071</v>
      </c>
      <c r="J2047" s="5">
        <v>38162</v>
      </c>
      <c r="K2047" s="16">
        <v>595</v>
      </c>
      <c r="L2047" s="13">
        <v>10404.9</v>
      </c>
      <c r="M2047" s="15">
        <v>240.87407061477043</v>
      </c>
      <c r="N2047" s="13">
        <v>8011.24</v>
      </c>
      <c r="O2047" s="13">
        <v>3358.36</v>
      </c>
      <c r="P2047" s="11">
        <v>0</v>
      </c>
    </row>
    <row r="2048" spans="1:16" ht="15" thickBot="1" x14ac:dyDescent="0.3">
      <c r="A2048" s="3" t="s">
        <v>11</v>
      </c>
      <c r="B2048" s="4">
        <v>274310</v>
      </c>
      <c r="C2048" s="3" t="s">
        <v>9</v>
      </c>
      <c r="D2048" s="18">
        <v>7.4999999999999997E-2</v>
      </c>
      <c r="E2048" s="21">
        <v>6.0449190242917172E-3</v>
      </c>
      <c r="F2048" s="5">
        <v>37603</v>
      </c>
      <c r="G2048" s="5">
        <v>39619</v>
      </c>
      <c r="H2048" s="16">
        <v>2016</v>
      </c>
      <c r="I2048" s="5">
        <v>39680</v>
      </c>
      <c r="J2048" s="5">
        <v>38495</v>
      </c>
      <c r="K2048" s="16">
        <v>892</v>
      </c>
      <c r="L2048" s="13">
        <v>17557.400000000001</v>
      </c>
      <c r="M2048" s="15">
        <v>318.69845024856562</v>
      </c>
      <c r="N2048" s="13">
        <v>7488.92</v>
      </c>
      <c r="O2048" s="13">
        <v>0</v>
      </c>
      <c r="P2048" s="11">
        <v>0</v>
      </c>
    </row>
    <row r="2049" spans="1:16" ht="15" thickBot="1" x14ac:dyDescent="0.3">
      <c r="A2049" s="3" t="s">
        <v>11</v>
      </c>
      <c r="B2049" s="4">
        <v>849334</v>
      </c>
      <c r="C2049" s="3" t="s">
        <v>9</v>
      </c>
      <c r="D2049" s="18">
        <v>0.1</v>
      </c>
      <c r="E2049" s="21">
        <v>7.9741404289037643E-3</v>
      </c>
      <c r="F2049" s="5">
        <v>37627</v>
      </c>
      <c r="G2049" s="5">
        <v>38723</v>
      </c>
      <c r="H2049" s="16">
        <v>1096</v>
      </c>
      <c r="I2049" s="5">
        <v>38723</v>
      </c>
      <c r="J2049" s="5">
        <v>37886</v>
      </c>
      <c r="K2049" s="16">
        <v>259</v>
      </c>
      <c r="L2049" s="13">
        <v>6350</v>
      </c>
      <c r="M2049" s="15">
        <v>201.04654153789053</v>
      </c>
      <c r="N2049" s="13">
        <v>6872.47</v>
      </c>
      <c r="O2049" s="13">
        <v>2111</v>
      </c>
      <c r="P2049" s="11">
        <v>0</v>
      </c>
    </row>
    <row r="2050" spans="1:16" ht="15" thickBot="1" x14ac:dyDescent="0.3">
      <c r="A2050" s="3" t="s">
        <v>11</v>
      </c>
      <c r="B2050" s="4">
        <v>79287</v>
      </c>
      <c r="C2050" s="3" t="s">
        <v>16</v>
      </c>
      <c r="D2050" s="18">
        <v>0.1</v>
      </c>
      <c r="E2050" s="21">
        <v>7.9741404289037643E-3</v>
      </c>
      <c r="F2050" s="5">
        <v>37652</v>
      </c>
      <c r="G2050" s="5">
        <v>38371</v>
      </c>
      <c r="H2050" s="16">
        <v>719</v>
      </c>
      <c r="I2050" s="5">
        <v>38371</v>
      </c>
      <c r="J2050" s="5">
        <v>37963</v>
      </c>
      <c r="K2050" s="16">
        <v>311</v>
      </c>
      <c r="L2050" s="13">
        <v>2950</v>
      </c>
      <c r="M2050" s="15">
        <v>135.71251892760625</v>
      </c>
      <c r="N2050" s="13">
        <v>2419.69</v>
      </c>
      <c r="O2050" s="13">
        <v>0</v>
      </c>
      <c r="P2050" s="11">
        <v>0</v>
      </c>
    </row>
    <row r="2051" spans="1:16" ht="15" thickBot="1" x14ac:dyDescent="0.3">
      <c r="A2051" s="3" t="s">
        <v>11</v>
      </c>
      <c r="B2051" s="4">
        <v>380465</v>
      </c>
      <c r="C2051" s="3" t="s">
        <v>9</v>
      </c>
      <c r="D2051" s="18">
        <v>4.99E-2</v>
      </c>
      <c r="E2051" s="21">
        <v>4.0661545935285481E-3</v>
      </c>
      <c r="F2051" s="5">
        <v>37718</v>
      </c>
      <c r="G2051" s="5">
        <v>39186</v>
      </c>
      <c r="H2051" s="16">
        <v>1468</v>
      </c>
      <c r="I2051" s="5">
        <v>39186</v>
      </c>
      <c r="J2051" s="5">
        <v>38063</v>
      </c>
      <c r="K2051" s="16">
        <v>345</v>
      </c>
      <c r="L2051" s="13">
        <v>15879.9</v>
      </c>
      <c r="M2051" s="15">
        <v>358.53326857802307</v>
      </c>
      <c r="N2051" s="13">
        <v>7874.03</v>
      </c>
      <c r="O2051" s="13">
        <v>0</v>
      </c>
      <c r="P2051" s="11">
        <v>0</v>
      </c>
    </row>
    <row r="2052" spans="1:16" ht="15" thickBot="1" x14ac:dyDescent="0.3">
      <c r="A2052" s="3" t="s">
        <v>11</v>
      </c>
      <c r="B2052" s="4">
        <v>777421</v>
      </c>
      <c r="C2052" s="3" t="s">
        <v>16</v>
      </c>
      <c r="D2052" s="18">
        <v>0.11</v>
      </c>
      <c r="E2052" s="21">
        <v>8.7345938235519061E-3</v>
      </c>
      <c r="F2052" s="5">
        <v>37824</v>
      </c>
      <c r="G2052" s="5">
        <v>38565</v>
      </c>
      <c r="H2052" s="16">
        <v>741</v>
      </c>
      <c r="I2052" s="5">
        <v>38856</v>
      </c>
      <c r="J2052" s="5">
        <v>38894</v>
      </c>
      <c r="K2052" s="16">
        <v>1070</v>
      </c>
      <c r="L2052" s="13">
        <v>4050</v>
      </c>
      <c r="M2052" s="15">
        <v>183.00297175552959</v>
      </c>
      <c r="N2052" s="13">
        <v>447</v>
      </c>
      <c r="O2052" s="13">
        <v>0</v>
      </c>
      <c r="P2052" s="11">
        <v>0</v>
      </c>
    </row>
    <row r="2053" spans="1:16" ht="15" thickBot="1" x14ac:dyDescent="0.3">
      <c r="A2053" s="3" t="s">
        <v>11</v>
      </c>
      <c r="B2053" s="4">
        <v>630292</v>
      </c>
      <c r="C2053" s="3" t="s">
        <v>9</v>
      </c>
      <c r="D2053" s="18">
        <v>8.5000000000000006E-2</v>
      </c>
      <c r="E2053" s="21">
        <v>6.8214933659622723E-3</v>
      </c>
      <c r="F2053" s="5">
        <v>37851</v>
      </c>
      <c r="G2053" s="5">
        <v>39312</v>
      </c>
      <c r="H2053" s="16">
        <v>1461</v>
      </c>
      <c r="I2053" s="5">
        <v>39312</v>
      </c>
      <c r="J2053" s="5">
        <v>38243</v>
      </c>
      <c r="K2053" s="16">
        <v>392</v>
      </c>
      <c r="L2053" s="13">
        <v>4050</v>
      </c>
      <c r="M2053" s="15">
        <v>98.019904169803084</v>
      </c>
      <c r="N2053" s="13">
        <v>3445.99</v>
      </c>
      <c r="O2053" s="13">
        <v>200</v>
      </c>
      <c r="P2053" s="11">
        <v>0</v>
      </c>
    </row>
    <row r="2054" spans="1:16" ht="15" thickBot="1" x14ac:dyDescent="0.3">
      <c r="A2054" s="3" t="s">
        <v>11</v>
      </c>
      <c r="B2054" s="4">
        <v>132504</v>
      </c>
      <c r="C2054" s="3" t="s">
        <v>9</v>
      </c>
      <c r="D2054" s="18">
        <v>0.1</v>
      </c>
      <c r="E2054" s="21">
        <v>7.9741404289037643E-3</v>
      </c>
      <c r="F2054" s="5">
        <v>37879</v>
      </c>
      <c r="G2054" s="5">
        <v>38990</v>
      </c>
      <c r="H2054" s="16">
        <v>1111</v>
      </c>
      <c r="I2054" s="5">
        <v>38990</v>
      </c>
      <c r="J2054" s="5">
        <v>38525</v>
      </c>
      <c r="K2054" s="16">
        <v>646</v>
      </c>
      <c r="L2054" s="13">
        <v>7050</v>
      </c>
      <c r="M2054" s="15">
        <v>220.61188798707275</v>
      </c>
      <c r="N2054" s="13">
        <v>5400.43</v>
      </c>
      <c r="O2054" s="13">
        <v>0</v>
      </c>
      <c r="P2054" s="11">
        <v>0</v>
      </c>
    </row>
    <row r="2055" spans="1:16" ht="15" thickBot="1" x14ac:dyDescent="0.3">
      <c r="A2055" s="3" t="s">
        <v>11</v>
      </c>
      <c r="B2055" s="4">
        <v>512515</v>
      </c>
      <c r="C2055" s="3" t="s">
        <v>9</v>
      </c>
      <c r="D2055" s="18">
        <v>9.4E-2</v>
      </c>
      <c r="E2055" s="21">
        <v>7.5148209323356863E-3</v>
      </c>
      <c r="F2055" s="5">
        <v>38982</v>
      </c>
      <c r="G2055" s="5">
        <v>40801</v>
      </c>
      <c r="H2055" s="16">
        <v>1819</v>
      </c>
      <c r="I2055" s="5">
        <v>40801</v>
      </c>
      <c r="J2055" s="5">
        <v>39262</v>
      </c>
      <c r="K2055" s="16">
        <v>280</v>
      </c>
      <c r="L2055" s="13">
        <v>17585</v>
      </c>
      <c r="M2055" s="15">
        <v>362.16633978602181</v>
      </c>
      <c r="N2055" s="13">
        <v>17004.72</v>
      </c>
      <c r="O2055" s="13">
        <v>0</v>
      </c>
      <c r="P2055" s="11">
        <v>0</v>
      </c>
    </row>
    <row r="2056" spans="1:16" ht="15" thickBot="1" x14ac:dyDescent="0.3">
      <c r="A2056" s="3" t="s">
        <v>11</v>
      </c>
      <c r="B2056" s="4">
        <v>674686</v>
      </c>
      <c r="C2056" s="3" t="s">
        <v>12</v>
      </c>
      <c r="D2056" s="18">
        <v>0.11749999999999999</v>
      </c>
      <c r="E2056" s="21">
        <v>9.300823618865417E-3</v>
      </c>
      <c r="F2056" s="5">
        <v>37487</v>
      </c>
      <c r="G2056" s="5">
        <v>38565</v>
      </c>
      <c r="H2056" s="16">
        <v>1078</v>
      </c>
      <c r="I2056" s="5">
        <v>38565</v>
      </c>
      <c r="J2056" s="5">
        <v>38146</v>
      </c>
      <c r="K2056" s="16">
        <v>659</v>
      </c>
      <c r="L2056" s="13">
        <v>1750</v>
      </c>
      <c r="M2056" s="15">
        <v>57.516037756212022</v>
      </c>
      <c r="N2056" s="13">
        <v>1075.47</v>
      </c>
      <c r="O2056" s="13">
        <v>197.7</v>
      </c>
      <c r="P2056" s="11">
        <v>0</v>
      </c>
    </row>
    <row r="2057" spans="1:16" ht="15" thickBot="1" x14ac:dyDescent="0.3">
      <c r="A2057" s="3" t="s">
        <v>11</v>
      </c>
      <c r="B2057" s="4">
        <v>568161</v>
      </c>
      <c r="C2057" s="3" t="s">
        <v>9</v>
      </c>
      <c r="D2057" s="18">
        <v>8.7499999999999994E-2</v>
      </c>
      <c r="E2057" s="21">
        <v>7.0146116041400752E-3</v>
      </c>
      <c r="F2057" s="5">
        <v>37489</v>
      </c>
      <c r="G2057" s="5">
        <v>38399</v>
      </c>
      <c r="H2057" s="16">
        <v>910</v>
      </c>
      <c r="I2057" s="5">
        <v>38427</v>
      </c>
      <c r="J2057" s="5">
        <v>37960</v>
      </c>
      <c r="K2057" s="16">
        <v>471</v>
      </c>
      <c r="L2057" s="13">
        <v>5504.14</v>
      </c>
      <c r="M2057" s="15">
        <v>202.07724173813006</v>
      </c>
      <c r="N2057" s="13">
        <v>2550</v>
      </c>
      <c r="O2057" s="13">
        <v>81.150000000000006</v>
      </c>
      <c r="P2057" s="11">
        <v>0</v>
      </c>
    </row>
    <row r="2058" spans="1:16" ht="15" thickBot="1" x14ac:dyDescent="0.3">
      <c r="A2058" s="3" t="s">
        <v>11</v>
      </c>
      <c r="B2058" s="4">
        <v>265254</v>
      </c>
      <c r="C2058" s="3" t="s">
        <v>9</v>
      </c>
      <c r="D2058" s="18">
        <v>0.08</v>
      </c>
      <c r="E2058" s="21">
        <v>6.4340301100034303E-3</v>
      </c>
      <c r="F2058" s="5">
        <v>37538</v>
      </c>
      <c r="G2058" s="5">
        <v>39009</v>
      </c>
      <c r="H2058" s="16">
        <v>1471</v>
      </c>
      <c r="I2058" s="5">
        <v>39040</v>
      </c>
      <c r="J2058" s="5">
        <v>38566</v>
      </c>
      <c r="K2058" s="16">
        <v>1028</v>
      </c>
      <c r="L2058" s="13">
        <v>9948.1299999999992</v>
      </c>
      <c r="M2058" s="15">
        <v>237.21490936096285</v>
      </c>
      <c r="N2058" s="13">
        <v>5175.97</v>
      </c>
      <c r="O2058" s="13">
        <v>4700</v>
      </c>
      <c r="P2058" s="11">
        <v>0</v>
      </c>
    </row>
    <row r="2059" spans="1:16" ht="15" thickBot="1" x14ac:dyDescent="0.3">
      <c r="A2059" s="3" t="s">
        <v>11</v>
      </c>
      <c r="B2059" s="4">
        <v>963781</v>
      </c>
      <c r="C2059" s="3" t="s">
        <v>9</v>
      </c>
      <c r="D2059" s="18">
        <v>8.5000000000000006E-2</v>
      </c>
      <c r="E2059" s="21">
        <v>6.8214933659622723E-3</v>
      </c>
      <c r="F2059" s="5">
        <v>37559</v>
      </c>
      <c r="G2059" s="5">
        <v>38645</v>
      </c>
      <c r="H2059" s="16">
        <v>1086</v>
      </c>
      <c r="I2059" s="5">
        <v>38768</v>
      </c>
      <c r="J2059" s="5">
        <v>38525</v>
      </c>
      <c r="K2059" s="16">
        <v>966</v>
      </c>
      <c r="L2059" s="13">
        <v>12848.75</v>
      </c>
      <c r="M2059" s="15">
        <v>401.76660109161168</v>
      </c>
      <c r="N2059" s="13">
        <v>359.01</v>
      </c>
      <c r="O2059" s="13">
        <v>0</v>
      </c>
      <c r="P2059" s="11">
        <v>0</v>
      </c>
    </row>
    <row r="2060" spans="1:16" ht="15" thickBot="1" x14ac:dyDescent="0.3">
      <c r="A2060" s="3" t="s">
        <v>11</v>
      </c>
      <c r="B2060" s="4">
        <v>606466</v>
      </c>
      <c r="C2060" s="3" t="s">
        <v>9</v>
      </c>
      <c r="D2060" s="18">
        <v>9.5000000000000001E-2</v>
      </c>
      <c r="E2060" s="21">
        <v>7.5915342905825689E-3</v>
      </c>
      <c r="F2060" s="5">
        <v>37579</v>
      </c>
      <c r="G2060" s="5">
        <v>38671</v>
      </c>
      <c r="H2060" s="16">
        <v>1092</v>
      </c>
      <c r="I2060" s="5">
        <v>38671</v>
      </c>
      <c r="J2060" s="5">
        <v>37886</v>
      </c>
      <c r="K2060" s="16">
        <v>307</v>
      </c>
      <c r="L2060" s="13">
        <v>12723.91</v>
      </c>
      <c r="M2060" s="15">
        <v>401.39327357908434</v>
      </c>
      <c r="N2060" s="13">
        <v>7327.4</v>
      </c>
      <c r="O2060" s="13">
        <v>0</v>
      </c>
      <c r="P2060" s="11">
        <v>0</v>
      </c>
    </row>
    <row r="2061" spans="1:16" ht="15" thickBot="1" x14ac:dyDescent="0.3">
      <c r="A2061" s="3" t="s">
        <v>11</v>
      </c>
      <c r="B2061" s="4">
        <v>558881</v>
      </c>
      <c r="C2061" s="3" t="s">
        <v>9</v>
      </c>
      <c r="D2061" s="18">
        <v>8.5000000000000006E-2</v>
      </c>
      <c r="E2061" s="21">
        <v>6.8214933659622723E-3</v>
      </c>
      <c r="F2061" s="5">
        <v>37594</v>
      </c>
      <c r="G2061" s="5">
        <v>38873</v>
      </c>
      <c r="H2061" s="16">
        <v>1279</v>
      </c>
      <c r="I2061" s="5">
        <v>38873</v>
      </c>
      <c r="J2061" s="5">
        <v>37732</v>
      </c>
      <c r="K2061" s="16">
        <v>138</v>
      </c>
      <c r="L2061" s="13">
        <v>16092.5</v>
      </c>
      <c r="M2061" s="15">
        <v>436.28395808480116</v>
      </c>
      <c r="N2061" s="13">
        <v>12000</v>
      </c>
      <c r="O2061" s="13">
        <v>0</v>
      </c>
      <c r="P2061" s="11">
        <v>0</v>
      </c>
    </row>
    <row r="2062" spans="1:16" ht="15" thickBot="1" x14ac:dyDescent="0.3">
      <c r="A2062" s="3" t="s">
        <v>11</v>
      </c>
      <c r="B2062" s="4">
        <v>218190</v>
      </c>
      <c r="C2062" s="3" t="s">
        <v>9</v>
      </c>
      <c r="D2062" s="18">
        <v>0.08</v>
      </c>
      <c r="E2062" s="21">
        <v>6.4340301100034303E-3</v>
      </c>
      <c r="F2062" s="5">
        <v>37607</v>
      </c>
      <c r="G2062" s="5">
        <v>39253</v>
      </c>
      <c r="H2062" s="16">
        <v>1646</v>
      </c>
      <c r="I2062" s="5">
        <v>39253</v>
      </c>
      <c r="J2062" s="5">
        <v>38146</v>
      </c>
      <c r="K2062" s="16">
        <v>539</v>
      </c>
      <c r="L2062" s="13">
        <v>13850</v>
      </c>
      <c r="M2062" s="15">
        <v>300.40468197176739</v>
      </c>
      <c r="N2062" s="13">
        <v>8482.68</v>
      </c>
      <c r="O2062" s="13">
        <v>7224</v>
      </c>
      <c r="P2062" s="11">
        <v>0</v>
      </c>
    </row>
    <row r="2063" spans="1:16" ht="15" thickBot="1" x14ac:dyDescent="0.3">
      <c r="A2063" s="3" t="s">
        <v>11</v>
      </c>
      <c r="B2063" s="4">
        <v>72807</v>
      </c>
      <c r="C2063" s="3" t="s">
        <v>9</v>
      </c>
      <c r="D2063" s="18">
        <v>7.2499999999999995E-2</v>
      </c>
      <c r="E2063" s="21">
        <v>5.8497409526456767E-3</v>
      </c>
      <c r="F2063" s="5">
        <v>37620</v>
      </c>
      <c r="G2063" s="5">
        <v>39071</v>
      </c>
      <c r="H2063" s="16">
        <v>1451</v>
      </c>
      <c r="I2063" s="5">
        <v>39071</v>
      </c>
      <c r="J2063" s="5">
        <v>37960</v>
      </c>
      <c r="K2063" s="16">
        <v>340</v>
      </c>
      <c r="L2063" s="13">
        <v>13773.75</v>
      </c>
      <c r="M2063" s="15">
        <v>327.78798332023558</v>
      </c>
      <c r="N2063" s="13">
        <v>9700</v>
      </c>
      <c r="O2063" s="13">
        <v>0</v>
      </c>
      <c r="P2063" s="11">
        <v>0</v>
      </c>
    </row>
    <row r="2064" spans="1:16" ht="15" thickBot="1" x14ac:dyDescent="0.3">
      <c r="A2064" s="3" t="s">
        <v>11</v>
      </c>
      <c r="B2064" s="4">
        <v>183813</v>
      </c>
      <c r="C2064" s="3" t="s">
        <v>16</v>
      </c>
      <c r="D2064" s="18">
        <v>0.14499999999999999</v>
      </c>
      <c r="E2064" s="21">
        <v>1.1347621038123146E-2</v>
      </c>
      <c r="F2064" s="5">
        <v>37621</v>
      </c>
      <c r="G2064" s="5">
        <v>38367</v>
      </c>
      <c r="H2064" s="16">
        <v>746</v>
      </c>
      <c r="I2064" s="5">
        <v>38367</v>
      </c>
      <c r="J2064" s="5">
        <v>37886</v>
      </c>
      <c r="K2064" s="16">
        <v>265</v>
      </c>
      <c r="L2064" s="13">
        <v>20000</v>
      </c>
      <c r="M2064" s="15">
        <v>927.62029546217343</v>
      </c>
      <c r="N2064" s="13">
        <v>17440.89</v>
      </c>
      <c r="O2064" s="13">
        <v>0</v>
      </c>
      <c r="P2064" s="11">
        <v>0</v>
      </c>
    </row>
    <row r="2065" spans="1:16" ht="15" thickBot="1" x14ac:dyDescent="0.3">
      <c r="A2065" s="3" t="s">
        <v>11</v>
      </c>
      <c r="B2065" s="4">
        <v>205327</v>
      </c>
      <c r="C2065" s="3" t="s">
        <v>9</v>
      </c>
      <c r="D2065" s="18">
        <v>0.09</v>
      </c>
      <c r="E2065" s="21">
        <v>7.2073233161367156E-3</v>
      </c>
      <c r="F2065" s="5">
        <v>37628</v>
      </c>
      <c r="G2065" s="5">
        <v>39828</v>
      </c>
      <c r="H2065" s="16">
        <v>2200</v>
      </c>
      <c r="I2065" s="5">
        <v>39828</v>
      </c>
      <c r="J2065" s="5">
        <v>37886</v>
      </c>
      <c r="K2065" s="16">
        <v>258</v>
      </c>
      <c r="L2065" s="13">
        <v>39850</v>
      </c>
      <c r="M2065" s="15">
        <v>701.51784814301186</v>
      </c>
      <c r="N2065" s="13">
        <v>36767.120000000003</v>
      </c>
      <c r="O2065" s="13">
        <v>0</v>
      </c>
      <c r="P2065" s="11">
        <v>0</v>
      </c>
    </row>
    <row r="2066" spans="1:16" ht="15" thickBot="1" x14ac:dyDescent="0.3">
      <c r="A2066" s="3" t="s">
        <v>11</v>
      </c>
      <c r="B2066" s="4">
        <v>562298</v>
      </c>
      <c r="C2066" s="3" t="s">
        <v>9</v>
      </c>
      <c r="D2066" s="18">
        <v>9.2499999999999999E-2</v>
      </c>
      <c r="E2066" s="21">
        <v>7.3996302871768282E-3</v>
      </c>
      <c r="F2066" s="5">
        <v>37628</v>
      </c>
      <c r="G2066" s="5">
        <v>39828</v>
      </c>
      <c r="H2066" s="16">
        <v>2200</v>
      </c>
      <c r="I2066" s="5">
        <v>39828</v>
      </c>
      <c r="J2066" s="5">
        <v>37886</v>
      </c>
      <c r="K2066" s="16">
        <v>258</v>
      </c>
      <c r="L2066" s="13">
        <v>39850</v>
      </c>
      <c r="M2066" s="15">
        <v>706.07565130783917</v>
      </c>
      <c r="N2066" s="13">
        <v>37218.93</v>
      </c>
      <c r="O2066" s="13">
        <v>0</v>
      </c>
      <c r="P2066" s="11">
        <v>0</v>
      </c>
    </row>
    <row r="2067" spans="1:16" ht="15" thickBot="1" x14ac:dyDescent="0.3">
      <c r="A2067" s="3" t="s">
        <v>11</v>
      </c>
      <c r="B2067" s="4">
        <v>69523</v>
      </c>
      <c r="C2067" s="3" t="s">
        <v>12</v>
      </c>
      <c r="D2067" s="18">
        <v>8.7499999999999994E-2</v>
      </c>
      <c r="E2067" s="21">
        <v>7.0146116041400752E-3</v>
      </c>
      <c r="F2067" s="5">
        <v>37629</v>
      </c>
      <c r="G2067" s="5">
        <v>39462</v>
      </c>
      <c r="H2067" s="16">
        <v>1833</v>
      </c>
      <c r="I2067" s="5">
        <v>39462</v>
      </c>
      <c r="J2067" s="5">
        <v>37960</v>
      </c>
      <c r="K2067" s="16">
        <v>331</v>
      </c>
      <c r="L2067" s="13">
        <v>18948</v>
      </c>
      <c r="M2067" s="15">
        <v>382.37362856910039</v>
      </c>
      <c r="N2067" s="13">
        <v>17751.05</v>
      </c>
      <c r="O2067" s="13">
        <v>12000</v>
      </c>
      <c r="P2067" s="11">
        <v>0</v>
      </c>
    </row>
    <row r="2068" spans="1:16" ht="15" thickBot="1" x14ac:dyDescent="0.3">
      <c r="A2068" s="3" t="s">
        <v>11</v>
      </c>
      <c r="B2068" s="4">
        <v>550430</v>
      </c>
      <c r="C2068" s="3" t="s">
        <v>12</v>
      </c>
      <c r="D2068" s="18">
        <v>8.5000000000000006E-2</v>
      </c>
      <c r="E2068" s="21">
        <v>6.8214933659622723E-3</v>
      </c>
      <c r="F2068" s="5">
        <v>37650</v>
      </c>
      <c r="G2068" s="5">
        <v>39483</v>
      </c>
      <c r="H2068" s="16">
        <v>1833</v>
      </c>
      <c r="I2068" s="5">
        <v>39483</v>
      </c>
      <c r="J2068" s="5">
        <v>37886</v>
      </c>
      <c r="K2068" s="16">
        <v>236</v>
      </c>
      <c r="L2068" s="13">
        <v>40050</v>
      </c>
      <c r="M2068" s="15">
        <v>803.74609194863092</v>
      </c>
      <c r="N2068" s="13">
        <v>42709.72</v>
      </c>
      <c r="O2068" s="13">
        <v>22645</v>
      </c>
      <c r="P2068" s="11">
        <v>0</v>
      </c>
    </row>
    <row r="2069" spans="1:16" ht="15" thickBot="1" x14ac:dyDescent="0.3">
      <c r="A2069" s="3" t="s">
        <v>11</v>
      </c>
      <c r="B2069" s="4">
        <v>165013</v>
      </c>
      <c r="C2069" s="3" t="s">
        <v>9</v>
      </c>
      <c r="D2069" s="18">
        <v>0.08</v>
      </c>
      <c r="E2069" s="21">
        <v>6.4340301100034303E-3</v>
      </c>
      <c r="F2069" s="5">
        <v>37566</v>
      </c>
      <c r="G2069" s="5">
        <v>39771</v>
      </c>
      <c r="H2069" s="16">
        <v>2205</v>
      </c>
      <c r="I2069" s="5">
        <v>39771</v>
      </c>
      <c r="J2069" s="5">
        <v>37886</v>
      </c>
      <c r="K2069" s="16">
        <v>320</v>
      </c>
      <c r="L2069" s="13">
        <v>18160.63</v>
      </c>
      <c r="M2069" s="15">
        <v>310.87350301673285</v>
      </c>
      <c r="N2069" s="13">
        <v>17246.009999999998</v>
      </c>
      <c r="O2069" s="13">
        <v>5307.94</v>
      </c>
      <c r="P2069" s="11">
        <v>0</v>
      </c>
    </row>
    <row r="2070" spans="1:16" ht="15" thickBot="1" x14ac:dyDescent="0.3">
      <c r="A2070" s="3" t="s">
        <v>11</v>
      </c>
      <c r="B2070" s="4">
        <v>179505</v>
      </c>
      <c r="C2070" s="3" t="s">
        <v>9</v>
      </c>
      <c r="D2070" s="18">
        <v>7.2499999999999995E-2</v>
      </c>
      <c r="E2070" s="21">
        <v>5.8497409526456767E-3</v>
      </c>
      <c r="F2070" s="5">
        <v>37609</v>
      </c>
      <c r="G2070" s="5">
        <v>39257</v>
      </c>
      <c r="H2070" s="16">
        <v>1648</v>
      </c>
      <c r="I2070" s="5">
        <v>39257</v>
      </c>
      <c r="J2070" s="5">
        <v>38421</v>
      </c>
      <c r="K2070" s="16">
        <v>812</v>
      </c>
      <c r="L2070" s="13">
        <v>15201.69</v>
      </c>
      <c r="M2070" s="15">
        <v>324.37172056926835</v>
      </c>
      <c r="N2070" s="13">
        <v>6262.99</v>
      </c>
      <c r="O2070" s="13">
        <v>0</v>
      </c>
      <c r="P2070" s="11">
        <v>0</v>
      </c>
    </row>
    <row r="2071" spans="1:16" ht="15" thickBot="1" x14ac:dyDescent="0.3">
      <c r="A2071" s="3" t="s">
        <v>11</v>
      </c>
      <c r="B2071" s="4">
        <v>140558</v>
      </c>
      <c r="C2071" s="3" t="s">
        <v>9</v>
      </c>
      <c r="D2071" s="18">
        <v>9.7500000000000003E-2</v>
      </c>
      <c r="E2071" s="21">
        <v>7.7830370878799737E-3</v>
      </c>
      <c r="F2071" s="5">
        <v>37687</v>
      </c>
      <c r="G2071" s="5">
        <v>38801</v>
      </c>
      <c r="H2071" s="16">
        <v>1114</v>
      </c>
      <c r="I2071" s="5">
        <v>38832</v>
      </c>
      <c r="J2071" s="5">
        <v>38243</v>
      </c>
      <c r="K2071" s="16">
        <v>556</v>
      </c>
      <c r="L2071" s="13">
        <v>9705.25</v>
      </c>
      <c r="M2071" s="15">
        <v>301.95583888755027</v>
      </c>
      <c r="N2071" s="13">
        <v>7010.28</v>
      </c>
      <c r="O2071" s="13">
        <v>5134.6400000000003</v>
      </c>
      <c r="P2071" s="11">
        <v>0</v>
      </c>
    </row>
    <row r="2072" spans="1:16" ht="15" thickBot="1" x14ac:dyDescent="0.3">
      <c r="A2072" s="3" t="s">
        <v>11</v>
      </c>
      <c r="B2072" s="4">
        <v>22257</v>
      </c>
      <c r="C2072" s="3" t="s">
        <v>12</v>
      </c>
      <c r="D2072" s="18">
        <v>8.8999999999999996E-2</v>
      </c>
      <c r="E2072" s="21">
        <v>7.1302872999576827E-3</v>
      </c>
      <c r="F2072" s="5">
        <v>39210</v>
      </c>
      <c r="G2072" s="5">
        <v>41037</v>
      </c>
      <c r="H2072" s="16">
        <v>1827</v>
      </c>
      <c r="I2072" s="5">
        <v>41068</v>
      </c>
      <c r="J2072" s="5">
        <v>39664</v>
      </c>
      <c r="K2072" s="16">
        <v>454</v>
      </c>
      <c r="L2072" s="13">
        <v>10060</v>
      </c>
      <c r="M2072" s="15">
        <v>204.22082039757879</v>
      </c>
      <c r="N2072" s="13">
        <v>1831.13</v>
      </c>
      <c r="O2072" s="13">
        <v>0</v>
      </c>
      <c r="P2072" s="11">
        <v>0</v>
      </c>
    </row>
    <row r="2073" spans="1:16" ht="15" thickBot="1" x14ac:dyDescent="0.3">
      <c r="A2073" s="3" t="s">
        <v>11</v>
      </c>
      <c r="B2073" s="4">
        <v>276813</v>
      </c>
      <c r="C2073" s="3" t="s">
        <v>9</v>
      </c>
      <c r="D2073" s="18">
        <v>6.8900000000000003E-2</v>
      </c>
      <c r="E2073" s="21">
        <v>5.5679505949390862E-3</v>
      </c>
      <c r="F2073" s="5">
        <v>39471</v>
      </c>
      <c r="G2073" s="5">
        <v>41298</v>
      </c>
      <c r="H2073" s="16">
        <v>1827</v>
      </c>
      <c r="I2073" s="5">
        <v>41357</v>
      </c>
      <c r="J2073" s="5">
        <v>40485</v>
      </c>
      <c r="K2073" s="16">
        <v>1014</v>
      </c>
      <c r="L2073" s="13">
        <v>21066</v>
      </c>
      <c r="M2073" s="15">
        <v>408.81962626691967</v>
      </c>
      <c r="N2073" s="13">
        <v>5807.76</v>
      </c>
      <c r="O2073" s="13">
        <v>0</v>
      </c>
      <c r="P2073" s="11">
        <v>0</v>
      </c>
    </row>
    <row r="2074" spans="1:16" ht="15" thickBot="1" x14ac:dyDescent="0.3">
      <c r="A2074" s="3" t="s">
        <v>11</v>
      </c>
      <c r="B2074" s="4">
        <v>370606</v>
      </c>
      <c r="C2074" s="3" t="s">
        <v>16</v>
      </c>
      <c r="D2074" s="18">
        <v>0.1</v>
      </c>
      <c r="E2074" s="21">
        <v>7.9741404289037643E-3</v>
      </c>
      <c r="F2074" s="5">
        <v>39580</v>
      </c>
      <c r="G2074" s="5">
        <v>39726</v>
      </c>
      <c r="H2074" s="16">
        <v>146</v>
      </c>
      <c r="I2074" s="5">
        <v>40045</v>
      </c>
      <c r="J2074" s="5">
        <v>39797</v>
      </c>
      <c r="K2074" s="16">
        <v>217</v>
      </c>
      <c r="L2074" s="13">
        <v>4160</v>
      </c>
      <c r="M2074" s="15">
        <v>874.89119696787554</v>
      </c>
      <c r="N2074" s="13">
        <v>3776.11</v>
      </c>
      <c r="O2074" s="13">
        <v>367.08</v>
      </c>
      <c r="P2074" s="11">
        <v>0</v>
      </c>
    </row>
    <row r="2075" spans="1:16" ht="15" thickBot="1" x14ac:dyDescent="0.3">
      <c r="A2075" s="3" t="s">
        <v>11</v>
      </c>
      <c r="B2075" s="4">
        <v>439956</v>
      </c>
      <c r="C2075" s="3" t="s">
        <v>9</v>
      </c>
      <c r="D2075" s="18">
        <v>0.104</v>
      </c>
      <c r="E2075" s="21">
        <v>8.2790792398550472E-3</v>
      </c>
      <c r="F2075" s="5">
        <v>39638</v>
      </c>
      <c r="G2075" s="5">
        <v>41099</v>
      </c>
      <c r="H2075" s="16">
        <v>1461</v>
      </c>
      <c r="I2075" s="5">
        <v>41099</v>
      </c>
      <c r="J2075" s="5">
        <v>39716</v>
      </c>
      <c r="K2075" s="16">
        <v>78</v>
      </c>
      <c r="L2075" s="13">
        <v>10860</v>
      </c>
      <c r="M2075" s="15">
        <v>271.87563388078115</v>
      </c>
      <c r="N2075" s="13">
        <v>3247.39</v>
      </c>
      <c r="O2075" s="13">
        <v>50</v>
      </c>
      <c r="P2075" s="11">
        <v>0</v>
      </c>
    </row>
    <row r="2076" spans="1:16" ht="15" thickBot="1" x14ac:dyDescent="0.3">
      <c r="A2076" s="3" t="s">
        <v>11</v>
      </c>
      <c r="B2076" s="4">
        <v>809417</v>
      </c>
      <c r="C2076" s="3" t="s">
        <v>9</v>
      </c>
      <c r="D2076" s="18">
        <v>0.11</v>
      </c>
      <c r="E2076" s="21">
        <v>8.7345938235519061E-3</v>
      </c>
      <c r="F2076" s="5">
        <v>39862</v>
      </c>
      <c r="G2076" s="5">
        <v>41323</v>
      </c>
      <c r="H2076" s="16">
        <v>1461</v>
      </c>
      <c r="I2076" s="5">
        <v>41351</v>
      </c>
      <c r="J2076" s="5">
        <v>41082</v>
      </c>
      <c r="K2076" s="16">
        <v>1220</v>
      </c>
      <c r="L2076" s="13">
        <v>6175</v>
      </c>
      <c r="M2076" s="15">
        <v>156.21568250004353</v>
      </c>
      <c r="N2076" s="13">
        <v>2114.9299999999998</v>
      </c>
      <c r="O2076" s="13">
        <v>400</v>
      </c>
      <c r="P2076" s="11">
        <v>0</v>
      </c>
    </row>
    <row r="2077" spans="1:16" ht="15" thickBot="1" x14ac:dyDescent="0.3">
      <c r="A2077" s="3" t="s">
        <v>11</v>
      </c>
      <c r="B2077" s="4">
        <v>641767</v>
      </c>
      <c r="C2077" s="3" t="s">
        <v>2</v>
      </c>
      <c r="D2077" s="18">
        <v>3.6299999999999999E-2</v>
      </c>
      <c r="E2077" s="21">
        <v>2.9758087216387175E-3</v>
      </c>
      <c r="F2077" s="5">
        <v>40106</v>
      </c>
      <c r="G2077" s="5">
        <v>40471</v>
      </c>
      <c r="H2077" s="16">
        <v>365</v>
      </c>
      <c r="I2077" s="5">
        <v>43493</v>
      </c>
      <c r="J2077" s="5">
        <v>43584</v>
      </c>
      <c r="K2077" s="16">
        <v>3478</v>
      </c>
      <c r="L2077" s="13">
        <v>20100</v>
      </c>
      <c r="M2077" s="15">
        <v>1684.5987489049701</v>
      </c>
      <c r="N2077" s="13">
        <v>7536.67</v>
      </c>
      <c r="O2077" s="13">
        <v>144.34</v>
      </c>
      <c r="P2077" s="11">
        <v>0</v>
      </c>
    </row>
    <row r="2078" spans="1:16" ht="15" thickBot="1" x14ac:dyDescent="0.3">
      <c r="A2078" s="3" t="s">
        <v>11</v>
      </c>
      <c r="B2078" s="4">
        <v>149541</v>
      </c>
      <c r="C2078" s="3" t="s">
        <v>16</v>
      </c>
      <c r="D2078" s="18">
        <v>0.115</v>
      </c>
      <c r="E2078" s="21">
        <v>9.1124684369046083E-3</v>
      </c>
      <c r="F2078" s="5">
        <v>40732</v>
      </c>
      <c r="G2078" s="5">
        <v>41654</v>
      </c>
      <c r="H2078" s="16">
        <v>922</v>
      </c>
      <c r="I2078" s="5">
        <v>41654</v>
      </c>
      <c r="J2078" s="5">
        <v>41729</v>
      </c>
      <c r="K2078" s="16">
        <v>997</v>
      </c>
      <c r="L2078" s="13">
        <v>3575</v>
      </c>
      <c r="M2078" s="15">
        <v>133.89680573548515</v>
      </c>
      <c r="N2078" s="13">
        <v>214.69</v>
      </c>
      <c r="O2078" s="13">
        <v>0</v>
      </c>
      <c r="P2078" s="11">
        <v>0</v>
      </c>
    </row>
    <row r="2079" spans="1:16" ht="15" thickBot="1" x14ac:dyDescent="0.3">
      <c r="A2079" s="3" t="s">
        <v>11</v>
      </c>
      <c r="B2079" s="4">
        <v>513261</v>
      </c>
      <c r="C2079" s="3" t="s">
        <v>9</v>
      </c>
      <c r="D2079" s="18">
        <v>6.7500000000000004E-2</v>
      </c>
      <c r="E2079" s="21">
        <v>5.4581304569467637E-3</v>
      </c>
      <c r="F2079" s="5">
        <v>40798</v>
      </c>
      <c r="G2079" s="5">
        <v>42259</v>
      </c>
      <c r="H2079" s="16">
        <v>1461</v>
      </c>
      <c r="I2079" s="5">
        <v>42320</v>
      </c>
      <c r="J2079" s="5">
        <v>42123</v>
      </c>
      <c r="K2079" s="16">
        <v>1325</v>
      </c>
      <c r="L2079" s="13">
        <v>10075</v>
      </c>
      <c r="M2079" s="15">
        <v>236.15161678512749</v>
      </c>
      <c r="N2079" s="13">
        <v>4251.55</v>
      </c>
      <c r="O2079" s="13">
        <v>0</v>
      </c>
      <c r="P2079" s="11">
        <v>1</v>
      </c>
    </row>
    <row r="2080" spans="1:16" ht="15" thickBot="1" x14ac:dyDescent="0.3">
      <c r="A2080" s="3" t="s">
        <v>11</v>
      </c>
      <c r="B2080" s="4">
        <v>493794</v>
      </c>
      <c r="C2080" s="3" t="s">
        <v>2</v>
      </c>
      <c r="D2080" s="18">
        <v>0.10249999999999999</v>
      </c>
      <c r="E2080" s="21">
        <v>8.1648460519010424E-3</v>
      </c>
      <c r="F2080" s="5">
        <v>41197</v>
      </c>
      <c r="G2080" s="5">
        <v>41377</v>
      </c>
      <c r="H2080" s="16">
        <v>180</v>
      </c>
      <c r="I2080" s="5">
        <v>43509</v>
      </c>
      <c r="J2080" s="5">
        <v>43584</v>
      </c>
      <c r="K2080" s="16">
        <v>2387</v>
      </c>
      <c r="L2080" s="13">
        <v>9912</v>
      </c>
      <c r="M2080" s="15">
        <v>1699.5290353953158</v>
      </c>
      <c r="N2080" s="13">
        <v>6703.09</v>
      </c>
      <c r="O2080" s="13">
        <v>0</v>
      </c>
      <c r="P2080" s="11">
        <v>0</v>
      </c>
    </row>
    <row r="2081" spans="1:16" ht="15" thickBot="1" x14ac:dyDescent="0.3">
      <c r="A2081" s="3" t="s">
        <v>11</v>
      </c>
      <c r="B2081" s="4">
        <v>493001</v>
      </c>
      <c r="C2081" s="3" t="s">
        <v>9</v>
      </c>
      <c r="D2081" s="18">
        <v>9.5000000000000001E-2</v>
      </c>
      <c r="E2081" s="21">
        <v>7.5915342905825689E-3</v>
      </c>
      <c r="F2081" s="5">
        <v>43231</v>
      </c>
      <c r="G2081" s="5">
        <v>45051</v>
      </c>
      <c r="H2081" s="16">
        <v>1820</v>
      </c>
      <c r="I2081" s="5">
        <v>45204</v>
      </c>
      <c r="J2081" s="5">
        <v>44187</v>
      </c>
      <c r="K2081" s="16">
        <v>956</v>
      </c>
      <c r="L2081" s="13">
        <v>11075</v>
      </c>
      <c r="M2081" s="15">
        <v>228.48851775176939</v>
      </c>
      <c r="N2081" s="13">
        <v>198.44</v>
      </c>
      <c r="O2081" s="13">
        <v>0</v>
      </c>
      <c r="P2081" s="11">
        <v>1</v>
      </c>
    </row>
    <row r="2082" spans="1:16" ht="15" thickBot="1" x14ac:dyDescent="0.3">
      <c r="A2082" s="3" t="s">
        <v>11</v>
      </c>
      <c r="B2082" s="4">
        <v>871261</v>
      </c>
      <c r="C2082" s="3" t="s">
        <v>9</v>
      </c>
      <c r="D2082" s="18">
        <v>0.12</v>
      </c>
      <c r="E2082" s="21">
        <v>9.4887929345830457E-3</v>
      </c>
      <c r="F2082" s="5">
        <v>43808</v>
      </c>
      <c r="G2082" s="5">
        <v>44536</v>
      </c>
      <c r="H2082" s="16">
        <v>728</v>
      </c>
      <c r="I2082" s="5">
        <v>44598</v>
      </c>
      <c r="J2082" s="5">
        <v>44264</v>
      </c>
      <c r="K2082" s="16">
        <v>456</v>
      </c>
      <c r="L2082" s="13">
        <v>3863.75</v>
      </c>
      <c r="M2082" s="15">
        <v>179.00540915531619</v>
      </c>
      <c r="N2082" s="13">
        <v>2592.44</v>
      </c>
      <c r="O2082" s="13">
        <v>0</v>
      </c>
      <c r="P2082" s="11">
        <v>1</v>
      </c>
    </row>
    <row r="2083" spans="1:16" ht="15" thickBot="1" x14ac:dyDescent="0.3">
      <c r="A2083" s="3" t="s">
        <v>11</v>
      </c>
      <c r="B2083" s="4">
        <v>173525</v>
      </c>
      <c r="C2083" s="3" t="s">
        <v>9</v>
      </c>
      <c r="D2083" s="18">
        <v>0.05</v>
      </c>
      <c r="E2083" s="21">
        <v>4.0741237836483535E-3</v>
      </c>
      <c r="F2083" s="5">
        <v>39302</v>
      </c>
      <c r="G2083" s="5">
        <v>41501</v>
      </c>
      <c r="H2083" s="16">
        <v>2199</v>
      </c>
      <c r="I2083" s="5">
        <v>41501</v>
      </c>
      <c r="J2083" s="5">
        <v>40115</v>
      </c>
      <c r="K2083" s="16">
        <v>813</v>
      </c>
      <c r="L2083" s="13">
        <v>23684.06</v>
      </c>
      <c r="M2083" s="15">
        <v>374.40785773847165</v>
      </c>
      <c r="N2083" s="13">
        <v>9616</v>
      </c>
      <c r="O2083" s="13">
        <v>200</v>
      </c>
      <c r="P2083" s="11">
        <v>0</v>
      </c>
    </row>
    <row r="2084" spans="1:16" ht="15" thickBot="1" x14ac:dyDescent="0.3">
      <c r="A2084" s="3" t="s">
        <v>11</v>
      </c>
      <c r="B2084" s="4">
        <v>645819</v>
      </c>
      <c r="C2084" s="3" t="s">
        <v>9</v>
      </c>
      <c r="D2084" s="18">
        <v>6.25E-2</v>
      </c>
      <c r="E2084" s="21">
        <v>5.0648349497708356E-3</v>
      </c>
      <c r="F2084" s="5">
        <v>39422</v>
      </c>
      <c r="G2084" s="5">
        <v>41623</v>
      </c>
      <c r="H2084" s="16">
        <v>2201</v>
      </c>
      <c r="I2084" s="5">
        <v>41623</v>
      </c>
      <c r="J2084" s="5">
        <v>40631</v>
      </c>
      <c r="K2084" s="16">
        <v>1209</v>
      </c>
      <c r="L2084" s="13">
        <v>55060</v>
      </c>
      <c r="M2084" s="15">
        <v>900.40486698597749</v>
      </c>
      <c r="N2084" s="13">
        <v>32197.52</v>
      </c>
      <c r="O2084" s="13">
        <v>0</v>
      </c>
      <c r="P2084" s="11">
        <v>0</v>
      </c>
    </row>
    <row r="2085" spans="1:16" ht="15" thickBot="1" x14ac:dyDescent="0.3">
      <c r="A2085" s="3" t="s">
        <v>11</v>
      </c>
      <c r="B2085" s="4">
        <v>935463</v>
      </c>
      <c r="C2085" s="3" t="s">
        <v>7</v>
      </c>
      <c r="D2085" s="18">
        <v>5.2499999999999998E-2</v>
      </c>
      <c r="E2085" s="21">
        <v>4.2731277661580691E-3</v>
      </c>
      <c r="F2085" s="5">
        <v>39651</v>
      </c>
      <c r="G2085" s="5">
        <v>45122</v>
      </c>
      <c r="H2085" s="16">
        <v>5471</v>
      </c>
      <c r="I2085" s="5">
        <v>40983</v>
      </c>
      <c r="J2085" s="5">
        <v>40900</v>
      </c>
      <c r="K2085" s="16">
        <v>1249</v>
      </c>
      <c r="L2085" s="13">
        <v>423092</v>
      </c>
      <c r="M2085" s="15">
        <v>3344.9157538952036</v>
      </c>
      <c r="N2085" s="13">
        <v>293336.09999999998</v>
      </c>
      <c r="O2085" s="13">
        <v>0</v>
      </c>
      <c r="P2085" s="11">
        <v>1</v>
      </c>
    </row>
    <row r="2086" spans="1:16" ht="15" thickBot="1" x14ac:dyDescent="0.3">
      <c r="A2086" s="3" t="s">
        <v>11</v>
      </c>
      <c r="B2086" s="4">
        <v>536997</v>
      </c>
      <c r="C2086" s="3" t="s">
        <v>12</v>
      </c>
      <c r="D2086" s="18">
        <v>0.10249999999999999</v>
      </c>
      <c r="E2086" s="21">
        <v>8.1648460519010424E-3</v>
      </c>
      <c r="F2086" s="5">
        <v>42905</v>
      </c>
      <c r="G2086" s="5">
        <v>43997</v>
      </c>
      <c r="H2086" s="16">
        <v>1092</v>
      </c>
      <c r="I2086" s="5">
        <v>44150</v>
      </c>
      <c r="J2086" s="5">
        <v>43811</v>
      </c>
      <c r="K2086" s="16">
        <v>906</v>
      </c>
      <c r="L2086" s="13">
        <v>8475</v>
      </c>
      <c r="M2086" s="15">
        <v>270.08176387352609</v>
      </c>
      <c r="N2086" s="13">
        <v>4676.28</v>
      </c>
      <c r="O2086" s="13">
        <v>0</v>
      </c>
      <c r="P2086" s="11">
        <v>1</v>
      </c>
    </row>
    <row r="2087" spans="1:16" ht="15" thickBot="1" x14ac:dyDescent="0.3">
      <c r="A2087" s="3" t="s">
        <v>11</v>
      </c>
      <c r="B2087" s="4">
        <v>268638</v>
      </c>
      <c r="C2087" s="3" t="s">
        <v>9</v>
      </c>
      <c r="D2087" s="18">
        <v>9.5000000000000001E-2</v>
      </c>
      <c r="E2087" s="21">
        <v>7.5915342905825689E-3</v>
      </c>
      <c r="F2087" s="5">
        <v>44355</v>
      </c>
      <c r="G2087" s="5">
        <v>45270</v>
      </c>
      <c r="H2087" s="16">
        <v>915</v>
      </c>
      <c r="I2087" s="5">
        <v>45270</v>
      </c>
      <c r="J2087" s="5">
        <v>44832</v>
      </c>
      <c r="K2087" s="16">
        <v>477</v>
      </c>
      <c r="L2087" s="13">
        <v>10075</v>
      </c>
      <c r="M2087" s="15">
        <v>371.29139829398821</v>
      </c>
      <c r="N2087" s="13">
        <v>6998.23</v>
      </c>
      <c r="O2087" s="13">
        <v>0</v>
      </c>
      <c r="P2087" s="11">
        <v>1</v>
      </c>
    </row>
    <row r="2088" spans="1:16" ht="15" thickBot="1" x14ac:dyDescent="0.3">
      <c r="A2088" s="3" t="s">
        <v>11</v>
      </c>
      <c r="B2088" s="4">
        <v>257081</v>
      </c>
      <c r="C2088" s="3" t="s">
        <v>12</v>
      </c>
      <c r="D2088" s="18">
        <v>0.10249999999999999</v>
      </c>
      <c r="E2088" s="21">
        <v>8.1648460519010424E-3</v>
      </c>
      <c r="F2088" s="5">
        <v>45099</v>
      </c>
      <c r="G2088" s="5">
        <v>45472</v>
      </c>
      <c r="H2088" s="16">
        <v>373</v>
      </c>
      <c r="I2088" s="5">
        <v>45502</v>
      </c>
      <c r="J2088" s="5">
        <v>45419</v>
      </c>
      <c r="K2088" s="16">
        <v>320</v>
      </c>
      <c r="L2088" s="13">
        <v>2581</v>
      </c>
      <c r="M2088" s="15">
        <v>219.14769599562001</v>
      </c>
      <c r="N2088" s="13">
        <v>1755.46</v>
      </c>
      <c r="O2088" s="13">
        <v>0</v>
      </c>
      <c r="P2088" s="11">
        <v>1</v>
      </c>
    </row>
    <row r="2089" spans="1:16" ht="15" thickBot="1" x14ac:dyDescent="0.3">
      <c r="A2089" s="3" t="s">
        <v>11</v>
      </c>
      <c r="B2089" s="4">
        <v>530891</v>
      </c>
      <c r="C2089" s="3" t="s">
        <v>9</v>
      </c>
      <c r="D2089" s="18">
        <v>0.13</v>
      </c>
      <c r="E2089" s="21">
        <v>1.02368443581764E-2</v>
      </c>
      <c r="F2089" s="5">
        <v>43557</v>
      </c>
      <c r="G2089" s="5">
        <v>44470</v>
      </c>
      <c r="H2089" s="16">
        <v>913</v>
      </c>
      <c r="I2089" s="5">
        <v>44531</v>
      </c>
      <c r="J2089" s="5">
        <v>44460</v>
      </c>
      <c r="K2089" s="16">
        <v>903</v>
      </c>
      <c r="L2089" s="13">
        <v>9081</v>
      </c>
      <c r="M2089" s="15">
        <v>348.79232984662866</v>
      </c>
      <c r="N2089" s="13">
        <v>2278.33</v>
      </c>
      <c r="O2089" s="13">
        <v>0</v>
      </c>
      <c r="P2089" s="11">
        <v>1</v>
      </c>
    </row>
    <row r="2090" spans="1:16" ht="15" thickBot="1" x14ac:dyDescent="0.3">
      <c r="A2090" s="3" t="s">
        <v>11</v>
      </c>
      <c r="B2090" s="4">
        <v>154017</v>
      </c>
      <c r="C2090" s="3" t="s">
        <v>2</v>
      </c>
      <c r="D2090" s="18">
        <v>0.08</v>
      </c>
      <c r="E2090" s="21">
        <v>6.4340301100034303E-3</v>
      </c>
      <c r="F2090" s="5">
        <v>43560</v>
      </c>
      <c r="G2090" s="5">
        <v>44413</v>
      </c>
      <c r="H2090" s="16">
        <v>853</v>
      </c>
      <c r="I2090" s="5">
        <v>45194</v>
      </c>
      <c r="J2090" s="5">
        <v>44011</v>
      </c>
      <c r="K2090" s="16">
        <v>451</v>
      </c>
      <c r="L2090" s="13">
        <v>41391.599999999999</v>
      </c>
      <c r="M2090" s="15">
        <v>1597.6223686574112</v>
      </c>
      <c r="N2090" s="13">
        <v>26042.639999999999</v>
      </c>
      <c r="O2090" s="13">
        <v>0</v>
      </c>
      <c r="P2090" s="11">
        <v>1</v>
      </c>
    </row>
    <row r="2091" spans="1:16" ht="15" thickBot="1" x14ac:dyDescent="0.3">
      <c r="A2091" s="3" t="s">
        <v>11</v>
      </c>
      <c r="B2091" s="4">
        <v>82455</v>
      </c>
      <c r="C2091" s="3" t="s">
        <v>9</v>
      </c>
      <c r="D2091" s="18">
        <v>0.12</v>
      </c>
      <c r="E2091" s="21">
        <v>9.4887929345830457E-3</v>
      </c>
      <c r="F2091" s="5">
        <v>43762</v>
      </c>
      <c r="G2091" s="5">
        <v>44675</v>
      </c>
      <c r="H2091" s="16">
        <v>913</v>
      </c>
      <c r="I2091" s="5">
        <v>44705</v>
      </c>
      <c r="J2091" s="5">
        <v>44195</v>
      </c>
      <c r="K2091" s="16">
        <v>433</v>
      </c>
      <c r="L2091" s="13">
        <v>4287.28</v>
      </c>
      <c r="M2091" s="15">
        <v>162.85536991427293</v>
      </c>
      <c r="N2091" s="13">
        <v>3175.92</v>
      </c>
      <c r="O2091" s="13">
        <v>750</v>
      </c>
      <c r="P2091" s="11">
        <v>1</v>
      </c>
    </row>
    <row r="2092" spans="1:16" ht="15" thickBot="1" x14ac:dyDescent="0.3">
      <c r="A2092" s="3" t="s">
        <v>11</v>
      </c>
      <c r="B2092" s="4">
        <v>602441</v>
      </c>
      <c r="C2092" s="3" t="s">
        <v>9</v>
      </c>
      <c r="D2092" s="18">
        <v>0.1</v>
      </c>
      <c r="E2092" s="21">
        <v>7.9741404289037643E-3</v>
      </c>
      <c r="F2092" s="5">
        <v>43915</v>
      </c>
      <c r="G2092" s="5">
        <v>45376</v>
      </c>
      <c r="H2092" s="16">
        <v>1461</v>
      </c>
      <c r="I2092" s="5">
        <v>45516</v>
      </c>
      <c r="J2092" s="5">
        <v>45104</v>
      </c>
      <c r="K2092" s="16">
        <v>1189</v>
      </c>
      <c r="L2092" s="13">
        <v>33075</v>
      </c>
      <c r="M2092" s="15">
        <v>822.2149823688236</v>
      </c>
      <c r="N2092" s="13">
        <v>13973.52</v>
      </c>
      <c r="O2092" s="13">
        <v>13973.52</v>
      </c>
      <c r="P2092" s="11">
        <v>1</v>
      </c>
    </row>
    <row r="2093" spans="1:16" ht="15" thickBot="1" x14ac:dyDescent="0.3">
      <c r="A2093" s="3" t="s">
        <v>11</v>
      </c>
      <c r="B2093" s="4">
        <v>937917</v>
      </c>
      <c r="C2093" s="3" t="s">
        <v>9</v>
      </c>
      <c r="D2093" s="18">
        <v>4.4999999999999998E-2</v>
      </c>
      <c r="E2093" s="21">
        <v>3.6748094004368514E-3</v>
      </c>
      <c r="F2093" s="5">
        <v>44508</v>
      </c>
      <c r="G2093" s="5">
        <v>45634</v>
      </c>
      <c r="H2093" s="16">
        <v>1126</v>
      </c>
      <c r="I2093" s="5">
        <v>45634</v>
      </c>
      <c r="J2093" s="5">
        <v>45379</v>
      </c>
      <c r="K2093" s="16">
        <v>871</v>
      </c>
      <c r="L2093" s="13">
        <v>3575</v>
      </c>
      <c r="M2093" s="15">
        <v>102.142970253931</v>
      </c>
      <c r="N2093" s="13">
        <v>1227.68</v>
      </c>
      <c r="O2093" s="13">
        <v>0</v>
      </c>
      <c r="P2093" s="11">
        <v>1</v>
      </c>
    </row>
    <row r="2094" spans="1:16" ht="15" thickBot="1" x14ac:dyDescent="0.3">
      <c r="A2094" s="3" t="s">
        <v>11</v>
      </c>
      <c r="B2094" s="4">
        <v>245603</v>
      </c>
      <c r="C2094" s="3" t="s">
        <v>9</v>
      </c>
      <c r="D2094" s="18">
        <v>4.2500000000000003E-2</v>
      </c>
      <c r="E2094" s="21">
        <v>3.474495003497502E-3</v>
      </c>
      <c r="F2094" s="5">
        <v>44221</v>
      </c>
      <c r="G2094" s="5">
        <v>45498</v>
      </c>
      <c r="H2094" s="16">
        <v>1277</v>
      </c>
      <c r="I2094" s="5">
        <v>46249</v>
      </c>
      <c r="J2094" s="5">
        <v>45923</v>
      </c>
      <c r="K2094" s="16">
        <v>1702</v>
      </c>
      <c r="L2094" s="13">
        <v>10075</v>
      </c>
      <c r="M2094" s="15">
        <v>255.03179696127916</v>
      </c>
      <c r="N2094" s="13">
        <v>9254.2900000000009</v>
      </c>
      <c r="O2094" s="13">
        <v>0</v>
      </c>
      <c r="P2094" s="11">
        <v>1</v>
      </c>
    </row>
    <row r="2095" spans="1:16" ht="15" thickBot="1" x14ac:dyDescent="0.3">
      <c r="A2095" s="3" t="s">
        <v>11</v>
      </c>
      <c r="B2095" s="4">
        <v>883555</v>
      </c>
      <c r="C2095" s="3" t="s">
        <v>2</v>
      </c>
      <c r="D2095" s="18">
        <v>8.2500000000000004E-2</v>
      </c>
      <c r="E2095" s="21">
        <v>6.6279668043680573E-3</v>
      </c>
      <c r="F2095" s="5">
        <v>44267</v>
      </c>
      <c r="G2095" s="5">
        <v>45884</v>
      </c>
      <c r="H2095" s="16">
        <v>1617</v>
      </c>
      <c r="I2095" s="5">
        <v>45884</v>
      </c>
      <c r="J2095" s="5">
        <v>44649</v>
      </c>
      <c r="K2095" s="16">
        <v>382</v>
      </c>
      <c r="L2095" s="13">
        <v>70540</v>
      </c>
      <c r="M2095" s="15">
        <v>1560.6642495781966</v>
      </c>
      <c r="N2095" s="13">
        <v>40000</v>
      </c>
      <c r="O2095" s="13">
        <v>1000</v>
      </c>
      <c r="P2095" s="11">
        <v>1</v>
      </c>
    </row>
    <row r="2096" spans="1:16" ht="15" thickBot="1" x14ac:dyDescent="0.3">
      <c r="A2096" s="3" t="s">
        <v>11</v>
      </c>
      <c r="B2096" s="4">
        <v>243246</v>
      </c>
      <c r="C2096" s="3" t="s">
        <v>9</v>
      </c>
      <c r="D2096" s="18">
        <v>9.2499999999999999E-2</v>
      </c>
      <c r="E2096" s="21">
        <v>7.3996302871768282E-3</v>
      </c>
      <c r="F2096" s="5">
        <v>44456</v>
      </c>
      <c r="G2096" s="5">
        <v>45918</v>
      </c>
      <c r="H2096" s="16">
        <v>1462</v>
      </c>
      <c r="I2096" s="5">
        <v>45948</v>
      </c>
      <c r="J2096" s="5">
        <v>45098</v>
      </c>
      <c r="K2096" s="16">
        <v>642</v>
      </c>
      <c r="L2096" s="13">
        <v>8210.6200000000008</v>
      </c>
      <c r="M2096" s="15">
        <v>201.29605674607026</v>
      </c>
      <c r="N2096" s="13">
        <v>5737.6</v>
      </c>
      <c r="O2096" s="13">
        <v>213.1</v>
      </c>
      <c r="P2096" s="11">
        <v>1</v>
      </c>
    </row>
    <row r="2097" spans="1:16" ht="15" thickBot="1" x14ac:dyDescent="0.3">
      <c r="A2097" s="3" t="s">
        <v>11</v>
      </c>
      <c r="B2097" s="4">
        <v>239171</v>
      </c>
      <c r="C2097" s="3" t="s">
        <v>9</v>
      </c>
      <c r="D2097" s="18">
        <v>0.06</v>
      </c>
      <c r="E2097" s="21">
        <v>4.8675505653430484E-3</v>
      </c>
      <c r="F2097" s="5">
        <v>44489</v>
      </c>
      <c r="G2097" s="5">
        <v>45397</v>
      </c>
      <c r="H2097" s="16">
        <v>908</v>
      </c>
      <c r="I2097" s="5">
        <v>45397</v>
      </c>
      <c r="J2097" s="5">
        <v>45104</v>
      </c>
      <c r="K2097" s="16">
        <v>615</v>
      </c>
      <c r="L2097" s="13">
        <v>6021</v>
      </c>
      <c r="M2097" s="15">
        <v>214.42805004597787</v>
      </c>
      <c r="N2097" s="13">
        <v>2883.43</v>
      </c>
      <c r="O2097" s="13">
        <v>500</v>
      </c>
      <c r="P2097" s="11">
        <v>1</v>
      </c>
    </row>
    <row r="2098" spans="1:16" ht="15" thickBot="1" x14ac:dyDescent="0.3">
      <c r="A2098" s="3" t="s">
        <v>11</v>
      </c>
      <c r="B2098" s="4">
        <v>615132</v>
      </c>
      <c r="C2098" s="3" t="s">
        <v>9</v>
      </c>
      <c r="D2098" s="18">
        <v>0.1575</v>
      </c>
      <c r="E2098" s="21">
        <v>1.2263125240543182E-2</v>
      </c>
      <c r="F2098" s="5">
        <v>45145</v>
      </c>
      <c r="G2098" s="5">
        <v>45876</v>
      </c>
      <c r="H2098" s="16">
        <v>731</v>
      </c>
      <c r="I2098" s="5">
        <v>45876</v>
      </c>
      <c r="J2098" s="5">
        <v>45891</v>
      </c>
      <c r="K2098" s="16">
        <v>746</v>
      </c>
      <c r="L2098" s="13">
        <v>3081</v>
      </c>
      <c r="M2098" s="15">
        <v>147.04202382368439</v>
      </c>
      <c r="N2098" s="13">
        <v>627.47</v>
      </c>
      <c r="O2098" s="13">
        <v>0</v>
      </c>
      <c r="P2098" s="11">
        <v>1</v>
      </c>
    </row>
    <row r="2099" spans="1:16" ht="15" thickBot="1" x14ac:dyDescent="0.3">
      <c r="A2099" s="3" t="s">
        <v>11</v>
      </c>
      <c r="B2099" s="4">
        <v>556811</v>
      </c>
      <c r="C2099" s="3" t="s">
        <v>12</v>
      </c>
      <c r="D2099" s="18">
        <v>0.14749999999999999</v>
      </c>
      <c r="E2099" s="21">
        <v>1.1531452360343364E-2</v>
      </c>
      <c r="F2099" s="5">
        <v>45159</v>
      </c>
      <c r="G2099" s="5">
        <v>45890</v>
      </c>
      <c r="H2099" s="16">
        <v>731</v>
      </c>
      <c r="I2099" s="5">
        <v>45951</v>
      </c>
      <c r="J2099" s="5">
        <v>45930</v>
      </c>
      <c r="K2099" s="16">
        <v>771</v>
      </c>
      <c r="L2099" s="13">
        <v>8075</v>
      </c>
      <c r="M2099" s="15">
        <v>382.02572709143101</v>
      </c>
      <c r="N2099" s="13">
        <v>2459.3200000000002</v>
      </c>
      <c r="O2099" s="13">
        <v>2459.3200000000002</v>
      </c>
      <c r="P2099" s="11">
        <v>1</v>
      </c>
    </row>
    <row r="2100" spans="1:16" ht="15" thickBot="1" x14ac:dyDescent="0.3">
      <c r="A2100" s="3" t="s">
        <v>11</v>
      </c>
      <c r="B2100" s="4">
        <v>16602</v>
      </c>
      <c r="C2100" s="3" t="s">
        <v>9</v>
      </c>
      <c r="D2100" s="18">
        <v>0.11749999999999999</v>
      </c>
      <c r="E2100" s="21">
        <v>9.300823618865417E-3</v>
      </c>
      <c r="F2100" s="5">
        <v>44858</v>
      </c>
      <c r="G2100" s="5">
        <v>45223</v>
      </c>
      <c r="H2100" s="16">
        <v>365</v>
      </c>
      <c r="I2100" s="5">
        <v>45223</v>
      </c>
      <c r="J2100" s="5">
        <v>44972</v>
      </c>
      <c r="K2100" s="16">
        <v>114</v>
      </c>
      <c r="L2100" s="13">
        <v>4488.51</v>
      </c>
      <c r="M2100" s="15">
        <v>391.89679691621882</v>
      </c>
      <c r="N2100" s="13">
        <v>4488.51</v>
      </c>
      <c r="O2100" s="13">
        <v>0</v>
      </c>
      <c r="P2100" s="11">
        <v>1</v>
      </c>
    </row>
    <row r="2101" spans="1:16" ht="15" thickBot="1" x14ac:dyDescent="0.3">
      <c r="A2101" s="3" t="s">
        <v>11</v>
      </c>
      <c r="B2101" s="4">
        <v>246958</v>
      </c>
      <c r="C2101" s="3" t="s">
        <v>9</v>
      </c>
      <c r="D2101" s="18">
        <v>0.14000000000000001</v>
      </c>
      <c r="E2101" s="21">
        <v>1.0978851950173452E-2</v>
      </c>
      <c r="F2101" s="5">
        <v>41246</v>
      </c>
      <c r="G2101" s="5">
        <v>42707</v>
      </c>
      <c r="H2101" s="16">
        <v>1461</v>
      </c>
      <c r="I2101" s="5">
        <v>42707</v>
      </c>
      <c r="J2101" s="5">
        <v>41732</v>
      </c>
      <c r="K2101" s="16">
        <v>486</v>
      </c>
      <c r="L2101" s="13">
        <v>107.02</v>
      </c>
      <c r="M2101" s="15">
        <v>2.8488777204981792</v>
      </c>
      <c r="N2101" s="13">
        <v>107.02</v>
      </c>
      <c r="O2101" s="13">
        <v>0</v>
      </c>
      <c r="P2101" s="11">
        <v>1</v>
      </c>
    </row>
    <row r="2102" spans="1:16" ht="15" thickBot="1" x14ac:dyDescent="0.3">
      <c r="A2102" s="3" t="s">
        <v>11</v>
      </c>
      <c r="B2102" s="4">
        <v>243182</v>
      </c>
      <c r="C2102" s="3" t="s">
        <v>9</v>
      </c>
      <c r="D2102" s="18">
        <v>9.5000000000000001E-2</v>
      </c>
      <c r="E2102" s="21">
        <v>7.5915342905825689E-3</v>
      </c>
      <c r="F2102" s="5">
        <v>38727</v>
      </c>
      <c r="G2102" s="5">
        <v>40568</v>
      </c>
      <c r="H2102" s="16">
        <v>1841</v>
      </c>
      <c r="I2102" s="5">
        <v>40568</v>
      </c>
      <c r="J2102" s="5">
        <v>40617</v>
      </c>
      <c r="K2102" s="16">
        <v>1890</v>
      </c>
      <c r="L2102" s="13">
        <v>9712.9500000000007</v>
      </c>
      <c r="M2102" s="15">
        <v>198.5870271570333</v>
      </c>
      <c r="N2102" s="13">
        <v>9712.9500000000007</v>
      </c>
      <c r="O2102" s="13">
        <v>0</v>
      </c>
      <c r="P2102" s="11">
        <v>0</v>
      </c>
    </row>
    <row r="2103" spans="1:16" ht="15" thickBot="1" x14ac:dyDescent="0.3">
      <c r="A2103" s="3" t="s">
        <v>11</v>
      </c>
      <c r="B2103" s="4">
        <v>332031</v>
      </c>
      <c r="C2103" s="3" t="s">
        <v>9</v>
      </c>
      <c r="D2103" s="18">
        <v>0.11</v>
      </c>
      <c r="E2103" s="21">
        <v>8.7345938235519061E-3</v>
      </c>
      <c r="F2103" s="5">
        <v>38933</v>
      </c>
      <c r="G2103" s="5">
        <v>39298</v>
      </c>
      <c r="H2103" s="16">
        <v>365</v>
      </c>
      <c r="I2103" s="5">
        <v>39298</v>
      </c>
      <c r="J2103" s="5">
        <v>39084</v>
      </c>
      <c r="K2103" s="16">
        <v>151</v>
      </c>
      <c r="L2103" s="13">
        <v>5000</v>
      </c>
      <c r="M2103" s="15">
        <v>434.97257939543437</v>
      </c>
      <c r="N2103" s="13">
        <v>5000</v>
      </c>
      <c r="O2103" s="13">
        <v>0</v>
      </c>
      <c r="P2103" s="11">
        <v>0</v>
      </c>
    </row>
    <row r="2104" spans="1:16" ht="15" thickBot="1" x14ac:dyDescent="0.3">
      <c r="A2104" s="3" t="s">
        <v>11</v>
      </c>
      <c r="B2104" s="4">
        <v>712957</v>
      </c>
      <c r="C2104" s="3" t="s">
        <v>9</v>
      </c>
      <c r="D2104" s="18">
        <v>0.1</v>
      </c>
      <c r="E2104" s="21">
        <v>7.9741404289037643E-3</v>
      </c>
      <c r="F2104" s="5">
        <v>38973</v>
      </c>
      <c r="G2104" s="5">
        <v>39338</v>
      </c>
      <c r="H2104" s="16">
        <v>365</v>
      </c>
      <c r="I2104" s="5">
        <v>39338</v>
      </c>
      <c r="J2104" s="5">
        <v>39009</v>
      </c>
      <c r="K2104" s="16">
        <v>36</v>
      </c>
      <c r="L2104" s="13">
        <v>1843.92</v>
      </c>
      <c r="M2104" s="15">
        <v>159.628755565045</v>
      </c>
      <c r="N2104" s="13">
        <v>1843.92</v>
      </c>
      <c r="O2104" s="13">
        <v>0</v>
      </c>
      <c r="P2104" s="11">
        <v>0</v>
      </c>
    </row>
    <row r="2105" spans="1:16" ht="15" thickBot="1" x14ac:dyDescent="0.3">
      <c r="A2105" s="3" t="s">
        <v>11</v>
      </c>
      <c r="B2105" s="4">
        <v>308821</v>
      </c>
      <c r="C2105" s="3" t="s">
        <v>9</v>
      </c>
      <c r="D2105" s="18">
        <v>0.12</v>
      </c>
      <c r="E2105" s="21">
        <v>9.4887929345830457E-3</v>
      </c>
      <c r="F2105" s="5">
        <v>39128</v>
      </c>
      <c r="G2105" s="5">
        <v>41320</v>
      </c>
      <c r="H2105" s="16">
        <v>2192</v>
      </c>
      <c r="I2105" s="5">
        <v>41320</v>
      </c>
      <c r="J2105" s="5">
        <v>39751</v>
      </c>
      <c r="K2105" s="16">
        <v>623</v>
      </c>
      <c r="L2105" s="13">
        <v>12135.59</v>
      </c>
      <c r="M2105" s="15">
        <v>231.02180634832155</v>
      </c>
      <c r="N2105" s="13">
        <v>12135.59</v>
      </c>
      <c r="O2105" s="13">
        <v>0</v>
      </c>
      <c r="P2105" s="11">
        <v>0</v>
      </c>
    </row>
    <row r="2106" spans="1:16" ht="15" thickBot="1" x14ac:dyDescent="0.3">
      <c r="A2106" s="3" t="s">
        <v>11</v>
      </c>
      <c r="B2106" s="4">
        <v>666581</v>
      </c>
      <c r="C2106" s="3" t="s">
        <v>9</v>
      </c>
      <c r="D2106" s="18">
        <v>9.7500000000000003E-2</v>
      </c>
      <c r="E2106" s="21">
        <v>7.7830370878799737E-3</v>
      </c>
      <c r="F2106" s="5">
        <v>39161</v>
      </c>
      <c r="G2106" s="5">
        <v>39619</v>
      </c>
      <c r="H2106" s="16">
        <v>458</v>
      </c>
      <c r="I2106" s="5">
        <v>39619</v>
      </c>
      <c r="J2106" s="5">
        <v>41339</v>
      </c>
      <c r="K2106" s="16">
        <v>2178</v>
      </c>
      <c r="L2106" s="13">
        <v>498790.29</v>
      </c>
      <c r="M2106" s="15">
        <v>34778.165426830943</v>
      </c>
      <c r="N2106" s="13">
        <v>495481.46</v>
      </c>
      <c r="O2106" s="13">
        <v>0</v>
      </c>
      <c r="P2106" s="11">
        <v>0</v>
      </c>
    </row>
    <row r="2107" spans="1:16" ht="15" thickBot="1" x14ac:dyDescent="0.3">
      <c r="A2107" s="3" t="s">
        <v>11</v>
      </c>
      <c r="B2107" s="4">
        <v>289890</v>
      </c>
      <c r="C2107" s="3" t="s">
        <v>9</v>
      </c>
      <c r="D2107" s="18">
        <v>0.1</v>
      </c>
      <c r="E2107" s="21">
        <v>7.9741404289037643E-3</v>
      </c>
      <c r="F2107" s="5">
        <v>39164</v>
      </c>
      <c r="G2107" s="5">
        <v>40717</v>
      </c>
      <c r="H2107" s="16">
        <v>1553</v>
      </c>
      <c r="I2107" s="5">
        <v>40717</v>
      </c>
      <c r="J2107" s="5">
        <v>40394</v>
      </c>
      <c r="K2107" s="16">
        <v>1230</v>
      </c>
      <c r="L2107" s="13">
        <v>3139.08</v>
      </c>
      <c r="M2107" s="15">
        <v>74.251455097699903</v>
      </c>
      <c r="N2107" s="13">
        <v>3139.08</v>
      </c>
      <c r="O2107" s="13">
        <v>0</v>
      </c>
      <c r="P2107" s="11">
        <v>0</v>
      </c>
    </row>
    <row r="2108" spans="1:16" ht="15" thickBot="1" x14ac:dyDescent="0.3">
      <c r="A2108" s="3" t="s">
        <v>11</v>
      </c>
      <c r="B2108" s="4">
        <v>249986</v>
      </c>
      <c r="C2108" s="3" t="s">
        <v>9</v>
      </c>
      <c r="D2108" s="18">
        <v>0.11</v>
      </c>
      <c r="E2108" s="21">
        <v>8.7345938235519061E-3</v>
      </c>
      <c r="F2108" s="5">
        <v>39192</v>
      </c>
      <c r="G2108" s="5">
        <v>39741</v>
      </c>
      <c r="H2108" s="16">
        <v>549</v>
      </c>
      <c r="I2108" s="5">
        <v>39741</v>
      </c>
      <c r="J2108" s="5">
        <v>39447</v>
      </c>
      <c r="K2108" s="16">
        <v>255</v>
      </c>
      <c r="L2108" s="13">
        <v>5728.03</v>
      </c>
      <c r="M2108" s="15">
        <v>340.05139072425743</v>
      </c>
      <c r="N2108" s="13">
        <v>5728.03</v>
      </c>
      <c r="O2108" s="13">
        <v>0</v>
      </c>
      <c r="P2108" s="11">
        <v>0</v>
      </c>
    </row>
    <row r="2109" spans="1:16" ht="15" thickBot="1" x14ac:dyDescent="0.3">
      <c r="A2109" s="3" t="s">
        <v>11</v>
      </c>
      <c r="B2109" s="4">
        <v>552296</v>
      </c>
      <c r="C2109" s="3" t="s">
        <v>19</v>
      </c>
      <c r="D2109" s="18">
        <v>0.1</v>
      </c>
      <c r="E2109" s="21">
        <v>7.9741404289037643E-3</v>
      </c>
      <c r="F2109" s="5">
        <v>39261</v>
      </c>
      <c r="G2109" s="5">
        <v>43279</v>
      </c>
      <c r="H2109" s="16">
        <v>4018</v>
      </c>
      <c r="I2109" s="5">
        <v>43279</v>
      </c>
      <c r="J2109" s="5">
        <v>43496</v>
      </c>
      <c r="K2109" s="16">
        <v>4235</v>
      </c>
      <c r="L2109" s="13">
        <v>11892.72</v>
      </c>
      <c r="M2109" s="15">
        <v>144.81889375850631</v>
      </c>
      <c r="N2109" s="13">
        <v>11892.72</v>
      </c>
      <c r="O2109" s="13">
        <v>0</v>
      </c>
      <c r="P2109" s="11">
        <v>1</v>
      </c>
    </row>
    <row r="2110" spans="1:16" ht="15" thickBot="1" x14ac:dyDescent="0.3">
      <c r="A2110" s="3" t="s">
        <v>11</v>
      </c>
      <c r="B2110" s="4">
        <v>406774</v>
      </c>
      <c r="C2110" s="3" t="s">
        <v>9</v>
      </c>
      <c r="D2110" s="18">
        <v>8.5000000000000006E-2</v>
      </c>
      <c r="E2110" s="21">
        <v>6.8214933659622723E-3</v>
      </c>
      <c r="F2110" s="5">
        <v>39366</v>
      </c>
      <c r="G2110" s="5">
        <v>40067</v>
      </c>
      <c r="H2110" s="16">
        <v>701</v>
      </c>
      <c r="I2110" s="5">
        <v>40067</v>
      </c>
      <c r="J2110" s="5">
        <v>41138</v>
      </c>
      <c r="K2110" s="16">
        <v>1772</v>
      </c>
      <c r="L2110" s="13">
        <v>15695.8</v>
      </c>
      <c r="M2110" s="15">
        <v>728.95717300896524</v>
      </c>
      <c r="N2110" s="13">
        <v>15695.8</v>
      </c>
      <c r="O2110" s="13">
        <v>0</v>
      </c>
      <c r="P2110" s="11">
        <v>0</v>
      </c>
    </row>
    <row r="2111" spans="1:16" ht="15" thickBot="1" x14ac:dyDescent="0.3">
      <c r="A2111" s="3" t="s">
        <v>11</v>
      </c>
      <c r="B2111" s="4">
        <v>49861</v>
      </c>
      <c r="C2111" s="3" t="s">
        <v>9</v>
      </c>
      <c r="D2111" s="18">
        <v>0.1</v>
      </c>
      <c r="E2111" s="21">
        <v>7.9741404289037643E-3</v>
      </c>
      <c r="F2111" s="5">
        <v>41183</v>
      </c>
      <c r="G2111" s="5">
        <v>41730</v>
      </c>
      <c r="H2111" s="16">
        <v>547</v>
      </c>
      <c r="I2111" s="5">
        <v>41730</v>
      </c>
      <c r="J2111" s="5">
        <v>41275</v>
      </c>
      <c r="K2111" s="16">
        <v>92</v>
      </c>
      <c r="L2111" s="13">
        <v>1459.9</v>
      </c>
      <c r="M2111" s="15">
        <v>86.347620563892363</v>
      </c>
      <c r="N2111" s="13">
        <v>1459.9</v>
      </c>
      <c r="O2111" s="13">
        <v>0</v>
      </c>
      <c r="P2111" s="11">
        <v>0</v>
      </c>
    </row>
    <row r="2112" spans="1:16" ht="15" thickBot="1" x14ac:dyDescent="0.3">
      <c r="A2112" s="3" t="s">
        <v>11</v>
      </c>
      <c r="B2112" s="4">
        <v>569376</v>
      </c>
      <c r="C2112" s="3" t="s">
        <v>9</v>
      </c>
      <c r="D2112" s="18">
        <v>0.11</v>
      </c>
      <c r="E2112" s="21">
        <v>8.7345938235519061E-3</v>
      </c>
      <c r="F2112" s="5">
        <v>41205</v>
      </c>
      <c r="G2112" s="5">
        <v>41752</v>
      </c>
      <c r="H2112" s="16">
        <v>547</v>
      </c>
      <c r="I2112" s="5">
        <v>41752</v>
      </c>
      <c r="J2112" s="5">
        <v>41632</v>
      </c>
      <c r="K2112" s="16">
        <v>427</v>
      </c>
      <c r="L2112" s="13">
        <v>1588.18</v>
      </c>
      <c r="M2112" s="15">
        <v>94.602245920766677</v>
      </c>
      <c r="N2112" s="13">
        <v>1588.18</v>
      </c>
      <c r="O2112" s="13">
        <v>0</v>
      </c>
      <c r="P2112" s="11">
        <v>0</v>
      </c>
    </row>
    <row r="2113" spans="1:16" ht="15" thickBot="1" x14ac:dyDescent="0.3">
      <c r="A2113" s="3" t="s">
        <v>11</v>
      </c>
      <c r="B2113" s="4">
        <v>380681</v>
      </c>
      <c r="C2113" s="3" t="s">
        <v>9</v>
      </c>
      <c r="D2113" s="18">
        <v>0.12</v>
      </c>
      <c r="E2113" s="21">
        <v>9.4887929345830457E-3</v>
      </c>
      <c r="F2113" s="5">
        <v>41213</v>
      </c>
      <c r="G2113" s="5">
        <v>41943</v>
      </c>
      <c r="H2113" s="16">
        <v>730</v>
      </c>
      <c r="I2113" s="5">
        <v>41943</v>
      </c>
      <c r="J2113" s="5">
        <v>41362</v>
      </c>
      <c r="K2113" s="16">
        <v>149</v>
      </c>
      <c r="L2113" s="13">
        <v>2834.58</v>
      </c>
      <c r="M2113" s="15">
        <v>131.00439517020061</v>
      </c>
      <c r="N2113" s="13">
        <v>2834.58</v>
      </c>
      <c r="O2113" s="13">
        <v>0</v>
      </c>
      <c r="P2113" s="11">
        <v>0</v>
      </c>
    </row>
    <row r="2114" spans="1:16" ht="15" thickBot="1" x14ac:dyDescent="0.3">
      <c r="A2114" s="3" t="s">
        <v>11</v>
      </c>
      <c r="B2114" s="4">
        <v>924541</v>
      </c>
      <c r="C2114" s="3" t="s">
        <v>9</v>
      </c>
      <c r="D2114" s="18">
        <v>0.1</v>
      </c>
      <c r="E2114" s="21">
        <v>7.9741404289037643E-3</v>
      </c>
      <c r="F2114" s="5">
        <v>41239</v>
      </c>
      <c r="G2114" s="5">
        <v>43065</v>
      </c>
      <c r="H2114" s="16">
        <v>1826</v>
      </c>
      <c r="I2114" s="5">
        <v>43065</v>
      </c>
      <c r="J2114" s="5">
        <v>42394</v>
      </c>
      <c r="K2114" s="16">
        <v>1155</v>
      </c>
      <c r="L2114" s="13">
        <v>7516.74</v>
      </c>
      <c r="M2114" s="15">
        <v>156.36206569979049</v>
      </c>
      <c r="N2114" s="13">
        <v>7516.74</v>
      </c>
      <c r="O2114" s="13">
        <v>0</v>
      </c>
      <c r="P2114" s="11">
        <v>1</v>
      </c>
    </row>
    <row r="2115" spans="1:16" ht="15" thickBot="1" x14ac:dyDescent="0.3">
      <c r="A2115" s="3" t="s">
        <v>11</v>
      </c>
      <c r="B2115" s="4">
        <v>448145</v>
      </c>
      <c r="C2115" s="3" t="s">
        <v>9</v>
      </c>
      <c r="D2115" s="18">
        <v>0.09</v>
      </c>
      <c r="E2115" s="21">
        <v>7.2073233161367156E-3</v>
      </c>
      <c r="F2115" s="5">
        <v>41242</v>
      </c>
      <c r="G2115" s="5">
        <v>41623</v>
      </c>
      <c r="H2115" s="16">
        <v>381</v>
      </c>
      <c r="I2115" s="5">
        <v>41623</v>
      </c>
      <c r="J2115" s="5">
        <v>41453</v>
      </c>
      <c r="K2115" s="16">
        <v>211</v>
      </c>
      <c r="L2115" s="13">
        <v>8000</v>
      </c>
      <c r="M2115" s="15">
        <v>661.45602641663049</v>
      </c>
      <c r="N2115" s="13">
        <v>8000</v>
      </c>
      <c r="O2115" s="13">
        <v>0</v>
      </c>
      <c r="P2115" s="11">
        <v>0</v>
      </c>
    </row>
    <row r="2116" spans="1:16" ht="15" thickBot="1" x14ac:dyDescent="0.3">
      <c r="A2116" s="3" t="s">
        <v>11</v>
      </c>
      <c r="B2116" s="4">
        <v>841852</v>
      </c>
      <c r="C2116" s="3" t="s">
        <v>9</v>
      </c>
      <c r="D2116" s="18">
        <v>0.12</v>
      </c>
      <c r="E2116" s="21">
        <v>9.4887929345830457E-3</v>
      </c>
      <c r="F2116" s="5">
        <v>41247</v>
      </c>
      <c r="G2116" s="5">
        <v>42342</v>
      </c>
      <c r="H2116" s="16">
        <v>1095</v>
      </c>
      <c r="I2116" s="5">
        <v>42342</v>
      </c>
      <c r="J2116" s="5">
        <v>42136</v>
      </c>
      <c r="K2116" s="16">
        <v>889</v>
      </c>
      <c r="L2116" s="13">
        <v>8960.43</v>
      </c>
      <c r="M2116" s="15">
        <v>291.60347865173287</v>
      </c>
      <c r="N2116" s="13">
        <v>8960.43</v>
      </c>
      <c r="O2116" s="13">
        <v>0</v>
      </c>
      <c r="P2116" s="11">
        <v>1</v>
      </c>
    </row>
    <row r="2117" spans="1:16" ht="15" thickBot="1" x14ac:dyDescent="0.3">
      <c r="A2117" s="3" t="s">
        <v>11</v>
      </c>
      <c r="B2117" s="4">
        <v>277726</v>
      </c>
      <c r="C2117" s="3" t="s">
        <v>9</v>
      </c>
      <c r="D2117" s="18">
        <v>0.1</v>
      </c>
      <c r="E2117" s="21">
        <v>7.9741404289037643E-3</v>
      </c>
      <c r="F2117" s="5">
        <v>41250</v>
      </c>
      <c r="G2117" s="5">
        <v>43641</v>
      </c>
      <c r="H2117" s="16">
        <v>2391</v>
      </c>
      <c r="I2117" s="5">
        <v>43641</v>
      </c>
      <c r="J2117" s="5">
        <v>42311</v>
      </c>
      <c r="K2117" s="16">
        <v>1061</v>
      </c>
      <c r="L2117" s="13">
        <v>5586.91</v>
      </c>
      <c r="M2117" s="15">
        <v>94.988346576787222</v>
      </c>
      <c r="N2117" s="13">
        <v>5586.91</v>
      </c>
      <c r="O2117" s="13">
        <v>0</v>
      </c>
      <c r="P2117" s="11">
        <v>1</v>
      </c>
    </row>
    <row r="2118" spans="1:16" ht="15" thickBot="1" x14ac:dyDescent="0.3">
      <c r="A2118" s="3" t="s">
        <v>11</v>
      </c>
      <c r="B2118" s="4">
        <v>583039</v>
      </c>
      <c r="C2118" s="3" t="s">
        <v>9</v>
      </c>
      <c r="D2118" s="18">
        <v>9.5000000000000001E-2</v>
      </c>
      <c r="E2118" s="21">
        <v>7.5915342905825689E-3</v>
      </c>
      <c r="F2118" s="5">
        <v>41254</v>
      </c>
      <c r="G2118" s="5">
        <v>42934</v>
      </c>
      <c r="H2118" s="16">
        <v>1680</v>
      </c>
      <c r="I2118" s="5">
        <v>42934</v>
      </c>
      <c r="J2118" s="5">
        <v>42846</v>
      </c>
      <c r="K2118" s="16">
        <v>1592</v>
      </c>
      <c r="L2118" s="13">
        <v>2560.1799999999998</v>
      </c>
      <c r="M2118" s="15">
        <v>56.292570476357064</v>
      </c>
      <c r="N2118" s="13">
        <v>2560.1799999999998</v>
      </c>
      <c r="O2118" s="13">
        <v>0</v>
      </c>
      <c r="P2118" s="11">
        <v>1</v>
      </c>
    </row>
    <row r="2119" spans="1:16" ht="15" thickBot="1" x14ac:dyDescent="0.3">
      <c r="A2119" s="3" t="s">
        <v>11</v>
      </c>
      <c r="B2119" s="4">
        <v>85852</v>
      </c>
      <c r="C2119" s="3" t="s">
        <v>9</v>
      </c>
      <c r="D2119" s="18">
        <v>0.12</v>
      </c>
      <c r="E2119" s="21">
        <v>9.4887929345830457E-3</v>
      </c>
      <c r="F2119" s="5">
        <v>41257</v>
      </c>
      <c r="G2119" s="5">
        <v>43448</v>
      </c>
      <c r="H2119" s="16">
        <v>2191</v>
      </c>
      <c r="I2119" s="5">
        <v>43448</v>
      </c>
      <c r="J2119" s="5">
        <v>42076</v>
      </c>
      <c r="K2119" s="16">
        <v>819</v>
      </c>
      <c r="L2119" s="13">
        <v>5637.4</v>
      </c>
      <c r="M2119" s="15">
        <v>107.35160531158112</v>
      </c>
      <c r="N2119" s="13">
        <v>5637.4</v>
      </c>
      <c r="O2119" s="13">
        <v>0</v>
      </c>
      <c r="P2119" s="11">
        <v>1</v>
      </c>
    </row>
    <row r="2120" spans="1:16" ht="15" thickBot="1" x14ac:dyDescent="0.3">
      <c r="A2120" s="3" t="s">
        <v>11</v>
      </c>
      <c r="B2120" s="4">
        <v>995312</v>
      </c>
      <c r="C2120" s="3" t="s">
        <v>9</v>
      </c>
      <c r="D2120" s="18">
        <v>0.11</v>
      </c>
      <c r="E2120" s="21">
        <v>8.7345938235519061E-3</v>
      </c>
      <c r="F2120" s="5">
        <v>41260</v>
      </c>
      <c r="G2120" s="5">
        <v>42355</v>
      </c>
      <c r="H2120" s="16">
        <v>1095</v>
      </c>
      <c r="I2120" s="5">
        <v>42355</v>
      </c>
      <c r="J2120" s="5">
        <v>41533</v>
      </c>
      <c r="K2120" s="16">
        <v>273</v>
      </c>
      <c r="L2120" s="13">
        <v>5499.54</v>
      </c>
      <c r="M2120" s="15">
        <v>176.6160734191854</v>
      </c>
      <c r="N2120" s="13">
        <v>5499.54</v>
      </c>
      <c r="O2120" s="13">
        <v>0</v>
      </c>
      <c r="P2120" s="11">
        <v>1</v>
      </c>
    </row>
    <row r="2121" spans="1:16" ht="15" thickBot="1" x14ac:dyDescent="0.3">
      <c r="A2121" s="3" t="s">
        <v>11</v>
      </c>
      <c r="B2121" s="4">
        <v>613144</v>
      </c>
      <c r="C2121" s="3" t="s">
        <v>9</v>
      </c>
      <c r="D2121" s="18">
        <v>0.13</v>
      </c>
      <c r="E2121" s="21">
        <v>1.02368443581764E-2</v>
      </c>
      <c r="F2121" s="5">
        <v>41262</v>
      </c>
      <c r="G2121" s="5">
        <v>41566</v>
      </c>
      <c r="H2121" s="16">
        <v>304</v>
      </c>
      <c r="I2121" s="5">
        <v>41566</v>
      </c>
      <c r="J2121" s="5">
        <v>42058</v>
      </c>
      <c r="K2121" s="16">
        <v>796</v>
      </c>
      <c r="L2121" s="13">
        <v>645.29999999999995</v>
      </c>
      <c r="M2121" s="15">
        <v>67.366034849035799</v>
      </c>
      <c r="N2121" s="13">
        <v>645.29999999999995</v>
      </c>
      <c r="O2121" s="13">
        <v>0</v>
      </c>
      <c r="P2121" s="11">
        <v>0</v>
      </c>
    </row>
    <row r="2122" spans="1:16" ht="15" thickBot="1" x14ac:dyDescent="0.3">
      <c r="A2122" s="3" t="s">
        <v>11</v>
      </c>
      <c r="B2122" s="4">
        <v>969055</v>
      </c>
      <c r="C2122" s="3" t="s">
        <v>9</v>
      </c>
      <c r="D2122" s="18">
        <v>0.1</v>
      </c>
      <c r="E2122" s="21">
        <v>7.9741404289037643E-3</v>
      </c>
      <c r="F2122" s="5">
        <v>41269</v>
      </c>
      <c r="G2122" s="5">
        <v>41724</v>
      </c>
      <c r="H2122" s="16">
        <v>455</v>
      </c>
      <c r="I2122" s="5">
        <v>41724</v>
      </c>
      <c r="J2122" s="5">
        <v>41638</v>
      </c>
      <c r="K2122" s="16">
        <v>369</v>
      </c>
      <c r="L2122" s="13">
        <v>9000</v>
      </c>
      <c r="M2122" s="15">
        <v>632.37330553226298</v>
      </c>
      <c r="N2122" s="13">
        <v>9000</v>
      </c>
      <c r="O2122" s="13">
        <v>0</v>
      </c>
      <c r="P2122" s="11">
        <v>0</v>
      </c>
    </row>
    <row r="2123" spans="1:16" ht="15" thickBot="1" x14ac:dyDescent="0.3">
      <c r="A2123" s="3" t="s">
        <v>11</v>
      </c>
      <c r="B2123" s="4">
        <v>21743</v>
      </c>
      <c r="C2123" s="3" t="s">
        <v>9</v>
      </c>
      <c r="D2123" s="18">
        <v>0.1</v>
      </c>
      <c r="E2123" s="21">
        <v>7.9741404289037643E-3</v>
      </c>
      <c r="F2123" s="5">
        <v>41274</v>
      </c>
      <c r="G2123" s="5">
        <v>42868</v>
      </c>
      <c r="H2123" s="16">
        <v>1594</v>
      </c>
      <c r="I2123" s="5">
        <v>42868</v>
      </c>
      <c r="J2123" s="5">
        <v>42846</v>
      </c>
      <c r="K2123" s="16">
        <v>1572</v>
      </c>
      <c r="L2123" s="13">
        <v>6021.46</v>
      </c>
      <c r="M2123" s="15">
        <v>139.47020205550365</v>
      </c>
      <c r="N2123" s="13">
        <v>6021.46</v>
      </c>
      <c r="O2123" s="13">
        <v>0</v>
      </c>
      <c r="P2123" s="11">
        <v>1</v>
      </c>
    </row>
    <row r="2124" spans="1:16" ht="15" thickBot="1" x14ac:dyDescent="0.3">
      <c r="A2124" s="3" t="s">
        <v>11</v>
      </c>
      <c r="B2124" s="4">
        <v>542752</v>
      </c>
      <c r="C2124" s="3" t="s">
        <v>9</v>
      </c>
      <c r="D2124" s="18">
        <v>0.1</v>
      </c>
      <c r="E2124" s="21">
        <v>7.9741404289037643E-3</v>
      </c>
      <c r="F2124" s="5">
        <v>41289</v>
      </c>
      <c r="G2124" s="5">
        <v>43157</v>
      </c>
      <c r="H2124" s="16">
        <v>1868</v>
      </c>
      <c r="I2124" s="5">
        <v>43157</v>
      </c>
      <c r="J2124" s="5">
        <v>42667</v>
      </c>
      <c r="K2124" s="16">
        <v>1378</v>
      </c>
      <c r="L2124" s="13">
        <v>6500.71</v>
      </c>
      <c r="M2124" s="15">
        <v>132.86332974142039</v>
      </c>
      <c r="N2124" s="13">
        <v>6500.71</v>
      </c>
      <c r="O2124" s="13">
        <v>300</v>
      </c>
      <c r="P2124" s="11">
        <v>1</v>
      </c>
    </row>
    <row r="2125" spans="1:16" ht="15" thickBot="1" x14ac:dyDescent="0.3">
      <c r="A2125" s="3" t="s">
        <v>11</v>
      </c>
      <c r="B2125" s="4">
        <v>824439</v>
      </c>
      <c r="C2125" s="3" t="s">
        <v>9</v>
      </c>
      <c r="D2125" s="18">
        <v>0.08</v>
      </c>
      <c r="E2125" s="21">
        <v>6.4340301100034303E-3</v>
      </c>
      <c r="F2125" s="5">
        <v>41295</v>
      </c>
      <c r="G2125" s="5">
        <v>43682</v>
      </c>
      <c r="H2125" s="16">
        <v>2387</v>
      </c>
      <c r="I2125" s="5">
        <v>43682</v>
      </c>
      <c r="J2125" s="5">
        <v>41946</v>
      </c>
      <c r="K2125" s="16">
        <v>651</v>
      </c>
      <c r="L2125" s="13">
        <v>13228.04</v>
      </c>
      <c r="M2125" s="15">
        <v>212.94372655781947</v>
      </c>
      <c r="N2125" s="13">
        <v>13228.04</v>
      </c>
      <c r="O2125" s="13">
        <v>0</v>
      </c>
      <c r="P2125" s="11">
        <v>1</v>
      </c>
    </row>
    <row r="2126" spans="1:16" ht="15" thickBot="1" x14ac:dyDescent="0.3">
      <c r="A2126" s="3" t="s">
        <v>11</v>
      </c>
      <c r="B2126" s="4">
        <v>737030</v>
      </c>
      <c r="C2126" s="3" t="s">
        <v>9</v>
      </c>
      <c r="D2126" s="18">
        <v>0.1</v>
      </c>
      <c r="E2126" s="21">
        <v>7.9741404289037643E-3</v>
      </c>
      <c r="F2126" s="5">
        <v>41296</v>
      </c>
      <c r="G2126" s="5">
        <v>42757</v>
      </c>
      <c r="H2126" s="16">
        <v>1461</v>
      </c>
      <c r="I2126" s="5">
        <v>42757</v>
      </c>
      <c r="J2126" s="5">
        <v>41498</v>
      </c>
      <c r="K2126" s="16">
        <v>202</v>
      </c>
      <c r="L2126" s="13">
        <v>6018.83</v>
      </c>
      <c r="M2126" s="15">
        <v>149.62274232293112</v>
      </c>
      <c r="N2126" s="13">
        <v>6018.83</v>
      </c>
      <c r="O2126" s="13">
        <v>0</v>
      </c>
      <c r="P2126" s="11">
        <v>1</v>
      </c>
    </row>
    <row r="2127" spans="1:16" ht="15" thickBot="1" x14ac:dyDescent="0.3">
      <c r="A2127" s="3" t="s">
        <v>11</v>
      </c>
      <c r="B2127" s="4">
        <v>827718</v>
      </c>
      <c r="C2127" s="3" t="s">
        <v>9</v>
      </c>
      <c r="D2127" s="18">
        <v>0.09</v>
      </c>
      <c r="E2127" s="21">
        <v>7.2073233161367156E-3</v>
      </c>
      <c r="F2127" s="5">
        <v>41298</v>
      </c>
      <c r="G2127" s="5">
        <v>43885</v>
      </c>
      <c r="H2127" s="16">
        <v>2587</v>
      </c>
      <c r="I2127" s="5">
        <v>43885</v>
      </c>
      <c r="J2127" s="5">
        <v>42536</v>
      </c>
      <c r="K2127" s="16">
        <v>1238</v>
      </c>
      <c r="L2127" s="13">
        <v>21619.439999999999</v>
      </c>
      <c r="M2127" s="15">
        <v>337.5105160639244</v>
      </c>
      <c r="N2127" s="13">
        <v>21619.439999999999</v>
      </c>
      <c r="O2127" s="13">
        <v>0</v>
      </c>
      <c r="P2127" s="11">
        <v>1</v>
      </c>
    </row>
    <row r="2128" spans="1:16" ht="15" thickBot="1" x14ac:dyDescent="0.3">
      <c r="A2128" s="3" t="s">
        <v>11</v>
      </c>
      <c r="B2128" s="4">
        <v>356335</v>
      </c>
      <c r="C2128" s="3" t="s">
        <v>2</v>
      </c>
      <c r="D2128" s="18">
        <v>0.09</v>
      </c>
      <c r="E2128" s="21">
        <v>7.2073233161367156E-3</v>
      </c>
      <c r="F2128" s="5">
        <v>41303</v>
      </c>
      <c r="G2128" s="5">
        <v>41668</v>
      </c>
      <c r="H2128" s="16">
        <v>365</v>
      </c>
      <c r="I2128" s="5">
        <v>44711</v>
      </c>
      <c r="J2128" s="5">
        <v>44102</v>
      </c>
      <c r="K2128" s="16">
        <v>2799</v>
      </c>
      <c r="L2128" s="13">
        <v>25000</v>
      </c>
      <c r="M2128" s="15">
        <v>2153.5937686537563</v>
      </c>
      <c r="N2128" s="13">
        <v>22250</v>
      </c>
      <c r="O2128" s="13">
        <v>6384.11</v>
      </c>
      <c r="P2128" s="11">
        <v>0</v>
      </c>
    </row>
    <row r="2129" spans="1:16" ht="15" thickBot="1" x14ac:dyDescent="0.3">
      <c r="A2129" s="3" t="s">
        <v>11</v>
      </c>
      <c r="B2129" s="4">
        <v>668028</v>
      </c>
      <c r="C2129" s="3" t="s">
        <v>9</v>
      </c>
      <c r="D2129" s="18">
        <v>0.13</v>
      </c>
      <c r="E2129" s="21">
        <v>1.02368443581764E-2</v>
      </c>
      <c r="F2129" s="5">
        <v>41304</v>
      </c>
      <c r="G2129" s="5">
        <v>42400</v>
      </c>
      <c r="H2129" s="16">
        <v>1096</v>
      </c>
      <c r="I2129" s="5">
        <v>42400</v>
      </c>
      <c r="J2129" s="5">
        <v>42282</v>
      </c>
      <c r="K2129" s="16">
        <v>978</v>
      </c>
      <c r="L2129" s="13">
        <v>371.2</v>
      </c>
      <c r="M2129" s="15">
        <v>12.230013419322304</v>
      </c>
      <c r="N2129" s="13">
        <v>371.2</v>
      </c>
      <c r="O2129" s="13">
        <v>0</v>
      </c>
      <c r="P2129" s="11">
        <v>1</v>
      </c>
    </row>
    <row r="2130" spans="1:16" ht="15" thickBot="1" x14ac:dyDescent="0.3">
      <c r="A2130" s="3" t="s">
        <v>11</v>
      </c>
      <c r="B2130" s="4">
        <v>20499</v>
      </c>
      <c r="C2130" s="3" t="s">
        <v>9</v>
      </c>
      <c r="D2130" s="18">
        <v>0.09</v>
      </c>
      <c r="E2130" s="21">
        <v>7.2073233161367156E-3</v>
      </c>
      <c r="F2130" s="5">
        <v>41330</v>
      </c>
      <c r="G2130" s="5">
        <v>43374</v>
      </c>
      <c r="H2130" s="16">
        <v>2044</v>
      </c>
      <c r="I2130" s="5">
        <v>43374</v>
      </c>
      <c r="J2130" s="5">
        <v>43098</v>
      </c>
      <c r="K2130" s="16">
        <v>1768</v>
      </c>
      <c r="L2130" s="13">
        <v>28000</v>
      </c>
      <c r="M2130" s="15">
        <v>521.53653136903506</v>
      </c>
      <c r="N2130" s="13">
        <v>28000</v>
      </c>
      <c r="O2130" s="13">
        <v>0</v>
      </c>
      <c r="P2130" s="11">
        <v>1</v>
      </c>
    </row>
    <row r="2131" spans="1:16" ht="15" thickBot="1" x14ac:dyDescent="0.3">
      <c r="A2131" s="3" t="s">
        <v>11</v>
      </c>
      <c r="B2131" s="4">
        <v>841792</v>
      </c>
      <c r="C2131" s="3" t="s">
        <v>9</v>
      </c>
      <c r="D2131" s="18">
        <v>0.09</v>
      </c>
      <c r="E2131" s="21">
        <v>7.2073233161367156E-3</v>
      </c>
      <c r="F2131" s="5">
        <v>41331</v>
      </c>
      <c r="G2131" s="5">
        <v>41634</v>
      </c>
      <c r="H2131" s="16">
        <v>303</v>
      </c>
      <c r="I2131" s="5">
        <v>41634</v>
      </c>
      <c r="J2131" s="5">
        <v>41453</v>
      </c>
      <c r="K2131" s="16">
        <v>122</v>
      </c>
      <c r="L2131" s="13">
        <v>10000</v>
      </c>
      <c r="M2131" s="15">
        <v>1030.134939586517</v>
      </c>
      <c r="N2131" s="13">
        <v>10000</v>
      </c>
      <c r="O2131" s="13">
        <v>0</v>
      </c>
      <c r="P2131" s="11">
        <v>0</v>
      </c>
    </row>
    <row r="2132" spans="1:16" ht="15" thickBot="1" x14ac:dyDescent="0.3">
      <c r="A2132" s="3" t="s">
        <v>11</v>
      </c>
      <c r="B2132" s="4">
        <v>415353</v>
      </c>
      <c r="C2132" s="3" t="s">
        <v>9</v>
      </c>
      <c r="D2132" s="18">
        <v>0.1</v>
      </c>
      <c r="E2132" s="21">
        <v>7.9741404289037643E-3</v>
      </c>
      <c r="F2132" s="5">
        <v>41332</v>
      </c>
      <c r="G2132" s="5">
        <v>42427</v>
      </c>
      <c r="H2132" s="16">
        <v>1095</v>
      </c>
      <c r="I2132" s="5">
        <v>42427</v>
      </c>
      <c r="J2132" s="5">
        <v>41541</v>
      </c>
      <c r="K2132" s="16">
        <v>209</v>
      </c>
      <c r="L2132" s="13">
        <v>4549.99</v>
      </c>
      <c r="M2132" s="15">
        <v>144.17004823502864</v>
      </c>
      <c r="N2132" s="13">
        <v>4549.99</v>
      </c>
      <c r="O2132" s="13">
        <v>0</v>
      </c>
      <c r="P2132" s="11">
        <v>1</v>
      </c>
    </row>
    <row r="2133" spans="1:16" ht="15" thickBot="1" x14ac:dyDescent="0.3">
      <c r="A2133" s="3" t="s">
        <v>11</v>
      </c>
      <c r="B2133" s="4">
        <v>951131</v>
      </c>
      <c r="C2133" s="3" t="s">
        <v>9</v>
      </c>
      <c r="D2133" s="18">
        <v>0.1</v>
      </c>
      <c r="E2133" s="21">
        <v>7.9741404289037643E-3</v>
      </c>
      <c r="F2133" s="5">
        <v>41333</v>
      </c>
      <c r="G2133" s="5">
        <v>43583</v>
      </c>
      <c r="H2133" s="16">
        <v>2250</v>
      </c>
      <c r="I2133" s="5">
        <v>43583</v>
      </c>
      <c r="J2133" s="5">
        <v>42040</v>
      </c>
      <c r="K2133" s="16">
        <v>707</v>
      </c>
      <c r="L2133" s="13">
        <v>12820.77</v>
      </c>
      <c r="M2133" s="15">
        <v>227.78680951610451</v>
      </c>
      <c r="N2133" s="13">
        <v>12820.77</v>
      </c>
      <c r="O2133" s="13">
        <v>0</v>
      </c>
      <c r="P2133" s="11">
        <v>1</v>
      </c>
    </row>
    <row r="2134" spans="1:16" ht="15" thickBot="1" x14ac:dyDescent="0.3">
      <c r="A2134" s="3" t="s">
        <v>11</v>
      </c>
      <c r="B2134" s="4">
        <v>230016</v>
      </c>
      <c r="C2134" s="3" t="s">
        <v>9</v>
      </c>
      <c r="D2134" s="18">
        <v>0.1</v>
      </c>
      <c r="E2134" s="21">
        <v>7.9741404289037643E-3</v>
      </c>
      <c r="F2134" s="5">
        <v>41338</v>
      </c>
      <c r="G2134" s="5">
        <v>43529</v>
      </c>
      <c r="H2134" s="16">
        <v>2191</v>
      </c>
      <c r="I2134" s="5">
        <v>43529</v>
      </c>
      <c r="J2134" s="5">
        <v>43628</v>
      </c>
      <c r="K2134" s="16">
        <v>2290</v>
      </c>
      <c r="L2134" s="13">
        <v>3980.3</v>
      </c>
      <c r="M2134" s="15">
        <v>72.112233618948437</v>
      </c>
      <c r="N2134" s="13">
        <v>3980.3</v>
      </c>
      <c r="O2134" s="13">
        <v>0</v>
      </c>
      <c r="P2134" s="11">
        <v>1</v>
      </c>
    </row>
    <row r="2135" spans="1:16" ht="15" thickBot="1" x14ac:dyDescent="0.3">
      <c r="A2135" s="3" t="s">
        <v>11</v>
      </c>
      <c r="B2135" s="4">
        <v>374001</v>
      </c>
      <c r="C2135" s="3" t="s">
        <v>9</v>
      </c>
      <c r="D2135" s="18">
        <v>0.1</v>
      </c>
      <c r="E2135" s="21">
        <v>7.9741404289037643E-3</v>
      </c>
      <c r="F2135" s="5">
        <v>41347</v>
      </c>
      <c r="G2135" s="5">
        <v>43605</v>
      </c>
      <c r="H2135" s="16">
        <v>2258</v>
      </c>
      <c r="I2135" s="5">
        <v>43605</v>
      </c>
      <c r="J2135" s="5">
        <v>42107</v>
      </c>
      <c r="K2135" s="16">
        <v>760</v>
      </c>
      <c r="L2135" s="13">
        <v>2017.94</v>
      </c>
      <c r="M2135" s="15">
        <v>35.759854043476295</v>
      </c>
      <c r="N2135" s="13">
        <v>2017.94</v>
      </c>
      <c r="O2135" s="13">
        <v>0</v>
      </c>
      <c r="P2135" s="11">
        <v>1</v>
      </c>
    </row>
    <row r="2136" spans="1:16" ht="15" thickBot="1" x14ac:dyDescent="0.3">
      <c r="A2136" s="3" t="s">
        <v>11</v>
      </c>
      <c r="B2136" s="4">
        <v>791667</v>
      </c>
      <c r="C2136" s="3" t="s">
        <v>9</v>
      </c>
      <c r="D2136" s="18">
        <v>0.1</v>
      </c>
      <c r="E2136" s="21">
        <v>7.9741404289037643E-3</v>
      </c>
      <c r="F2136" s="5">
        <v>41348</v>
      </c>
      <c r="G2136" s="5">
        <v>43289</v>
      </c>
      <c r="H2136" s="16">
        <v>1941</v>
      </c>
      <c r="I2136" s="5">
        <v>43289</v>
      </c>
      <c r="J2136" s="5">
        <v>42956</v>
      </c>
      <c r="K2136" s="16">
        <v>1608</v>
      </c>
      <c r="L2136" s="13">
        <v>1579.11</v>
      </c>
      <c r="M2136" s="15">
        <v>31.33672632628133</v>
      </c>
      <c r="N2136" s="13">
        <v>1579.11</v>
      </c>
      <c r="O2136" s="13">
        <v>27.15</v>
      </c>
      <c r="P2136" s="11">
        <v>1</v>
      </c>
    </row>
    <row r="2137" spans="1:16" ht="15" thickBot="1" x14ac:dyDescent="0.3">
      <c r="A2137" s="3" t="s">
        <v>11</v>
      </c>
      <c r="B2137" s="4">
        <v>670087</v>
      </c>
      <c r="C2137" s="3" t="s">
        <v>9</v>
      </c>
      <c r="D2137" s="18">
        <v>0.1</v>
      </c>
      <c r="E2137" s="21">
        <v>7.9741404289037643E-3</v>
      </c>
      <c r="F2137" s="5">
        <v>41351</v>
      </c>
      <c r="G2137" s="5">
        <v>43664</v>
      </c>
      <c r="H2137" s="16">
        <v>2313</v>
      </c>
      <c r="I2137" s="5">
        <v>43664</v>
      </c>
      <c r="J2137" s="5">
        <v>42619</v>
      </c>
      <c r="K2137" s="16">
        <v>1268</v>
      </c>
      <c r="L2137" s="13">
        <v>1330.75</v>
      </c>
      <c r="M2137" s="15">
        <v>23.172733315319661</v>
      </c>
      <c r="N2137" s="13">
        <v>1330.75</v>
      </c>
      <c r="O2137" s="13">
        <v>0</v>
      </c>
      <c r="P2137" s="11">
        <v>1</v>
      </c>
    </row>
    <row r="2138" spans="1:16" ht="15" thickBot="1" x14ac:dyDescent="0.3">
      <c r="A2138" s="3" t="s">
        <v>24</v>
      </c>
      <c r="B2138" s="4">
        <v>473490</v>
      </c>
      <c r="C2138" s="3" t="s">
        <v>8</v>
      </c>
      <c r="D2138" s="18">
        <v>7.2499999999999995E-2</v>
      </c>
      <c r="E2138" s="21">
        <v>5.8497409526456767E-3</v>
      </c>
      <c r="F2138" s="5">
        <v>39232</v>
      </c>
      <c r="G2138" s="5">
        <v>44722</v>
      </c>
      <c r="H2138" s="16">
        <v>5490</v>
      </c>
      <c r="I2138" s="5">
        <v>44722</v>
      </c>
      <c r="J2138" s="5">
        <v>41411</v>
      </c>
      <c r="K2138" s="16">
        <v>2179</v>
      </c>
      <c r="L2138" s="13">
        <v>116922</v>
      </c>
      <c r="M2138" s="15">
        <v>1042.4795454186933</v>
      </c>
      <c r="N2138" s="13">
        <v>57744.12</v>
      </c>
      <c r="O2138" s="13">
        <v>30427.03</v>
      </c>
      <c r="P2138" s="11">
        <v>1</v>
      </c>
    </row>
    <row r="2139" spans="1:16" ht="15" thickBot="1" x14ac:dyDescent="0.3">
      <c r="A2139" s="3" t="s">
        <v>24</v>
      </c>
      <c r="B2139" s="4">
        <v>422838</v>
      </c>
      <c r="C2139" s="3" t="s">
        <v>5</v>
      </c>
      <c r="D2139" s="18">
        <v>8.7499999999999994E-2</v>
      </c>
      <c r="E2139" s="21">
        <v>7.0146116041400752E-3</v>
      </c>
      <c r="F2139" s="5">
        <v>39500</v>
      </c>
      <c r="G2139" s="5">
        <v>39866</v>
      </c>
      <c r="H2139" s="16">
        <v>366</v>
      </c>
      <c r="I2139" s="5">
        <v>40330</v>
      </c>
      <c r="J2139" s="5">
        <v>40577</v>
      </c>
      <c r="K2139" s="16">
        <v>1077</v>
      </c>
      <c r="L2139" s="13">
        <v>72209.42</v>
      </c>
      <c r="M2139" s="15">
        <v>6196.3995290645935</v>
      </c>
      <c r="N2139" s="13">
        <v>72009.42</v>
      </c>
      <c r="O2139" s="13">
        <v>0</v>
      </c>
      <c r="P2139" s="11">
        <v>0</v>
      </c>
    </row>
    <row r="2140" spans="1:16" ht="15" thickBot="1" x14ac:dyDescent="0.3">
      <c r="A2140" s="3" t="s">
        <v>24</v>
      </c>
      <c r="B2140" s="4">
        <v>848147</v>
      </c>
      <c r="C2140" s="3" t="s">
        <v>7</v>
      </c>
      <c r="D2140" s="18">
        <v>7.2499999999999995E-2</v>
      </c>
      <c r="E2140" s="21">
        <v>5.8497409526456767E-3</v>
      </c>
      <c r="F2140" s="5">
        <v>40585</v>
      </c>
      <c r="G2140" s="5">
        <v>40658</v>
      </c>
      <c r="H2140" s="16">
        <v>73</v>
      </c>
      <c r="I2140" s="5">
        <v>43366</v>
      </c>
      <c r="J2140" s="5">
        <v>43412</v>
      </c>
      <c r="K2140" s="16">
        <v>2827</v>
      </c>
      <c r="L2140" s="13">
        <v>50000</v>
      </c>
      <c r="M2140" s="15">
        <v>20754.576318743839</v>
      </c>
      <c r="N2140" s="13">
        <v>31529.86</v>
      </c>
      <c r="O2140" s="13">
        <v>2500</v>
      </c>
      <c r="P2140" s="11">
        <v>0</v>
      </c>
    </row>
    <row r="2141" spans="1:16" ht="15" thickBot="1" x14ac:dyDescent="0.3">
      <c r="A2141" s="3" t="s">
        <v>24</v>
      </c>
      <c r="B2141" s="4">
        <v>101490</v>
      </c>
      <c r="C2141" s="3" t="s">
        <v>2</v>
      </c>
      <c r="D2141" s="18">
        <v>0.06</v>
      </c>
      <c r="E2141" s="21">
        <v>4.8675505653430484E-3</v>
      </c>
      <c r="F2141" s="5">
        <v>40665</v>
      </c>
      <c r="G2141" s="5">
        <v>44696</v>
      </c>
      <c r="H2141" s="16">
        <v>4031</v>
      </c>
      <c r="I2141" s="5">
        <v>44696</v>
      </c>
      <c r="J2141" s="5">
        <v>40815</v>
      </c>
      <c r="K2141" s="16">
        <v>150</v>
      </c>
      <c r="L2141" s="13">
        <v>120000</v>
      </c>
      <c r="M2141" s="15">
        <v>1218.8387367322962</v>
      </c>
      <c r="N2141" s="13">
        <v>120000</v>
      </c>
      <c r="O2141" s="13">
        <v>4000</v>
      </c>
      <c r="P2141" s="11">
        <v>1</v>
      </c>
    </row>
    <row r="2142" spans="1:16" ht="15" thickBot="1" x14ac:dyDescent="0.3">
      <c r="A2142" s="3" t="s">
        <v>24</v>
      </c>
      <c r="B2142" s="4">
        <v>41568</v>
      </c>
      <c r="C2142" s="3" t="s">
        <v>18</v>
      </c>
      <c r="D2142" s="18">
        <v>0.1075</v>
      </c>
      <c r="E2142" s="21">
        <v>8.5450710394860963E-3</v>
      </c>
      <c r="F2142" s="5">
        <v>35258</v>
      </c>
      <c r="G2142" s="5">
        <v>37817</v>
      </c>
      <c r="H2142" s="16">
        <v>2559</v>
      </c>
      <c r="I2142" s="5">
        <v>37845</v>
      </c>
      <c r="J2142" s="5">
        <v>36776</v>
      </c>
      <c r="K2142" s="16">
        <v>1518</v>
      </c>
      <c r="L2142" s="13">
        <v>100000</v>
      </c>
      <c r="M2142" s="15">
        <v>1655.8233711824478</v>
      </c>
      <c r="N2142" s="13">
        <v>500</v>
      </c>
      <c r="O2142" s="13">
        <v>8601.2000000000007</v>
      </c>
      <c r="P2142" s="11">
        <v>0</v>
      </c>
    </row>
    <row r="2143" spans="1:16" ht="15" thickBot="1" x14ac:dyDescent="0.3">
      <c r="A2143" s="3" t="s">
        <v>24</v>
      </c>
      <c r="B2143" s="4">
        <v>16138</v>
      </c>
      <c r="C2143" s="3" t="s">
        <v>25</v>
      </c>
      <c r="D2143" s="18">
        <v>0.08</v>
      </c>
      <c r="E2143" s="21">
        <v>6.4340301100034303E-3</v>
      </c>
      <c r="F2143" s="5">
        <v>35370</v>
      </c>
      <c r="G2143" s="5">
        <v>39036</v>
      </c>
      <c r="H2143" s="16">
        <v>3666</v>
      </c>
      <c r="I2143" s="5">
        <v>39036</v>
      </c>
      <c r="J2143" s="5">
        <v>36445</v>
      </c>
      <c r="K2143" s="16">
        <v>1075</v>
      </c>
      <c r="L2143" s="13">
        <v>33141.379999999997</v>
      </c>
      <c r="M2143" s="15">
        <v>392.47962909431089</v>
      </c>
      <c r="N2143" s="13">
        <v>23182.37</v>
      </c>
      <c r="O2143" s="13">
        <v>0</v>
      </c>
      <c r="P2143" s="11">
        <v>0</v>
      </c>
    </row>
    <row r="2144" spans="1:16" ht="15" thickBot="1" x14ac:dyDescent="0.3">
      <c r="A2144" s="3" t="s">
        <v>24</v>
      </c>
      <c r="B2144" s="4">
        <v>566262</v>
      </c>
      <c r="C2144" s="3" t="s">
        <v>26</v>
      </c>
      <c r="D2144" s="18">
        <v>8.2500000000000004E-2</v>
      </c>
      <c r="E2144" s="21">
        <v>6.6279668043680573E-3</v>
      </c>
      <c r="F2144" s="5">
        <v>36003</v>
      </c>
      <c r="G2144" s="5">
        <v>37827</v>
      </c>
      <c r="H2144" s="16">
        <v>1824</v>
      </c>
      <c r="I2144" s="5">
        <v>37827</v>
      </c>
      <c r="J2144" s="5">
        <v>36893</v>
      </c>
      <c r="K2144" s="16">
        <v>890</v>
      </c>
      <c r="L2144" s="13">
        <v>18695.79</v>
      </c>
      <c r="M2144" s="15">
        <v>374.6084402564756</v>
      </c>
      <c r="N2144" s="13">
        <v>10000</v>
      </c>
      <c r="O2144" s="13">
        <v>0</v>
      </c>
      <c r="P2144" s="11">
        <v>0</v>
      </c>
    </row>
    <row r="2145" spans="1:16" ht="15" thickBot="1" x14ac:dyDescent="0.3">
      <c r="A2145" s="3" t="s">
        <v>24</v>
      </c>
      <c r="B2145" s="4">
        <v>462720</v>
      </c>
      <c r="C2145" s="3" t="s">
        <v>7</v>
      </c>
      <c r="D2145" s="18">
        <v>8.7499999999999994E-2</v>
      </c>
      <c r="E2145" s="21">
        <v>7.0146116041400752E-3</v>
      </c>
      <c r="F2145" s="5">
        <v>36300</v>
      </c>
      <c r="G2145" s="5">
        <v>38883</v>
      </c>
      <c r="H2145" s="16">
        <v>2583</v>
      </c>
      <c r="I2145" s="5">
        <v>38883</v>
      </c>
      <c r="J2145" s="5">
        <v>38016</v>
      </c>
      <c r="K2145" s="16">
        <v>1716</v>
      </c>
      <c r="L2145" s="13">
        <v>71675</v>
      </c>
      <c r="M2145" s="15">
        <v>1111.8298752325381</v>
      </c>
      <c r="N2145" s="13">
        <v>52441.75</v>
      </c>
      <c r="O2145" s="13">
        <v>302.82</v>
      </c>
      <c r="P2145" s="11">
        <v>0</v>
      </c>
    </row>
    <row r="2146" spans="1:16" ht="15" thickBot="1" x14ac:dyDescent="0.3">
      <c r="A2146" s="3" t="s">
        <v>24</v>
      </c>
      <c r="B2146" s="4">
        <v>506047</v>
      </c>
      <c r="C2146" s="3" t="s">
        <v>27</v>
      </c>
      <c r="D2146" s="18">
        <v>0.105</v>
      </c>
      <c r="E2146" s="21">
        <v>8.355155683635207E-3</v>
      </c>
      <c r="F2146" s="5">
        <v>36847</v>
      </c>
      <c r="G2146" s="5">
        <v>37196</v>
      </c>
      <c r="H2146" s="16">
        <v>349</v>
      </c>
      <c r="I2146" s="5">
        <v>37561</v>
      </c>
      <c r="J2146" s="5">
        <v>37972</v>
      </c>
      <c r="K2146" s="16">
        <v>1125</v>
      </c>
      <c r="L2146" s="13">
        <v>80000</v>
      </c>
      <c r="M2146" s="15">
        <v>7245.0762612777198</v>
      </c>
      <c r="N2146" s="13">
        <v>58000</v>
      </c>
      <c r="O2146" s="13">
        <v>0</v>
      </c>
      <c r="P2146" s="11">
        <v>0</v>
      </c>
    </row>
    <row r="2147" spans="1:16" ht="15" thickBot="1" x14ac:dyDescent="0.3">
      <c r="A2147" s="3" t="s">
        <v>24</v>
      </c>
      <c r="B2147" s="4">
        <v>984764</v>
      </c>
      <c r="C2147" s="3" t="s">
        <v>7</v>
      </c>
      <c r="D2147" s="18">
        <v>8.7499999999999994E-2</v>
      </c>
      <c r="E2147" s="21">
        <v>7.0146116041400752E-3</v>
      </c>
      <c r="F2147" s="5">
        <v>36959</v>
      </c>
      <c r="G2147" s="5">
        <v>37330</v>
      </c>
      <c r="H2147" s="16">
        <v>371</v>
      </c>
      <c r="I2147" s="5">
        <v>37330</v>
      </c>
      <c r="J2147" s="5">
        <v>37414</v>
      </c>
      <c r="K2147" s="16">
        <v>455</v>
      </c>
      <c r="L2147" s="13">
        <v>174619.67</v>
      </c>
      <c r="M2147" s="15">
        <v>14790.922303451254</v>
      </c>
      <c r="N2147" s="13">
        <v>116672.16</v>
      </c>
      <c r="O2147" s="13">
        <v>11357</v>
      </c>
      <c r="P2147" s="11">
        <v>0</v>
      </c>
    </row>
    <row r="2148" spans="1:16" ht="15" thickBot="1" x14ac:dyDescent="0.3">
      <c r="A2148" s="3" t="s">
        <v>24</v>
      </c>
      <c r="B2148" s="4">
        <v>255421</v>
      </c>
      <c r="C2148" s="3" t="s">
        <v>27</v>
      </c>
      <c r="D2148" s="18">
        <v>0.105</v>
      </c>
      <c r="E2148" s="21">
        <v>8.355155683635207E-3</v>
      </c>
      <c r="F2148" s="5">
        <v>37187</v>
      </c>
      <c r="G2148" s="5">
        <v>37288</v>
      </c>
      <c r="H2148" s="16">
        <v>101</v>
      </c>
      <c r="I2148" s="5">
        <v>37561</v>
      </c>
      <c r="J2148" s="5">
        <v>37973</v>
      </c>
      <c r="K2148" s="16">
        <v>786</v>
      </c>
      <c r="L2148" s="13">
        <v>9000</v>
      </c>
      <c r="M2148" s="15">
        <v>2722.1933550515118</v>
      </c>
      <c r="N2148" s="13">
        <v>8990</v>
      </c>
      <c r="O2148" s="13">
        <v>0</v>
      </c>
      <c r="P2148" s="11">
        <v>0</v>
      </c>
    </row>
    <row r="2149" spans="1:16" ht="15" thickBot="1" x14ac:dyDescent="0.3">
      <c r="A2149" s="3" t="s">
        <v>24</v>
      </c>
      <c r="B2149" s="4">
        <v>132496</v>
      </c>
      <c r="C2149" s="3" t="s">
        <v>7</v>
      </c>
      <c r="D2149" s="18">
        <v>8.8999999999999996E-2</v>
      </c>
      <c r="E2149" s="21">
        <v>7.1302872999576827E-3</v>
      </c>
      <c r="F2149" s="5">
        <v>38541</v>
      </c>
      <c r="G2149" s="5">
        <v>38876</v>
      </c>
      <c r="H2149" s="16">
        <v>335</v>
      </c>
      <c r="I2149" s="5">
        <v>43723</v>
      </c>
      <c r="J2149" s="5">
        <v>40812</v>
      </c>
      <c r="K2149" s="16">
        <v>2271</v>
      </c>
      <c r="L2149" s="13">
        <v>190088</v>
      </c>
      <c r="M2149" s="15">
        <v>17770.074163311816</v>
      </c>
      <c r="N2149" s="13">
        <v>74160</v>
      </c>
      <c r="O2149" s="13">
        <v>0</v>
      </c>
      <c r="P2149" s="11">
        <v>0</v>
      </c>
    </row>
    <row r="2150" spans="1:16" ht="15" thickBot="1" x14ac:dyDescent="0.3">
      <c r="A2150" s="3" t="s">
        <v>24</v>
      </c>
      <c r="B2150" s="4">
        <v>232240</v>
      </c>
      <c r="C2150" s="3" t="s">
        <v>28</v>
      </c>
      <c r="D2150" s="18">
        <v>8.5000000000000006E-2</v>
      </c>
      <c r="E2150" s="21">
        <v>6.8214933659622723E-3</v>
      </c>
      <c r="F2150" s="5">
        <v>38530</v>
      </c>
      <c r="G2150" s="5">
        <v>40374</v>
      </c>
      <c r="H2150" s="16">
        <v>1844</v>
      </c>
      <c r="I2150" s="5">
        <v>40374</v>
      </c>
      <c r="J2150" s="5">
        <v>41081</v>
      </c>
      <c r="K2150" s="16">
        <v>2551</v>
      </c>
      <c r="L2150" s="13">
        <v>46383</v>
      </c>
      <c r="M2150" s="15">
        <v>926.36160672463882</v>
      </c>
      <c r="N2150" s="13">
        <v>31916.86</v>
      </c>
      <c r="O2150" s="13">
        <v>15100</v>
      </c>
      <c r="P2150" s="11">
        <v>0</v>
      </c>
    </row>
    <row r="2151" spans="1:16" ht="15" thickBot="1" x14ac:dyDescent="0.3">
      <c r="A2151" s="3" t="s">
        <v>24</v>
      </c>
      <c r="B2151" s="4">
        <v>175396</v>
      </c>
      <c r="C2151" s="3" t="s">
        <v>5</v>
      </c>
      <c r="D2151" s="18">
        <v>0.09</v>
      </c>
      <c r="E2151" s="21">
        <v>7.2073233161367156E-3</v>
      </c>
      <c r="F2151" s="5">
        <v>38685</v>
      </c>
      <c r="G2151" s="5">
        <v>40513</v>
      </c>
      <c r="H2151" s="16">
        <v>1828</v>
      </c>
      <c r="I2151" s="5">
        <v>40513</v>
      </c>
      <c r="J2151" s="5">
        <v>40416</v>
      </c>
      <c r="K2151" s="16">
        <v>1731</v>
      </c>
      <c r="L2151" s="13">
        <v>88870.13</v>
      </c>
      <c r="M2151" s="15">
        <v>1807.27160866293</v>
      </c>
      <c r="N2151" s="13">
        <v>79043.100000000006</v>
      </c>
      <c r="O2151" s="13">
        <v>0</v>
      </c>
      <c r="P2151" s="11">
        <v>0</v>
      </c>
    </row>
    <row r="2152" spans="1:16" ht="15" thickBot="1" x14ac:dyDescent="0.3">
      <c r="A2152" s="3" t="s">
        <v>24</v>
      </c>
      <c r="B2152" s="4">
        <v>914061</v>
      </c>
      <c r="C2152" s="3" t="s">
        <v>28</v>
      </c>
      <c r="D2152" s="18">
        <v>0.09</v>
      </c>
      <c r="E2152" s="21">
        <v>7.2073233161367156E-3</v>
      </c>
      <c r="F2152" s="5">
        <v>38730</v>
      </c>
      <c r="G2152" s="5">
        <v>40563</v>
      </c>
      <c r="H2152" s="16">
        <v>1833</v>
      </c>
      <c r="I2152" s="5">
        <v>40594</v>
      </c>
      <c r="J2152" s="5">
        <v>40633</v>
      </c>
      <c r="K2152" s="16">
        <v>1903</v>
      </c>
      <c r="L2152" s="13">
        <v>249203</v>
      </c>
      <c r="M2152" s="15">
        <v>5056.7978029118922</v>
      </c>
      <c r="N2152" s="13">
        <v>49171.8</v>
      </c>
      <c r="O2152" s="13">
        <v>85528</v>
      </c>
      <c r="P2152" s="11">
        <v>0</v>
      </c>
    </row>
    <row r="2153" spans="1:16" ht="15" thickBot="1" x14ac:dyDescent="0.3">
      <c r="A2153" s="3" t="s">
        <v>24</v>
      </c>
      <c r="B2153" s="4">
        <v>963457</v>
      </c>
      <c r="C2153" s="3" t="s">
        <v>28</v>
      </c>
      <c r="D2153" s="18">
        <v>8.7499999999999994E-2</v>
      </c>
      <c r="E2153" s="21">
        <v>7.0146116041400752E-3</v>
      </c>
      <c r="F2153" s="5">
        <v>38737</v>
      </c>
      <c r="G2153" s="5">
        <v>40563</v>
      </c>
      <c r="H2153" s="16">
        <v>1826</v>
      </c>
      <c r="I2153" s="5">
        <v>45250</v>
      </c>
      <c r="J2153" s="5">
        <v>42957</v>
      </c>
      <c r="K2153" s="16">
        <v>4220</v>
      </c>
      <c r="L2153" s="13">
        <v>52784</v>
      </c>
      <c r="M2153" s="15">
        <v>1068.4629320033655</v>
      </c>
      <c r="N2153" s="13">
        <v>17000</v>
      </c>
      <c r="O2153" s="13">
        <v>4968.74</v>
      </c>
      <c r="P2153" s="11">
        <v>0</v>
      </c>
    </row>
    <row r="2154" spans="1:16" ht="15" thickBot="1" x14ac:dyDescent="0.3">
      <c r="A2154" s="3" t="s">
        <v>24</v>
      </c>
      <c r="B2154" s="4">
        <v>277760</v>
      </c>
      <c r="C2154" s="3" t="s">
        <v>7</v>
      </c>
      <c r="D2154" s="18">
        <v>8.7499999999999994E-2</v>
      </c>
      <c r="E2154" s="21">
        <v>7.0146116041400752E-3</v>
      </c>
      <c r="F2154" s="5">
        <v>38740</v>
      </c>
      <c r="G2154" s="5">
        <v>43125</v>
      </c>
      <c r="H2154" s="16">
        <v>4385</v>
      </c>
      <c r="I2154" s="5">
        <v>43368</v>
      </c>
      <c r="J2154" s="5">
        <v>41274</v>
      </c>
      <c r="K2154" s="16">
        <v>2534</v>
      </c>
      <c r="L2154" s="13">
        <v>328008.87</v>
      </c>
      <c r="M2154" s="15">
        <v>3594.9404228354342</v>
      </c>
      <c r="N2154" s="13">
        <v>185657.78</v>
      </c>
      <c r="O2154" s="13">
        <v>32550</v>
      </c>
      <c r="P2154" s="11">
        <v>1</v>
      </c>
    </row>
    <row r="2155" spans="1:16" ht="15" thickBot="1" x14ac:dyDescent="0.3">
      <c r="A2155" s="3" t="s">
        <v>24</v>
      </c>
      <c r="B2155" s="4">
        <v>432590</v>
      </c>
      <c r="C2155" s="3" t="s">
        <v>7</v>
      </c>
      <c r="D2155" s="18">
        <v>8.7499999999999994E-2</v>
      </c>
      <c r="E2155" s="21">
        <v>7.0146116041400752E-3</v>
      </c>
      <c r="F2155" s="5">
        <v>38811</v>
      </c>
      <c r="G2155" s="5">
        <v>39176</v>
      </c>
      <c r="H2155" s="16">
        <v>365</v>
      </c>
      <c r="I2155" s="5">
        <v>40108</v>
      </c>
      <c r="J2155" s="5">
        <v>40445</v>
      </c>
      <c r="K2155" s="16">
        <v>1634</v>
      </c>
      <c r="L2155" s="13">
        <v>295436</v>
      </c>
      <c r="M2155" s="15">
        <v>25418.34751676059</v>
      </c>
      <c r="N2155" s="13">
        <v>198922.19</v>
      </c>
      <c r="O2155" s="13">
        <v>0</v>
      </c>
      <c r="P2155" s="11">
        <v>0</v>
      </c>
    </row>
    <row r="2156" spans="1:16" ht="15" thickBot="1" x14ac:dyDescent="0.3">
      <c r="A2156" s="3" t="s">
        <v>24</v>
      </c>
      <c r="B2156" s="4">
        <v>999392</v>
      </c>
      <c r="C2156" s="3" t="s">
        <v>5</v>
      </c>
      <c r="D2156" s="18">
        <v>7.7499999999999999E-2</v>
      </c>
      <c r="E2156" s="21">
        <v>6.2396814612857288E-3</v>
      </c>
      <c r="F2156" s="5">
        <v>38846</v>
      </c>
      <c r="G2156" s="5">
        <v>39569</v>
      </c>
      <c r="H2156" s="16">
        <v>723</v>
      </c>
      <c r="I2156" s="5">
        <v>40391</v>
      </c>
      <c r="J2156" s="5">
        <v>40787</v>
      </c>
      <c r="K2156" s="16">
        <v>1941</v>
      </c>
      <c r="L2156" s="13">
        <v>2540000</v>
      </c>
      <c r="M2156" s="15">
        <v>113844.974266829</v>
      </c>
      <c r="N2156" s="13">
        <v>971216.27</v>
      </c>
      <c r="O2156" s="13">
        <v>120000</v>
      </c>
      <c r="P2156" s="11">
        <v>0</v>
      </c>
    </row>
    <row r="2157" spans="1:16" ht="15" thickBot="1" x14ac:dyDescent="0.3">
      <c r="A2157" s="3" t="s">
        <v>24</v>
      </c>
      <c r="B2157" s="4">
        <v>147829</v>
      </c>
      <c r="C2157" s="3" t="s">
        <v>5</v>
      </c>
      <c r="D2157" s="18">
        <v>6.7500000000000004E-2</v>
      </c>
      <c r="E2157" s="21">
        <v>5.4581304569467637E-3</v>
      </c>
      <c r="F2157" s="5">
        <v>38894</v>
      </c>
      <c r="G2157" s="5">
        <v>39259</v>
      </c>
      <c r="H2157" s="16">
        <v>365</v>
      </c>
      <c r="I2157" s="5">
        <v>41451</v>
      </c>
      <c r="J2157" s="5">
        <v>41429</v>
      </c>
      <c r="K2157" s="16">
        <v>2535</v>
      </c>
      <c r="L2157" s="13">
        <v>1664330</v>
      </c>
      <c r="M2157" s="15">
        <v>141759.42409914263</v>
      </c>
      <c r="N2157" s="13">
        <v>998093.73</v>
      </c>
      <c r="O2157" s="13">
        <v>66790.539999999994</v>
      </c>
      <c r="P2157" s="11">
        <v>0</v>
      </c>
    </row>
    <row r="2158" spans="1:16" ht="15" thickBot="1" x14ac:dyDescent="0.3">
      <c r="A2158" s="3" t="s">
        <v>24</v>
      </c>
      <c r="B2158" s="4">
        <v>629034</v>
      </c>
      <c r="C2158" s="3" t="s">
        <v>27</v>
      </c>
      <c r="D2158" s="18">
        <v>0.10249999999999999</v>
      </c>
      <c r="E2158" s="21">
        <v>8.1648460519010424E-3</v>
      </c>
      <c r="F2158" s="5">
        <v>38895</v>
      </c>
      <c r="G2158" s="5">
        <v>39071</v>
      </c>
      <c r="H2158" s="16">
        <v>176</v>
      </c>
      <c r="I2158" s="5">
        <v>43570</v>
      </c>
      <c r="J2158" s="5">
        <v>39898</v>
      </c>
      <c r="K2158" s="16">
        <v>1003</v>
      </c>
      <c r="L2158" s="13">
        <v>68076</v>
      </c>
      <c r="M2158" s="15">
        <v>11931.29595990913</v>
      </c>
      <c r="N2158" s="13">
        <v>68076</v>
      </c>
      <c r="O2158" s="13">
        <v>0</v>
      </c>
      <c r="P2158" s="11">
        <v>0</v>
      </c>
    </row>
    <row r="2159" spans="1:16" ht="15" thickBot="1" x14ac:dyDescent="0.3">
      <c r="A2159" s="3" t="s">
        <v>24</v>
      </c>
      <c r="B2159" s="4">
        <v>635221</v>
      </c>
      <c r="C2159" s="3" t="s">
        <v>27</v>
      </c>
      <c r="D2159" s="18">
        <v>8.7499999999999994E-2</v>
      </c>
      <c r="E2159" s="21">
        <v>7.0146116041400752E-3</v>
      </c>
      <c r="F2159" s="5">
        <v>39064</v>
      </c>
      <c r="G2159" s="5">
        <v>42719</v>
      </c>
      <c r="H2159" s="16">
        <v>3655</v>
      </c>
      <c r="I2159" s="5">
        <v>42719</v>
      </c>
      <c r="J2159" s="5">
        <v>39981</v>
      </c>
      <c r="K2159" s="16">
        <v>917</v>
      </c>
      <c r="L2159" s="13">
        <v>58027</v>
      </c>
      <c r="M2159" s="15">
        <v>710.01256747858383</v>
      </c>
      <c r="N2159" s="13">
        <v>46399.4</v>
      </c>
      <c r="O2159" s="13">
        <v>0</v>
      </c>
      <c r="P2159" s="11">
        <v>1</v>
      </c>
    </row>
    <row r="2160" spans="1:16" ht="15" thickBot="1" x14ac:dyDescent="0.3">
      <c r="A2160" s="3" t="s">
        <v>24</v>
      </c>
      <c r="B2160" s="4">
        <v>980999</v>
      </c>
      <c r="C2160" s="3" t="s">
        <v>5</v>
      </c>
      <c r="D2160" s="18">
        <v>7.7499999999999999E-2</v>
      </c>
      <c r="E2160" s="21">
        <v>6.2396814612857288E-3</v>
      </c>
      <c r="F2160" s="5">
        <v>39092</v>
      </c>
      <c r="G2160" s="5">
        <v>39483</v>
      </c>
      <c r="H2160" s="16">
        <v>391</v>
      </c>
      <c r="I2160" s="5">
        <v>39818</v>
      </c>
      <c r="J2160" s="5">
        <v>40777</v>
      </c>
      <c r="K2160" s="16">
        <v>1685</v>
      </c>
      <c r="L2160" s="13">
        <v>3860150</v>
      </c>
      <c r="M2160" s="15">
        <v>309304.01276346867</v>
      </c>
      <c r="N2160" s="13">
        <v>1869572.74</v>
      </c>
      <c r="O2160" s="13">
        <v>0</v>
      </c>
      <c r="P2160" s="11">
        <v>0</v>
      </c>
    </row>
    <row r="2161" spans="1:16" ht="15" thickBot="1" x14ac:dyDescent="0.3">
      <c r="A2161" s="3" t="s">
        <v>24</v>
      </c>
      <c r="B2161" s="4">
        <v>385679</v>
      </c>
      <c r="C2161" s="3" t="s">
        <v>28</v>
      </c>
      <c r="D2161" s="18">
        <v>0.06</v>
      </c>
      <c r="E2161" s="21">
        <v>4.8675505653430484E-3</v>
      </c>
      <c r="F2161" s="5">
        <v>39174</v>
      </c>
      <c r="G2161" s="5">
        <v>39540</v>
      </c>
      <c r="H2161" s="16">
        <v>366</v>
      </c>
      <c r="I2161" s="5">
        <v>42461</v>
      </c>
      <c r="J2161" s="5">
        <v>42734</v>
      </c>
      <c r="K2161" s="16">
        <v>3560</v>
      </c>
      <c r="L2161" s="13">
        <v>167200</v>
      </c>
      <c r="M2161" s="15">
        <v>14149.190454207595</v>
      </c>
      <c r="N2161" s="13">
        <v>106566.34</v>
      </c>
      <c r="O2161" s="13">
        <v>715.28</v>
      </c>
      <c r="P2161" s="11">
        <v>0</v>
      </c>
    </row>
    <row r="2162" spans="1:16" ht="15" thickBot="1" x14ac:dyDescent="0.3">
      <c r="A2162" s="3" t="s">
        <v>24</v>
      </c>
      <c r="B2162" s="4">
        <v>690236</v>
      </c>
      <c r="C2162" s="3" t="s">
        <v>5</v>
      </c>
      <c r="D2162" s="18">
        <v>6.25E-2</v>
      </c>
      <c r="E2162" s="21">
        <v>5.0648349497708356E-3</v>
      </c>
      <c r="F2162" s="5">
        <v>39192</v>
      </c>
      <c r="G2162" s="5">
        <v>39479</v>
      </c>
      <c r="H2162" s="16">
        <v>287</v>
      </c>
      <c r="I2162" s="5">
        <v>40198</v>
      </c>
      <c r="J2162" s="5">
        <v>40393</v>
      </c>
      <c r="K2162" s="16">
        <v>1201</v>
      </c>
      <c r="L2162" s="13">
        <v>362461</v>
      </c>
      <c r="M2162" s="15">
        <v>38909.072808473844</v>
      </c>
      <c r="N2162" s="13">
        <v>362460.99</v>
      </c>
      <c r="O2162" s="13">
        <v>0</v>
      </c>
      <c r="P2162" s="11">
        <v>0</v>
      </c>
    </row>
    <row r="2163" spans="1:16" ht="15" thickBot="1" x14ac:dyDescent="0.3">
      <c r="A2163" s="3" t="s">
        <v>24</v>
      </c>
      <c r="B2163" s="4">
        <v>106989</v>
      </c>
      <c r="C2163" s="3" t="s">
        <v>5</v>
      </c>
      <c r="D2163" s="18">
        <v>8.7499999999999994E-2</v>
      </c>
      <c r="E2163" s="21">
        <v>7.0146116041400752E-3</v>
      </c>
      <c r="F2163" s="5">
        <v>39205</v>
      </c>
      <c r="G2163" s="5">
        <v>39571</v>
      </c>
      <c r="H2163" s="16">
        <v>366</v>
      </c>
      <c r="I2163" s="5">
        <v>40124</v>
      </c>
      <c r="J2163" s="5">
        <v>40436</v>
      </c>
      <c r="K2163" s="16">
        <v>1231</v>
      </c>
      <c r="L2163" s="13">
        <v>240000</v>
      </c>
      <c r="M2163" s="15">
        <v>20594.762940562359</v>
      </c>
      <c r="N2163" s="13">
        <v>121035.33</v>
      </c>
      <c r="O2163" s="13">
        <v>0</v>
      </c>
      <c r="P2163" s="11">
        <v>0</v>
      </c>
    </row>
    <row r="2164" spans="1:16" ht="15" thickBot="1" x14ac:dyDescent="0.3">
      <c r="A2164" s="3" t="s">
        <v>24</v>
      </c>
      <c r="B2164" s="4">
        <v>121828</v>
      </c>
      <c r="C2164" s="3" t="s">
        <v>5</v>
      </c>
      <c r="D2164" s="18">
        <v>7.7499999999999999E-2</v>
      </c>
      <c r="E2164" s="21">
        <v>6.2396814612857288E-3</v>
      </c>
      <c r="F2164" s="5">
        <v>39199</v>
      </c>
      <c r="G2164" s="5">
        <v>39483</v>
      </c>
      <c r="H2164" s="16">
        <v>284</v>
      </c>
      <c r="I2164" s="5">
        <v>39818</v>
      </c>
      <c r="J2164" s="5">
        <v>40982</v>
      </c>
      <c r="K2164" s="16">
        <v>1783</v>
      </c>
      <c r="L2164" s="13">
        <v>339376.38</v>
      </c>
      <c r="M2164" s="15">
        <v>37030.537727792122</v>
      </c>
      <c r="N2164" s="13">
        <v>213750</v>
      </c>
      <c r="O2164" s="13">
        <v>0</v>
      </c>
      <c r="P2164" s="11">
        <v>0</v>
      </c>
    </row>
    <row r="2165" spans="1:16" ht="15" thickBot="1" x14ac:dyDescent="0.3">
      <c r="A2165" s="3" t="s">
        <v>24</v>
      </c>
      <c r="B2165" s="4">
        <v>112966</v>
      </c>
      <c r="C2165" s="3" t="s">
        <v>17</v>
      </c>
      <c r="D2165" s="18">
        <v>7.7499999999999999E-2</v>
      </c>
      <c r="E2165" s="21">
        <v>6.2396814612857288E-3</v>
      </c>
      <c r="F2165" s="5">
        <v>39232</v>
      </c>
      <c r="G2165" s="5">
        <v>39598</v>
      </c>
      <c r="H2165" s="16">
        <v>366</v>
      </c>
      <c r="I2165" s="5">
        <v>39963</v>
      </c>
      <c r="J2165" s="5">
        <v>40176</v>
      </c>
      <c r="K2165" s="16">
        <v>944</v>
      </c>
      <c r="L2165" s="13">
        <v>20470</v>
      </c>
      <c r="M2165" s="15">
        <v>1747.768908163978</v>
      </c>
      <c r="N2165" s="13">
        <v>14000</v>
      </c>
      <c r="O2165" s="13">
        <v>8101.79</v>
      </c>
      <c r="P2165" s="11">
        <v>0</v>
      </c>
    </row>
    <row r="2166" spans="1:16" ht="15" thickBot="1" x14ac:dyDescent="0.3">
      <c r="A2166" s="3" t="s">
        <v>24</v>
      </c>
      <c r="B2166" s="4">
        <v>310218</v>
      </c>
      <c r="C2166" s="3" t="s">
        <v>5</v>
      </c>
      <c r="D2166" s="18">
        <v>8.3000000000000004E-2</v>
      </c>
      <c r="E2166" s="21">
        <v>6.6667048692337083E-3</v>
      </c>
      <c r="F2166" s="5">
        <v>39303</v>
      </c>
      <c r="G2166" s="5">
        <v>39425</v>
      </c>
      <c r="H2166" s="16">
        <v>122</v>
      </c>
      <c r="I2166" s="5">
        <v>42064</v>
      </c>
      <c r="J2166" s="5">
        <v>40347</v>
      </c>
      <c r="K2166" s="16">
        <v>1044</v>
      </c>
      <c r="L2166" s="13">
        <v>250800</v>
      </c>
      <c r="M2166" s="15">
        <v>62717.248169753635</v>
      </c>
      <c r="N2166" s="13">
        <v>250800</v>
      </c>
      <c r="O2166" s="13">
        <v>35550</v>
      </c>
      <c r="P2166" s="11">
        <v>0</v>
      </c>
    </row>
    <row r="2167" spans="1:16" ht="15" thickBot="1" x14ac:dyDescent="0.3">
      <c r="A2167" s="3" t="s">
        <v>24</v>
      </c>
      <c r="B2167" s="4">
        <v>307109</v>
      </c>
      <c r="C2167" s="3" t="s">
        <v>5</v>
      </c>
      <c r="D2167" s="18">
        <v>6.25E-2</v>
      </c>
      <c r="E2167" s="21">
        <v>5.0648349497708356E-3</v>
      </c>
      <c r="F2167" s="5">
        <v>39358</v>
      </c>
      <c r="G2167" s="5">
        <v>39479</v>
      </c>
      <c r="H2167" s="16">
        <v>121</v>
      </c>
      <c r="I2167" s="5">
        <v>40198</v>
      </c>
      <c r="J2167" s="5">
        <v>40171</v>
      </c>
      <c r="K2167" s="16">
        <v>813</v>
      </c>
      <c r="L2167" s="13">
        <v>43700</v>
      </c>
      <c r="M2167" s="15">
        <v>10973.168127798534</v>
      </c>
      <c r="N2167" s="13">
        <v>43317.53</v>
      </c>
      <c r="O2167" s="13">
        <v>3551.27</v>
      </c>
      <c r="P2167" s="11">
        <v>0</v>
      </c>
    </row>
    <row r="2168" spans="1:16" ht="15" thickBot="1" x14ac:dyDescent="0.3">
      <c r="A2168" s="3" t="s">
        <v>24</v>
      </c>
      <c r="B2168" s="4">
        <v>799639</v>
      </c>
      <c r="C2168" s="3" t="s">
        <v>7</v>
      </c>
      <c r="D2168" s="18">
        <v>8.8800000000000004E-2</v>
      </c>
      <c r="E2168" s="21">
        <v>7.114872315682641E-3</v>
      </c>
      <c r="F2168" s="5">
        <v>39415</v>
      </c>
      <c r="G2168" s="5">
        <v>44910</v>
      </c>
      <c r="H2168" s="16">
        <v>5495</v>
      </c>
      <c r="I2168" s="5">
        <v>44910</v>
      </c>
      <c r="J2168" s="5">
        <v>40176</v>
      </c>
      <c r="K2168" s="16">
        <v>761</v>
      </c>
      <c r="L2168" s="13">
        <v>108483</v>
      </c>
      <c r="M2168" s="15">
        <v>1061.5583737774421</v>
      </c>
      <c r="N2168" s="13">
        <v>80000</v>
      </c>
      <c r="O2168" s="13">
        <v>0</v>
      </c>
      <c r="P2168" s="11">
        <v>1</v>
      </c>
    </row>
    <row r="2169" spans="1:16" ht="15" thickBot="1" x14ac:dyDescent="0.3">
      <c r="A2169" s="3" t="s">
        <v>24</v>
      </c>
      <c r="B2169" s="4">
        <v>723409</v>
      </c>
      <c r="C2169" s="3" t="s">
        <v>5</v>
      </c>
      <c r="D2169" s="18">
        <v>8.7499999999999994E-2</v>
      </c>
      <c r="E2169" s="21">
        <v>7.0146116041400752E-3</v>
      </c>
      <c r="F2169" s="5">
        <v>39419</v>
      </c>
      <c r="G2169" s="5">
        <v>39785</v>
      </c>
      <c r="H2169" s="16">
        <v>366</v>
      </c>
      <c r="I2169" s="5">
        <v>40124</v>
      </c>
      <c r="J2169" s="5">
        <v>40436</v>
      </c>
      <c r="K2169" s="16">
        <v>1017</v>
      </c>
      <c r="L2169" s="13">
        <v>159065</v>
      </c>
      <c r="M2169" s="15">
        <v>13649.608196418967</v>
      </c>
      <c r="N2169" s="13">
        <v>83220.67</v>
      </c>
      <c r="O2169" s="13">
        <v>0</v>
      </c>
      <c r="P2169" s="11">
        <v>0</v>
      </c>
    </row>
    <row r="2170" spans="1:16" ht="15" thickBot="1" x14ac:dyDescent="0.3">
      <c r="A2170" s="3" t="s">
        <v>24</v>
      </c>
      <c r="B2170" s="4">
        <v>642316</v>
      </c>
      <c r="C2170" s="3" t="s">
        <v>7</v>
      </c>
      <c r="D2170" s="18">
        <v>8.7499999999999994E-2</v>
      </c>
      <c r="E2170" s="21">
        <v>7.0146116041400752E-3</v>
      </c>
      <c r="F2170" s="5">
        <v>39447</v>
      </c>
      <c r="G2170" s="5">
        <v>39634</v>
      </c>
      <c r="H2170" s="16">
        <v>187</v>
      </c>
      <c r="I2170" s="5">
        <v>40108</v>
      </c>
      <c r="J2170" s="5">
        <v>40669</v>
      </c>
      <c r="K2170" s="16">
        <v>1222</v>
      </c>
      <c r="L2170" s="13">
        <v>742713</v>
      </c>
      <c r="M2170" s="15">
        <v>122193.0710380806</v>
      </c>
      <c r="N2170" s="13">
        <v>332246.68</v>
      </c>
      <c r="O2170" s="13">
        <v>343867.97</v>
      </c>
      <c r="P2170" s="11">
        <v>0</v>
      </c>
    </row>
    <row r="2171" spans="1:16" ht="15" thickBot="1" x14ac:dyDescent="0.3">
      <c r="A2171" s="3" t="s">
        <v>24</v>
      </c>
      <c r="B2171" s="4">
        <v>744719</v>
      </c>
      <c r="C2171" s="3" t="s">
        <v>29</v>
      </c>
      <c r="D2171" s="18">
        <v>8.5699999999999998E-2</v>
      </c>
      <c r="E2171" s="21">
        <v>6.8756075541336337E-3</v>
      </c>
      <c r="F2171" s="5">
        <v>39491</v>
      </c>
      <c r="G2171" s="5">
        <v>39644</v>
      </c>
      <c r="H2171" s="16">
        <v>153</v>
      </c>
      <c r="I2171" s="5">
        <v>46858</v>
      </c>
      <c r="J2171" s="5">
        <v>40631</v>
      </c>
      <c r="K2171" s="16">
        <v>1140</v>
      </c>
      <c r="L2171" s="13">
        <v>245700</v>
      </c>
      <c r="M2171" s="15">
        <v>49191.490561084589</v>
      </c>
      <c r="N2171" s="13">
        <v>132562.84</v>
      </c>
      <c r="O2171" s="13">
        <v>625</v>
      </c>
      <c r="P2171" s="11">
        <v>0</v>
      </c>
    </row>
    <row r="2172" spans="1:16" ht="15" thickBot="1" x14ac:dyDescent="0.3">
      <c r="A2172" s="3" t="s">
        <v>24</v>
      </c>
      <c r="B2172" s="4">
        <v>420319</v>
      </c>
      <c r="C2172" s="3" t="s">
        <v>28</v>
      </c>
      <c r="D2172" s="18">
        <v>9.5000000000000001E-2</v>
      </c>
      <c r="E2172" s="21">
        <v>7.5915342905825689E-3</v>
      </c>
      <c r="F2172" s="5">
        <v>39573</v>
      </c>
      <c r="G2172" s="5">
        <v>39938</v>
      </c>
      <c r="H2172" s="16">
        <v>365</v>
      </c>
      <c r="I2172" s="5">
        <v>40451</v>
      </c>
      <c r="J2172" s="5">
        <v>40623</v>
      </c>
      <c r="K2172" s="16">
        <v>1050</v>
      </c>
      <c r="L2172" s="13">
        <v>178445</v>
      </c>
      <c r="M2172" s="15">
        <v>15410.035272708408</v>
      </c>
      <c r="N2172" s="13">
        <v>96867.36</v>
      </c>
      <c r="O2172" s="13">
        <v>35080.660000000003</v>
      </c>
      <c r="P2172" s="11">
        <v>0</v>
      </c>
    </row>
    <row r="2173" spans="1:16" ht="15" thickBot="1" x14ac:dyDescent="0.3">
      <c r="A2173" s="3" t="s">
        <v>24</v>
      </c>
      <c r="B2173" s="4">
        <v>757655</v>
      </c>
      <c r="C2173" s="3" t="s">
        <v>5</v>
      </c>
      <c r="D2173" s="18">
        <v>8.7499999999999994E-2</v>
      </c>
      <c r="E2173" s="21">
        <v>7.0146116041400752E-3</v>
      </c>
      <c r="F2173" s="5">
        <v>39597</v>
      </c>
      <c r="G2173" s="5">
        <v>39965</v>
      </c>
      <c r="H2173" s="16">
        <v>368</v>
      </c>
      <c r="I2173" s="5">
        <v>39965</v>
      </c>
      <c r="J2173" s="5">
        <v>40171</v>
      </c>
      <c r="K2173" s="16">
        <v>574</v>
      </c>
      <c r="L2173" s="13">
        <v>91788</v>
      </c>
      <c r="M2173" s="15">
        <v>7835.4596712356642</v>
      </c>
      <c r="N2173" s="13">
        <v>46788</v>
      </c>
      <c r="O2173" s="13">
        <v>0</v>
      </c>
      <c r="P2173" s="11">
        <v>0</v>
      </c>
    </row>
    <row r="2174" spans="1:16" ht="15" thickBot="1" x14ac:dyDescent="0.3">
      <c r="A2174" s="3" t="s">
        <v>24</v>
      </c>
      <c r="B2174" s="4">
        <v>758463</v>
      </c>
      <c r="C2174" s="3" t="s">
        <v>17</v>
      </c>
      <c r="D2174" s="18">
        <v>0.1</v>
      </c>
      <c r="E2174" s="21">
        <v>7.9741404289037643E-3</v>
      </c>
      <c r="F2174" s="5">
        <v>39784</v>
      </c>
      <c r="G2174" s="5">
        <v>44301</v>
      </c>
      <c r="H2174" s="16">
        <v>4517</v>
      </c>
      <c r="I2174" s="5">
        <v>41456</v>
      </c>
      <c r="J2174" s="5">
        <v>40361</v>
      </c>
      <c r="K2174" s="16">
        <v>577</v>
      </c>
      <c r="L2174" s="13">
        <v>165957</v>
      </c>
      <c r="M2174" s="15">
        <v>1897.1288325141684</v>
      </c>
      <c r="N2174" s="13">
        <v>95702.31</v>
      </c>
      <c r="O2174" s="13">
        <v>1782.16</v>
      </c>
      <c r="P2174" s="11">
        <v>1</v>
      </c>
    </row>
    <row r="2175" spans="1:16" ht="15" thickBot="1" x14ac:dyDescent="0.3">
      <c r="A2175" s="3" t="s">
        <v>24</v>
      </c>
      <c r="B2175" s="4">
        <v>856503</v>
      </c>
      <c r="C2175" s="3" t="s">
        <v>7</v>
      </c>
      <c r="D2175" s="18">
        <v>0.11</v>
      </c>
      <c r="E2175" s="21">
        <v>8.7345938235519061E-3</v>
      </c>
      <c r="F2175" s="5">
        <v>39923</v>
      </c>
      <c r="G2175" s="5">
        <v>40106</v>
      </c>
      <c r="H2175" s="16">
        <v>183</v>
      </c>
      <c r="I2175" s="5">
        <v>40106</v>
      </c>
      <c r="J2175" s="5">
        <v>40233</v>
      </c>
      <c r="K2175" s="16">
        <v>310</v>
      </c>
      <c r="L2175" s="13">
        <v>76147.13</v>
      </c>
      <c r="M2175" s="15">
        <v>12873.071936066508</v>
      </c>
      <c r="N2175" s="13">
        <v>50000</v>
      </c>
      <c r="O2175" s="13">
        <v>0</v>
      </c>
      <c r="P2175" s="11">
        <v>0</v>
      </c>
    </row>
    <row r="2176" spans="1:16" ht="15" thickBot="1" x14ac:dyDescent="0.3">
      <c r="A2176" s="3" t="s">
        <v>24</v>
      </c>
      <c r="B2176" s="4">
        <v>34207</v>
      </c>
      <c r="C2176" s="3" t="s">
        <v>17</v>
      </c>
      <c r="D2176" s="18">
        <v>0.1055</v>
      </c>
      <c r="E2176" s="21">
        <v>8.3931702421828902E-3</v>
      </c>
      <c r="F2176" s="5">
        <v>39924</v>
      </c>
      <c r="G2176" s="5">
        <v>40107</v>
      </c>
      <c r="H2176" s="16">
        <v>183</v>
      </c>
      <c r="I2176" s="5">
        <v>41414</v>
      </c>
      <c r="J2176" s="5">
        <v>40995</v>
      </c>
      <c r="K2176" s="16">
        <v>1071</v>
      </c>
      <c r="L2176" s="13">
        <v>67779</v>
      </c>
      <c r="M2176" s="15">
        <v>11444.733338422106</v>
      </c>
      <c r="N2176" s="13">
        <v>52733.83</v>
      </c>
      <c r="O2176" s="13">
        <v>12096.92</v>
      </c>
      <c r="P2176" s="11">
        <v>0</v>
      </c>
    </row>
    <row r="2177" spans="1:16" ht="15" thickBot="1" x14ac:dyDescent="0.3">
      <c r="A2177" s="3" t="s">
        <v>24</v>
      </c>
      <c r="B2177" s="4">
        <v>565270</v>
      </c>
      <c r="C2177" s="3" t="s">
        <v>31</v>
      </c>
      <c r="D2177" s="18">
        <v>8.5000000000000006E-2</v>
      </c>
      <c r="E2177" s="21">
        <v>6.8214933659622723E-3</v>
      </c>
      <c r="F2177" s="5">
        <v>38839</v>
      </c>
      <c r="G2177" s="5">
        <v>40665</v>
      </c>
      <c r="H2177" s="16">
        <v>1826</v>
      </c>
      <c r="I2177" s="5">
        <v>40665</v>
      </c>
      <c r="J2177" s="5">
        <v>41082</v>
      </c>
      <c r="K2177" s="16">
        <v>2243</v>
      </c>
      <c r="L2177" s="13">
        <v>45899</v>
      </c>
      <c r="M2177" s="15">
        <v>923.97569349717674</v>
      </c>
      <c r="N2177" s="13">
        <v>38092.47</v>
      </c>
      <c r="O2177" s="13">
        <v>0</v>
      </c>
      <c r="P2177" s="11">
        <v>0</v>
      </c>
    </row>
    <row r="2178" spans="1:16" ht="15" thickBot="1" x14ac:dyDescent="0.3">
      <c r="A2178" s="3" t="s">
        <v>24</v>
      </c>
      <c r="B2178" s="4">
        <v>331117</v>
      </c>
      <c r="C2178" s="3" t="s">
        <v>26</v>
      </c>
      <c r="D2178" s="18">
        <v>0.05</v>
      </c>
      <c r="E2178" s="21">
        <v>4.0741237836483535E-3</v>
      </c>
      <c r="F2178" s="5">
        <v>38950</v>
      </c>
      <c r="G2178" s="5">
        <v>39223</v>
      </c>
      <c r="H2178" s="16">
        <v>273</v>
      </c>
      <c r="I2178" s="5">
        <v>40558</v>
      </c>
      <c r="J2178" s="5">
        <v>40781</v>
      </c>
      <c r="K2178" s="16">
        <v>1831</v>
      </c>
      <c r="L2178" s="13">
        <v>403000</v>
      </c>
      <c r="M2178" s="15">
        <v>45201.864051620396</v>
      </c>
      <c r="N2178" s="13">
        <v>356385.35</v>
      </c>
      <c r="O2178" s="13">
        <v>0</v>
      </c>
      <c r="P2178" s="11">
        <v>0</v>
      </c>
    </row>
    <row r="2179" spans="1:16" ht="15" thickBot="1" x14ac:dyDescent="0.3">
      <c r="A2179" s="3" t="s">
        <v>24</v>
      </c>
      <c r="B2179" s="4">
        <v>7155</v>
      </c>
      <c r="C2179" s="3" t="s">
        <v>31</v>
      </c>
      <c r="D2179" s="18">
        <v>8.2500000000000004E-2</v>
      </c>
      <c r="E2179" s="21">
        <v>6.6279668043680573E-3</v>
      </c>
      <c r="F2179" s="5">
        <v>38996</v>
      </c>
      <c r="G2179" s="5">
        <v>42663</v>
      </c>
      <c r="H2179" s="16">
        <v>3667</v>
      </c>
      <c r="I2179" s="5">
        <v>42663</v>
      </c>
      <c r="J2179" s="5">
        <v>40891</v>
      </c>
      <c r="K2179" s="16">
        <v>1895</v>
      </c>
      <c r="L2179" s="13">
        <v>13550</v>
      </c>
      <c r="M2179" s="15">
        <v>162.10361068036701</v>
      </c>
      <c r="N2179" s="13">
        <v>8119.59</v>
      </c>
      <c r="O2179" s="13">
        <v>0</v>
      </c>
      <c r="P2179" s="11">
        <v>1</v>
      </c>
    </row>
    <row r="2180" spans="1:16" ht="15" thickBot="1" x14ac:dyDescent="0.3">
      <c r="A2180" s="3" t="s">
        <v>24</v>
      </c>
      <c r="B2180" s="4">
        <v>449008</v>
      </c>
      <c r="C2180" s="3" t="s">
        <v>5</v>
      </c>
      <c r="D2180" s="18">
        <v>7.2999999999999995E-2</v>
      </c>
      <c r="E2180" s="21">
        <v>5.8888099067944122E-3</v>
      </c>
      <c r="F2180" s="5">
        <v>39192</v>
      </c>
      <c r="G2180" s="5">
        <v>39558</v>
      </c>
      <c r="H2180" s="16">
        <v>366</v>
      </c>
      <c r="I2180" s="5">
        <v>39923</v>
      </c>
      <c r="J2180" s="5">
        <v>40344</v>
      </c>
      <c r="K2180" s="16">
        <v>1152</v>
      </c>
      <c r="L2180" s="13">
        <v>500000</v>
      </c>
      <c r="M2180" s="15">
        <v>42593.938100533087</v>
      </c>
      <c r="N2180" s="13">
        <v>333332</v>
      </c>
      <c r="O2180" s="13">
        <v>0</v>
      </c>
      <c r="P2180" s="11">
        <v>0</v>
      </c>
    </row>
    <row r="2181" spans="1:16" ht="15" thickBot="1" x14ac:dyDescent="0.3">
      <c r="A2181" s="3" t="s">
        <v>24</v>
      </c>
      <c r="B2181" s="4">
        <v>340986</v>
      </c>
      <c r="C2181" s="3" t="s">
        <v>25</v>
      </c>
      <c r="D2181" s="18">
        <v>0.05</v>
      </c>
      <c r="E2181" s="21">
        <v>4.0741237836483535E-3</v>
      </c>
      <c r="F2181" s="5">
        <v>39219</v>
      </c>
      <c r="G2181" s="5">
        <v>39280</v>
      </c>
      <c r="H2181" s="16">
        <v>61</v>
      </c>
      <c r="I2181" s="5">
        <v>40558</v>
      </c>
      <c r="J2181" s="5">
        <v>40781</v>
      </c>
      <c r="K2181" s="16">
        <v>1562</v>
      </c>
      <c r="L2181" s="13">
        <v>135990</v>
      </c>
      <c r="M2181" s="15">
        <v>67293.876658638692</v>
      </c>
      <c r="N2181" s="13">
        <v>110985.01</v>
      </c>
      <c r="O2181" s="13">
        <v>0</v>
      </c>
      <c r="P2181" s="11">
        <v>0</v>
      </c>
    </row>
    <row r="2182" spans="1:16" ht="15" thickBot="1" x14ac:dyDescent="0.3">
      <c r="A2182" s="3" t="s">
        <v>24</v>
      </c>
      <c r="B2182" s="4">
        <v>949566</v>
      </c>
      <c r="C2182" s="3" t="s">
        <v>5</v>
      </c>
      <c r="D2182" s="18">
        <v>0.05</v>
      </c>
      <c r="E2182" s="21">
        <v>4.0741237836483535E-3</v>
      </c>
      <c r="F2182" s="5">
        <v>39289</v>
      </c>
      <c r="G2182" s="5">
        <v>39655</v>
      </c>
      <c r="H2182" s="16">
        <v>366</v>
      </c>
      <c r="I2182" s="5">
        <v>41518</v>
      </c>
      <c r="J2182" s="5">
        <v>41803</v>
      </c>
      <c r="K2182" s="16">
        <v>2514</v>
      </c>
      <c r="L2182" s="13">
        <v>1600000</v>
      </c>
      <c r="M2182" s="15">
        <v>134700.75887740593</v>
      </c>
      <c r="N2182" s="13">
        <v>601429.76000000001</v>
      </c>
      <c r="O2182" s="13">
        <v>496.53</v>
      </c>
      <c r="P2182" s="11">
        <v>0</v>
      </c>
    </row>
    <row r="2183" spans="1:16" ht="15" thickBot="1" x14ac:dyDescent="0.3">
      <c r="A2183" s="3" t="s">
        <v>24</v>
      </c>
      <c r="B2183" s="4">
        <v>907876</v>
      </c>
      <c r="C2183" s="3" t="s">
        <v>5</v>
      </c>
      <c r="D2183" s="18">
        <v>0.05</v>
      </c>
      <c r="E2183" s="21">
        <v>4.0741237836483535E-3</v>
      </c>
      <c r="F2183" s="5">
        <v>40722</v>
      </c>
      <c r="G2183" s="5">
        <v>41085</v>
      </c>
      <c r="H2183" s="16">
        <v>363</v>
      </c>
      <c r="I2183" s="5">
        <v>41085</v>
      </c>
      <c r="J2183" s="5">
        <v>40766</v>
      </c>
      <c r="K2183" s="16">
        <v>44</v>
      </c>
      <c r="L2183" s="13">
        <v>566501.99</v>
      </c>
      <c r="M2183" s="15">
        <v>48077.114927500661</v>
      </c>
      <c r="N2183" s="13">
        <v>566501.99</v>
      </c>
      <c r="O2183" s="13">
        <v>0</v>
      </c>
      <c r="P2183" s="11">
        <v>0</v>
      </c>
    </row>
    <row r="2184" spans="1:16" ht="15" thickBot="1" x14ac:dyDescent="0.3">
      <c r="A2184" s="3" t="s">
        <v>24</v>
      </c>
      <c r="B2184" s="4">
        <v>791130</v>
      </c>
      <c r="C2184" s="3" t="s">
        <v>7</v>
      </c>
      <c r="D2184" s="18">
        <v>8.2500000000000004E-2</v>
      </c>
      <c r="E2184" s="21">
        <v>6.6279668043680573E-3</v>
      </c>
      <c r="F2184" s="5">
        <v>39575</v>
      </c>
      <c r="G2184" s="5">
        <v>43225</v>
      </c>
      <c r="H2184" s="16">
        <v>3650</v>
      </c>
      <c r="I2184" s="5">
        <v>43225</v>
      </c>
      <c r="J2184" s="5">
        <v>41043</v>
      </c>
      <c r="K2184" s="16">
        <v>1468</v>
      </c>
      <c r="L2184" s="13">
        <v>72342.5</v>
      </c>
      <c r="M2184" s="15">
        <v>868.08060386892498</v>
      </c>
      <c r="N2184" s="13">
        <v>59515.66</v>
      </c>
      <c r="O2184" s="13">
        <v>0</v>
      </c>
      <c r="P2184" s="11">
        <v>1</v>
      </c>
    </row>
    <row r="2185" spans="1:16" ht="15" thickBot="1" x14ac:dyDescent="0.3">
      <c r="A2185" s="3" t="s">
        <v>24</v>
      </c>
      <c r="B2185" s="4">
        <v>553977</v>
      </c>
      <c r="C2185" s="3" t="s">
        <v>7</v>
      </c>
      <c r="D2185" s="18">
        <v>8.5999999999999993E-2</v>
      </c>
      <c r="E2185" s="21">
        <v>6.8987895591279269E-3</v>
      </c>
      <c r="F2185" s="5">
        <v>36630</v>
      </c>
      <c r="G2185" s="5">
        <v>40283</v>
      </c>
      <c r="H2185" s="16">
        <v>3653</v>
      </c>
      <c r="I2185" s="5">
        <v>40283</v>
      </c>
      <c r="J2185" s="5">
        <v>37783</v>
      </c>
      <c r="K2185" s="16">
        <v>1153</v>
      </c>
      <c r="L2185" s="13">
        <v>321335</v>
      </c>
      <c r="M2185" s="15">
        <v>3909.3199828148463</v>
      </c>
      <c r="N2185" s="13">
        <v>187960.95999999999</v>
      </c>
      <c r="O2185" s="13">
        <v>12223</v>
      </c>
      <c r="P2185" s="11">
        <v>0</v>
      </c>
    </row>
    <row r="2186" spans="1:16" ht="15" thickBot="1" x14ac:dyDescent="0.3">
      <c r="A2186" s="3" t="s">
        <v>24</v>
      </c>
      <c r="B2186" s="4">
        <v>340189</v>
      </c>
      <c r="C2186" s="3" t="s">
        <v>7</v>
      </c>
      <c r="D2186" s="18">
        <v>8.5000000000000006E-2</v>
      </c>
      <c r="E2186" s="21">
        <v>6.8214933659622723E-3</v>
      </c>
      <c r="F2186" s="5">
        <v>36630</v>
      </c>
      <c r="G2186" s="5">
        <v>36996</v>
      </c>
      <c r="H2186" s="16">
        <v>366</v>
      </c>
      <c r="I2186" s="5">
        <v>37361</v>
      </c>
      <c r="J2186" s="5">
        <v>37783</v>
      </c>
      <c r="K2186" s="16">
        <v>1153</v>
      </c>
      <c r="L2186" s="13">
        <v>75000</v>
      </c>
      <c r="M2186" s="15">
        <v>6427.8266038002212</v>
      </c>
      <c r="N2186" s="13">
        <v>75000</v>
      </c>
      <c r="O2186" s="13">
        <v>0</v>
      </c>
      <c r="P2186" s="11">
        <v>0</v>
      </c>
    </row>
    <row r="2187" spans="1:16" ht="15" thickBot="1" x14ac:dyDescent="0.3">
      <c r="A2187" s="3" t="s">
        <v>24</v>
      </c>
      <c r="B2187" s="4">
        <v>393013</v>
      </c>
      <c r="C2187" s="3" t="s">
        <v>7</v>
      </c>
      <c r="D2187" s="18">
        <v>8.1500000000000003E-2</v>
      </c>
      <c r="E2187" s="21">
        <v>6.5504414442880687E-3</v>
      </c>
      <c r="F2187" s="5">
        <v>37851</v>
      </c>
      <c r="G2187" s="5">
        <v>43344</v>
      </c>
      <c r="H2187" s="16">
        <v>5493</v>
      </c>
      <c r="I2187" s="5">
        <v>43344</v>
      </c>
      <c r="J2187" s="5">
        <v>40904</v>
      </c>
      <c r="K2187" s="16">
        <v>3053</v>
      </c>
      <c r="L2187" s="13">
        <v>678396.91</v>
      </c>
      <c r="M2187" s="15">
        <v>6371.5892653021483</v>
      </c>
      <c r="N2187" s="13">
        <v>498769.2</v>
      </c>
      <c r="O2187" s="13">
        <v>0</v>
      </c>
      <c r="P2187" s="11">
        <v>1</v>
      </c>
    </row>
    <row r="2188" spans="1:16" ht="15" thickBot="1" x14ac:dyDescent="0.3">
      <c r="A2188" s="3" t="s">
        <v>24</v>
      </c>
      <c r="B2188" s="4">
        <v>363451</v>
      </c>
      <c r="C2188" s="3" t="s">
        <v>8</v>
      </c>
      <c r="D2188" s="18">
        <v>5.5E-2</v>
      </c>
      <c r="E2188" s="21">
        <v>4.471698917043021E-3</v>
      </c>
      <c r="F2188" s="5">
        <v>38489</v>
      </c>
      <c r="G2188" s="5">
        <v>38854</v>
      </c>
      <c r="H2188" s="16">
        <v>365</v>
      </c>
      <c r="I2188" s="5">
        <v>40825</v>
      </c>
      <c r="J2188" s="5">
        <v>40448</v>
      </c>
      <c r="K2188" s="16">
        <v>1959</v>
      </c>
      <c r="L2188" s="13">
        <v>72000</v>
      </c>
      <c r="M2188" s="15">
        <v>6093.4672585199378</v>
      </c>
      <c r="N2188" s="13">
        <v>43200</v>
      </c>
      <c r="O2188" s="13">
        <v>0</v>
      </c>
      <c r="P2188" s="11">
        <v>0</v>
      </c>
    </row>
    <row r="2189" spans="1:16" ht="15" thickBot="1" x14ac:dyDescent="0.3">
      <c r="A2189" s="3" t="s">
        <v>24</v>
      </c>
      <c r="B2189" s="4">
        <v>710849</v>
      </c>
      <c r="C2189" s="3" t="s">
        <v>5</v>
      </c>
      <c r="D2189" s="18">
        <v>8.7499999999999994E-2</v>
      </c>
      <c r="E2189" s="21">
        <v>7.0146116041400752E-3</v>
      </c>
      <c r="F2189" s="5">
        <v>38770</v>
      </c>
      <c r="G2189" s="5">
        <v>39135</v>
      </c>
      <c r="H2189" s="16">
        <v>365</v>
      </c>
      <c r="I2189" s="5">
        <v>39753</v>
      </c>
      <c r="J2189" s="5">
        <v>39945</v>
      </c>
      <c r="K2189" s="16">
        <v>1175</v>
      </c>
      <c r="L2189" s="13">
        <v>337460</v>
      </c>
      <c r="M2189" s="15">
        <v>29033.955079970041</v>
      </c>
      <c r="N2189" s="13">
        <v>144125.99</v>
      </c>
      <c r="O2189" s="13">
        <v>0</v>
      </c>
      <c r="P2189" s="11">
        <v>0</v>
      </c>
    </row>
    <row r="2190" spans="1:16" ht="15" thickBot="1" x14ac:dyDescent="0.3">
      <c r="A2190" s="3" t="s">
        <v>24</v>
      </c>
      <c r="B2190" s="4">
        <v>619343</v>
      </c>
      <c r="C2190" s="3" t="s">
        <v>29</v>
      </c>
      <c r="D2190" s="18">
        <v>4.1200000000000001E-2</v>
      </c>
      <c r="E2190" s="21">
        <v>3.3701574315379013E-3</v>
      </c>
      <c r="F2190" s="5">
        <v>38912</v>
      </c>
      <c r="G2190" s="5">
        <v>39022</v>
      </c>
      <c r="H2190" s="16">
        <v>110</v>
      </c>
      <c r="I2190" s="5">
        <v>46388</v>
      </c>
      <c r="J2190" s="5">
        <v>41024</v>
      </c>
      <c r="K2190" s="16">
        <v>2112</v>
      </c>
      <c r="L2190" s="13">
        <v>1540000</v>
      </c>
      <c r="M2190" s="15">
        <v>423307.69297507009</v>
      </c>
      <c r="N2190" s="13">
        <v>816743.31</v>
      </c>
      <c r="O2190" s="13">
        <v>0</v>
      </c>
      <c r="P2190" s="11">
        <v>0</v>
      </c>
    </row>
    <row r="2191" spans="1:16" ht="15" thickBot="1" x14ac:dyDescent="0.3">
      <c r="A2191" s="3" t="s">
        <v>24</v>
      </c>
      <c r="B2191" s="4">
        <v>265500</v>
      </c>
      <c r="C2191" s="3" t="s">
        <v>27</v>
      </c>
      <c r="D2191" s="18">
        <v>8.5000000000000006E-2</v>
      </c>
      <c r="E2191" s="21">
        <v>6.8214933659622723E-3</v>
      </c>
      <c r="F2191" s="5">
        <v>38987</v>
      </c>
      <c r="G2191" s="5">
        <v>39265</v>
      </c>
      <c r="H2191" s="16">
        <v>278</v>
      </c>
      <c r="I2191" s="5">
        <v>39935</v>
      </c>
      <c r="J2191" s="5">
        <v>39797</v>
      </c>
      <c r="K2191" s="16">
        <v>810</v>
      </c>
      <c r="L2191" s="13">
        <v>300000</v>
      </c>
      <c r="M2191" s="15">
        <v>33518.362248994628</v>
      </c>
      <c r="N2191" s="13">
        <v>236662.69</v>
      </c>
      <c r="O2191" s="13">
        <v>6800</v>
      </c>
      <c r="P2191" s="11">
        <v>0</v>
      </c>
    </row>
    <row r="2192" spans="1:16" ht="15" thickBot="1" x14ac:dyDescent="0.3">
      <c r="A2192" s="3" t="s">
        <v>24</v>
      </c>
      <c r="B2192" s="4">
        <v>951167</v>
      </c>
      <c r="C2192" s="3" t="s">
        <v>5</v>
      </c>
      <c r="D2192" s="18">
        <v>8.2500000000000004E-2</v>
      </c>
      <c r="E2192" s="21">
        <v>6.6279668043680573E-3</v>
      </c>
      <c r="F2192" s="5">
        <v>39112</v>
      </c>
      <c r="G2192" s="5">
        <v>39480</v>
      </c>
      <c r="H2192" s="16">
        <v>368</v>
      </c>
      <c r="I2192" s="5">
        <v>39754</v>
      </c>
      <c r="J2192" s="5">
        <v>39926</v>
      </c>
      <c r="K2192" s="16">
        <v>814</v>
      </c>
      <c r="L2192" s="13">
        <v>90373</v>
      </c>
      <c r="M2192" s="15">
        <v>7695.2916654352221</v>
      </c>
      <c r="N2192" s="13">
        <v>43404.62</v>
      </c>
      <c r="O2192" s="13">
        <v>0</v>
      </c>
      <c r="P2192" s="11">
        <v>0</v>
      </c>
    </row>
    <row r="2193" spans="1:16" ht="15" thickBot="1" x14ac:dyDescent="0.3">
      <c r="A2193" s="3" t="s">
        <v>24</v>
      </c>
      <c r="B2193" s="4">
        <v>957848</v>
      </c>
      <c r="C2193" s="3" t="s">
        <v>28</v>
      </c>
      <c r="D2193" s="18">
        <v>0.1075</v>
      </c>
      <c r="E2193" s="21">
        <v>8.5450710394860963E-3</v>
      </c>
      <c r="F2193" s="5">
        <v>39517</v>
      </c>
      <c r="G2193" s="5">
        <v>39731</v>
      </c>
      <c r="H2193" s="16">
        <v>214</v>
      </c>
      <c r="I2193" s="5">
        <v>40339</v>
      </c>
      <c r="J2193" s="5">
        <v>40631</v>
      </c>
      <c r="K2193" s="16">
        <v>1114</v>
      </c>
      <c r="L2193" s="13">
        <v>100500</v>
      </c>
      <c r="M2193" s="15">
        <v>14582.62776945244</v>
      </c>
      <c r="N2193" s="13">
        <v>100500</v>
      </c>
      <c r="O2193" s="13">
        <v>34253.019999999997</v>
      </c>
      <c r="P2193" s="11">
        <v>0</v>
      </c>
    </row>
    <row r="2194" spans="1:16" ht="15" thickBot="1" x14ac:dyDescent="0.3">
      <c r="A2194" s="3" t="s">
        <v>24</v>
      </c>
      <c r="B2194" s="4">
        <v>376712</v>
      </c>
      <c r="C2194" s="3" t="s">
        <v>5</v>
      </c>
      <c r="D2194" s="18">
        <v>0.1</v>
      </c>
      <c r="E2194" s="21">
        <v>7.9741404289037643E-3</v>
      </c>
      <c r="F2194" s="5">
        <v>39541</v>
      </c>
      <c r="G2194" s="5">
        <v>39762</v>
      </c>
      <c r="H2194" s="16">
        <v>221</v>
      </c>
      <c r="I2194" s="5">
        <v>39913</v>
      </c>
      <c r="J2194" s="5">
        <v>40079</v>
      </c>
      <c r="K2194" s="16">
        <v>538</v>
      </c>
      <c r="L2194" s="13">
        <v>44780</v>
      </c>
      <c r="M2194" s="15">
        <v>6283.2192572868698</v>
      </c>
      <c r="N2194" s="13">
        <v>36244.36</v>
      </c>
      <c r="O2194" s="13">
        <v>0</v>
      </c>
      <c r="P2194" s="11">
        <v>0</v>
      </c>
    </row>
    <row r="2195" spans="1:16" ht="15" thickBot="1" x14ac:dyDescent="0.3">
      <c r="A2195" s="3" t="s">
        <v>24</v>
      </c>
      <c r="B2195" s="4">
        <v>271476</v>
      </c>
      <c r="C2195" s="3" t="s">
        <v>23</v>
      </c>
      <c r="D2195" s="18">
        <v>0.09</v>
      </c>
      <c r="E2195" s="21">
        <v>7.2073233161367156E-3</v>
      </c>
      <c r="F2195" s="5">
        <v>39639</v>
      </c>
      <c r="G2195" s="5">
        <v>39999</v>
      </c>
      <c r="H2195" s="16">
        <v>360</v>
      </c>
      <c r="I2195" s="5">
        <v>41557</v>
      </c>
      <c r="J2195" s="5">
        <v>40758</v>
      </c>
      <c r="K2195" s="16">
        <v>1119</v>
      </c>
      <c r="L2195" s="13">
        <v>126878</v>
      </c>
      <c r="M2195" s="15">
        <v>11075.014853313583</v>
      </c>
      <c r="N2195" s="13">
        <v>87210</v>
      </c>
      <c r="O2195" s="13">
        <v>0</v>
      </c>
      <c r="P2195" s="11">
        <v>0</v>
      </c>
    </row>
    <row r="2196" spans="1:16" ht="15" thickBot="1" x14ac:dyDescent="0.3">
      <c r="A2196" s="3" t="s">
        <v>24</v>
      </c>
      <c r="B2196" s="4">
        <v>544582</v>
      </c>
      <c r="C2196" s="3" t="s">
        <v>7</v>
      </c>
      <c r="D2196" s="18">
        <v>0.10249999999999999</v>
      </c>
      <c r="E2196" s="21">
        <v>8.1648460519010424E-3</v>
      </c>
      <c r="F2196" s="5">
        <v>39811</v>
      </c>
      <c r="G2196" s="5">
        <v>40167</v>
      </c>
      <c r="H2196" s="16">
        <v>356</v>
      </c>
      <c r="I2196" s="5">
        <v>40816</v>
      </c>
      <c r="J2196" s="5">
        <v>40988</v>
      </c>
      <c r="K2196" s="16">
        <v>1177</v>
      </c>
      <c r="L2196" s="13">
        <v>80448</v>
      </c>
      <c r="M2196" s="15">
        <v>7140.6682773311395</v>
      </c>
      <c r="N2196" s="13">
        <v>53948</v>
      </c>
      <c r="O2196" s="13">
        <v>0</v>
      </c>
      <c r="P2196" s="11">
        <v>0</v>
      </c>
    </row>
    <row r="2197" spans="1:16" ht="15" thickBot="1" x14ac:dyDescent="0.3">
      <c r="A2197" s="3" t="s">
        <v>24</v>
      </c>
      <c r="B2197" s="4">
        <v>73156</v>
      </c>
      <c r="C2197" s="3" t="s">
        <v>25</v>
      </c>
      <c r="D2197" s="18">
        <v>6.7500000000000004E-2</v>
      </c>
      <c r="E2197" s="21">
        <v>5.4581304569467637E-3</v>
      </c>
      <c r="F2197" s="5">
        <v>40336</v>
      </c>
      <c r="G2197" s="5">
        <v>43997</v>
      </c>
      <c r="H2197" s="16">
        <v>3661</v>
      </c>
      <c r="I2197" s="5">
        <v>44336</v>
      </c>
      <c r="J2197" s="5">
        <v>41912</v>
      </c>
      <c r="K2197" s="16">
        <v>1576</v>
      </c>
      <c r="L2197" s="13">
        <v>38510.5</v>
      </c>
      <c r="M2197" s="15">
        <v>433.08245094283131</v>
      </c>
      <c r="N2197" s="13">
        <v>25585.58</v>
      </c>
      <c r="O2197" s="13">
        <v>0</v>
      </c>
      <c r="P2197" s="11">
        <v>1</v>
      </c>
    </row>
    <row r="2198" spans="1:16" ht="15" thickBot="1" x14ac:dyDescent="0.3">
      <c r="A2198" s="3" t="s">
        <v>24</v>
      </c>
      <c r="B2198" s="4">
        <v>188000</v>
      </c>
      <c r="C2198" s="3" t="s">
        <v>5</v>
      </c>
      <c r="D2198" s="18">
        <v>8.7499999999999994E-2</v>
      </c>
      <c r="E2198" s="21">
        <v>7.0146116041400752E-3</v>
      </c>
      <c r="F2198" s="5">
        <v>38338</v>
      </c>
      <c r="G2198" s="5">
        <v>40894</v>
      </c>
      <c r="H2198" s="16">
        <v>2556</v>
      </c>
      <c r="I2198" s="5">
        <v>39585</v>
      </c>
      <c r="J2198" s="5">
        <v>38881</v>
      </c>
      <c r="K2198" s="16">
        <v>543</v>
      </c>
      <c r="L2198" s="13">
        <v>49095</v>
      </c>
      <c r="M2198" s="15">
        <v>767.43370421818099</v>
      </c>
      <c r="N2198" s="13">
        <v>47430.559999999998</v>
      </c>
      <c r="O2198" s="13">
        <v>43430.57</v>
      </c>
      <c r="P2198" s="11">
        <v>0</v>
      </c>
    </row>
    <row r="2199" spans="1:16" ht="15" thickBot="1" x14ac:dyDescent="0.3">
      <c r="A2199" s="3" t="s">
        <v>24</v>
      </c>
      <c r="B2199" s="4">
        <v>929203</v>
      </c>
      <c r="C2199" s="3" t="s">
        <v>31</v>
      </c>
      <c r="D2199" s="18">
        <v>8.8599999999999998E-2</v>
      </c>
      <c r="E2199" s="21">
        <v>7.0994547355973658E-3</v>
      </c>
      <c r="F2199" s="5">
        <v>39370</v>
      </c>
      <c r="G2199" s="5">
        <v>44849</v>
      </c>
      <c r="H2199" s="16">
        <v>5479</v>
      </c>
      <c r="I2199" s="5">
        <v>44849</v>
      </c>
      <c r="J2199" s="5">
        <v>40835</v>
      </c>
      <c r="K2199" s="16">
        <v>1465</v>
      </c>
      <c r="L2199" s="13">
        <v>146353</v>
      </c>
      <c r="M2199" s="15">
        <v>1432.5795047063502</v>
      </c>
      <c r="N2199" s="13">
        <v>77700.570000000007</v>
      </c>
      <c r="O2199" s="13">
        <v>0</v>
      </c>
      <c r="P2199" s="11">
        <v>1</v>
      </c>
    </row>
    <row r="2200" spans="1:16" ht="15" thickBot="1" x14ac:dyDescent="0.3">
      <c r="A2200" s="3" t="s">
        <v>24</v>
      </c>
      <c r="B2200" s="4">
        <v>585650</v>
      </c>
      <c r="C2200" s="3" t="s">
        <v>28</v>
      </c>
      <c r="D2200" s="18">
        <v>0.115</v>
      </c>
      <c r="E2200" s="21">
        <v>9.1124684369046083E-3</v>
      </c>
      <c r="F2200" s="5">
        <v>39976</v>
      </c>
      <c r="G2200" s="5">
        <v>41802</v>
      </c>
      <c r="H2200" s="16">
        <v>1826</v>
      </c>
      <c r="I2200" s="5">
        <v>44091</v>
      </c>
      <c r="J2200" s="5">
        <v>41089</v>
      </c>
      <c r="K2200" s="16">
        <v>1113</v>
      </c>
      <c r="L2200" s="13">
        <v>51091</v>
      </c>
      <c r="M2200" s="15">
        <v>1097.30649145745</v>
      </c>
      <c r="N2200" s="13">
        <v>30600</v>
      </c>
      <c r="O2200" s="13">
        <v>2300</v>
      </c>
      <c r="P2200" s="11">
        <v>0</v>
      </c>
    </row>
    <row r="2201" spans="1:16" ht="15" thickBot="1" x14ac:dyDescent="0.3">
      <c r="A2201" s="3" t="s">
        <v>24</v>
      </c>
      <c r="B2201" s="4">
        <v>182222</v>
      </c>
      <c r="C2201" s="3" t="s">
        <v>5</v>
      </c>
      <c r="D2201" s="18">
        <v>8.2500000000000004E-2</v>
      </c>
      <c r="E2201" s="21">
        <v>6.6279668043680573E-3</v>
      </c>
      <c r="F2201" s="5">
        <v>39251</v>
      </c>
      <c r="G2201" s="5">
        <v>39800</v>
      </c>
      <c r="H2201" s="16">
        <v>549</v>
      </c>
      <c r="I2201" s="5">
        <v>40252</v>
      </c>
      <c r="J2201" s="5">
        <v>40368</v>
      </c>
      <c r="K2201" s="16">
        <v>1117</v>
      </c>
      <c r="L2201" s="13">
        <v>1781595.76</v>
      </c>
      <c r="M2201" s="15">
        <v>103700.3478083295</v>
      </c>
      <c r="N2201" s="13">
        <v>1117800.3600000001</v>
      </c>
      <c r="O2201" s="13">
        <v>0</v>
      </c>
      <c r="P2201" s="11">
        <v>0</v>
      </c>
    </row>
    <row r="2202" spans="1:16" ht="15" thickBot="1" x14ac:dyDescent="0.3">
      <c r="A2202" s="3" t="s">
        <v>24</v>
      </c>
      <c r="B2202" s="4">
        <v>200069</v>
      </c>
      <c r="C2202" s="3" t="s">
        <v>28</v>
      </c>
      <c r="D2202" s="18">
        <v>0.11</v>
      </c>
      <c r="E2202" s="21">
        <v>8.7345938235519061E-3</v>
      </c>
      <c r="F2202" s="5">
        <v>40151</v>
      </c>
      <c r="G2202" s="5">
        <v>42887</v>
      </c>
      <c r="H2202" s="16">
        <v>2736</v>
      </c>
      <c r="I2202" s="5">
        <v>42887</v>
      </c>
      <c r="J2202" s="5">
        <v>40794</v>
      </c>
      <c r="K2202" s="16">
        <v>643</v>
      </c>
      <c r="L2202" s="13">
        <v>83254</v>
      </c>
      <c r="M2202" s="15">
        <v>1328.0156457480734</v>
      </c>
      <c r="N2202" s="13">
        <v>82725.13</v>
      </c>
      <c r="O2202" s="13">
        <v>0</v>
      </c>
      <c r="P2202" s="11">
        <v>1</v>
      </c>
    </row>
    <row r="2203" spans="1:16" ht="15" thickBot="1" x14ac:dyDescent="0.3">
      <c r="A2203" s="3" t="s">
        <v>24</v>
      </c>
      <c r="B2203" s="4">
        <v>328700</v>
      </c>
      <c r="C2203" s="3" t="s">
        <v>31</v>
      </c>
      <c r="D2203" s="18">
        <v>9.7500000000000003E-2</v>
      </c>
      <c r="E2203" s="21">
        <v>7.7830370878799737E-3</v>
      </c>
      <c r="F2203" s="5">
        <v>40836</v>
      </c>
      <c r="G2203" s="5">
        <v>45214</v>
      </c>
      <c r="H2203" s="16">
        <v>4378</v>
      </c>
      <c r="I2203" s="5">
        <v>45275</v>
      </c>
      <c r="J2203" s="5">
        <v>42985</v>
      </c>
      <c r="K2203" s="16">
        <v>2149</v>
      </c>
      <c r="L2203" s="13">
        <v>71338</v>
      </c>
      <c r="M2203" s="15">
        <v>819.61773433541953</v>
      </c>
      <c r="N2203" s="13">
        <v>63951.17</v>
      </c>
      <c r="O2203" s="13">
        <v>9843.4599999999991</v>
      </c>
      <c r="P2203" s="11">
        <v>1</v>
      </c>
    </row>
    <row r="2204" spans="1:16" ht="15" thickBot="1" x14ac:dyDescent="0.3">
      <c r="A2204" s="3" t="s">
        <v>24</v>
      </c>
      <c r="B2204" s="4">
        <v>868864</v>
      </c>
      <c r="C2204" s="3" t="s">
        <v>7</v>
      </c>
      <c r="D2204" s="18">
        <v>0.11</v>
      </c>
      <c r="E2204" s="21">
        <v>8.7345938235519061E-3</v>
      </c>
      <c r="F2204" s="5">
        <v>31075</v>
      </c>
      <c r="G2204" s="5">
        <v>31440</v>
      </c>
      <c r="H2204" s="16">
        <v>365</v>
      </c>
      <c r="I2204" s="5">
        <v>31440</v>
      </c>
      <c r="J2204" s="5">
        <v>31075</v>
      </c>
      <c r="K2204" s="16">
        <v>0</v>
      </c>
      <c r="L2204" s="13">
        <v>8644.64</v>
      </c>
      <c r="M2204" s="15">
        <v>752.03627174898963</v>
      </c>
      <c r="N2204" s="13">
        <v>8644.64</v>
      </c>
      <c r="O2204" s="13">
        <v>0</v>
      </c>
      <c r="P2204" s="11">
        <v>0</v>
      </c>
    </row>
    <row r="2205" spans="1:16" ht="15" thickBot="1" x14ac:dyDescent="0.3">
      <c r="A2205" s="3" t="s">
        <v>24</v>
      </c>
      <c r="B2205" s="4">
        <v>405194</v>
      </c>
      <c r="C2205" s="3" t="s">
        <v>7</v>
      </c>
      <c r="D2205" s="18">
        <v>0.14499999999999999</v>
      </c>
      <c r="E2205" s="21">
        <v>1.1347621038123146E-2</v>
      </c>
      <c r="F2205" s="5">
        <v>31412</v>
      </c>
      <c r="G2205" s="5">
        <v>31443</v>
      </c>
      <c r="H2205" s="16">
        <v>31</v>
      </c>
      <c r="I2205" s="5">
        <v>31443</v>
      </c>
      <c r="J2205" s="5">
        <v>32721</v>
      </c>
      <c r="K2205" s="16">
        <v>1309</v>
      </c>
      <c r="L2205" s="13">
        <v>15114.92</v>
      </c>
      <c r="M2205" s="15">
        <v>14796.104472677729</v>
      </c>
      <c r="N2205" s="13">
        <v>15114.92</v>
      </c>
      <c r="O2205" s="13">
        <v>0</v>
      </c>
      <c r="P2205" s="11">
        <v>0</v>
      </c>
    </row>
    <row r="2206" spans="1:16" ht="15" thickBot="1" x14ac:dyDescent="0.3">
      <c r="A2206" s="3" t="s">
        <v>24</v>
      </c>
      <c r="B2206" s="4">
        <v>992054</v>
      </c>
      <c r="C2206" s="3" t="s">
        <v>7</v>
      </c>
      <c r="D2206" s="18">
        <v>0.12</v>
      </c>
      <c r="E2206" s="21">
        <v>9.4887929345830457E-3</v>
      </c>
      <c r="F2206" s="5">
        <v>28901</v>
      </c>
      <c r="G2206" s="5">
        <v>30362</v>
      </c>
      <c r="H2206" s="16">
        <v>1461</v>
      </c>
      <c r="I2206" s="5">
        <v>30362</v>
      </c>
      <c r="J2206" s="5">
        <v>31267</v>
      </c>
      <c r="K2206" s="16">
        <v>2366</v>
      </c>
      <c r="L2206" s="13">
        <v>39747.46</v>
      </c>
      <c r="M2206" s="15">
        <v>1023.0180341849941</v>
      </c>
      <c r="N2206" s="13">
        <v>39747.46</v>
      </c>
      <c r="O2206" s="13">
        <v>0</v>
      </c>
      <c r="P2206" s="11">
        <v>0</v>
      </c>
    </row>
    <row r="2207" spans="1:16" ht="15" thickBot="1" x14ac:dyDescent="0.3">
      <c r="A2207" s="3" t="s">
        <v>24</v>
      </c>
      <c r="B2207" s="4">
        <v>655229</v>
      </c>
      <c r="C2207" s="3" t="s">
        <v>7</v>
      </c>
      <c r="D2207" s="18">
        <v>0.12</v>
      </c>
      <c r="E2207" s="21">
        <v>9.4887929345830457E-3</v>
      </c>
      <c r="F2207" s="5">
        <v>29046</v>
      </c>
      <c r="G2207" s="5">
        <v>31603</v>
      </c>
      <c r="H2207" s="16">
        <v>2557</v>
      </c>
      <c r="I2207" s="5">
        <v>31603</v>
      </c>
      <c r="J2207" s="5">
        <v>34400</v>
      </c>
      <c r="K2207" s="16">
        <v>5354</v>
      </c>
      <c r="L2207" s="13">
        <v>100</v>
      </c>
      <c r="M2207" s="15">
        <v>1.7162201386970832</v>
      </c>
      <c r="N2207" s="13">
        <v>100</v>
      </c>
      <c r="O2207" s="13">
        <v>0</v>
      </c>
      <c r="P2207" s="11">
        <v>0</v>
      </c>
    </row>
    <row r="2208" spans="1:16" ht="15" thickBot="1" x14ac:dyDescent="0.3">
      <c r="A2208" s="3" t="s">
        <v>24</v>
      </c>
      <c r="B2208" s="4">
        <v>649033</v>
      </c>
      <c r="C2208" s="3" t="s">
        <v>7</v>
      </c>
      <c r="D2208" s="18">
        <v>0.12</v>
      </c>
      <c r="E2208" s="21">
        <v>9.4887929345830457E-3</v>
      </c>
      <c r="F2208" s="5">
        <v>29062</v>
      </c>
      <c r="G2208" s="5">
        <v>32715</v>
      </c>
      <c r="H2208" s="16">
        <v>3653</v>
      </c>
      <c r="I2208" s="5">
        <v>32715</v>
      </c>
      <c r="J2208" s="5">
        <v>32745</v>
      </c>
      <c r="K2208" s="16">
        <v>3683</v>
      </c>
      <c r="L2208" s="13">
        <v>61216.9</v>
      </c>
      <c r="M2208" s="15">
        <v>850.03431911523376</v>
      </c>
      <c r="N2208" s="13">
        <v>61216.9</v>
      </c>
      <c r="O2208" s="13">
        <v>0</v>
      </c>
      <c r="P2208" s="11">
        <v>0</v>
      </c>
    </row>
    <row r="2209" spans="1:16" ht="15" thickBot="1" x14ac:dyDescent="0.3">
      <c r="A2209" s="3" t="s">
        <v>24</v>
      </c>
      <c r="B2209" s="4">
        <v>104433</v>
      </c>
      <c r="C2209" s="3" t="s">
        <v>7</v>
      </c>
      <c r="D2209" s="18">
        <v>0.17</v>
      </c>
      <c r="E2209" s="21">
        <v>1.3169611131462311E-2</v>
      </c>
      <c r="F2209" s="5">
        <v>29810</v>
      </c>
      <c r="G2209" s="5">
        <v>30175</v>
      </c>
      <c r="H2209" s="16">
        <v>365</v>
      </c>
      <c r="I2209" s="5">
        <v>30175</v>
      </c>
      <c r="J2209" s="5">
        <v>31135</v>
      </c>
      <c r="K2209" s="16">
        <v>1325</v>
      </c>
      <c r="L2209" s="13">
        <v>24000</v>
      </c>
      <c r="M2209" s="15">
        <v>2147.7899770038071</v>
      </c>
      <c r="N2209" s="13">
        <v>24000</v>
      </c>
      <c r="O2209" s="13">
        <v>0</v>
      </c>
      <c r="P2209" s="11">
        <v>0</v>
      </c>
    </row>
    <row r="2210" spans="1:16" ht="15" thickBot="1" x14ac:dyDescent="0.3">
      <c r="A2210" s="3" t="s">
        <v>24</v>
      </c>
      <c r="B2210" s="4">
        <v>384956</v>
      </c>
      <c r="C2210" s="3" t="s">
        <v>7</v>
      </c>
      <c r="D2210" s="18">
        <v>0.1</v>
      </c>
      <c r="E2210" s="21">
        <v>7.9741404289037643E-3</v>
      </c>
      <c r="F2210" s="5">
        <v>32679</v>
      </c>
      <c r="G2210" s="5">
        <v>34309</v>
      </c>
      <c r="H2210" s="16">
        <v>1630</v>
      </c>
      <c r="I2210" s="5">
        <v>34309</v>
      </c>
      <c r="J2210" s="5">
        <v>33945</v>
      </c>
      <c r="K2210" s="16">
        <v>1266</v>
      </c>
      <c r="L2210" s="13">
        <v>75435.78</v>
      </c>
      <c r="M2210" s="15">
        <v>1716.250154057414</v>
      </c>
      <c r="N2210" s="13">
        <v>65435.78</v>
      </c>
      <c r="O2210" s="13">
        <v>0</v>
      </c>
      <c r="P2210" s="11">
        <v>0</v>
      </c>
    </row>
    <row r="2211" spans="1:16" ht="15" thickBot="1" x14ac:dyDescent="0.3">
      <c r="A2211" s="3" t="s">
        <v>24</v>
      </c>
      <c r="B2211" s="4">
        <v>189394</v>
      </c>
      <c r="C2211" s="3" t="s">
        <v>7</v>
      </c>
      <c r="D2211" s="18">
        <v>0.1</v>
      </c>
      <c r="E2211" s="21">
        <v>7.9741404289037643E-3</v>
      </c>
      <c r="F2211" s="5">
        <v>34816</v>
      </c>
      <c r="G2211" s="5">
        <v>39290</v>
      </c>
      <c r="H2211" s="16">
        <v>4474</v>
      </c>
      <c r="I2211" s="5">
        <v>39290</v>
      </c>
      <c r="J2211" s="5">
        <v>36578</v>
      </c>
      <c r="K2211" s="16">
        <v>1762</v>
      </c>
      <c r="L2211" s="13">
        <v>130000</v>
      </c>
      <c r="M2211" s="15">
        <v>1493.5020318756356</v>
      </c>
      <c r="N2211" s="13">
        <v>15000.01</v>
      </c>
      <c r="O2211" s="13">
        <v>0</v>
      </c>
      <c r="P2211" s="11">
        <v>0</v>
      </c>
    </row>
    <row r="2212" spans="1:16" ht="15" thickBot="1" x14ac:dyDescent="0.3">
      <c r="A2212" s="3" t="s">
        <v>24</v>
      </c>
      <c r="B2212" s="4">
        <v>373311</v>
      </c>
      <c r="C2212" s="3" t="s">
        <v>7</v>
      </c>
      <c r="D2212" s="18">
        <v>0.11</v>
      </c>
      <c r="E2212" s="21">
        <v>8.7345938235519061E-3</v>
      </c>
      <c r="F2212" s="5">
        <v>35690</v>
      </c>
      <c r="G2212" s="5">
        <v>37514</v>
      </c>
      <c r="H2212" s="16">
        <v>1824</v>
      </c>
      <c r="I2212" s="5">
        <v>37514</v>
      </c>
      <c r="J2212" s="5">
        <v>40581</v>
      </c>
      <c r="K2212" s="16">
        <v>4891</v>
      </c>
      <c r="L2212" s="13">
        <v>6663.47</v>
      </c>
      <c r="M2212" s="15">
        <v>141.72856614980373</v>
      </c>
      <c r="N2212" s="13">
        <v>6663.47</v>
      </c>
      <c r="O2212" s="13">
        <v>0</v>
      </c>
      <c r="P2212" s="11">
        <v>0</v>
      </c>
    </row>
    <row r="2213" spans="1:16" ht="15" thickBot="1" x14ac:dyDescent="0.3">
      <c r="A2213" s="3" t="s">
        <v>24</v>
      </c>
      <c r="B2213" s="4">
        <v>265866</v>
      </c>
      <c r="C2213" s="3" t="s">
        <v>7</v>
      </c>
      <c r="D2213" s="18">
        <v>0.1</v>
      </c>
      <c r="E2213" s="21">
        <v>7.9741404289037643E-3</v>
      </c>
      <c r="F2213" s="5">
        <v>36145</v>
      </c>
      <c r="G2213" s="5">
        <v>41517</v>
      </c>
      <c r="H2213" s="16">
        <v>5372</v>
      </c>
      <c r="I2213" s="5">
        <v>41517</v>
      </c>
      <c r="J2213" s="5">
        <v>38805</v>
      </c>
      <c r="K2213" s="16">
        <v>2660</v>
      </c>
      <c r="L2213" s="13">
        <v>22274.77</v>
      </c>
      <c r="M2213" s="15">
        <v>234.07470324003842</v>
      </c>
      <c r="N2213" s="13">
        <v>22274.77</v>
      </c>
      <c r="O2213" s="13">
        <v>0</v>
      </c>
      <c r="P2213" s="11">
        <v>0</v>
      </c>
    </row>
    <row r="2214" spans="1:16" ht="15" thickBot="1" x14ac:dyDescent="0.3">
      <c r="A2214" s="3" t="s">
        <v>24</v>
      </c>
      <c r="B2214" s="4">
        <v>506446</v>
      </c>
      <c r="C2214" s="3" t="s">
        <v>7</v>
      </c>
      <c r="D2214" s="18">
        <v>0.105</v>
      </c>
      <c r="E2214" s="21">
        <v>8.355155683635207E-3</v>
      </c>
      <c r="F2214" s="5">
        <v>36944</v>
      </c>
      <c r="G2214" s="5">
        <v>37278</v>
      </c>
      <c r="H2214" s="16">
        <v>334</v>
      </c>
      <c r="I2214" s="5">
        <v>37278</v>
      </c>
      <c r="J2214" s="5">
        <v>37754</v>
      </c>
      <c r="K2214" s="16">
        <v>810</v>
      </c>
      <c r="L2214" s="13">
        <v>68350</v>
      </c>
      <c r="M2214" s="15">
        <v>6454.7783082428832</v>
      </c>
      <c r="N2214" s="13">
        <v>68350</v>
      </c>
      <c r="O2214" s="13">
        <v>0</v>
      </c>
      <c r="P2214" s="11">
        <v>0</v>
      </c>
    </row>
    <row r="2215" spans="1:16" ht="15" thickBot="1" x14ac:dyDescent="0.3">
      <c r="A2215" s="3" t="s">
        <v>24</v>
      </c>
      <c r="B2215" s="4">
        <v>601885</v>
      </c>
      <c r="C2215" s="3" t="s">
        <v>7</v>
      </c>
      <c r="D2215" s="18">
        <v>8.5000000000000006E-2</v>
      </c>
      <c r="E2215" s="21">
        <v>6.8214933659622723E-3</v>
      </c>
      <c r="F2215" s="5">
        <v>38111</v>
      </c>
      <c r="G2215" s="5">
        <v>41947</v>
      </c>
      <c r="H2215" s="16">
        <v>3836</v>
      </c>
      <c r="I2215" s="5">
        <v>41947</v>
      </c>
      <c r="J2215" s="5">
        <v>40827</v>
      </c>
      <c r="K2215" s="16">
        <v>2716</v>
      </c>
      <c r="L2215" s="13">
        <v>81165.83</v>
      </c>
      <c r="M2215" s="15">
        <v>953.37974422752177</v>
      </c>
      <c r="N2215" s="13">
        <v>81165.83</v>
      </c>
      <c r="O2215" s="13">
        <v>0</v>
      </c>
      <c r="P2215" s="11">
        <v>0</v>
      </c>
    </row>
    <row r="2216" spans="1:16" ht="15" thickBot="1" x14ac:dyDescent="0.3">
      <c r="A2216" s="3" t="s">
        <v>24</v>
      </c>
      <c r="B2216" s="4">
        <v>393273</v>
      </c>
      <c r="C2216" s="3" t="s">
        <v>7</v>
      </c>
      <c r="D2216" s="18">
        <v>0.09</v>
      </c>
      <c r="E2216" s="21">
        <v>7.2073233161367156E-3</v>
      </c>
      <c r="F2216" s="5">
        <v>39475</v>
      </c>
      <c r="G2216" s="5">
        <v>40265</v>
      </c>
      <c r="H2216" s="16">
        <v>790</v>
      </c>
      <c r="I2216" s="5">
        <v>40265</v>
      </c>
      <c r="J2216" s="5">
        <v>43322</v>
      </c>
      <c r="K2216" s="16">
        <v>3847</v>
      </c>
      <c r="L2216" s="13">
        <v>68931.53</v>
      </c>
      <c r="M2216" s="15">
        <v>2883.3055621438143</v>
      </c>
      <c r="N2216" s="13">
        <v>68931.53</v>
      </c>
      <c r="O2216" s="13">
        <v>0</v>
      </c>
      <c r="P2216" s="11">
        <v>0</v>
      </c>
    </row>
    <row r="2217" spans="1:16" ht="15" thickBot="1" x14ac:dyDescent="0.3">
      <c r="A2217" s="3" t="s">
        <v>24</v>
      </c>
      <c r="B2217" s="4">
        <v>4701</v>
      </c>
      <c r="C2217" s="3" t="s">
        <v>7</v>
      </c>
      <c r="D2217" s="18">
        <v>8.7499999999999994E-2</v>
      </c>
      <c r="E2217" s="21">
        <v>7.0146116041400752E-3</v>
      </c>
      <c r="F2217" s="5">
        <v>39639</v>
      </c>
      <c r="G2217" s="5">
        <v>40308</v>
      </c>
      <c r="H2217" s="16">
        <v>669</v>
      </c>
      <c r="I2217" s="5">
        <v>40308</v>
      </c>
      <c r="J2217" s="5">
        <v>40134</v>
      </c>
      <c r="K2217" s="16">
        <v>495</v>
      </c>
      <c r="L2217" s="13">
        <v>25000</v>
      </c>
      <c r="M2217" s="15">
        <v>1214.9633241871672</v>
      </c>
      <c r="N2217" s="13">
        <v>25000</v>
      </c>
      <c r="O2217" s="13">
        <v>0</v>
      </c>
      <c r="P2217" s="11">
        <v>0</v>
      </c>
    </row>
    <row r="2218" spans="1:16" ht="15" thickBot="1" x14ac:dyDescent="0.3">
      <c r="A2218" s="3" t="s">
        <v>24</v>
      </c>
      <c r="B2218" s="4">
        <v>943768</v>
      </c>
      <c r="C2218" s="3" t="s">
        <v>7</v>
      </c>
      <c r="D2218" s="18">
        <v>8.7499999999999994E-2</v>
      </c>
      <c r="E2218" s="21">
        <v>7.0146116041400752E-3</v>
      </c>
      <c r="F2218" s="5">
        <v>39699</v>
      </c>
      <c r="G2218" s="5">
        <v>40429</v>
      </c>
      <c r="H2218" s="16">
        <v>730</v>
      </c>
      <c r="I2218" s="5">
        <v>40429</v>
      </c>
      <c r="J2218" s="5">
        <v>40087</v>
      </c>
      <c r="K2218" s="16">
        <v>388</v>
      </c>
      <c r="L2218" s="13">
        <v>223752.02</v>
      </c>
      <c r="M2218" s="15">
        <v>10034.504870256987</v>
      </c>
      <c r="N2218" s="13">
        <v>223752.02</v>
      </c>
      <c r="O2218" s="13">
        <v>0</v>
      </c>
      <c r="P2218" s="11">
        <v>0</v>
      </c>
    </row>
    <row r="2219" spans="1:16" ht="15" thickBot="1" x14ac:dyDescent="0.3">
      <c r="A2219" s="3" t="s">
        <v>24</v>
      </c>
      <c r="B2219" s="4">
        <v>919869</v>
      </c>
      <c r="C2219" s="3" t="s">
        <v>7</v>
      </c>
      <c r="D2219" s="18">
        <v>0.06</v>
      </c>
      <c r="E2219" s="21">
        <v>4.8675505653430484E-3</v>
      </c>
      <c r="F2219" s="5">
        <v>39932</v>
      </c>
      <c r="G2219" s="5">
        <v>43584</v>
      </c>
      <c r="H2219" s="16">
        <v>3652</v>
      </c>
      <c r="I2219" s="5">
        <v>43584</v>
      </c>
      <c r="J2219" s="5">
        <v>43550</v>
      </c>
      <c r="K2219" s="16">
        <v>3618</v>
      </c>
      <c r="L2219" s="13">
        <v>107797.53</v>
      </c>
      <c r="M2219" s="15">
        <v>1175.7275708942886</v>
      </c>
      <c r="N2219" s="13">
        <v>107797.53</v>
      </c>
      <c r="O2219" s="13">
        <v>0</v>
      </c>
      <c r="P2219" s="11">
        <v>1</v>
      </c>
    </row>
    <row r="2220" spans="1:16" ht="15" thickBot="1" x14ac:dyDescent="0.3">
      <c r="A2220" s="3" t="s">
        <v>24</v>
      </c>
      <c r="B2220" s="4">
        <v>354857</v>
      </c>
      <c r="C2220" s="3" t="s">
        <v>7</v>
      </c>
      <c r="D2220" s="18">
        <v>0.08</v>
      </c>
      <c r="E2220" s="21">
        <v>6.4340301100034303E-3</v>
      </c>
      <c r="F2220" s="5">
        <v>39994</v>
      </c>
      <c r="G2220" s="5">
        <v>41820</v>
      </c>
      <c r="H2220" s="16">
        <v>1826</v>
      </c>
      <c r="I2220" s="5">
        <v>41820</v>
      </c>
      <c r="J2220" s="5">
        <v>40906</v>
      </c>
      <c r="K2220" s="16">
        <v>912</v>
      </c>
      <c r="L2220" s="13">
        <v>150858</v>
      </c>
      <c r="M2220" s="15">
        <v>3003.2715673034304</v>
      </c>
      <c r="N2220" s="13">
        <v>150858</v>
      </c>
      <c r="O2220" s="13">
        <v>150858</v>
      </c>
      <c r="P2220" s="11">
        <v>0</v>
      </c>
    </row>
    <row r="2221" spans="1:16" ht="15" thickBot="1" x14ac:dyDescent="0.3">
      <c r="A2221" s="3" t="s">
        <v>24</v>
      </c>
      <c r="B2221" s="4">
        <v>287459</v>
      </c>
      <c r="C2221" s="3" t="s">
        <v>7</v>
      </c>
      <c r="D2221" s="18">
        <v>0.06</v>
      </c>
      <c r="E2221" s="21">
        <v>4.8675505653430484E-3</v>
      </c>
      <c r="F2221" s="5">
        <v>42394</v>
      </c>
      <c r="G2221" s="5">
        <v>44221</v>
      </c>
      <c r="H2221" s="16">
        <v>1827</v>
      </c>
      <c r="I2221" s="5">
        <v>44221</v>
      </c>
      <c r="J2221" s="5">
        <v>42607</v>
      </c>
      <c r="K2221" s="16">
        <v>213</v>
      </c>
      <c r="L2221" s="13">
        <v>104040.89</v>
      </c>
      <c r="M2221" s="15">
        <v>1978.2172233296114</v>
      </c>
      <c r="N2221" s="13">
        <v>104040.89</v>
      </c>
      <c r="O2221" s="13">
        <v>0</v>
      </c>
      <c r="P2221" s="11">
        <v>1</v>
      </c>
    </row>
    <row r="2222" spans="1:16" ht="15" thickBot="1" x14ac:dyDescent="0.3">
      <c r="A2222" s="3" t="s">
        <v>24</v>
      </c>
      <c r="B2222" s="4">
        <v>357000</v>
      </c>
      <c r="C2222" s="3" t="s">
        <v>18</v>
      </c>
      <c r="D2222" s="18">
        <v>8.7499999999999994E-2</v>
      </c>
      <c r="E2222" s="21">
        <v>7.0146116041400752E-3</v>
      </c>
      <c r="F2222" s="5">
        <v>38965</v>
      </c>
      <c r="G2222" s="5">
        <v>44566</v>
      </c>
      <c r="H2222" s="16">
        <v>5601</v>
      </c>
      <c r="I2222" s="5">
        <v>44566</v>
      </c>
      <c r="J2222" s="5">
        <v>41261</v>
      </c>
      <c r="K2222" s="16">
        <v>2296</v>
      </c>
      <c r="L2222" s="13">
        <v>225000</v>
      </c>
      <c r="M2222" s="15">
        <v>2165.4709129452986</v>
      </c>
      <c r="N2222" s="13">
        <v>188957.23</v>
      </c>
      <c r="O2222" s="13">
        <v>2500</v>
      </c>
      <c r="P2222" s="11">
        <v>1</v>
      </c>
    </row>
    <row r="2223" spans="1:16" ht="15" thickBot="1" x14ac:dyDescent="0.3">
      <c r="A2223" s="3" t="s">
        <v>24</v>
      </c>
      <c r="B2223" s="4">
        <v>306346</v>
      </c>
      <c r="C2223" s="3" t="s">
        <v>28</v>
      </c>
      <c r="D2223" s="18">
        <v>0.08</v>
      </c>
      <c r="E2223" s="21">
        <v>6.4340301100034303E-3</v>
      </c>
      <c r="F2223" s="5">
        <v>39268</v>
      </c>
      <c r="G2223" s="5">
        <v>41091</v>
      </c>
      <c r="H2223" s="16">
        <v>1823</v>
      </c>
      <c r="I2223" s="5">
        <v>44682</v>
      </c>
      <c r="J2223" s="5">
        <v>41414</v>
      </c>
      <c r="K2223" s="16">
        <v>2146</v>
      </c>
      <c r="L2223" s="13">
        <v>243689.9</v>
      </c>
      <c r="M2223" s="15">
        <v>4857.8897897774978</v>
      </c>
      <c r="N2223" s="13">
        <v>152120</v>
      </c>
      <c r="O2223" s="13">
        <v>0</v>
      </c>
      <c r="P2223" s="11">
        <v>0</v>
      </c>
    </row>
    <row r="2224" spans="1:16" ht="15" thickBot="1" x14ac:dyDescent="0.3">
      <c r="A2224" s="3" t="s">
        <v>24</v>
      </c>
      <c r="B2224" s="4">
        <v>889344</v>
      </c>
      <c r="C2224" s="3" t="s">
        <v>28</v>
      </c>
      <c r="D2224" s="18">
        <v>9.0499999999999997E-2</v>
      </c>
      <c r="E2224" s="21">
        <v>7.2458170327041049E-3</v>
      </c>
      <c r="F2224" s="5">
        <v>40011</v>
      </c>
      <c r="G2224" s="5">
        <v>40375</v>
      </c>
      <c r="H2224" s="16">
        <v>364</v>
      </c>
      <c r="I2224" s="5">
        <v>41183</v>
      </c>
      <c r="J2224" s="5">
        <v>41425</v>
      </c>
      <c r="K2224" s="16">
        <v>1414</v>
      </c>
      <c r="L2224" s="13">
        <v>101135</v>
      </c>
      <c r="M2224" s="15">
        <v>8737.2154836194877</v>
      </c>
      <c r="N2224" s="13">
        <v>54665.8</v>
      </c>
      <c r="O2224" s="13">
        <v>0</v>
      </c>
      <c r="P2224" s="11">
        <v>0</v>
      </c>
    </row>
    <row r="2225" spans="1:16" ht="15" thickBot="1" x14ac:dyDescent="0.3">
      <c r="A2225" s="3" t="s">
        <v>24</v>
      </c>
      <c r="B2225" s="4">
        <v>772526</v>
      </c>
      <c r="C2225" s="3" t="s">
        <v>5</v>
      </c>
      <c r="D2225" s="18">
        <v>8.2500000000000004E-2</v>
      </c>
      <c r="E2225" s="21">
        <v>6.6279668043680573E-3</v>
      </c>
      <c r="F2225" s="5">
        <v>38673</v>
      </c>
      <c r="G2225" s="5">
        <v>39219</v>
      </c>
      <c r="H2225" s="16">
        <v>546</v>
      </c>
      <c r="I2225" s="5">
        <v>39585</v>
      </c>
      <c r="J2225" s="5">
        <v>39665</v>
      </c>
      <c r="K2225" s="16">
        <v>992</v>
      </c>
      <c r="L2225" s="13">
        <v>2563555</v>
      </c>
      <c r="M2225" s="15">
        <v>149986.72278760679</v>
      </c>
      <c r="N2225" s="13">
        <v>1787166.71</v>
      </c>
      <c r="O2225" s="13">
        <v>2750</v>
      </c>
      <c r="P2225" s="11">
        <v>0</v>
      </c>
    </row>
    <row r="2226" spans="1:16" ht="15" thickBot="1" x14ac:dyDescent="0.3">
      <c r="A2226" s="3" t="s">
        <v>24</v>
      </c>
      <c r="B2226" s="4">
        <v>848102</v>
      </c>
      <c r="C2226" s="3" t="s">
        <v>5</v>
      </c>
      <c r="D2226" s="18">
        <v>8.7499999999999994E-2</v>
      </c>
      <c r="E2226" s="21">
        <v>7.0146116041400752E-3</v>
      </c>
      <c r="F2226" s="5">
        <v>38701</v>
      </c>
      <c r="G2226" s="5">
        <v>39248</v>
      </c>
      <c r="H2226" s="16">
        <v>547</v>
      </c>
      <c r="I2226" s="5">
        <v>43166</v>
      </c>
      <c r="J2226" s="5">
        <v>40836</v>
      </c>
      <c r="K2226" s="16">
        <v>2135</v>
      </c>
      <c r="L2226" s="13">
        <v>1211120</v>
      </c>
      <c r="M2226" s="15">
        <v>70994.071895463945</v>
      </c>
      <c r="N2226" s="13">
        <v>641359.1</v>
      </c>
      <c r="O2226" s="13">
        <v>145260.85</v>
      </c>
      <c r="P2226" s="11">
        <v>0</v>
      </c>
    </row>
    <row r="2227" spans="1:16" ht="15" thickBot="1" x14ac:dyDescent="0.3">
      <c r="A2227" s="3" t="s">
        <v>24</v>
      </c>
      <c r="B2227" s="4">
        <v>121856</v>
      </c>
      <c r="C2227" s="3" t="s">
        <v>5</v>
      </c>
      <c r="D2227" s="18">
        <v>8.5000000000000006E-2</v>
      </c>
      <c r="E2227" s="21">
        <v>6.8214933659622723E-3</v>
      </c>
      <c r="F2227" s="5">
        <v>38803</v>
      </c>
      <c r="G2227" s="5">
        <v>39173</v>
      </c>
      <c r="H2227" s="16">
        <v>370</v>
      </c>
      <c r="I2227" s="5">
        <v>40303</v>
      </c>
      <c r="J2227" s="5">
        <v>40533</v>
      </c>
      <c r="K2227" s="16">
        <v>1730</v>
      </c>
      <c r="L2227" s="13">
        <v>5000000</v>
      </c>
      <c r="M2227" s="15">
        <v>424078.5941623628</v>
      </c>
      <c r="N2227" s="13">
        <v>3244000</v>
      </c>
      <c r="O2227" s="13">
        <v>0</v>
      </c>
      <c r="P2227" s="11">
        <v>0</v>
      </c>
    </row>
    <row r="2228" spans="1:16" ht="15" thickBot="1" x14ac:dyDescent="0.3">
      <c r="A2228" s="3" t="s">
        <v>24</v>
      </c>
      <c r="B2228" s="4">
        <v>228993</v>
      </c>
      <c r="C2228" s="3" t="s">
        <v>7</v>
      </c>
      <c r="D2228" s="18">
        <v>7.7499999999999999E-2</v>
      </c>
      <c r="E2228" s="21">
        <v>6.2396814612857288E-3</v>
      </c>
      <c r="F2228" s="5">
        <v>38820</v>
      </c>
      <c r="G2228" s="5">
        <v>42475</v>
      </c>
      <c r="H2228" s="16">
        <v>3655</v>
      </c>
      <c r="I2228" s="5">
        <v>46096</v>
      </c>
      <c r="J2228" s="5">
        <v>41410</v>
      </c>
      <c r="K2228" s="16">
        <v>2590</v>
      </c>
      <c r="L2228" s="13">
        <v>903790</v>
      </c>
      <c r="M2228" s="15">
        <v>10613.83069444485</v>
      </c>
      <c r="N2228" s="13">
        <v>598848.57999999996</v>
      </c>
      <c r="O2228" s="13">
        <v>0</v>
      </c>
      <c r="P2228" s="11">
        <v>1</v>
      </c>
    </row>
    <row r="2229" spans="1:16" ht="15" thickBot="1" x14ac:dyDescent="0.3">
      <c r="A2229" s="3" t="s">
        <v>24</v>
      </c>
      <c r="B2229" s="4">
        <v>973854</v>
      </c>
      <c r="C2229" s="3" t="s">
        <v>27</v>
      </c>
      <c r="D2229" s="18">
        <v>8.7499999999999994E-2</v>
      </c>
      <c r="E2229" s="21">
        <v>7.0146116041400752E-3</v>
      </c>
      <c r="F2229" s="5">
        <v>38847</v>
      </c>
      <c r="G2229" s="5">
        <v>40673</v>
      </c>
      <c r="H2229" s="16">
        <v>1826</v>
      </c>
      <c r="I2229" s="5">
        <v>40673</v>
      </c>
      <c r="J2229" s="5">
        <v>40176</v>
      </c>
      <c r="K2229" s="16">
        <v>1329</v>
      </c>
      <c r="L2229" s="13">
        <v>42000</v>
      </c>
      <c r="M2229" s="15">
        <v>850.17132358558183</v>
      </c>
      <c r="N2229" s="13">
        <v>22500</v>
      </c>
      <c r="O2229" s="13">
        <v>0</v>
      </c>
      <c r="P2229" s="11">
        <v>0</v>
      </c>
    </row>
    <row r="2230" spans="1:16" ht="15" thickBot="1" x14ac:dyDescent="0.3">
      <c r="A2230" s="3" t="s">
        <v>24</v>
      </c>
      <c r="B2230" s="4">
        <v>638030</v>
      </c>
      <c r="C2230" s="3" t="s">
        <v>5</v>
      </c>
      <c r="D2230" s="18">
        <v>8.7499999999999994E-2</v>
      </c>
      <c r="E2230" s="21">
        <v>7.0146116041400752E-3</v>
      </c>
      <c r="F2230" s="5">
        <v>38852</v>
      </c>
      <c r="G2230" s="5">
        <v>39401</v>
      </c>
      <c r="H2230" s="16">
        <v>549</v>
      </c>
      <c r="I2230" s="5">
        <v>40313</v>
      </c>
      <c r="J2230" s="5">
        <v>40625</v>
      </c>
      <c r="K2230" s="16">
        <v>1773</v>
      </c>
      <c r="L2230" s="13">
        <v>1000000</v>
      </c>
      <c r="M2230" s="15">
        <v>58418.302260894903</v>
      </c>
      <c r="N2230" s="13">
        <v>998536.79</v>
      </c>
      <c r="O2230" s="13">
        <v>0</v>
      </c>
      <c r="P2230" s="11">
        <v>0</v>
      </c>
    </row>
    <row r="2231" spans="1:16" ht="15" thickBot="1" x14ac:dyDescent="0.3">
      <c r="A2231" s="3" t="s">
        <v>24</v>
      </c>
      <c r="B2231" s="4">
        <v>614907</v>
      </c>
      <c r="C2231" s="3" t="s">
        <v>28</v>
      </c>
      <c r="D2231" s="18">
        <v>8.2500000000000004E-2</v>
      </c>
      <c r="E2231" s="21">
        <v>6.6279668043680573E-3</v>
      </c>
      <c r="F2231" s="5">
        <v>38909</v>
      </c>
      <c r="G2231" s="5">
        <v>40735</v>
      </c>
      <c r="H2231" s="16">
        <v>1826</v>
      </c>
      <c r="I2231" s="5">
        <v>40735</v>
      </c>
      <c r="J2231" s="5">
        <v>40669</v>
      </c>
      <c r="K2231" s="16">
        <v>1760</v>
      </c>
      <c r="L2231" s="13">
        <v>249526</v>
      </c>
      <c r="M2231" s="15">
        <v>4995.3146291454905</v>
      </c>
      <c r="N2231" s="13">
        <v>164096</v>
      </c>
      <c r="O2231" s="13">
        <v>0</v>
      </c>
      <c r="P2231" s="11">
        <v>0</v>
      </c>
    </row>
    <row r="2232" spans="1:16" ht="15" thickBot="1" x14ac:dyDescent="0.3">
      <c r="A2232" s="3" t="s">
        <v>24</v>
      </c>
      <c r="B2232" s="4">
        <v>784805</v>
      </c>
      <c r="C2232" s="3" t="s">
        <v>18</v>
      </c>
      <c r="D2232" s="18">
        <v>8.7499999999999994E-2</v>
      </c>
      <c r="E2232" s="21">
        <v>7.0146116041400752E-3</v>
      </c>
      <c r="F2232" s="5">
        <v>38936</v>
      </c>
      <c r="G2232" s="5">
        <v>39028</v>
      </c>
      <c r="H2232" s="16">
        <v>92</v>
      </c>
      <c r="I2232" s="5">
        <v>42589</v>
      </c>
      <c r="J2232" s="5">
        <v>41179</v>
      </c>
      <c r="K2232" s="16">
        <v>2243</v>
      </c>
      <c r="L2232" s="13">
        <v>97000</v>
      </c>
      <c r="M2232" s="15">
        <v>32082.667272694558</v>
      </c>
      <c r="N2232" s="13">
        <v>36557.279999999999</v>
      </c>
      <c r="O2232" s="13">
        <v>3252.72</v>
      </c>
      <c r="P2232" s="11">
        <v>0</v>
      </c>
    </row>
    <row r="2233" spans="1:16" ht="15" thickBot="1" x14ac:dyDescent="0.3">
      <c r="A2233" s="3" t="s">
        <v>24</v>
      </c>
      <c r="B2233" s="4">
        <v>560698</v>
      </c>
      <c r="C2233" s="3" t="s">
        <v>5</v>
      </c>
      <c r="D2233" s="18">
        <v>8.7499999999999994E-2</v>
      </c>
      <c r="E2233" s="21">
        <v>7.0146116041400752E-3</v>
      </c>
      <c r="F2233" s="5">
        <v>39072</v>
      </c>
      <c r="G2233" s="5">
        <v>39437</v>
      </c>
      <c r="H2233" s="16">
        <v>365</v>
      </c>
      <c r="I2233" s="5">
        <v>40313</v>
      </c>
      <c r="J2233" s="5">
        <v>40836</v>
      </c>
      <c r="K2233" s="16">
        <v>1764</v>
      </c>
      <c r="L2233" s="13">
        <v>1007470</v>
      </c>
      <c r="M2233" s="15">
        <v>86679.424893075964</v>
      </c>
      <c r="N2233" s="13">
        <v>549500</v>
      </c>
      <c r="O2233" s="13">
        <v>0</v>
      </c>
      <c r="P2233" s="11">
        <v>0</v>
      </c>
    </row>
    <row r="2234" spans="1:16" ht="15" thickBot="1" x14ac:dyDescent="0.3">
      <c r="A2234" s="3" t="s">
        <v>24</v>
      </c>
      <c r="B2234" s="4">
        <v>550877</v>
      </c>
      <c r="C2234" s="3" t="s">
        <v>5</v>
      </c>
      <c r="D2234" s="18">
        <v>7.3999999999999996E-2</v>
      </c>
      <c r="E2234" s="21">
        <v>5.9668977756095476E-3</v>
      </c>
      <c r="F2234" s="5">
        <v>39084</v>
      </c>
      <c r="G2234" s="5">
        <v>39449</v>
      </c>
      <c r="H2234" s="16">
        <v>365</v>
      </c>
      <c r="I2234" s="5">
        <v>40757</v>
      </c>
      <c r="J2234" s="5">
        <v>39953</v>
      </c>
      <c r="K2234" s="16">
        <v>869</v>
      </c>
      <c r="L2234" s="13">
        <v>150000</v>
      </c>
      <c r="M2234" s="15">
        <v>12818.428425500168</v>
      </c>
      <c r="N2234" s="13">
        <v>80000</v>
      </c>
      <c r="O2234" s="13">
        <v>0</v>
      </c>
      <c r="P2234" s="11">
        <v>0</v>
      </c>
    </row>
    <row r="2235" spans="1:16" ht="15" thickBot="1" x14ac:dyDescent="0.3">
      <c r="A2235" s="3" t="s">
        <v>24</v>
      </c>
      <c r="B2235" s="4">
        <v>204645</v>
      </c>
      <c r="C2235" s="3" t="s">
        <v>7</v>
      </c>
      <c r="D2235" s="18">
        <v>7.9689999999999997E-2</v>
      </c>
      <c r="E2235" s="21">
        <v>6.4099532888273192E-3</v>
      </c>
      <c r="F2235" s="5">
        <v>39136</v>
      </c>
      <c r="G2235" s="5">
        <v>39203</v>
      </c>
      <c r="H2235" s="16">
        <v>67</v>
      </c>
      <c r="I2235" s="5">
        <v>46500</v>
      </c>
      <c r="J2235" s="5">
        <v>40372</v>
      </c>
      <c r="K2235" s="16">
        <v>1236</v>
      </c>
      <c r="L2235" s="13">
        <v>400000</v>
      </c>
      <c r="M2235" s="15">
        <v>180962.93161293678</v>
      </c>
      <c r="N2235" s="13">
        <v>265000.14</v>
      </c>
      <c r="O2235" s="13">
        <v>0</v>
      </c>
      <c r="P2235" s="11">
        <v>0</v>
      </c>
    </row>
    <row r="2236" spans="1:16" ht="15" thickBot="1" x14ac:dyDescent="0.3">
      <c r="A2236" s="3" t="s">
        <v>24</v>
      </c>
      <c r="B2236" s="4">
        <v>173913</v>
      </c>
      <c r="C2236" s="3" t="s">
        <v>5</v>
      </c>
      <c r="D2236" s="18">
        <v>8.5000000000000006E-2</v>
      </c>
      <c r="E2236" s="21">
        <v>6.8214933659622723E-3</v>
      </c>
      <c r="F2236" s="5">
        <v>39170</v>
      </c>
      <c r="G2236" s="5">
        <v>39540</v>
      </c>
      <c r="H2236" s="16">
        <v>370</v>
      </c>
      <c r="I2236" s="5">
        <v>40303</v>
      </c>
      <c r="J2236" s="5">
        <v>40442</v>
      </c>
      <c r="K2236" s="16">
        <v>1272</v>
      </c>
      <c r="L2236" s="13">
        <v>2500000</v>
      </c>
      <c r="M2236" s="15">
        <v>212039.2970811814</v>
      </c>
      <c r="N2236" s="13">
        <v>2341107.17</v>
      </c>
      <c r="O2236" s="13">
        <v>0</v>
      </c>
      <c r="P2236" s="11">
        <v>0</v>
      </c>
    </row>
    <row r="2237" spans="1:16" ht="15" thickBot="1" x14ac:dyDescent="0.3">
      <c r="A2237" s="3" t="s">
        <v>24</v>
      </c>
      <c r="B2237" s="4">
        <v>672530</v>
      </c>
      <c r="C2237" s="3" t="s">
        <v>28</v>
      </c>
      <c r="D2237" s="18">
        <v>8.5000000000000006E-2</v>
      </c>
      <c r="E2237" s="21">
        <v>6.8214933659622723E-3</v>
      </c>
      <c r="F2237" s="5">
        <v>39279</v>
      </c>
      <c r="G2237" s="5">
        <v>39825</v>
      </c>
      <c r="H2237" s="16">
        <v>546</v>
      </c>
      <c r="I2237" s="5">
        <v>41376</v>
      </c>
      <c r="J2237" s="5">
        <v>40907</v>
      </c>
      <c r="K2237" s="16">
        <v>1628</v>
      </c>
      <c r="L2237" s="13">
        <v>5200000</v>
      </c>
      <c r="M2237" s="15">
        <v>304789.21249069535</v>
      </c>
      <c r="N2237" s="13">
        <v>2055343.41</v>
      </c>
      <c r="O2237" s="13">
        <v>0</v>
      </c>
      <c r="P2237" s="11">
        <v>0</v>
      </c>
    </row>
    <row r="2238" spans="1:16" ht="15" thickBot="1" x14ac:dyDescent="0.3">
      <c r="A2238" s="3" t="s">
        <v>24</v>
      </c>
      <c r="B2238" s="4">
        <v>141911</v>
      </c>
      <c r="C2238" s="3" t="s">
        <v>31</v>
      </c>
      <c r="D2238" s="18">
        <v>0.09</v>
      </c>
      <c r="E2238" s="21">
        <v>7.2073233161367156E-3</v>
      </c>
      <c r="F2238" s="5">
        <v>39454</v>
      </c>
      <c r="G2238" s="5">
        <v>42024</v>
      </c>
      <c r="H2238" s="16">
        <v>2570</v>
      </c>
      <c r="I2238" s="5">
        <v>42906</v>
      </c>
      <c r="J2238" s="5">
        <v>40631</v>
      </c>
      <c r="K2238" s="16">
        <v>1177</v>
      </c>
      <c r="L2238" s="13">
        <v>70426</v>
      </c>
      <c r="M2238" s="15">
        <v>1104.7038090401938</v>
      </c>
      <c r="N2238" s="13">
        <v>30814.78</v>
      </c>
      <c r="O2238" s="13">
        <v>0</v>
      </c>
      <c r="P2238" s="11">
        <v>1</v>
      </c>
    </row>
    <row r="2239" spans="1:16" ht="15" thickBot="1" x14ac:dyDescent="0.3">
      <c r="A2239" s="3" t="s">
        <v>24</v>
      </c>
      <c r="B2239" s="4">
        <v>244775</v>
      </c>
      <c r="C2239" s="3" t="s">
        <v>17</v>
      </c>
      <c r="D2239" s="18">
        <v>9.7500000000000003E-2</v>
      </c>
      <c r="E2239" s="21">
        <v>7.7830370878799737E-3</v>
      </c>
      <c r="F2239" s="5">
        <v>39566</v>
      </c>
      <c r="G2239" s="5">
        <v>39931</v>
      </c>
      <c r="H2239" s="16">
        <v>365</v>
      </c>
      <c r="I2239" s="5">
        <v>40695</v>
      </c>
      <c r="J2239" s="5">
        <v>40794</v>
      </c>
      <c r="K2239" s="16">
        <v>1228</v>
      </c>
      <c r="L2239" s="13">
        <v>160000</v>
      </c>
      <c r="M2239" s="15">
        <v>13834.22512991612</v>
      </c>
      <c r="N2239" s="13">
        <v>105644.09</v>
      </c>
      <c r="O2239" s="13">
        <v>1684.79</v>
      </c>
      <c r="P2239" s="11">
        <v>0</v>
      </c>
    </row>
    <row r="2240" spans="1:16" ht="15" thickBot="1" x14ac:dyDescent="0.3">
      <c r="A2240" s="3" t="s">
        <v>24</v>
      </c>
      <c r="B2240" s="4">
        <v>908424</v>
      </c>
      <c r="C2240" s="3" t="s">
        <v>27</v>
      </c>
      <c r="D2240" s="18">
        <v>8.7499999999999994E-2</v>
      </c>
      <c r="E2240" s="21">
        <v>7.0146116041400752E-3</v>
      </c>
      <c r="F2240" s="5">
        <v>39577</v>
      </c>
      <c r="G2240" s="5">
        <v>45055</v>
      </c>
      <c r="H2240" s="16">
        <v>5478</v>
      </c>
      <c r="I2240" s="5">
        <v>45055</v>
      </c>
      <c r="J2240" s="5">
        <v>40359</v>
      </c>
      <c r="K2240" s="16">
        <v>782</v>
      </c>
      <c r="L2240" s="13">
        <v>109558.47</v>
      </c>
      <c r="M2240" s="15">
        <v>1065.9553553750115</v>
      </c>
      <c r="N2240" s="13">
        <v>86530.95</v>
      </c>
      <c r="O2240" s="13">
        <v>0</v>
      </c>
      <c r="P2240" s="11">
        <v>1</v>
      </c>
    </row>
    <row r="2241" spans="1:16" ht="15" thickBot="1" x14ac:dyDescent="0.3">
      <c r="A2241" s="3" t="s">
        <v>24</v>
      </c>
      <c r="B2241" s="4">
        <v>218689</v>
      </c>
      <c r="C2241" s="3" t="s">
        <v>7</v>
      </c>
      <c r="D2241" s="18">
        <v>8.4909999999999999E-2</v>
      </c>
      <c r="E2241" s="21">
        <v>6.8145335057789858E-3</v>
      </c>
      <c r="F2241" s="5">
        <v>41243</v>
      </c>
      <c r="G2241" s="5">
        <v>42374</v>
      </c>
      <c r="H2241" s="16">
        <v>1131</v>
      </c>
      <c r="I2241" s="5">
        <v>42374</v>
      </c>
      <c r="J2241" s="5">
        <v>42451</v>
      </c>
      <c r="K2241" s="16">
        <v>1208</v>
      </c>
      <c r="L2241" s="13">
        <v>929275.39</v>
      </c>
      <c r="M2241" s="15">
        <v>28034.361994814619</v>
      </c>
      <c r="N2241" s="13">
        <v>82673.100000000006</v>
      </c>
      <c r="O2241" s="13">
        <v>82673.100000000006</v>
      </c>
      <c r="P2241" s="11">
        <v>1</v>
      </c>
    </row>
    <row r="2242" spans="1:16" ht="15" thickBot="1" x14ac:dyDescent="0.3">
      <c r="A2242" s="3" t="s">
        <v>24</v>
      </c>
      <c r="B2242" s="4">
        <v>682354</v>
      </c>
      <c r="C2242" s="3" t="s">
        <v>7</v>
      </c>
      <c r="D2242" s="18">
        <v>8.7499999999999994E-2</v>
      </c>
      <c r="E2242" s="21">
        <v>7.0146116041400752E-3</v>
      </c>
      <c r="F2242" s="5">
        <v>35828</v>
      </c>
      <c r="G2242" s="5">
        <v>37657</v>
      </c>
      <c r="H2242" s="16">
        <v>1829</v>
      </c>
      <c r="I2242" s="5">
        <v>37657</v>
      </c>
      <c r="J2242" s="5">
        <v>37344</v>
      </c>
      <c r="K2242" s="16">
        <v>1516</v>
      </c>
      <c r="L2242" s="13">
        <v>262500</v>
      </c>
      <c r="M2242" s="15">
        <v>5306.578411008004</v>
      </c>
      <c r="N2242" s="13">
        <v>245081.19</v>
      </c>
      <c r="O2242" s="13">
        <v>0</v>
      </c>
      <c r="P2242" s="11">
        <v>0</v>
      </c>
    </row>
    <row r="2243" spans="1:16" ht="15" thickBot="1" x14ac:dyDescent="0.3">
      <c r="A2243" s="3" t="s">
        <v>24</v>
      </c>
      <c r="B2243" s="4">
        <v>917818</v>
      </c>
      <c r="C2243" s="3" t="s">
        <v>18</v>
      </c>
      <c r="D2243" s="18">
        <v>9.5000000000000001E-2</v>
      </c>
      <c r="E2243" s="21">
        <v>7.5915342905825689E-3</v>
      </c>
      <c r="F2243" s="5">
        <v>36334</v>
      </c>
      <c r="G2243" s="5">
        <v>39987</v>
      </c>
      <c r="H2243" s="16">
        <v>3653</v>
      </c>
      <c r="I2243" s="5">
        <v>39987</v>
      </c>
      <c r="J2243" s="5">
        <v>36886</v>
      </c>
      <c r="K2243" s="16">
        <v>552</v>
      </c>
      <c r="L2243" s="13">
        <v>50000</v>
      </c>
      <c r="M2243" s="15">
        <v>630.69233346244357</v>
      </c>
      <c r="N2243" s="13">
        <v>1000</v>
      </c>
      <c r="O2243" s="13">
        <v>52100.14</v>
      </c>
      <c r="P2243" s="11">
        <v>0</v>
      </c>
    </row>
    <row r="2244" spans="1:16" ht="15" thickBot="1" x14ac:dyDescent="0.3">
      <c r="A2244" s="3" t="s">
        <v>24</v>
      </c>
      <c r="B2244" s="4">
        <v>731468</v>
      </c>
      <c r="C2244" s="3" t="s">
        <v>23</v>
      </c>
      <c r="D2244" s="18">
        <v>9.5000000000000001E-2</v>
      </c>
      <c r="E2244" s="21">
        <v>7.5915342905825689E-3</v>
      </c>
      <c r="F2244" s="5">
        <v>36705</v>
      </c>
      <c r="G2244" s="5">
        <v>38544</v>
      </c>
      <c r="H2244" s="16">
        <v>1839</v>
      </c>
      <c r="I2244" s="5">
        <v>38544</v>
      </c>
      <c r="J2244" s="5">
        <v>36795</v>
      </c>
      <c r="K2244" s="16">
        <v>90</v>
      </c>
      <c r="L2244" s="13">
        <v>7377.53</v>
      </c>
      <c r="M2244" s="15">
        <v>150.9668923098441</v>
      </c>
      <c r="N2244" s="13">
        <v>7377.53</v>
      </c>
      <c r="O2244" s="13">
        <v>0</v>
      </c>
      <c r="P2244" s="11">
        <v>0</v>
      </c>
    </row>
    <row r="2245" spans="1:16" ht="15" thickBot="1" x14ac:dyDescent="0.3">
      <c r="A2245" s="3" t="s">
        <v>24</v>
      </c>
      <c r="B2245" s="4">
        <v>458107</v>
      </c>
      <c r="C2245" s="3" t="s">
        <v>5</v>
      </c>
      <c r="D2245" s="18">
        <v>8.2500000000000004E-2</v>
      </c>
      <c r="E2245" s="21">
        <v>6.6279668043680573E-3</v>
      </c>
      <c r="F2245" s="5">
        <v>38995</v>
      </c>
      <c r="G2245" s="5">
        <v>39359</v>
      </c>
      <c r="H2245" s="16">
        <v>364</v>
      </c>
      <c r="I2245" s="5">
        <v>40820</v>
      </c>
      <c r="J2245" s="5">
        <v>40960</v>
      </c>
      <c r="K2245" s="16">
        <v>1965</v>
      </c>
      <c r="L2245" s="13">
        <v>193535</v>
      </c>
      <c r="M2245" s="15">
        <v>16653.427869881914</v>
      </c>
      <c r="N2245" s="13">
        <v>135820</v>
      </c>
      <c r="O2245" s="13">
        <v>190</v>
      </c>
      <c r="P2245" s="11">
        <v>0</v>
      </c>
    </row>
    <row r="2246" spans="1:16" ht="15" thickBot="1" x14ac:dyDescent="0.3">
      <c r="A2246" s="3" t="s">
        <v>24</v>
      </c>
      <c r="B2246" s="4">
        <v>746738</v>
      </c>
      <c r="C2246" s="3" t="s">
        <v>7</v>
      </c>
      <c r="D2246" s="18">
        <v>0.08</v>
      </c>
      <c r="E2246" s="21">
        <v>6.4340301100034303E-3</v>
      </c>
      <c r="F2246" s="5">
        <v>39065</v>
      </c>
      <c r="G2246" s="5">
        <v>42718</v>
      </c>
      <c r="H2246" s="16">
        <v>3653</v>
      </c>
      <c r="I2246" s="5">
        <v>42718</v>
      </c>
      <c r="J2246" s="5">
        <v>39798</v>
      </c>
      <c r="K2246" s="16">
        <v>733</v>
      </c>
      <c r="L2246" s="13">
        <v>507809.5</v>
      </c>
      <c r="M2246" s="15">
        <v>6027.8793825214761</v>
      </c>
      <c r="N2246" s="13">
        <v>442000</v>
      </c>
      <c r="O2246" s="13">
        <v>0</v>
      </c>
      <c r="P2246" s="11">
        <v>1</v>
      </c>
    </row>
    <row r="2247" spans="1:16" ht="15" thickBot="1" x14ac:dyDescent="0.3">
      <c r="A2247" s="3" t="s">
        <v>24</v>
      </c>
      <c r="B2247" s="4">
        <v>149463</v>
      </c>
      <c r="C2247" s="3" t="s">
        <v>18</v>
      </c>
      <c r="D2247" s="18">
        <v>8.7499999999999994E-2</v>
      </c>
      <c r="E2247" s="21">
        <v>7.0146116041400752E-3</v>
      </c>
      <c r="F2247" s="5">
        <v>39279</v>
      </c>
      <c r="G2247" s="5">
        <v>42932</v>
      </c>
      <c r="H2247" s="16">
        <v>3653</v>
      </c>
      <c r="I2247" s="5">
        <v>42932</v>
      </c>
      <c r="J2247" s="5">
        <v>40563</v>
      </c>
      <c r="K2247" s="16">
        <v>1284</v>
      </c>
      <c r="L2247" s="13">
        <v>144000</v>
      </c>
      <c r="M2247" s="15">
        <v>1762.5811257537471</v>
      </c>
      <c r="N2247" s="13">
        <v>64678.39</v>
      </c>
      <c r="O2247" s="13">
        <v>28512.38</v>
      </c>
      <c r="P2247" s="11">
        <v>1</v>
      </c>
    </row>
    <row r="2248" spans="1:16" ht="15" thickBot="1" x14ac:dyDescent="0.3">
      <c r="A2248" s="3" t="s">
        <v>24</v>
      </c>
      <c r="B2248" s="4">
        <v>491405</v>
      </c>
      <c r="C2248" s="3" t="s">
        <v>7</v>
      </c>
      <c r="D2248" s="18">
        <v>8.7499999999999994E-2</v>
      </c>
      <c r="E2248" s="21">
        <v>7.0146116041400752E-3</v>
      </c>
      <c r="F2248" s="5">
        <v>39316</v>
      </c>
      <c r="G2248" s="5">
        <v>39682</v>
      </c>
      <c r="H2248" s="16">
        <v>366</v>
      </c>
      <c r="I2248" s="5">
        <v>42014</v>
      </c>
      <c r="J2248" s="5">
        <v>40669</v>
      </c>
      <c r="K2248" s="16">
        <v>1353</v>
      </c>
      <c r="L2248" s="13">
        <v>202875</v>
      </c>
      <c r="M2248" s="15">
        <v>17409.010548194117</v>
      </c>
      <c r="N2248" s="13">
        <v>51534.9</v>
      </c>
      <c r="O2248" s="13">
        <v>154200</v>
      </c>
      <c r="P2248" s="11">
        <v>0</v>
      </c>
    </row>
    <row r="2249" spans="1:16" ht="15" thickBot="1" x14ac:dyDescent="0.3">
      <c r="A2249" s="3" t="s">
        <v>24</v>
      </c>
      <c r="B2249" s="4">
        <v>251334</v>
      </c>
      <c r="C2249" s="3" t="s">
        <v>8</v>
      </c>
      <c r="D2249" s="18">
        <v>8.7499999999999994E-2</v>
      </c>
      <c r="E2249" s="21">
        <v>7.0146116041400752E-3</v>
      </c>
      <c r="F2249" s="5">
        <v>39316</v>
      </c>
      <c r="G2249" s="5">
        <v>39682</v>
      </c>
      <c r="H2249" s="16">
        <v>366</v>
      </c>
      <c r="I2249" s="5">
        <v>42014</v>
      </c>
      <c r="J2249" s="5">
        <v>40669</v>
      </c>
      <c r="K2249" s="16">
        <v>1353</v>
      </c>
      <c r="L2249" s="13">
        <v>101387</v>
      </c>
      <c r="M2249" s="15">
        <v>8700.1717927283171</v>
      </c>
      <c r="N2249" s="13">
        <v>101339.12</v>
      </c>
      <c r="O2249" s="13">
        <v>101339.12</v>
      </c>
      <c r="P2249" s="11">
        <v>0</v>
      </c>
    </row>
    <row r="2250" spans="1:16" ht="15" thickBot="1" x14ac:dyDescent="0.3">
      <c r="A2250" s="3" t="s">
        <v>24</v>
      </c>
      <c r="B2250" s="4">
        <v>55022</v>
      </c>
      <c r="C2250" s="3" t="s">
        <v>7</v>
      </c>
      <c r="D2250" s="18">
        <v>7.9600000000000004E-2</v>
      </c>
      <c r="E2250" s="21">
        <v>6.4029620570458246E-3</v>
      </c>
      <c r="F2250" s="5">
        <v>39381</v>
      </c>
      <c r="G2250" s="5">
        <v>41223</v>
      </c>
      <c r="H2250" s="16">
        <v>1842</v>
      </c>
      <c r="I2250" s="5">
        <v>41223</v>
      </c>
      <c r="J2250" s="5">
        <v>40533</v>
      </c>
      <c r="K2250" s="16">
        <v>1152</v>
      </c>
      <c r="L2250" s="13">
        <v>346163</v>
      </c>
      <c r="M2250" s="15">
        <v>6836.297831070151</v>
      </c>
      <c r="N2250" s="13">
        <v>219585.05</v>
      </c>
      <c r="O2250" s="13">
        <v>200</v>
      </c>
      <c r="P2250" s="11">
        <v>0</v>
      </c>
    </row>
    <row r="2251" spans="1:16" ht="15" thickBot="1" x14ac:dyDescent="0.3">
      <c r="A2251" s="3" t="s">
        <v>24</v>
      </c>
      <c r="B2251" s="4">
        <v>222292</v>
      </c>
      <c r="C2251" s="3" t="s">
        <v>18</v>
      </c>
      <c r="D2251" s="18">
        <v>8.7499999999999994E-2</v>
      </c>
      <c r="E2251" s="21">
        <v>7.0146116041400752E-3</v>
      </c>
      <c r="F2251" s="5">
        <v>39520</v>
      </c>
      <c r="G2251" s="5">
        <v>43172</v>
      </c>
      <c r="H2251" s="16">
        <v>3652</v>
      </c>
      <c r="I2251" s="5">
        <v>43172</v>
      </c>
      <c r="J2251" s="5">
        <v>40549</v>
      </c>
      <c r="K2251" s="16">
        <v>1029</v>
      </c>
      <c r="L2251" s="13">
        <v>115000</v>
      </c>
      <c r="M2251" s="15">
        <v>1407.861271262924</v>
      </c>
      <c r="N2251" s="13">
        <v>67151.06</v>
      </c>
      <c r="O2251" s="13">
        <v>0</v>
      </c>
      <c r="P2251" s="11">
        <v>1</v>
      </c>
    </row>
    <row r="2252" spans="1:16" ht="15" thickBot="1" x14ac:dyDescent="0.3">
      <c r="A2252" s="3" t="s">
        <v>24</v>
      </c>
      <c r="B2252" s="4">
        <v>581797</v>
      </c>
      <c r="C2252" s="3" t="s">
        <v>18</v>
      </c>
      <c r="D2252" s="18">
        <v>8.7499999999999994E-2</v>
      </c>
      <c r="E2252" s="21">
        <v>7.0146116041400752E-3</v>
      </c>
      <c r="F2252" s="5">
        <v>39449</v>
      </c>
      <c r="G2252" s="5">
        <v>43102</v>
      </c>
      <c r="H2252" s="16">
        <v>3653</v>
      </c>
      <c r="I2252" s="5">
        <v>43102</v>
      </c>
      <c r="J2252" s="5">
        <v>40623</v>
      </c>
      <c r="K2252" s="16">
        <v>1174</v>
      </c>
      <c r="L2252" s="13">
        <v>205000</v>
      </c>
      <c r="M2252" s="15">
        <v>2509.230074857765</v>
      </c>
      <c r="N2252" s="13">
        <v>108661.62</v>
      </c>
      <c r="O2252" s="13">
        <v>0</v>
      </c>
      <c r="P2252" s="11">
        <v>1</v>
      </c>
    </row>
    <row r="2253" spans="1:16" ht="15" thickBot="1" x14ac:dyDescent="0.3">
      <c r="A2253" s="3" t="s">
        <v>24</v>
      </c>
      <c r="B2253" s="4">
        <v>422103</v>
      </c>
      <c r="C2253" s="3" t="s">
        <v>7</v>
      </c>
      <c r="D2253" s="18">
        <v>8.2500000000000004E-2</v>
      </c>
      <c r="E2253" s="21">
        <v>6.6279668043680573E-3</v>
      </c>
      <c r="F2253" s="5">
        <v>39477</v>
      </c>
      <c r="G2253" s="5">
        <v>41294</v>
      </c>
      <c r="H2253" s="16">
        <v>1817</v>
      </c>
      <c r="I2253" s="5">
        <v>41294</v>
      </c>
      <c r="J2253" s="5">
        <v>39798</v>
      </c>
      <c r="K2253" s="16">
        <v>321</v>
      </c>
      <c r="L2253" s="13">
        <v>151164</v>
      </c>
      <c r="M2253" s="15">
        <v>3038.3626388143025</v>
      </c>
      <c r="N2253" s="13">
        <v>151164</v>
      </c>
      <c r="O2253" s="13">
        <v>0</v>
      </c>
      <c r="P2253" s="11">
        <v>0</v>
      </c>
    </row>
    <row r="2254" spans="1:16" ht="15" thickBot="1" x14ac:dyDescent="0.3">
      <c r="A2254" s="3" t="s">
        <v>24</v>
      </c>
      <c r="B2254" s="4">
        <v>257544</v>
      </c>
      <c r="C2254" s="3" t="s">
        <v>17</v>
      </c>
      <c r="D2254" s="18">
        <v>8.2500000000000004E-2</v>
      </c>
      <c r="E2254" s="21">
        <v>6.6279668043680573E-3</v>
      </c>
      <c r="F2254" s="5">
        <v>39563</v>
      </c>
      <c r="G2254" s="5">
        <v>43230</v>
      </c>
      <c r="H2254" s="16">
        <v>3667</v>
      </c>
      <c r="I2254" s="5">
        <v>43230</v>
      </c>
      <c r="J2254" s="5">
        <v>40168</v>
      </c>
      <c r="K2254" s="16">
        <v>605</v>
      </c>
      <c r="L2254" s="13">
        <v>228940</v>
      </c>
      <c r="M2254" s="15">
        <v>2738.8930353625997</v>
      </c>
      <c r="N2254" s="13">
        <v>225690.3</v>
      </c>
      <c r="O2254" s="13">
        <v>24650</v>
      </c>
      <c r="P2254" s="11">
        <v>1</v>
      </c>
    </row>
    <row r="2255" spans="1:16" ht="15" thickBot="1" x14ac:dyDescent="0.3">
      <c r="A2255" s="3" t="s">
        <v>24</v>
      </c>
      <c r="B2255" s="4">
        <v>354696</v>
      </c>
      <c r="C2255" s="3" t="s">
        <v>7</v>
      </c>
      <c r="D2255" s="18">
        <v>8.7499999999999994E-2</v>
      </c>
      <c r="E2255" s="21">
        <v>7.0146116041400752E-3</v>
      </c>
      <c r="F2255" s="5">
        <v>39644</v>
      </c>
      <c r="G2255" s="5">
        <v>41470</v>
      </c>
      <c r="H2255" s="16">
        <v>1826</v>
      </c>
      <c r="I2255" s="5">
        <v>41470</v>
      </c>
      <c r="J2255" s="5">
        <v>40247</v>
      </c>
      <c r="K2255" s="16">
        <v>603</v>
      </c>
      <c r="L2255" s="13">
        <v>249900</v>
      </c>
      <c r="M2255" s="15">
        <v>5058.5193753342119</v>
      </c>
      <c r="N2255" s="13">
        <v>147891.72</v>
      </c>
      <c r="O2255" s="13">
        <v>24845.24</v>
      </c>
      <c r="P2255" s="11">
        <v>0</v>
      </c>
    </row>
    <row r="2256" spans="1:16" ht="15" thickBot="1" x14ac:dyDescent="0.3">
      <c r="A2256" s="3" t="s">
        <v>24</v>
      </c>
      <c r="B2256" s="4">
        <v>635955</v>
      </c>
      <c r="C2256" s="3" t="s">
        <v>7</v>
      </c>
      <c r="D2256" s="18">
        <v>5.2499999999999998E-2</v>
      </c>
      <c r="E2256" s="21">
        <v>4.2731277661580691E-3</v>
      </c>
      <c r="F2256" s="5">
        <v>40773</v>
      </c>
      <c r="G2256" s="5">
        <v>42931</v>
      </c>
      <c r="H2256" s="16">
        <v>2158</v>
      </c>
      <c r="I2256" s="5">
        <v>42931</v>
      </c>
      <c r="J2256" s="5">
        <v>40777</v>
      </c>
      <c r="K2256" s="16">
        <v>4</v>
      </c>
      <c r="L2256" s="13">
        <v>35000</v>
      </c>
      <c r="M2256" s="15">
        <v>566.19702550391094</v>
      </c>
      <c r="N2256" s="13">
        <v>35000</v>
      </c>
      <c r="O2256" s="13">
        <v>17000</v>
      </c>
      <c r="P2256" s="11">
        <v>1</v>
      </c>
    </row>
    <row r="2257" spans="1:16" ht="15" thickBot="1" x14ac:dyDescent="0.3">
      <c r="A2257" s="3" t="s">
        <v>24</v>
      </c>
      <c r="B2257" s="4">
        <v>748311</v>
      </c>
      <c r="C2257" s="3" t="s">
        <v>28</v>
      </c>
      <c r="D2257" s="18">
        <v>9.5000000000000001E-2</v>
      </c>
      <c r="E2257" s="21">
        <v>7.5915342905825689E-3</v>
      </c>
      <c r="F2257" s="5">
        <v>40974</v>
      </c>
      <c r="G2257" s="5">
        <v>41339</v>
      </c>
      <c r="H2257" s="16">
        <v>365</v>
      </c>
      <c r="I2257" s="5">
        <v>43440</v>
      </c>
      <c r="J2257" s="5">
        <v>42914</v>
      </c>
      <c r="K2257" s="16">
        <v>1940</v>
      </c>
      <c r="L2257" s="13">
        <v>70630</v>
      </c>
      <c r="M2257" s="15">
        <v>6099.4188198682778</v>
      </c>
      <c r="N2257" s="13">
        <v>46344.29</v>
      </c>
      <c r="O2257" s="13">
        <v>2541.4899999999998</v>
      </c>
      <c r="P2257" s="11">
        <v>0</v>
      </c>
    </row>
    <row r="2258" spans="1:16" ht="15" thickBot="1" x14ac:dyDescent="0.3">
      <c r="A2258" s="3" t="s">
        <v>24</v>
      </c>
      <c r="B2258" s="4">
        <v>862142</v>
      </c>
      <c r="C2258" s="3" t="s">
        <v>5</v>
      </c>
      <c r="D2258" s="18">
        <v>7.7499999999999999E-2</v>
      </c>
      <c r="E2258" s="21">
        <v>6.2396814612857288E-3</v>
      </c>
      <c r="F2258" s="5">
        <v>39296</v>
      </c>
      <c r="G2258" s="5">
        <v>39630</v>
      </c>
      <c r="H2258" s="16">
        <v>334</v>
      </c>
      <c r="I2258" s="5">
        <v>40269</v>
      </c>
      <c r="J2258" s="5">
        <v>40371</v>
      </c>
      <c r="K2258" s="16">
        <v>1075</v>
      </c>
      <c r="L2258" s="13">
        <v>538930</v>
      </c>
      <c r="M2258" s="15">
        <v>50258.532263147965</v>
      </c>
      <c r="N2258" s="13">
        <v>387716.55</v>
      </c>
      <c r="O2258" s="13">
        <v>7210.72</v>
      </c>
      <c r="P2258" s="11">
        <v>0</v>
      </c>
    </row>
    <row r="2259" spans="1:16" ht="15" thickBot="1" x14ac:dyDescent="0.3">
      <c r="A2259" s="3" t="s">
        <v>24</v>
      </c>
      <c r="B2259" s="4">
        <v>464100</v>
      </c>
      <c r="C2259" s="3" t="s">
        <v>28</v>
      </c>
      <c r="D2259" s="18">
        <v>7.2499999999999995E-2</v>
      </c>
      <c r="E2259" s="21">
        <v>5.8497409526456767E-3</v>
      </c>
      <c r="F2259" s="5">
        <v>39437</v>
      </c>
      <c r="G2259" s="5">
        <v>39721</v>
      </c>
      <c r="H2259" s="16">
        <v>284</v>
      </c>
      <c r="I2259" s="5">
        <v>45652</v>
      </c>
      <c r="J2259" s="5">
        <v>40844</v>
      </c>
      <c r="K2259" s="16">
        <v>1407</v>
      </c>
      <c r="L2259" s="13">
        <v>55000</v>
      </c>
      <c r="M2259" s="15">
        <v>5989.1839410984858</v>
      </c>
      <c r="N2259" s="13">
        <v>51113.14</v>
      </c>
      <c r="O2259" s="13">
        <v>51113.14</v>
      </c>
      <c r="P2259" s="11">
        <v>0</v>
      </c>
    </row>
    <row r="2260" spans="1:16" ht="15" thickBot="1" x14ac:dyDescent="0.3">
      <c r="A2260" s="3" t="s">
        <v>24</v>
      </c>
      <c r="B2260" s="4">
        <v>830323</v>
      </c>
      <c r="C2260" s="3" t="s">
        <v>27</v>
      </c>
      <c r="D2260" s="18">
        <v>0.1</v>
      </c>
      <c r="E2260" s="21">
        <v>7.9741404289037643E-3</v>
      </c>
      <c r="F2260" s="5">
        <v>39465</v>
      </c>
      <c r="G2260" s="5">
        <v>39605</v>
      </c>
      <c r="H2260" s="16">
        <v>140</v>
      </c>
      <c r="I2260" s="5">
        <v>40763</v>
      </c>
      <c r="J2260" s="5">
        <v>40788</v>
      </c>
      <c r="K2260" s="16">
        <v>1323</v>
      </c>
      <c r="L2260" s="13">
        <v>560000</v>
      </c>
      <c r="M2260" s="15">
        <v>122724.3669801097</v>
      </c>
      <c r="N2260" s="13">
        <v>324722.62</v>
      </c>
      <c r="O2260" s="13">
        <v>0</v>
      </c>
      <c r="P2260" s="11">
        <v>0</v>
      </c>
    </row>
    <row r="2261" spans="1:16" ht="15" thickBot="1" x14ac:dyDescent="0.3">
      <c r="A2261" s="3" t="s">
        <v>24</v>
      </c>
      <c r="B2261" s="4">
        <v>553931</v>
      </c>
      <c r="C2261" s="3" t="s">
        <v>5</v>
      </c>
      <c r="D2261" s="18">
        <v>0.1</v>
      </c>
      <c r="E2261" s="21">
        <v>7.9741404289037643E-3</v>
      </c>
      <c r="F2261" s="5">
        <v>39483</v>
      </c>
      <c r="G2261" s="5">
        <v>39849</v>
      </c>
      <c r="H2261" s="16">
        <v>366</v>
      </c>
      <c r="I2261" s="5">
        <v>43710</v>
      </c>
      <c r="J2261" s="5">
        <v>40722</v>
      </c>
      <c r="K2261" s="16">
        <v>1239</v>
      </c>
      <c r="L2261" s="13">
        <v>105000</v>
      </c>
      <c r="M2261" s="15">
        <v>9066.2291983082432</v>
      </c>
      <c r="N2261" s="13">
        <v>50051.93</v>
      </c>
      <c r="O2261" s="13">
        <v>243</v>
      </c>
      <c r="P2261" s="11">
        <v>0</v>
      </c>
    </row>
    <row r="2262" spans="1:16" ht="15" thickBot="1" x14ac:dyDescent="0.3">
      <c r="A2262" s="3" t="s">
        <v>24</v>
      </c>
      <c r="B2262" s="4">
        <v>203809</v>
      </c>
      <c r="C2262" s="3" t="s">
        <v>5</v>
      </c>
      <c r="D2262" s="18">
        <v>8.2500000000000004E-2</v>
      </c>
      <c r="E2262" s="21">
        <v>6.6279668043680573E-3</v>
      </c>
      <c r="F2262" s="5">
        <v>39674</v>
      </c>
      <c r="G2262" s="5">
        <v>40039</v>
      </c>
      <c r="H2262" s="16">
        <v>365</v>
      </c>
      <c r="I2262" s="5">
        <v>40039</v>
      </c>
      <c r="J2262" s="5">
        <v>40077</v>
      </c>
      <c r="K2262" s="16">
        <v>403</v>
      </c>
      <c r="L2262" s="13">
        <v>607818</v>
      </c>
      <c r="M2262" s="15">
        <v>52164.299155141525</v>
      </c>
      <c r="N2262" s="13">
        <v>127803.18</v>
      </c>
      <c r="O2262" s="13">
        <v>15000</v>
      </c>
      <c r="P2262" s="11">
        <v>0</v>
      </c>
    </row>
    <row r="2263" spans="1:16" ht="15" thickBot="1" x14ac:dyDescent="0.3">
      <c r="A2263" s="3" t="s">
        <v>24</v>
      </c>
      <c r="B2263" s="4">
        <v>446438</v>
      </c>
      <c r="C2263" s="3" t="s">
        <v>5</v>
      </c>
      <c r="D2263" s="18">
        <v>3.7499999999999999E-2</v>
      </c>
      <c r="E2263" s="21">
        <v>3.0725417032555491E-3</v>
      </c>
      <c r="F2263" s="5">
        <v>39678</v>
      </c>
      <c r="G2263" s="5">
        <v>40210</v>
      </c>
      <c r="H2263" s="16">
        <v>532</v>
      </c>
      <c r="I2263" s="5">
        <v>40775</v>
      </c>
      <c r="J2263" s="5">
        <v>40994</v>
      </c>
      <c r="K2263" s="16">
        <v>1316</v>
      </c>
      <c r="L2263" s="13">
        <v>637646</v>
      </c>
      <c r="M2263" s="15">
        <v>37001.172061850833</v>
      </c>
      <c r="N2263" s="13">
        <v>499267.99</v>
      </c>
      <c r="O2263" s="13">
        <v>0</v>
      </c>
      <c r="P2263" s="11">
        <v>0</v>
      </c>
    </row>
    <row r="2264" spans="1:16" ht="15" thickBot="1" x14ac:dyDescent="0.3">
      <c r="A2264" s="3" t="s">
        <v>24</v>
      </c>
      <c r="B2264" s="4">
        <v>272617</v>
      </c>
      <c r="C2264" s="3" t="s">
        <v>8</v>
      </c>
      <c r="D2264" s="18">
        <v>8.7499999999999994E-2</v>
      </c>
      <c r="E2264" s="21">
        <v>7.0146116041400752E-3</v>
      </c>
      <c r="F2264" s="5">
        <v>39987</v>
      </c>
      <c r="G2264" s="5">
        <v>40352</v>
      </c>
      <c r="H2264" s="16">
        <v>365</v>
      </c>
      <c r="I2264" s="5">
        <v>40352</v>
      </c>
      <c r="J2264" s="5">
        <v>40533</v>
      </c>
      <c r="K2264" s="16">
        <v>546</v>
      </c>
      <c r="L2264" s="13">
        <v>897066</v>
      </c>
      <c r="M2264" s="15">
        <v>77180.625697174197</v>
      </c>
      <c r="N2264" s="13">
        <v>616000</v>
      </c>
      <c r="O2264" s="13">
        <v>0</v>
      </c>
      <c r="P2264" s="11">
        <v>0</v>
      </c>
    </row>
  </sheetData>
  <conditionalFormatting sqref="B1:B226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B471-AC6F-4862-9E99-36F21E9A26A1}">
  <sheetPr codeName="Sheet2"/>
  <dimension ref="A1:A2"/>
  <sheetViews>
    <sheetView workbookViewId="0">
      <selection activeCell="F34" sqref="F34"/>
    </sheetView>
  </sheetViews>
  <sheetFormatPr defaultRowHeight="13.2" x14ac:dyDescent="0.25"/>
  <sheetData>
    <row r="1" spans="1:1" x14ac:dyDescent="0.25">
      <c r="A1" t="s">
        <v>49</v>
      </c>
    </row>
    <row r="2" spans="1:1" x14ac:dyDescent="0.25">
      <c r="A2" s="10">
        <v>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Page1_1</vt:lpstr>
      <vt:lpstr>export</vt:lpstr>
      <vt:lpstr>Things that won't output to.csv</vt:lpstr>
      <vt:lpstr>ConstantDateCutoff</vt:lpstr>
      <vt:lpstr>lo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Eberhard</dc:creator>
  <cp:lastModifiedBy>Samuel Nankervis</cp:lastModifiedBy>
  <dcterms:created xsi:type="dcterms:W3CDTF">2026-03-05T23:35:49Z</dcterms:created>
  <dcterms:modified xsi:type="dcterms:W3CDTF">2026-03-28T21:08:14Z</dcterms:modified>
</cp:coreProperties>
</file>